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11"/>
  <workbookPr/>
  <mc:AlternateContent xmlns:mc="http://schemas.openxmlformats.org/markup-compatibility/2006">
    <mc:Choice Requires="x15">
      <x15ac:absPath xmlns:x15ac="http://schemas.microsoft.com/office/spreadsheetml/2010/11/ac" url="D:\Chay BoM KH\Mr.Sơn\Năm 2022\Tháng 06\Techgel\Dwight School\Final gói IT\"/>
    </mc:Choice>
  </mc:AlternateContent>
  <xr:revisionPtr revIDLastSave="2" documentId="13_ncr:1_{48DFBF0A-73A0-4BC2-91EC-8B7FB2693435}" xr6:coauthVersionLast="47" xr6:coauthVersionMax="47" xr10:uidLastSave="{E59A1EE8-CD80-4A6A-9CB0-C8D3914EE179}"/>
  <bookViews>
    <workbookView xWindow="-96" yWindow="-96" windowWidth="19392" windowHeight="10392" xr2:uid="{00000000-000D-0000-FFFF-FFFF00000000}"/>
  </bookViews>
  <sheets>
    <sheet name="I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a">'[2]FA-LISTING'!#REF!</definedName>
    <definedName name="\d">'[3]??-BLDG'!#REF!</definedName>
    <definedName name="\e">'[3]??-BLDG'!#REF!</definedName>
    <definedName name="\f">'[3]??-BLDG'!#REF!</definedName>
    <definedName name="\g">'[3]??-BLDG'!#REF!</definedName>
    <definedName name="\h">'[3]??-BLDG'!#REF!</definedName>
    <definedName name="\i">'[3]??-BLDG'!#REF!</definedName>
    <definedName name="\j">'[3]??-BLDG'!#REF!</definedName>
    <definedName name="\k">'[3]??-BLDG'!#REF!</definedName>
    <definedName name="\l">'[3]??-BLDG'!#REF!</definedName>
    <definedName name="\m">'[3]??-BLDG'!#REF!</definedName>
    <definedName name="\n">'[3]??-BLDG'!#REF!</definedName>
    <definedName name="\o">'[3]??-BLDG'!#REF!</definedName>
    <definedName name="\p">'[2]FA-LISTING'!#REF!</definedName>
    <definedName name="\z">'[1]COAT&amp;WRAP-QIOT-#3'!#REF!</definedName>
    <definedName name="_1">#N/A</definedName>
    <definedName name="_1000A01">#N/A</definedName>
    <definedName name="_2">#N/A</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65700">'[4]MTO REV.2(ARMOR)'!#REF!</definedName>
    <definedName name="_A65800">'[4]MTO REV.2(ARMOR)'!#REF!</definedName>
    <definedName name="_A66000">'[4]MTO REV.2(ARMOR)'!#REF!</definedName>
    <definedName name="_A67000">'[4]MTO REV.2(ARMOR)'!#REF!</definedName>
    <definedName name="_A68000">'[4]MTO REV.2(ARMOR)'!#REF!</definedName>
    <definedName name="_A70000">'[4]MTO REV.2(ARMOR)'!#REF!</definedName>
    <definedName name="_A75000">'[4]MTO REV.2(ARMOR)'!#REF!</definedName>
    <definedName name="_A85000">'[4]MTO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'[6]Chiet tinh dz22'!#REF!</definedName>
    <definedName name="_day2">'[7]Chiet tinh dz35'!$H$3</definedName>
    <definedName name="_dbu1">'[5]CT Thang Mo'!#REF!</definedName>
    <definedName name="_dbu2">'[5]CT Thang Mo'!$B$93:$F$93</definedName>
    <definedName name="_Fill" hidden="1">#REF!</definedName>
    <definedName name="_Key1" hidden="1">#REF!</definedName>
    <definedName name="_Key2" hidden="1">#REF!</definedName>
    <definedName name="_l10">'[8]Nhap(1-03)'!$E$5:$E$62</definedName>
    <definedName name="_l11">'[8]X-N-T(T1-03)'!$D$5:$D$235</definedName>
    <definedName name="_l12">'[8]xuat(1-03)'!$E$7:$E$86</definedName>
    <definedName name="_lap1">#REF!</definedName>
    <definedName name="_lap2">#REF!</definedName>
    <definedName name="_m10">'[8]Nhap(1-03)'!$C$5:$E$62</definedName>
    <definedName name="_m11">'[8]X-N-T(T1-03)'!$B$5:$D$235</definedName>
    <definedName name="_m12">'[8]xuat(1-03)'!$D$7:$E$86</definedName>
    <definedName name="_NET2">#REF!</definedName>
    <definedName name="_Order1" hidden="1">255</definedName>
    <definedName name="_Order2" hidden="1">255</definedName>
    <definedName name="_s10">'[8]Nhap(1-03)'!$E$5:$E$62</definedName>
    <definedName name="_s11">'[8]X-N-T(T1-03)'!$D$5:$D$235</definedName>
    <definedName name="_s12">'[8]xuat(1-03)'!$E$7:$E$86</definedName>
    <definedName name="_sl10">#REF!</definedName>
    <definedName name="_Sort" hidden="1">#REF!</definedName>
    <definedName name="_T10">#REF!</definedName>
    <definedName name="_t11">'[8]X-N-T(T1-03)'!$B$5:$D$235</definedName>
    <definedName name="_t12">'[8]xuat(1-03)'!$D$7:$E$86</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localSheetId="0"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A">#REF!</definedName>
    <definedName name="AAA">'[9]MTL$-INTER'!#REF!</definedName>
    <definedName name="All_Item">#REF!</definedName>
    <definedName name="ALPIN">#N/A</definedName>
    <definedName name="ALPJYOU">#N/A</definedName>
    <definedName name="ALPTOI">#N/A</definedName>
    <definedName name="B">'[1]PNT-QUOT-#3'!#REF!</definedName>
    <definedName name="BB">#REF!</definedName>
    <definedName name="bcktktbtg">#REF!</definedName>
    <definedName name="bcktktx">#REF!</definedName>
    <definedName name="bcktkty1">#REF!</definedName>
    <definedName name="bcktkty2">#REF!</definedName>
    <definedName name="bcktkty3">#REF!</definedName>
    <definedName name="bcktkty4">#REF!</definedName>
    <definedName name="bcktkty5">#REF!</definedName>
    <definedName name="BLDG">'[2]FA-LISTING'!#REF!</definedName>
    <definedName name="BLDGIMP">'[2]FA-LISTING'!#REF!</definedName>
    <definedName name="BLDGREV">'[2]FA-LISTING'!#REF!</definedName>
    <definedName name="BOQ">#REF!</definedName>
    <definedName name="BTK">#REF!</definedName>
    <definedName name="BVCISUMMARY">#REF!</definedName>
    <definedName name="CABLE2">'[10]MTO REV.0'!$A$1:$Q$570</definedName>
    <definedName name="CachtinhCN1">#REF!</definedName>
    <definedName name="CachtinhCN2">#REF!</definedName>
    <definedName name="CachtinhCPLBCKTKT">#REF!</definedName>
    <definedName name="CachtinhCPLDADT">#REF!</definedName>
    <definedName name="CachtinhCPTKHTKT1">#REF!</definedName>
    <definedName name="CachtinhCPTKHTKT2">#REF!</definedName>
    <definedName name="CachtinhCPTKKT">#REF!</definedName>
    <definedName name="CachtinhCPTKTC">#REF!</definedName>
    <definedName name="CachtinhCPTTTKBVTC">#REF!</definedName>
    <definedName name="CachtinhCPTTTKKT">#REF!</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CT">#REF!</definedName>
    <definedName name="ChiphiHTKT2">#REF!</definedName>
    <definedName name="ChiphiLapBCKTKT">#REF!</definedName>
    <definedName name="ChiphiLapDADT">#REF!</definedName>
    <definedName name="ChiphithamdinhKQDT">#REF!</definedName>
    <definedName name="ChiphiThamtraTKBVTC">#REF!</definedName>
    <definedName name="ChiphiThamtraTKKT">#REF!</definedName>
    <definedName name="ChiphiThietkeKythuat">#REF!</definedName>
    <definedName name="ChiphiThietkeToChucThiCong">#REF!</definedName>
    <definedName name="ChiphiTKCTCapngam">#REF!</definedName>
    <definedName name="ChiphiTKCTCNkhac">#REF!</definedName>
    <definedName name="ChiphiTKHTKT1">#REF!</definedName>
    <definedName name="CL">#REF!</definedName>
    <definedName name="CLVC3">0.1</definedName>
    <definedName name="CN1btg">#REF!</definedName>
    <definedName name="CN1x">#REF!</definedName>
    <definedName name="CN1y1">#REF!</definedName>
    <definedName name="CN1y2">#REF!</definedName>
    <definedName name="CN1y3">#REF!</definedName>
    <definedName name="CN2btg">#REF!</definedName>
    <definedName name="CN2x">#REF!</definedName>
    <definedName name="CN2y1">#REF!</definedName>
    <definedName name="CN2y2">#REF!</definedName>
    <definedName name="CN2y3">#REF!</definedName>
    <definedName name="CN2y4">#REF!</definedName>
    <definedName name="CN2y5">#REF!</definedName>
    <definedName name="COAT">'[1]PNT-QUOT-#3'!#REF!</definedName>
    <definedName name="COMMON">#REF!</definedName>
    <definedName name="COMP">'[2]FA-LISTING'!#REF!</definedName>
    <definedName name="CON_EQP_COS">#REF!</definedName>
    <definedName name="CON_EQP_COST">#REF!</definedName>
    <definedName name="CONST_EQ">#REF!</definedName>
    <definedName name="COVER">#REF!</definedName>
    <definedName name="CPDGHSMTTB">#REF!</definedName>
    <definedName name="CPDGHSMTXD">#REF!</definedName>
    <definedName name="CPGSLDTB">#REF!</definedName>
    <definedName name="CPGSTCXD">#REF!</definedName>
    <definedName name="CPKTVDT">#REF!</definedName>
    <definedName name="CPLBCKTKT">#REF!</definedName>
    <definedName name="CPLHSMTTB">#REF!</definedName>
    <definedName name="CPLHSMTXD">#REF!</definedName>
    <definedName name="CPQLDA">#REF!</definedName>
    <definedName name="CPTDKQDT">#REF!</definedName>
    <definedName name="CPTKCN1">#REF!</definedName>
    <definedName name="CPTKCN2">#REF!</definedName>
    <definedName name="CPTKHTKT1">#REF!</definedName>
    <definedName name="CPTKHTKT2">#REF!</definedName>
    <definedName name="CPTTDT">#REF!</definedName>
    <definedName name="CPTTQTVDT">#REF!</definedName>
    <definedName name="_xlnm.Criteria">[11]SILICATE!#REF!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otd">'[5]CT Thang Mo'!$B$323:$H$323</definedName>
    <definedName name="dap">'[5]CT Thang Mo'!$B$39:$H$39</definedName>
    <definedName name="daptd">'[5]CT Thang Mo'!$B$324:$H$324</definedName>
    <definedName name="_xlnm.Database">#REF!</definedName>
    <definedName name="DataFilter">[12]!DataFilter</definedName>
    <definedName name="DataSort">[12]!DataSort</definedName>
    <definedName name="dien">#REF!</definedName>
    <definedName name="diezel">#REF!</definedName>
    <definedName name="DMCPGSLDTB">#REF!</definedName>
    <definedName name="DMCPGSTCXD">#REF!</definedName>
    <definedName name="DMCPHSMTMS">#REF!</definedName>
    <definedName name="DMCPHSMTTC">#REF!</definedName>
    <definedName name="DMCPKT">#REF!</definedName>
    <definedName name="DMCPLBCKTKT">#REF!</definedName>
    <definedName name="DMCPLDA">#REF!</definedName>
    <definedName name="DMCPLHSMT">#REF!</definedName>
    <definedName name="DMCPQLDA">#REF!</definedName>
    <definedName name="DMCPTKHTKT1">#REF!</definedName>
    <definedName name="DMCPTKKT">#REF!</definedName>
    <definedName name="DMCPTKTC">#REF!</definedName>
    <definedName name="DMCPTTDT">#REF!</definedName>
    <definedName name="DMCPTTHQKT">#REF!</definedName>
    <definedName name="DMCPTTQT">#REF!</definedName>
    <definedName name="DMCPTTTKBVTC">#REF!</definedName>
    <definedName name="DMCPTTTKKT">#REF!</definedName>
    <definedName name="dmh_n">#REF!</definedName>
    <definedName name="dobt">#REF!</definedName>
    <definedName name="Document_array" localSheetId="0">{"ÿÿÿÿÿ","Nhat ky chung T8.xls"}</definedName>
    <definedName name="Document_array">{"ÿÿÿÿÿ","Nhat ky chung T8.xls"}</definedName>
    <definedName name="DSNC">#REF!</definedName>
    <definedName name="DSNL">#REF!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[11]SILICATE!#REF!</definedName>
    <definedName name="FACTOR">#REF!</definedName>
    <definedName name="FF">'[2]FA-LISTING'!#REF!</definedName>
    <definedName name="FORK">'[2]FA-LISTING'!#REF!</definedName>
    <definedName name="FP">'[1]COAT&amp;WRAP-QIOT-#3'!#REF!</definedName>
    <definedName name="GoBack">[12]Sheet1!GoBack</definedName>
    <definedName name="GPT_GROUNDING_PT">'[13]NEW-PANEL'!#REF!</definedName>
    <definedName name="gstbbtg">#REF!</definedName>
    <definedName name="gstbx">#REF!</definedName>
    <definedName name="gstby1">#REF!</definedName>
    <definedName name="gstby2">#REF!</definedName>
    <definedName name="gstby3">#REF!</definedName>
    <definedName name="gstby4">#REF!</definedName>
    <definedName name="gstby5">#REF!</definedName>
    <definedName name="gsxdbtg">#REF!</definedName>
    <definedName name="gsxdx">#REF!</definedName>
    <definedName name="gsxdy1">#REF!</definedName>
    <definedName name="gsxdy2">#REF!</definedName>
    <definedName name="gsxdy3">#REF!</definedName>
    <definedName name="gsxdy4">#REF!</definedName>
    <definedName name="gsxdy5">#REF!</definedName>
    <definedName name="GTCPTTTKBVTC">#REF!</definedName>
    <definedName name="GTCPTTTKKT">#REF!</definedName>
    <definedName name="h" localSheetId="0" hidden="1">{"'Sheet1'!$L$16"}</definedName>
    <definedName name="h" hidden="1">{"'Sheet1'!$L$16"}</definedName>
    <definedName name="h_xoa" localSheetId="0" hidden="1">{"'Sheet1'!$L$16"}</definedName>
    <definedName name="h_xoa" hidden="1">{"'Sheet1'!$L$16"}</definedName>
    <definedName name="h_xoa2" localSheetId="0" hidden="1">{"'Sheet1'!$L$16"}</definedName>
    <definedName name="h_xoa2" hidden="1">{"'Sheet1'!$L$16"}</definedName>
    <definedName name="Heä_soá_laép_xaø_H">1.7</definedName>
    <definedName name="HOME_MANP">#REF!</definedName>
    <definedName name="HOMEOFFICE_COST">#REF!</definedName>
    <definedName name="HSCT3">0.1</definedName>
    <definedName name="HSDN">2.5</definedName>
    <definedName name="hsmtbtg">#REF!</definedName>
    <definedName name="hsmttbbtg">#REF!</definedName>
    <definedName name="hsmttbx">#REF!</definedName>
    <definedName name="hsmttby1">#REF!</definedName>
    <definedName name="hsmttby2">#REF!</definedName>
    <definedName name="hsmttby3">#REF!</definedName>
    <definedName name="hsmttby4">#REF!</definedName>
    <definedName name="hsmttby5">#REF!</definedName>
    <definedName name="hsmtx">#REF!</definedName>
    <definedName name="hsmty1">#REF!</definedName>
    <definedName name="hsmty2">#REF!</definedName>
    <definedName name="hsmty3">#REF!</definedName>
    <definedName name="hsmty4">#REF!</definedName>
    <definedName name="hsmty5">#REF!</definedName>
    <definedName name="HTKT1btg">#REF!</definedName>
    <definedName name="HTKT1x">#REF!</definedName>
    <definedName name="HTKT1y1">#REF!</definedName>
    <definedName name="HTKT1y2">#REF!</definedName>
    <definedName name="HTKT1y3">#REF!</definedName>
    <definedName name="HTKT2btg">#REF!</definedName>
    <definedName name="HTKT2x">#REF!</definedName>
    <definedName name="HTKT2y1">#REF!</definedName>
    <definedName name="HTKT2y2">#REF!</definedName>
    <definedName name="HTKT2y3">#REF!</definedName>
    <definedName name="HTKT2y4">#REF!</definedName>
    <definedName name="HTKT2y5">#REF!</definedName>
    <definedName name="HTKT2y6">#REF!</definedName>
    <definedName name="HTKT2y7">#REF!</definedName>
    <definedName name="HTKT2y8">#REF!</definedName>
    <definedName name="HTKT2y9">#REF!</definedName>
    <definedName name="HTML_CodePage" hidden="1">950</definedName>
    <definedName name="HTML_Control" localSheetId="0" hidden="1">{"'Sheet1'!$L$16"}</definedName>
    <definedName name="HTML_Control" hidden="1">{"'Sheet1'!$L$16"}</definedName>
    <definedName name="html_control_xoa2" localSheetId="0"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IDLAB_COST">#REF!</definedName>
    <definedName name="IND_LAB">#REF!</definedName>
    <definedName name="INDMANP">#REF!</definedName>
    <definedName name="IO">'[1]COAT&amp;WRAP-QIOT-#3'!#REF!</definedName>
    <definedName name="k" localSheetId="0"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xoa" localSheetId="0"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TVDT">#REF!</definedName>
    <definedName name="KVC">#REF!</definedName>
    <definedName name="l">#REF!</definedName>
    <definedName name="LANDIMP">'[2]FA-LISTING'!#REF!</definedName>
    <definedName name="LANDREV">'[2]FA-LISTING'!#REF!</definedName>
    <definedName name="lapa">'[5]CT Thang Mo'!$B$350:$H$350</definedName>
    <definedName name="lapb">'[5]CT Thang Mo'!$B$370:$H$370</definedName>
    <definedName name="lapc">'[5]CT Thang Mo'!$B$390:$H$390</definedName>
    <definedName name="LCT">#REF!</definedName>
    <definedName name="ldabtg">#REF!</definedName>
    <definedName name="ldax">#REF!</definedName>
    <definedName name="lday1">#REF!</definedName>
    <definedName name="lday2">#REF!</definedName>
    <definedName name="lday3">#REF!</definedName>
    <definedName name="lday4">#REF!</definedName>
    <definedName name="lday5">#REF!</definedName>
    <definedName name="lVC">#REF!</definedName>
    <definedName name="m">#REF!</definedName>
    <definedName name="mahang">'[14]X-N-T(T1-03)'!$B$5:$D$235</definedName>
    <definedName name="mahang_n">#REF!</definedName>
    <definedName name="mahang_tdk">#REF!</definedName>
    <definedName name="mahang_X">#REF!</definedName>
    <definedName name="MAJ_CON_EQP">#REF!</definedName>
    <definedName name="MAT">'[1]COAT&amp;WRAP-QIOT-#3'!#REF!</definedName>
    <definedName name="mazut">#REF!</definedName>
    <definedName name="MF">'[1]COAT&amp;WRAP-QIOT-#3'!#REF!</definedName>
    <definedName name="MG_A">#REF!</definedName>
    <definedName name="MV">'[2]FA-LISTING'!#REF!</definedName>
    <definedName name="n">#REF!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NhienlieuNL">#REF!</definedName>
    <definedName name="OE">'[2]FA-LISTING'!#REF!</definedName>
    <definedName name="OTHER_PANEL">'[13]NEW-PANEL'!#REF!</definedName>
    <definedName name="P">#N/A</definedName>
    <definedName name="P_M">'[2]FA-LISTING'!#REF!</definedName>
    <definedName name="PEJM">'[1]COAT&amp;WRAP-QIOT-#3'!#REF!</definedName>
    <definedName name="PF">'[1]PNT-QUOT-#3'!#REF!</definedName>
    <definedName name="PL_指示燈___P.B.___REST_P.B._壓扣開關">'[13]NEW-PANEL'!#REF!</definedName>
    <definedName name="PM">[15]IBASE!$AH$16:$AV$110</definedName>
    <definedName name="PRICE">#REF!</definedName>
    <definedName name="PRICE1">#REF!</definedName>
    <definedName name="_xlnm.Print_Area" localSheetId="0">IT!$B$1:$O$78</definedName>
    <definedName name="_xlnm.Print_Area">#REF!</definedName>
    <definedName name="Print_Area_MI">[16]ESTI.!$A$1:$U$52</definedName>
    <definedName name="_xlnm.Print_Titles">#N/A</definedName>
    <definedName name="Print_Titles_MI">#REF!</definedName>
    <definedName name="PRINTA">#REF!</definedName>
    <definedName name="PRINTB">#REF!</definedName>
    <definedName name="PRINTC">#REF!</definedName>
    <definedName name="PROPOSAL">#REF!</definedName>
    <definedName name="qldabtg">#REF!</definedName>
    <definedName name="qldax">#REF!</definedName>
    <definedName name="qlday1">#REF!</definedName>
    <definedName name="qlday2">#REF!</definedName>
    <definedName name="qlday3">#REF!</definedName>
    <definedName name="qlday4">#REF!</definedName>
    <definedName name="qlday5">#REF!</definedName>
    <definedName name="Rate">14563</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'[7]Chiet tinh dz35'!$H$4</definedName>
    <definedName name="SB">[15]IBASE!$AH$7:$AL$14</definedName>
    <definedName name="SCH">#REF!</definedName>
    <definedName name="SIZE">#REF!</definedName>
    <definedName name="sl_10">#REF!</definedName>
    <definedName name="slg_11">#REF!</definedName>
    <definedName name="slg_n">#REF!</definedName>
    <definedName name="slg_tdk">#REF!</definedName>
    <definedName name="slg_X">#REF!</definedName>
    <definedName name="SORT">#REF!</definedName>
    <definedName name="SORT_AREA">'[16]DI-ESTI'!$A$8:$R$489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axTV">10%</definedName>
    <definedName name="TaxXL">5%</definedName>
    <definedName name="tb">#REF!</definedName>
    <definedName name="THI">#REF!</definedName>
    <definedName name="THK">'[1]COAT&amp;WRAP-QIOT-#3'!#REF!</definedName>
    <definedName name="TITAN">#REF!</definedName>
    <definedName name="tkcn2btg">#REF!</definedName>
    <definedName name="tkcn2x">#REF!</definedName>
    <definedName name="tkcn2y1">#REF!</definedName>
    <definedName name="tkcn2y2">#REF!</definedName>
    <definedName name="tkcn2y3">#REF!</definedName>
    <definedName name="tkcn2y4">#REF!</definedName>
    <definedName name="tkcn2y5">#REF!</definedName>
    <definedName name="tkcn3btg">#REF!</definedName>
    <definedName name="tkcn3x">#REF!</definedName>
    <definedName name="tkcn3y1">#REF!</definedName>
    <definedName name="tkcn3y2">#REF!</definedName>
    <definedName name="tkcn3y3">#REF!</definedName>
    <definedName name="tkcn3y4">#REF!</definedName>
    <definedName name="tkcn3y5">#REF!</definedName>
    <definedName name="tkdd2btg">#REF!</definedName>
    <definedName name="tkdd2x">#REF!</definedName>
    <definedName name="tkdd2y1">#REF!</definedName>
    <definedName name="tkdd2y2">#REF!</definedName>
    <definedName name="tkdd2y3">#REF!</definedName>
    <definedName name="tkdd2y4">#REF!</definedName>
    <definedName name="tkdd2y5">#REF!</definedName>
    <definedName name="tkdd3btg">#REF!</definedName>
    <definedName name="tkdd3x">#REF!</definedName>
    <definedName name="tkdd3y1">#REF!</definedName>
    <definedName name="tkdd3y2">#REF!</definedName>
    <definedName name="tkdd3y3">#REF!</definedName>
    <definedName name="tkdd3y4">#REF!</definedName>
    <definedName name="tkdd3y5">#REF!</definedName>
    <definedName name="tkgt2btg">#REF!</definedName>
    <definedName name="tkgt2x">#REF!</definedName>
    <definedName name="tkgt2y1">#REF!</definedName>
    <definedName name="tkgt2y2">#REF!</definedName>
    <definedName name="tkgt2y3">#REF!</definedName>
    <definedName name="tkgt2y4">#REF!</definedName>
    <definedName name="tkgt2y5">#REF!</definedName>
    <definedName name="tkgt3btg">#REF!</definedName>
    <definedName name="tkgt3x">#REF!</definedName>
    <definedName name="tkgt3y1">#REF!</definedName>
    <definedName name="tkgt3y2">#REF!</definedName>
    <definedName name="tkgt3y3">#REF!</definedName>
    <definedName name="tkgt3y4">#REF!</definedName>
    <definedName name="tkgt3y5">#REF!</definedName>
    <definedName name="tkhtkt2btg">#REF!</definedName>
    <definedName name="tkhtkt2x">#REF!</definedName>
    <definedName name="tkhtkt2y1">#REF!</definedName>
    <definedName name="tkhtkt2y2">#REF!</definedName>
    <definedName name="tkhtkt2y3">#REF!</definedName>
    <definedName name="tkhtkt2y4">#REF!</definedName>
    <definedName name="tkhtkt2y5">#REF!</definedName>
    <definedName name="tkhtkt3btg">#REF!</definedName>
    <definedName name="tkhtkt3x">#REF!</definedName>
    <definedName name="tkhtkt3y1">#REF!</definedName>
    <definedName name="tkhtkt3y2">#REF!</definedName>
    <definedName name="tkhtkt3y3">#REF!</definedName>
    <definedName name="tkhtkt3y4">#REF!</definedName>
    <definedName name="tkhtkt3y5">#REF!</definedName>
    <definedName name="tktl2btg">#REF!</definedName>
    <definedName name="tktl2x">#REF!</definedName>
    <definedName name="tktl2y1">#REF!</definedName>
    <definedName name="tktl2y2">#REF!</definedName>
    <definedName name="tktl2y3">#REF!</definedName>
    <definedName name="tktl2y4">#REF!</definedName>
    <definedName name="tktl2y5">#REF!</definedName>
    <definedName name="tktl3btg">#REF!</definedName>
    <definedName name="tktl3x">#REF!</definedName>
    <definedName name="tktl3y1">#REF!</definedName>
    <definedName name="tktl3y2">#REF!</definedName>
    <definedName name="tktl3y3">#REF!</definedName>
    <definedName name="tktl3y4">#REF!</definedName>
    <definedName name="tktl3y5">#REF!</definedName>
    <definedName name="tmdt">#REF!</definedName>
    <definedName name="TPLRP">#REF!</definedName>
    <definedName name="TRADE2">#REF!</definedName>
    <definedName name="TRANSFORMER">'[13]NEW-PANEL'!#REF!</definedName>
    <definedName name="ttbt">#REF!</definedName>
    <definedName name="TTPDQTVDT">#REF!</definedName>
    <definedName name="TTQTVDTbtg">#REF!</definedName>
    <definedName name="TTQTVDTx">#REF!</definedName>
    <definedName name="Ttradtbtg">#REF!</definedName>
    <definedName name="Ttradtx">#REF!</definedName>
    <definedName name="Ttradty1">#REF!</definedName>
    <definedName name="Ttradty2">#REF!</definedName>
    <definedName name="Ttradty3">#REF!</definedName>
    <definedName name="Ttradty4">#REF!</definedName>
    <definedName name="Ttradty5">#REF!</definedName>
    <definedName name="Ttrahqktbtg">#REF!</definedName>
    <definedName name="Ttrahqktx">#REF!</definedName>
    <definedName name="Ttrahqkty1">#REF!</definedName>
    <definedName name="Ttrahqkty2">#REF!</definedName>
    <definedName name="Ttrahqkty3">#REF!</definedName>
    <definedName name="Ttrahqkty4">#REF!</definedName>
    <definedName name="Ttrahqkty5">#REF!</definedName>
    <definedName name="Ttratkbtg">#REF!</definedName>
    <definedName name="Ttratkx">#REF!</definedName>
    <definedName name="Ttratky1">#REF!</definedName>
    <definedName name="Ttratky2">#REF!</definedName>
    <definedName name="Ttratky3">#REF!</definedName>
    <definedName name="Ttratky4">#REF!</definedName>
    <definedName name="Ttratky5">#REF!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'[17]Chi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wrn.chi._.tiÆt." localSheetId="0" hidden="1">{#N/A,#N/A,FALSE,"Chi tiÆt"}</definedName>
    <definedName name="wrn.chi._.tiÆt." hidden="1">{#N/A,#N/A,FALSE,"Chi tiÆt"}</definedName>
    <definedName name="wrn.re_xoa2" localSheetId="0"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_xoa2" localSheetId="0" hidden="1">{#N/A,#N/A,FALSE,"Chi tiÆt"}</definedName>
    <definedName name="wrn_xoa2" hidden="1">{#N/A,#N/A,FALSE,"Chi tiÆt"}</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x">#REF!</definedName>
    <definedName name="xang">#REF!</definedName>
    <definedName name="xd">#REF!</definedName>
    <definedName name="xl">#REF!</definedName>
    <definedName name="XLTB">#REF!</definedName>
    <definedName name="xoa1" localSheetId="0" hidden="1">{"'Sheet1'!$L$16"}</definedName>
    <definedName name="xoa1" hidden="1">{"'Sheet1'!$L$16"}</definedName>
    <definedName name="xoa2" localSheetId="0" hidden="1">{#N/A,#N/A,FALSE,"Chi tiÆt"}</definedName>
    <definedName name="xoa2" hidden="1">{#N/A,#N/A,FALSE,"Chi tiÆt"}</definedName>
    <definedName name="xoa3" localSheetId="0"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ZYX">#REF!</definedName>
    <definedName name="ZZ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 l="1"/>
  <c r="K52" i="1"/>
  <c r="Q51" i="1"/>
  <c r="M51" i="1"/>
  <c r="K51" i="1"/>
  <c r="N51" i="1" s="1"/>
  <c r="M50" i="1"/>
  <c r="K50" i="1"/>
  <c r="N50" i="1" s="1"/>
  <c r="M49" i="1"/>
  <c r="K49" i="1"/>
  <c r="M48" i="1"/>
  <c r="K48" i="1"/>
  <c r="N48" i="1" s="1"/>
  <c r="M47" i="1"/>
  <c r="K47" i="1"/>
  <c r="M46" i="1"/>
  <c r="K46" i="1"/>
  <c r="N46" i="1" s="1"/>
  <c r="M44" i="1"/>
  <c r="K44" i="1"/>
  <c r="M43" i="1"/>
  <c r="K43" i="1"/>
  <c r="N43" i="1" s="1"/>
  <c r="M42" i="1"/>
  <c r="K42" i="1"/>
  <c r="M41" i="1"/>
  <c r="K41" i="1"/>
  <c r="N41" i="1" s="1"/>
  <c r="M40" i="1"/>
  <c r="K40" i="1"/>
  <c r="M39" i="1"/>
  <c r="K39" i="1"/>
  <c r="M38" i="1"/>
  <c r="K38" i="1"/>
  <c r="M37" i="1"/>
  <c r="K37" i="1"/>
  <c r="M36" i="1"/>
  <c r="K36" i="1"/>
  <c r="M35" i="1"/>
  <c r="K35" i="1"/>
  <c r="M34" i="1"/>
  <c r="K34" i="1"/>
  <c r="M33" i="1"/>
  <c r="K33" i="1"/>
  <c r="N33" i="1" s="1"/>
  <c r="M32" i="1"/>
  <c r="K32" i="1"/>
  <c r="M31" i="1"/>
  <c r="K31" i="1"/>
  <c r="N31" i="1" s="1"/>
  <c r="M30" i="1"/>
  <c r="K30" i="1"/>
  <c r="M29" i="1"/>
  <c r="K29" i="1"/>
  <c r="N29" i="1" s="1"/>
  <c r="M28" i="1"/>
  <c r="K28" i="1"/>
  <c r="M27" i="1"/>
  <c r="K27" i="1"/>
  <c r="N27" i="1" s="1"/>
  <c r="M26" i="1"/>
  <c r="K26" i="1"/>
  <c r="M25" i="1"/>
  <c r="K25" i="1"/>
  <c r="N25" i="1" s="1"/>
  <c r="M24" i="1"/>
  <c r="K24" i="1"/>
  <c r="M23" i="1"/>
  <c r="K23" i="1"/>
  <c r="N23" i="1" s="1"/>
  <c r="M22" i="1"/>
  <c r="K22" i="1"/>
  <c r="M21" i="1"/>
  <c r="K21" i="1"/>
  <c r="N21" i="1" s="1"/>
  <c r="M20" i="1"/>
  <c r="K20" i="1"/>
  <c r="M18" i="1"/>
  <c r="K18" i="1"/>
  <c r="N18" i="1" s="1"/>
  <c r="M17" i="1"/>
  <c r="K17" i="1"/>
  <c r="M15" i="1"/>
  <c r="K15" i="1"/>
  <c r="N15" i="1" s="1"/>
  <c r="M14" i="1"/>
  <c r="K14" i="1"/>
  <c r="M13" i="1"/>
  <c r="K13" i="1"/>
  <c r="N13" i="1" s="1"/>
  <c r="M12" i="1"/>
  <c r="M53" i="1" s="1"/>
  <c r="K12" i="1"/>
  <c r="N12" i="1" s="1"/>
  <c r="Q47" i="1"/>
  <c r="Q46" i="1"/>
  <c r="Q34" i="1"/>
  <c r="Q33" i="1"/>
  <c r="Q32" i="1"/>
  <c r="Q31" i="1"/>
  <c r="Q30" i="1"/>
  <c r="Q29" i="1"/>
  <c r="Q25" i="1"/>
  <c r="Q24" i="1"/>
  <c r="Q22" i="1"/>
  <c r="Q18" i="1"/>
  <c r="Q17" i="1"/>
  <c r="Q14" i="1"/>
  <c r="Q13" i="1"/>
  <c r="N52" i="1" l="1"/>
  <c r="K53" i="1"/>
  <c r="N17" i="1"/>
  <c r="N32" i="1"/>
  <c r="N42" i="1"/>
  <c r="N35" i="1"/>
  <c r="N39" i="1"/>
  <c r="N14" i="1"/>
  <c r="N20" i="1"/>
  <c r="N24" i="1"/>
  <c r="N26" i="1"/>
  <c r="N28" i="1"/>
  <c r="N30" i="1"/>
  <c r="N34" i="1"/>
  <c r="N36" i="1"/>
  <c r="N38" i="1"/>
  <c r="N40" i="1"/>
  <c r="N44" i="1"/>
  <c r="N47" i="1"/>
  <c r="N49" i="1"/>
  <c r="N37" i="1"/>
  <c r="N22" i="1"/>
  <c r="N53" i="1" l="1"/>
  <c r="N54" i="1" s="1"/>
  <c r="N55" i="1" s="1"/>
</calcChain>
</file>

<file path=xl/sharedStrings.xml><?xml version="1.0" encoding="utf-8"?>
<sst xmlns="http://schemas.openxmlformats.org/spreadsheetml/2006/main" count="324" uniqueCount="138">
  <si>
    <t>Kính gửi:  CÔNG TY CỔ PHẦN KỸ THUẬT CÔNG NGHỆ SÀI GÒN (TECHGEL)</t>
  </si>
  <si>
    <t>Địa chỉ: 30 Phan Chu Trinh, Phường 2, Quận Bình Thạnh, TP. Hồ Chí Minh, Việt Nam</t>
  </si>
  <si>
    <t>Email:</t>
  </si>
  <si>
    <t>tuan.tq@techgel.com</t>
  </si>
  <si>
    <t>Điện thoại: +84-0968129979</t>
  </si>
  <si>
    <t>Project: Hệ thống IT Dự án trường học quốc tế Dwight trong khu đô thị The Manor Central Park - TP.Hà Nội</t>
  </si>
  <si>
    <t>Ngày: 12/10/2022</t>
  </si>
  <si>
    <t>BẢNG BÁO GIÁ</t>
  </si>
  <si>
    <t>Công ty VIETNET trân trọng gửi đến Quý khách hàng bảng báo giá như sau:</t>
  </si>
  <si>
    <t>STT</t>
  </si>
  <si>
    <t>DIỄN GIẢI</t>
  </si>
  <si>
    <t>MODEL</t>
  </si>
  <si>
    <t>NHÃN HIỆU</t>
  </si>
  <si>
    <t>XUẤT XỨ</t>
  </si>
  <si>
    <t>ĐVT</t>
  </si>
  <si>
    <t>SỐ LƯỢNG</t>
  </si>
  <si>
    <t>ĐƠN GIÁ THIẾT BỊ (VND)</t>
  </si>
  <si>
    <t>ĐƠN GIÁ NHÂN CÔNG (VND)</t>
  </si>
  <si>
    <t>THÀNH TIỀN VẬT TƯ (VND)</t>
  </si>
  <si>
    <t>Xuất xứ</t>
  </si>
  <si>
    <t>THÀNH TIỀN NHÂN CÔNG (VND)</t>
  </si>
  <si>
    <t>TỔNG CỘNG
VND</t>
  </si>
  <si>
    <t>Ghi chú</t>
  </si>
  <si>
    <t>X.xứ</t>
  </si>
  <si>
    <t>IT</t>
  </si>
  <si>
    <t xml:space="preserve">Máy chủ( mail, web, file, VoD, BMS)
Dell(TM) PowerEdge(TM) R740 Rack Mount Server
PowerEdge R740 Server	1
PowerEdge R740/R740XD Motherboard	1
No Trusted Platform Module	1
Chassis with up to 8 x 2.5" SAS/SATA Hard Drives for 2CPU PERC11 Configuration	1
Intel Xeon Silver 4210R 2.4G, 10C/20T, 9.6GT/s, 13.75M Cache, Turbo, HT (100W) DDR4-2400	2
Additional Processor Selected	1
Standard 1U Heatsink	2
3200MT/s RDIMMs	1
Performance Optimized	1
32GB RDIMM, 3200MT/s, Dual Rank 16Gb BASE x8	2
Unconfigured RAID	1
PERC H750 Adapter, Low Profile	1
960GB SSD SATA Read Intensive 6Gbps 512 2.5in Hot-plug AG Drive, 1 DWPD,	2
iDRAC9,Enterprise	1
OpenManage Enterprise Advanced	1
Broadcom 57412 Dual Port 10GbE SFP+ &amp; 5720 Dual Port 1GbE BASE-T rNDC	1
Riser Config 2, 3 x8, 1 x16 slots	1
Broadcom 5719 Quad Port 1GbE BASE-T Adapter, PCIe Full Height	1
Dual, Hot-plug, Redundant Power Supply (1+1), 750W	1
Jumper Cord - C13/C14, 4M, 250V, 10A (US, EU, TW, APCC countries except ANZ)	2
PowerEdge 2U Standard Bezel	1
Dell EMC Luggage Tag	1
No Quick Sync	1
iDRAC Group Manager, Enabled	1
iDRAC,Factory Generated Password	1
Performance BIOS Settings	1
UEFI BIOS Boot Mode with GPT Partition	1
6 Standard Fans for R740/740XD	1
Dell EMC PowerEdge SFP+ SR Optic 10GbE 850nm	2
No Operating System	1
Basic Next Business Day 36 Months-ACDTS	1
ProSupport and Next Business Day Onsite Service-ACDTS Initial, 36 Month(s)	1
For SADMG Countries only - No Installation Service Required	1
ReadyRails Sliding Rails With Cable Management Arm	1
No Internal Optical Drive	1
PowerEdge R740 Shipping (APCC/Taiwan), for 1300W below, V2	1
PowerEdge R740 Shipping Material	1
PowerEdge R740/R740XD No CE Marking, APCC, for 1300W PSU below, cannot ship to CE countries	1
No Systems Documentation, No OpenManage DVD Kit	1
</t>
  </si>
  <si>
    <t>PowerEdge(TM) R740</t>
  </si>
  <si>
    <t>Dell</t>
  </si>
  <si>
    <t>Malaysia</t>
  </si>
  <si>
    <t>set</t>
  </si>
  <si>
    <t>Usa</t>
  </si>
  <si>
    <t>30 tuần theo 
lịch của hãng</t>
  </si>
  <si>
    <t>Tường lửa
FPR1140-NGFW-K9
Cisco Firepower 1140 NGFW Appliance, 1U
SOLN SUPP 8X5XNBD Cisco Firepower 1140 NGFW Appliance, 1U
Cisco FPR1140 Threat Defense Threat, Malware and URL License
Cisco FPR1140 Threat Defense Threat, Malware and URL 1Y Subs
AC Power Cord (Europe), C13, CEE 7, 1.5M
Cisco Firepower Threat Defense software v7.0.1 for FPR1000
Cisco Firepower 1K Series 200GB for FPR-1120/1140
Cisco Firepower 1K Series Accessory Kit for FPR-1120/1140
Cisco Firepower 1000 Standard ASA License
Cisco Firepower QR Label - Internal Use Only</t>
  </si>
  <si>
    <t>FPR1140-NGFW-K9</t>
  </si>
  <si>
    <t>Cisco</t>
  </si>
  <si>
    <t>asia</t>
  </si>
  <si>
    <t>Bộ định tuyến
ISR4431/K9
Cisco ISR 4431 (4GE,3NIM,8G FLASH,4G DRAM,IPB)
SOLN SUPP 8X5XNBD Cisco ISR 4431 (4GE3NIM8G FLASH4G DRAM
AC Power Supply for Cisco ISR 4430
AC Power Cord (Australia), C13, AS 3112, 2.5m
IP Base License for Cisco ISR 4400 Series
4G DRAM (1 x 4G) for Cisco ISR 4400
8G eUSB Flash Memory for Cisco ISR 4430
Cover for empty 2nd Power Supply slot on Cisco ISR 4430
2G DRAM (1 DIMM) for Cisco ISR 4400 Data Plane
Blank faceplate for NIM slot on Cisco ISR 4400
Cisco ISR 4400 Series IOS XE Universal
10GBASE-SR SFP Module</t>
  </si>
  <si>
    <t>ISR4431/K9</t>
  </si>
  <si>
    <t>Bộ cân bằng tải
Thiết bị và phụ kiện Peplink BPL-580
5 Port WAN chuẩn Gigabit Ethernet
3 Port LAN chuẩn Gigabit Ethernet
1 Port USB WAN Modem
Router Throughput up to 1.5Gbps
Hỗ trợ tối đa lên đến 1.000 users
Quản lý tối đa 100 AP</t>
  </si>
  <si>
    <t>BPL-580</t>
  </si>
  <si>
    <t>Peplink</t>
  </si>
  <si>
    <t>Bộ điều khiển mạng không dây bao gồm:</t>
  </si>
  <si>
    <t xml:space="preserve">- Thiết bị quản lý chuyển mạch HPE Aruba 7205 (RW) 2-port 10GBASE-X (SFP+) Controller_JW735A 
- Dịch vụ bảo hành HPE Aruba 1Y FC NBD Exch 7205 Cntlr SVC  [for JW735A]_H3CW3E 
- Dây nguồn HPE Aruba PC-AC-EC Continental European/Schuko AC Power Cord_JW118A </t>
  </si>
  <si>
    <t xml:space="preserve"> 7205 (RW)
JW735A</t>
  </si>
  <si>
    <t>HP Enterprise</t>
  </si>
  <si>
    <t>USA</t>
  </si>
  <si>
    <t>- Phần mềm HPE Aruba LIC-AP Controller per AP Capacity License E-LTU_JW472AAE
- Dịch vụ phần mềm HPE Aruba 1Y FC SW Cntrl per AP Cpty E-L SVC  [for JW472AAE]_H2YU3E</t>
  </si>
  <si>
    <t>E-LTU (JW472AAE)</t>
  </si>
  <si>
    <t>IP-PABX bao gồm:</t>
  </si>
  <si>
    <t xml:space="preserve">Tổng đài IP-PABX 16CO/288 EX
Tổng đài IP UCM6308A
- 1500 user, 200 cuộc gọi đồng thời
- Kết nối làm việc online qua cloud với 25 máy, 4 kênh gọi qua app, web 
- Màn hình LCD hiển thị thông tin tổng đài
- 3 cổng mạng Gigabit (PoE), 2 cổng USB, Khe SD
- Thoại hội nghị audio 150 bên
- Hỗ trợ kết nối cloud từ xa
- Full tính năng: Hiển thị số, lời chào tự động, ghi âm cuộc gọi...
- Hỗ trợ HA (Redundant) chạy backup tổng đài tự động khi 1 tổng đài lỗi
Lắp đặt: Gắn rack 19" hoặc để bàn / Gateway 8 cổng FXO – WAN/LAN </t>
  </si>
  <si>
    <t>UCM6308A</t>
  </si>
  <si>
    <t>Grandstream - USA</t>
  </si>
  <si>
    <t>China</t>
  </si>
  <si>
    <t>4-8 tuần theo 
lịch của hãng</t>
  </si>
  <si>
    <t>Điện thoại ip GRP2615
- Màn hình mầu 4,3
- 5 tài khoản SIP, âm thanh chuẩn HD
- 2 cổng mạng Gigabit hỗ trợ PoE, hỗ trợ wifi 2.4/5Ghz, bluetooth kết nối tai nghe không dây, cổng usb
- Danh bạ 2000 số, lịch sử cuộc gọi 2000 số, hỗ trợ quản lý qua cloud từ PC và smartphone, 40 phím mềm gọi nhanh / Điện thoại IP, 2 cổng LAN 10/100, có PoE, 2 tài khoản SIP, Màn hình LCD, Jack tai nghe RJ9, Contact 1000 số, Call log 200 số, tích hợp quản lý Cloud</t>
  </si>
  <si>
    <t>GRP2615</t>
  </si>
  <si>
    <t>Bộ chuyển mạch 24 Ports, 2 SFP
C9200-24T-E
Catalyst 9200 24-port data only, Network Essentials
SNTC-8X5XNBD Catalyst 9200 24-port data only, Network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</si>
  <si>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C9200-24T-E</t>
  </si>
  <si>
    <t>Patch panel 24 port
760237040 COMMSCOPE SL DDM Patch Panel, UTP, 1U, 24 port, Straight, Unload / 
9-1375055-2 COMMSCOPE SL Jack, Category 6, UTP, without Dust Cover, Black, in bulk pack</t>
  </si>
  <si>
    <t>760237040
9-1375055-2</t>
  </si>
  <si>
    <t>Commscope</t>
  </si>
  <si>
    <t>Bao gồm nhân công 
tool patch-panel</t>
  </si>
  <si>
    <t>Core switch 24 ports
Catalyst 9300X  24x25G Fiber Ports, modular uplink Switch
SNTC-8X5XNBD Catalyst 9300X 24x25G Fiber Ports, modul
Cisco Catalyst 9300 XE 17.6 UNIVERSAL UNIVERSAL
715W AC 80+ platinum Config 1 Power Supply
No Secondary Power Supply Selected
Europe AC Type A Power Cable
C9300 Network Advantage, 24-port license
No Stack Cable Selected
Catalyst Stack Power Cable 150 CM - Upgrade
No SSD Card Selected
Config 1 Power Supply Blank
TE agent for IOSXE on C9K
C9300 DNA Advantage, Term License
DNA Advantage 3 Year License
Cisco ThousandEyes Enterprise Agent IBN Embedded
ThousandEyes - Enterprise Agents
Prime Infrastructure Lifecycle &amp; Assurance Term - Smart Lic
PI Dev Lic for Lifecycle &amp; Assurance Term 3Y
Catalyst 9300 8 x 10G/25G Network Module SFP+/SFP28
Network Plug-n-Play Connect for zero-touch device deployment</t>
  </si>
  <si>
    <t>C9300X-24Y-A</t>
  </si>
  <si>
    <t>Thiết bị đầu cuối mạng quang_ONT
Thiết bị ONT
Cisco GPON ONT 4X1G PoE+, 2.5G uplink
AC Power Cord (Europe), C13, CEE 7, 1.5M</t>
  </si>
  <si>
    <t>CGP-ONT-4P</t>
  </si>
  <si>
    <t>Tủ rack chính 19''
V-Series Server Cabinet 42U 800 x 1000, Black</t>
  </si>
  <si>
    <t>VRV42-8100</t>
  </si>
  <si>
    <t>Vietrack</t>
  </si>
  <si>
    <t>Hộp nối quang ODF 1x 72 FO
760244403 CommScope® Fiber Optic Panel,1U, 19 in, unloaded for 24 LC duplex or 24 SC simplex adaptors, black / 
CZ9340-000 CommScope® Adapter LC Duplex, Flanged, Blue / 
760241378 CommScope® 48 Fibers Slicing Tray Kit  
2105081-1 Fiber Optic Patch Cord, Simplex, 0.9mm,SM, LC/UPC to LC/UPC, Yellow, 1M</t>
  </si>
  <si>
    <t>760244403
CZ9340-000
760241378
2105081-1</t>
  </si>
  <si>
    <t>Bao gồm chi phí hàn 
cáp quang ở phần nhân công</t>
  </si>
  <si>
    <t>Hệ thống cấp nguồn UPS trung tâm bao gồm cả phần nguồn cấp cho access door:
ITYS PRO 20kVA UPS 3/1 400V PF=0.9 BATTERY 24' INTEGRATED AND DUAL INPUT</t>
  </si>
  <si>
    <t>ITYP120T93D</t>
  </si>
  <si>
    <t>Socomec</t>
  </si>
  <si>
    <t>8-12 tuần theo 
lịch của hãng</t>
  </si>
  <si>
    <t>Bao gồm đấu nối nguồn, 
không bao gồm chi phí kéo cáp điện</t>
  </si>
  <si>
    <t>Switch 48 POE  Ports, 2 SFP
Catalyst 9200 48-port PoE+, Network Essentials
SNTC-8X5XNBD Catalyst 9200 48-port PoE+, Network Esse
Config 5 Power Supply Blank
C9200 Network Essentials, 48-port license
Catalyst 9200 4 x 10G Network Module
Europe AC Type A Power Cable
C9200 Cisco DNA Essentials, 48-Port Term Licenses
C9200 Cisco DNA Essentials, 48-port - 3 Year Term License
Network Plug-n-Play Connect for zero-touch device deployment</t>
  </si>
  <si>
    <t>C9200-48P-E</t>
  </si>
  <si>
    <t>Switch POE 24 Ports, 2 SFP
C9200-24P-E
Catalyst 9200 24-port PoE+, Network Essentials
SNTC-8X5XNBD Catalyst 9200 24-port PoE+, Network Esse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</si>
  <si>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C9200-24P-E</t>
  </si>
  <si>
    <t>Switch POE 16 Ports, 2 SFP
Catalyst 1000 16port GE, POE, 2x1G SFP
AC Power Cord (Europe), C13, CEE 7, 1.5M
CSCO SUP ESS 8X5XNBD Catalyst 1000 16port GE, POE, 2x1G SFP</t>
  </si>
  <si>
    <t>C1000-16P-2G-L</t>
  </si>
  <si>
    <t>Bộ chuyển mạch 48 cổng, 2 SFP
Catalyst 9200 48-port data only, Network Essentials
SNTC-8X5XNBD Catalyst 9200 48-port data only, Network
Config 5 Power Supply Blank
C9200 Network Essentials, 48-port license
Catalyst 9200 4 x 10G Network Module
Europe AC Type A Power Cable
C9200 Cisco DNA Essentials, 48-Port Term Licenses
C9200 Cisco DNA Essentials, 48-port - 3 Year Term License
Network Plug-n-Play Connect for zero-touch device deployment</t>
  </si>
  <si>
    <t>C9200-48T-E</t>
  </si>
  <si>
    <t>Bộ chuyển mạch 24 cổng, 2 SFP
C9200-24T-E
Catalyst 9200 24-port data only, Network Essentials
SNTC-8X5XNBD Catalyst 9200 24-port data only, Network
Config 5 Power Supply Blank
C9200 Network Essentials, 24-port license
Catalyst 9200 4 x 10G Network Module
Europe AC Type A Power Cable
C9200 Cisco DNA Essentials, 24-Port Term Licenses
C9200 Cisco DNA Essentials, 24-Port, 3 Year Term License
Network Plug-n-Play Connect for zero-touch device deployment</t>
  </si>
  <si>
    <t>Module quang 10G
10GBASE-SR SFP Module</t>
  </si>
  <si>
    <t>SFP-10G-SR</t>
  </si>
  <si>
    <t>Patch panel 16 ports
760237040 COMMSCOPE SL DDM Patch Panel, UTP, 1U, 24 port, Straight, Unload 
9-1375055-2 COMMSCOPE SL Jack, Category 6, UTP, without Dust Cover, Black, in bulk pack</t>
  </si>
  <si>
    <t>760237040 + 9-1375055-2</t>
  </si>
  <si>
    <t>Bao gồm chi phí 
tool patch-panel</t>
  </si>
  <si>
    <t>Patch panel 24 ports
760237040 COMMSCOPE SL DDM Patch Panel, UTP, 1U, 24 port, Straight, Unload 
9-1375055-2 COMMSCOPE SL Jack, Category 6, UTP, without Dust Cover, Black, in bulk pack</t>
  </si>
  <si>
    <t>Patch panel 48 ports
760237041 COMMSCOPE SL DDM Patch Panel, UTP, 2U, 48 port, Straight, Unload 
9-1375055-2 COMMSCOPE SL Jack, Category 6, UTP, without Dust Cover, Black, in bulk pack</t>
  </si>
  <si>
    <t>760237041
9-1375055-2</t>
  </si>
  <si>
    <t>Bộ phối quang 12 FO
760244403-CommScope® Fiber Optic Panel,1U, 19 in, unloaded for 24 LC duplex or 24 SC simplex adaptors, black 
CZ9340-000-CommScope® Adapter LC Duplex, Flanged, Blue 
1671281-1-CommScope® Splice Tray kit SMOUV 2105081-1-Fiber Optic Patch Cord, Simplex, 0.9mm,SM, LC/UPC to LC/UPC, Yellow, 1M</t>
  </si>
  <si>
    <t>760244403
CZ9340-000
1671281-1
2105081-1</t>
  </si>
  <si>
    <t>Bao gồm chi phí hàn 
cáp quang</t>
  </si>
  <si>
    <t>Bộ phối quang 8 FO
760244403-CommScope® Fiber Optic Panel,1U, 19 in, unloaded for 24 LC duplex or 24 SC simplex adaptors, black 
CZ9340-000-CommScope® Adapter LC Duplex, Flanged, Blue 
1671281-1-CommScope® Splice Tray kit SMOUV 2105081-1-Fiber Optic Patch Cord, Simplex, 0.9mm,SM, LC/UPC to LC/UPC, Yellow, 1M</t>
  </si>
  <si>
    <t>Tủ rack
V-Series Server Cabinet 42U 800 x 1000, Black</t>
  </si>
  <si>
    <t>Cáp quang 8FO SM
760249372 FO CABLE, INDOOR, 8F, G657A1, LSZH</t>
  </si>
  <si>
    <t>m</t>
  </si>
  <si>
    <t>Thi công kéo cáp quang
 nhà thầu Xây Dựng làm</t>
  </si>
  <si>
    <t>Cáp quang 12 FO SM
760249373 FO CABLE, INDOOR, 12F, G657A1, LSZH</t>
  </si>
  <si>
    <t>Ổ cắm mạng RJ45
272368-1 COMMSCOPE US Style Low Profile Faceplate, 1-Port Shuttered, w/Label &amp; Icon, Almond(FACEPLATE KIT, SHUTTER, 1 PORT) / 1375055-1 COMMSCOPE Category 6 Modular Jack, Unshielded, RJ45, SL, T568A/B, Almond (ASSY, SL 110JACK, C6, LT.ALMOND)</t>
  </si>
  <si>
    <t>272368-1
1375055-1</t>
  </si>
  <si>
    <t>Ổ cắm thoại RJ45
Ổ cắm đơn 1xRJ11, lắp âm tường (trọn bộ bao gồm đế, mặt, hạt) / 
272368-1 COMMSCOPE US Style Low Profile Faceplate, 1-Port Shuttered, w/Label &amp; Icon, Almond(FACEPLATE KIT, SHUTTER, 1 PORT) / 1375055-1 COMMSCOPE Category 6 Modular Jack, Unshielded, RJ45, SL, T568A/B, Almond (ASSY, SL 110JACK, C6, LT.ALMOND)</t>
  </si>
  <si>
    <t>Bộ phát WIFI bao gồm:</t>
  </si>
  <si>
    <t>Thiết bị thu phát sóng không dây HPE Aruba AP-505 (RW) Unified AP_R2H28A 
Dịch vụ bảo hành HPE Aruba 1Y FC NBD Exch AP-505 SVC  [for R2H28A]_HP9V9E
Khung gắn thiết bị HPE Aruba AP-MNT-D AP mount bracket R3J18A</t>
  </si>
  <si>
    <t>AP-505 (RW) 
R2H28A</t>
  </si>
  <si>
    <t>HPE Aruba</t>
  </si>
  <si>
    <t>20 tuần theo 
lịch của hãng</t>
  </si>
  <si>
    <t>Thiết bị thu phát sóng không dây HPE Aruba AP-555 (RW) Unified AP_JZ356A 
Khung gắn thiết bị HPE Aruba AP-MNT-D AP mount bracket R3J18A
Dịch vụ bảo hành HPE  Aruba 1Y FC NBD Exch AP 555 SVC  [for JZ356A]_HJ6S3E</t>
  </si>
  <si>
    <t>AP-555 (RW) 
JZ356A</t>
  </si>
  <si>
    <t>Cáp CAT6 UTP 4 pairs
1427254-6 COMMSCOPE Category 6 UTP Cable, 4-Pair, 23AWG, Solid, CM, 305m, Blue (CABLE, CAT6, 4UTP, 23AWG, CM, 75C, BLUE)</t>
  </si>
  <si>
    <t>1427254-6</t>
  </si>
  <si>
    <t>Thi công kéo cáp đồng
 nhà thầu Xây Dựng làm</t>
  </si>
  <si>
    <t>Chi phí T&amp;C hệ thống IT</t>
  </si>
  <si>
    <t>Vietnam</t>
  </si>
  <si>
    <t>lot</t>
  </si>
  <si>
    <t>Bao gồm chi phí cấu hình thiết bị, 
hướng dẫn, training</t>
  </si>
  <si>
    <t>CỘNG</t>
  </si>
  <si>
    <t>Thuế VAT (10%)</t>
  </si>
  <si>
    <t>TỔNG CỘNG</t>
  </si>
  <si>
    <t>Các Điều Khoản Thương Mại:</t>
  </si>
  <si>
    <t>1. Giá trên đã bao gồm 10% thuế GTGT và chi phí vận chuyển giao nhận tại TP.Hà Nội</t>
  </si>
  <si>
    <t>2. Bảo hành thiết bị theo tiêu chuẩn của nhà sản xuất 12 tháng.</t>
  </si>
  <si>
    <t>3. Giao hàng: trong vòng 20-40 tuần làm việc sau khi ký hợp đồng  &amp; nhận được tạm ứng đợt 1.</t>
  </si>
  <si>
    <t>4. Thanh toán: chuyển khoản ngân hàng</t>
  </si>
  <si>
    <t>- Tạm ứng 20% trong vòng 5-7 ngày kể từ ngày hai bên  ký hợp đồng mua bán.</t>
  </si>
  <si>
    <t>- Thanh toán 70% hợp đồng có thời hạn 35 ngày kể từ ngày bên bán gửi file mềm được thông báo giao hàng &amp; các giấy tờ chứng nhận CO,CQ, packing list</t>
  </si>
  <si>
    <t xml:space="preserve">- Thanh toán 10%  giá trị còn lại trong vòng 30 ngày kể từ ngày nhận thư BLBH 5% giá trị hợp đồng và bộ hồ sơ thanh toán </t>
  </si>
  <si>
    <r>
      <t xml:space="preserve">5. </t>
    </r>
    <r>
      <rPr>
        <sz val="10"/>
        <color rgb="FFFF0000"/>
        <rFont val="Times New Roman"/>
        <family val="1"/>
      </rPr>
      <t>Báo giá có giá trị  đến  ngày 31/12/2022.</t>
    </r>
  </si>
  <si>
    <t>VIETNET rất mong nhận được sự hợp tác của Quý khách. 
Nếu Quý khách cần thêm thông tin, xin vui lòng liên hệ với chúng tôi.</t>
  </si>
  <si>
    <t>CÔNG TY CỔ PHẦN THƯƠNG MẠI KỸ THUẬT VIỆT NÉT</t>
  </si>
  <si>
    <t>KHÁCH HÀNG XÁC NHẬN</t>
  </si>
  <si>
    <t>Giám Đốc</t>
  </si>
  <si>
    <t>Phan Thanh Sơn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</si>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</sst>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4" formatCode="_(&quot;$&quot;* #,##0.00_);_(&quot;$&quot;* \(#,##0.00\);_(&quot;$&quot;* &quot;-&quot;??_);_(@_)"/>
    <numFmt numFmtId="43" formatCode="_(* #,##0.00_);_(* \(#,##0.00\);_(* &quot;-&quot;??_);_(@_)"/>
    <numFmt numFmtId="164" formatCode="[$-1010000]d/m/yyyy;@"/>
    <numFmt numFmtId="165" formatCode="_(* #,##0_);_(* \(#,##0\);_(* &quot;-&quot;??_);_(@_)"/>
    <numFmt numFmtId="166" formatCode="[$-409]d\-mmm\-yy;@"/>
    <numFmt numFmtId="167" formatCode="_-* #,##0.00\ _₫_-;\-* #,##0.00\ _₫_-;_-* &quot;-&quot;??\ _₫_-;_-@_-"/>
  </numFmts>
  <fonts count="33">
    <font>
      <sz val="11"/>
      <color theme="1"/>
      <name val="Calibri"/>
      <family val="2"/>
      <scheme val="minor"/>
    </font>
    <font>
      <sz val="10"/>
      <name val="Arial"/>
      <family val="2"/>
    </font>
    <font>
      <sz val="11"/>
      <color theme="1"/>
      <name val="Calibri"/>
      <family val="2"/>
      <scheme val="minor"/>
    </font>
    <font>
      <sz val="11"/>
      <color indexed="8"/>
      <name val="Calibri"/>
      <family val="2"/>
      <charset val="163"/>
    </font>
    <font>
      <sz val="10"/>
      <name val="VNI-Times"/>
    </font>
    <font>
      <b/>
      <sz val="10"/>
      <color indexed="9"/>
      <name val="Times New Roman"/>
      <family val="1"/>
    </font>
    <font>
      <sz val="11"/>
      <color theme="1"/>
      <name val="Calibri"/>
      <family val="2"/>
      <charset val="163"/>
      <scheme val="minor"/>
    </font>
    <font>
      <sz val="10"/>
      <color indexed="8"/>
      <name val="MS Sans Serif"/>
      <family val="2"/>
    </font>
    <font>
      <sz val="10"/>
      <name val="Arial"/>
      <family val="2"/>
      <charset val="163"/>
    </font>
    <font>
      <u/>
      <sz val="11"/>
      <color theme="10"/>
      <name val="Calibri"/>
      <family val="2"/>
      <scheme val="minor"/>
    </font>
    <font>
      <sz val="10"/>
      <name val="Times New Roman"/>
      <family val="1"/>
    </font>
    <font>
      <b/>
      <i/>
      <sz val="10"/>
      <color theme="3" tint="-0.499984740745262"/>
      <name val="Times New Roman"/>
      <family val="1"/>
    </font>
    <font>
      <b/>
      <sz val="10"/>
      <color theme="3" tint="-0.499984740745262"/>
      <name val="Times New Roman"/>
      <family val="1"/>
    </font>
    <font>
      <b/>
      <sz val="10"/>
      <name val="Times New Roman"/>
      <family val="1"/>
    </font>
    <font>
      <sz val="10"/>
      <color theme="3" tint="-0.499984740745262"/>
      <name val="Times New Roman"/>
      <family val="1"/>
    </font>
    <font>
      <b/>
      <sz val="22"/>
      <color theme="4" tint="-0.499984740745262"/>
      <name val="Times New Roman"/>
      <family val="1"/>
    </font>
    <font>
      <b/>
      <sz val="10"/>
      <color indexed="10"/>
      <name val="Times New Roman"/>
      <family val="1"/>
    </font>
    <font>
      <b/>
      <u/>
      <sz val="10"/>
      <color indexed="10"/>
      <name val="Times New Roman"/>
      <family val="1"/>
    </font>
    <font>
      <b/>
      <i/>
      <sz val="11"/>
      <color theme="4" tint="-0.499984740745262"/>
      <name val="Times New Roman"/>
      <family val="1"/>
    </font>
    <font>
      <sz val="10"/>
      <color indexed="8"/>
      <name val="Times New Roman"/>
      <family val="1"/>
    </font>
    <font>
      <i/>
      <sz val="10"/>
      <name val="Times New Roman"/>
      <family val="1"/>
    </font>
    <font>
      <i/>
      <u/>
      <sz val="10"/>
      <name val="Times New Roman"/>
      <family val="1"/>
    </font>
    <font>
      <b/>
      <sz val="10"/>
      <color theme="3" tint="-0.249977111117893"/>
      <name val="Times New Roman"/>
      <family val="1"/>
    </font>
    <font>
      <sz val="10"/>
      <color theme="3" tint="-0.249977111117893"/>
      <name val="Times New Roman"/>
      <family val="1"/>
    </font>
    <font>
      <sz val="10"/>
      <color rgb="FF000000"/>
      <name val="Times New Roman"/>
      <family val="1"/>
    </font>
    <font>
      <sz val="10"/>
      <color theme="1"/>
      <name val="Times New Roman"/>
      <family val="1"/>
    </font>
    <font>
      <sz val="9"/>
      <name val="Times New Roman"/>
      <family val="1"/>
    </font>
    <font>
      <sz val="11"/>
      <name val="Times New Roman"/>
      <family val="1"/>
    </font>
    <font>
      <b/>
      <sz val="9"/>
      <name val="Times New Roman"/>
      <family val="1"/>
    </font>
    <font>
      <sz val="10"/>
      <color rgb="FFFF0000"/>
      <name val="Times New Roman"/>
      <family val="1"/>
    </font>
    <font>
      <i/>
      <sz val="10"/>
      <color rgb="FFFF0000"/>
      <name val="Times New Roman"/>
      <family val="1"/>
    </font>
    <font>
      <i/>
      <u/>
      <sz val="10"/>
      <color rgb="FFFF0000"/>
      <name val="Times New Roman"/>
      <family val="1"/>
    </font>
    <font>
      <b/>
      <sz val="10"/>
      <color rgb="FFFF0000"/>
      <name val="Times New Roman"/>
      <family val="1"/>
    </font>
  </fonts>
  <fills count="7">
    <fill>
      <patternFill patternType="none"/>
    </fill>
    <fill>
      <patternFill patternType="gray125"/>
    </fill>
    <fill>
      <patternFill patternType="solid">
        <fgColor indexed="9"/>
        <bgColor indexed="64"/>
      </patternFill>
    </fill>
    <fill>
      <patternFill patternType="solid">
        <fgColor theme="3" tint="0.39994506668294322"/>
        <bgColor indexed="64"/>
      </patternFill>
    </fill>
    <fill>
      <patternFill patternType="solid">
        <fgColor theme="0"/>
        <bgColor indexed="64"/>
      </patternFill>
    </fill>
    <fill>
      <patternFill patternType="solid">
        <fgColor theme="2" tint="-9.9978637043366805E-2"/>
        <bgColor indexed="64"/>
      </patternFill>
    </fill>
    <fill>
      <patternFill patternType="solid">
        <fgColor rgb="FFFF000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rgb="FF000000"/>
      </right>
      <top/>
      <bottom/>
      <diagonal/>
    </border>
    <border>
      <left style="thin">
        <color indexed="64"/>
      </left>
      <right/>
      <top/>
      <bottom style="thin">
        <color indexed="64"/>
      </bottom>
      <diagonal/>
    </border>
  </borders>
  <cellStyleXfs count="14">
    <xf numFmtId="0" fontId="0"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4" fontId="1" fillId="0" borderId="0" applyFont="0" applyFill="0" applyBorder="0" applyAlignment="0" applyProtection="0"/>
    <xf numFmtId="43" fontId="2" fillId="0" borderId="0" applyFont="0" applyFill="0" applyBorder="0" applyAlignment="0" applyProtection="0"/>
    <xf numFmtId="167" fontId="3" fillId="0" borderId="0" applyFont="0" applyFill="0" applyBorder="0" applyAlignment="0" applyProtection="0"/>
    <xf numFmtId="42" fontId="4" fillId="0" borderId="0" applyFont="0" applyFill="0" applyBorder="0" applyAlignment="0" applyProtection="0"/>
    <xf numFmtId="0" fontId="6" fillId="0" borderId="0"/>
    <xf numFmtId="0" fontId="7" fillId="0" borderId="0"/>
    <xf numFmtId="0" fontId="8" fillId="0" borderId="0"/>
    <xf numFmtId="0" fontId="9" fillId="0" borderId="0" applyNumberFormat="0" applyFill="0" applyBorder="0" applyAlignment="0" applyProtection="0"/>
  </cellStyleXfs>
  <cellXfs count="118">
    <xf numFmtId="0" fontId="0" fillId="0" borderId="0" xfId="0"/>
    <xf numFmtId="0" fontId="10" fillId="2" borderId="0" xfId="1" applyFont="1" applyFill="1"/>
    <xf numFmtId="0" fontId="11" fillId="2" borderId="0" xfId="1" applyFont="1" applyFill="1" applyAlignment="1">
      <alignment vertical="center"/>
    </xf>
    <xf numFmtId="0" fontId="12" fillId="2" borderId="0" xfId="1" applyFont="1" applyFill="1"/>
    <xf numFmtId="0" fontId="12" fillId="2" borderId="0" xfId="1" applyFont="1" applyFill="1" applyAlignment="1">
      <alignment vertical="center"/>
    </xf>
    <xf numFmtId="43" fontId="12" fillId="2" borderId="0" xfId="2" applyFont="1" applyFill="1" applyBorder="1" applyAlignment="1">
      <alignment vertical="center"/>
    </xf>
    <xf numFmtId="164" fontId="12" fillId="2" borderId="0" xfId="2" quotePrefix="1" applyNumberFormat="1" applyFont="1" applyFill="1" applyBorder="1" applyAlignment="1">
      <alignment vertical="distributed"/>
    </xf>
    <xf numFmtId="164" fontId="13" fillId="2" borderId="0" xfId="2" applyNumberFormat="1" applyFont="1" applyFill="1" applyBorder="1" applyAlignment="1">
      <alignment vertical="distributed"/>
    </xf>
    <xf numFmtId="0" fontId="10" fillId="2" borderId="0" xfId="1" applyFont="1" applyFill="1" applyAlignment="1">
      <alignment vertical="center"/>
    </xf>
    <xf numFmtId="0" fontId="12" fillId="2" borderId="0" xfId="1" applyFont="1" applyFill="1" applyAlignment="1">
      <alignment horizontal="center" vertical="center"/>
    </xf>
    <xf numFmtId="43" fontId="12" fillId="2" borderId="0" xfId="2" applyFont="1" applyFill="1" applyBorder="1" applyAlignment="1">
      <alignment horizontal="right" vertical="center"/>
    </xf>
    <xf numFmtId="43" fontId="13" fillId="2" borderId="0" xfId="2" applyFont="1" applyFill="1" applyBorder="1" applyAlignment="1">
      <alignment horizontal="right" vertical="center"/>
    </xf>
    <xf numFmtId="0" fontId="14" fillId="2" borderId="0" xfId="1" applyFont="1" applyFill="1"/>
    <xf numFmtId="43" fontId="12" fillId="2" borderId="0" xfId="2" applyFont="1" applyFill="1" applyBorder="1" applyAlignment="1">
      <alignment horizontal="left" vertical="center"/>
    </xf>
    <xf numFmtId="0" fontId="11" fillId="2" borderId="0" xfId="1" applyFont="1" applyFill="1" applyAlignment="1">
      <alignment horizontal="left" vertical="center"/>
    </xf>
    <xf numFmtId="0" fontId="12" fillId="2" borderId="0" xfId="1" applyFont="1" applyFill="1" applyAlignment="1">
      <alignment horizontal="left" vertical="center"/>
    </xf>
    <xf numFmtId="43" fontId="12" fillId="2" borderId="0" xfId="3" applyFont="1" applyFill="1" applyBorder="1" applyAlignment="1">
      <alignment horizontal="right" vertical="center"/>
    </xf>
    <xf numFmtId="43" fontId="13" fillId="2" borderId="0" xfId="3" applyFont="1" applyFill="1" applyBorder="1" applyAlignment="1">
      <alignment horizontal="right" vertical="center"/>
    </xf>
    <xf numFmtId="0" fontId="14" fillId="2" borderId="1" xfId="1" applyFont="1" applyFill="1" applyBorder="1" applyAlignment="1">
      <alignment vertical="center"/>
    </xf>
    <xf numFmtId="0" fontId="10" fillId="2" borderId="1" xfId="1" applyFont="1" applyFill="1" applyBorder="1" applyAlignment="1">
      <alignment vertical="center"/>
    </xf>
    <xf numFmtId="0" fontId="10" fillId="0" borderId="4" xfId="1" applyFont="1" applyBorder="1" applyAlignment="1">
      <alignment horizontal="center" vertical="center"/>
    </xf>
    <xf numFmtId="0" fontId="10" fillId="4" borderId="3" xfId="1" applyFont="1" applyFill="1" applyBorder="1" applyAlignment="1">
      <alignment horizontal="center" vertical="center"/>
    </xf>
    <xf numFmtId="165" fontId="10" fillId="0" borderId="3" xfId="4" applyNumberFormat="1" applyFont="1" applyFill="1" applyBorder="1" applyAlignment="1">
      <alignment horizontal="center" vertical="center"/>
    </xf>
    <xf numFmtId="4" fontId="10" fillId="4" borderId="3" xfId="1" applyNumberFormat="1" applyFont="1" applyFill="1" applyBorder="1" applyAlignment="1">
      <alignment horizontal="center" vertical="center"/>
    </xf>
    <xf numFmtId="0" fontId="10" fillId="4" borderId="0" xfId="1" applyFont="1" applyFill="1"/>
    <xf numFmtId="0" fontId="10" fillId="0" borderId="0" xfId="1" applyFont="1"/>
    <xf numFmtId="165" fontId="13" fillId="5" borderId="3" xfId="1" applyNumberFormat="1" applyFont="1" applyFill="1" applyBorder="1" applyAlignment="1">
      <alignment horizontal="right" vertical="center"/>
    </xf>
    <xf numFmtId="4" fontId="16" fillId="5" borderId="3" xfId="6" applyNumberFormat="1" applyFont="1" applyFill="1" applyBorder="1" applyAlignment="1">
      <alignment horizontal="right" vertical="center" wrapText="1"/>
    </xf>
    <xf numFmtId="0" fontId="10" fillId="5" borderId="3" xfId="1" applyFont="1" applyFill="1" applyBorder="1" applyAlignment="1">
      <alignment vertical="center"/>
    </xf>
    <xf numFmtId="0" fontId="17" fillId="2" borderId="0" xfId="1" applyFont="1" applyFill="1"/>
    <xf numFmtId="0" fontId="18" fillId="2" borderId="0" xfId="1" applyFont="1" applyFill="1" applyAlignment="1">
      <alignment vertical="center"/>
    </xf>
    <xf numFmtId="0" fontId="19" fillId="2" borderId="0" xfId="1" applyFont="1" applyFill="1" applyAlignment="1">
      <alignment vertical="center" wrapText="1"/>
    </xf>
    <xf numFmtId="0" fontId="19" fillId="2" borderId="0" xfId="1" applyFont="1" applyFill="1" applyAlignment="1">
      <alignment vertical="center"/>
    </xf>
    <xf numFmtId="0" fontId="19" fillId="2" borderId="0" xfId="1" applyFont="1" applyFill="1" applyAlignment="1">
      <alignment horizontal="center" vertical="center"/>
    </xf>
    <xf numFmtId="165" fontId="19" fillId="2" borderId="0" xfId="4" applyNumberFormat="1" applyFont="1" applyFill="1" applyAlignment="1">
      <alignment vertical="center"/>
    </xf>
    <xf numFmtId="3" fontId="10" fillId="2" borderId="0" xfId="1" applyNumberFormat="1" applyFont="1" applyFill="1"/>
    <xf numFmtId="3" fontId="20" fillId="2" borderId="0" xfId="1" applyNumberFormat="1" applyFont="1" applyFill="1" applyAlignment="1">
      <alignment horizontal="center"/>
    </xf>
    <xf numFmtId="3" fontId="21" fillId="2" borderId="0" xfId="1" applyNumberFormat="1" applyFont="1" applyFill="1" applyAlignment="1">
      <alignment horizontal="center"/>
    </xf>
    <xf numFmtId="0" fontId="14" fillId="2" borderId="0" xfId="1" applyFont="1" applyFill="1" applyAlignment="1">
      <alignment horizontal="center" vertical="center"/>
    </xf>
    <xf numFmtId="0" fontId="14" fillId="2" borderId="0" xfId="1" applyFont="1" applyFill="1" applyAlignment="1">
      <alignment vertical="center"/>
    </xf>
    <xf numFmtId="43" fontId="14" fillId="2" borderId="0" xfId="4" applyFont="1" applyFill="1" applyAlignment="1">
      <alignment vertical="center"/>
    </xf>
    <xf numFmtId="43" fontId="10" fillId="2" borderId="0" xfId="4" applyFont="1" applyFill="1" applyAlignment="1">
      <alignment vertical="center"/>
    </xf>
    <xf numFmtId="0" fontId="22" fillId="2" borderId="0" xfId="1" applyFont="1" applyFill="1" applyAlignment="1">
      <alignment vertical="center"/>
    </xf>
    <xf numFmtId="0" fontId="23" fillId="2" borderId="0" xfId="1" applyFont="1" applyFill="1" applyAlignment="1">
      <alignment horizontal="center" vertical="center"/>
    </xf>
    <xf numFmtId="0" fontId="23" fillId="2" borderId="0" xfId="1" applyFont="1" applyFill="1" applyAlignment="1">
      <alignment vertical="center"/>
    </xf>
    <xf numFmtId="0" fontId="23" fillId="2" borderId="0" xfId="1" applyFont="1" applyFill="1"/>
    <xf numFmtId="0" fontId="10" fillId="2" borderId="0" xfId="1" applyFont="1" applyFill="1" applyAlignment="1">
      <alignment horizontal="center" vertical="center"/>
    </xf>
    <xf numFmtId="43" fontId="10" fillId="2" borderId="0" xfId="4" applyFont="1" applyFill="1" applyAlignment="1">
      <alignment horizontal="center" vertical="center"/>
    </xf>
    <xf numFmtId="0" fontId="10" fillId="0" borderId="3" xfId="0" applyFont="1" applyBorder="1" applyAlignment="1">
      <alignment horizontal="left" vertical="center" wrapText="1"/>
    </xf>
    <xf numFmtId="0" fontId="10" fillId="0" borderId="3" xfId="0" applyFont="1" applyBorder="1" applyAlignment="1">
      <alignment horizontal="center" vertical="center" wrapText="1"/>
    </xf>
    <xf numFmtId="1" fontId="24" fillId="0" borderId="3" xfId="0" applyNumberFormat="1" applyFont="1" applyBorder="1" applyAlignment="1">
      <alignment horizontal="center" vertical="center" shrinkToFit="1"/>
    </xf>
    <xf numFmtId="166" fontId="10" fillId="0" borderId="3" xfId="0" applyNumberFormat="1" applyFont="1" applyBorder="1" applyAlignment="1">
      <alignment horizontal="left" vertical="center" wrapText="1"/>
    </xf>
    <xf numFmtId="166" fontId="10" fillId="0" borderId="3" xfId="0" applyNumberFormat="1" applyFont="1" applyBorder="1" applyAlignment="1">
      <alignment horizontal="center" vertical="center" wrapText="1"/>
    </xf>
    <xf numFmtId="0" fontId="9" fillId="2" borderId="0" xfId="13" applyFill="1" applyBorder="1" applyAlignment="1">
      <alignment vertical="center"/>
    </xf>
    <xf numFmtId="0" fontId="25" fillId="0" borderId="3" xfId="0" applyFont="1" applyBorder="1" applyAlignment="1">
      <alignment horizontal="center" vertical="center"/>
    </xf>
    <xf numFmtId="0" fontId="25" fillId="0" borderId="3" xfId="7" applyNumberFormat="1" applyFont="1" applyFill="1" applyBorder="1" applyAlignment="1">
      <alignment horizontal="center" vertical="center"/>
    </xf>
    <xf numFmtId="0" fontId="10" fillId="0" borderId="3" xfId="1" applyFont="1" applyBorder="1" applyAlignment="1">
      <alignment horizontal="center" vertical="center"/>
    </xf>
    <xf numFmtId="0" fontId="5" fillId="3" borderId="4" xfId="1" applyFont="1" applyFill="1" applyBorder="1" applyAlignment="1">
      <alignment horizontal="center" vertical="center"/>
    </xf>
    <xf numFmtId="0" fontId="10" fillId="0" borderId="9" xfId="0" applyFont="1" applyBorder="1" applyAlignment="1">
      <alignment horizontal="center" vertical="center" wrapText="1"/>
    </xf>
    <xf numFmtId="0" fontId="27" fillId="0" borderId="3" xfId="0" applyFont="1" applyBorder="1" applyAlignment="1">
      <alignment horizontal="center" vertical="center" wrapText="1"/>
    </xf>
    <xf numFmtId="0" fontId="5" fillId="0" borderId="4" xfId="1" applyFont="1" applyBorder="1" applyAlignment="1">
      <alignment horizontal="center" vertical="center"/>
    </xf>
    <xf numFmtId="0" fontId="13" fillId="0" borderId="4" xfId="1" applyFont="1" applyBorder="1" applyAlignment="1">
      <alignment horizontal="left" vertical="center"/>
    </xf>
    <xf numFmtId="0" fontId="5" fillId="0" borderId="4" xfId="1" applyFont="1" applyBorder="1" applyAlignment="1">
      <alignment horizontal="center" vertical="center" wrapText="1"/>
    </xf>
    <xf numFmtId="43" fontId="5" fillId="0" borderId="4" xfId="4" applyFont="1" applyFill="1" applyBorder="1" applyAlignment="1">
      <alignment horizontal="center" vertical="center" wrapText="1"/>
    </xf>
    <xf numFmtId="43" fontId="5" fillId="0" borderId="4" xfId="4" applyFont="1" applyFill="1" applyBorder="1" applyAlignment="1">
      <alignment horizontal="center" vertical="center"/>
    </xf>
    <xf numFmtId="0" fontId="25" fillId="0" borderId="5" xfId="0" applyFont="1" applyBorder="1" applyAlignment="1">
      <alignment horizontal="center" vertical="center"/>
    </xf>
    <xf numFmtId="0" fontId="10" fillId="0" borderId="3" xfId="0" quotePrefix="1" applyFont="1" applyBorder="1" applyAlignment="1">
      <alignment horizontal="left" vertical="center" wrapText="1"/>
    </xf>
    <xf numFmtId="0" fontId="10" fillId="0" borderId="5" xfId="1" applyFont="1" applyBorder="1" applyAlignment="1">
      <alignment horizontal="center" vertical="center"/>
    </xf>
    <xf numFmtId="0" fontId="10" fillId="0" borderId="10" xfId="1" applyFont="1" applyBorder="1" applyAlignment="1">
      <alignment horizontal="center" vertical="center"/>
    </xf>
    <xf numFmtId="0" fontId="10" fillId="0" borderId="11" xfId="1" applyFont="1" applyBorder="1" applyAlignment="1">
      <alignment horizontal="center" vertical="center"/>
    </xf>
    <xf numFmtId="0" fontId="10" fillId="0" borderId="2" xfId="1" applyFont="1" applyBorder="1" applyAlignment="1">
      <alignment horizontal="center" vertical="center"/>
    </xf>
    <xf numFmtId="0" fontId="10" fillId="0" borderId="12" xfId="1" applyFont="1" applyBorder="1" applyAlignment="1">
      <alignment horizontal="center" vertical="center"/>
    </xf>
    <xf numFmtId="0" fontId="26" fillId="0" borderId="8" xfId="0" applyFont="1" applyBorder="1" applyAlignment="1">
      <alignment horizontal="left" vertical="center" wrapText="1" indent="3"/>
    </xf>
    <xf numFmtId="0" fontId="26" fillId="0" borderId="8" xfId="0" quotePrefix="1" applyFont="1" applyBorder="1" applyAlignment="1">
      <alignment horizontal="left" vertical="center" wrapText="1" indent="3"/>
    </xf>
    <xf numFmtId="0" fontId="25" fillId="0" borderId="3" xfId="0" applyFont="1" applyBorder="1" applyAlignment="1">
      <alignment vertical="center" wrapText="1"/>
    </xf>
    <xf numFmtId="165" fontId="24" fillId="0" borderId="3" xfId="7" applyNumberFormat="1" applyFont="1" applyBorder="1" applyAlignment="1">
      <alignment horizontal="center" vertical="center" shrinkToFit="1"/>
    </xf>
    <xf numFmtId="0" fontId="28" fillId="0" borderId="8" xfId="0" applyFont="1" applyBorder="1" applyAlignment="1">
      <alignment horizontal="left" vertical="center" wrapText="1" indent="3"/>
    </xf>
    <xf numFmtId="166" fontId="13" fillId="0" borderId="3" xfId="0" applyNumberFormat="1" applyFont="1" applyBorder="1" applyAlignment="1">
      <alignment horizontal="left" vertical="center" wrapText="1"/>
    </xf>
    <xf numFmtId="3" fontId="29" fillId="2" borderId="0" xfId="1" applyNumberFormat="1" applyFont="1" applyFill="1"/>
    <xf numFmtId="3" fontId="30" fillId="2" borderId="0" xfId="1" applyNumberFormat="1" applyFont="1" applyFill="1" applyAlignment="1">
      <alignment horizontal="center"/>
    </xf>
    <xf numFmtId="3" fontId="31" fillId="2" borderId="0" xfId="1" applyNumberFormat="1" applyFont="1" applyFill="1" applyAlignment="1">
      <alignment horizontal="center"/>
    </xf>
    <xf numFmtId="0" fontId="32" fillId="2" borderId="0" xfId="1" applyFont="1" applyFill="1" applyAlignment="1">
      <alignment horizontal="left" vertical="center" wrapText="1"/>
    </xf>
    <xf numFmtId="165" fontId="32" fillId="2" borderId="0" xfId="1" applyNumberFormat="1" applyFont="1" applyFill="1" applyAlignment="1">
      <alignment horizontal="left" vertical="center" wrapText="1"/>
    </xf>
    <xf numFmtId="0" fontId="32" fillId="2" borderId="8" xfId="1" applyFont="1" applyFill="1" applyBorder="1" applyAlignment="1">
      <alignment horizontal="left" vertical="center" wrapText="1"/>
    </xf>
    <xf numFmtId="0" fontId="32" fillId="6" borderId="8" xfId="1" applyFont="1" applyFill="1" applyBorder="1" applyAlignment="1">
      <alignment horizontal="left" vertical="center" wrapText="1"/>
    </xf>
    <xf numFmtId="165" fontId="32" fillId="4" borderId="8" xfId="1" applyNumberFormat="1" applyFont="1" applyFill="1" applyBorder="1" applyAlignment="1">
      <alignment horizontal="left" vertical="center" wrapText="1"/>
    </xf>
    <xf numFmtId="0" fontId="32" fillId="4" borderId="8" xfId="1" applyFont="1" applyFill="1" applyBorder="1" applyAlignment="1">
      <alignment horizontal="left" vertical="center" wrapText="1"/>
    </xf>
    <xf numFmtId="43" fontId="5" fillId="0" borderId="14" xfId="4" applyFont="1" applyFill="1" applyBorder="1" applyAlignment="1">
      <alignment horizontal="center" vertical="center"/>
    </xf>
    <xf numFmtId="0" fontId="10" fillId="4" borderId="5" xfId="1" applyFont="1" applyFill="1" applyBorder="1" applyAlignment="1">
      <alignment horizontal="center" vertical="center" wrapText="1"/>
    </xf>
    <xf numFmtId="0" fontId="10" fillId="0" borderId="14" xfId="1" applyFont="1" applyBorder="1" applyAlignment="1">
      <alignment horizontal="center" vertical="center"/>
    </xf>
    <xf numFmtId="2" fontId="32" fillId="4" borderId="8" xfId="1" applyNumberFormat="1" applyFont="1" applyFill="1" applyBorder="1" applyAlignment="1">
      <alignment horizontal="left" vertical="center" wrapText="1"/>
    </xf>
    <xf numFmtId="3" fontId="29" fillId="2" borderId="0" xfId="1" quotePrefix="1" applyNumberFormat="1" applyFont="1" applyFill="1" applyAlignment="1">
      <alignment horizontal="left"/>
    </xf>
    <xf numFmtId="0" fontId="16" fillId="5" borderId="7" xfId="1" applyFont="1" applyFill="1" applyBorder="1" applyAlignment="1">
      <alignment horizontal="center" vertical="center" wrapText="1"/>
    </xf>
    <xf numFmtId="165" fontId="10" fillId="4" borderId="0" xfId="1" applyNumberFormat="1" applyFont="1" applyFill="1"/>
    <xf numFmtId="165" fontId="10" fillId="0" borderId="0" xfId="1" applyNumberFormat="1" applyFont="1"/>
    <xf numFmtId="3" fontId="29" fillId="2" borderId="0" xfId="1" quotePrefix="1" applyNumberFormat="1" applyFont="1" applyFill="1"/>
    <xf numFmtId="0" fontId="22" fillId="2" borderId="0" xfId="1" applyFont="1" applyFill="1" applyAlignment="1">
      <alignment horizontal="center" vertical="center"/>
    </xf>
    <xf numFmtId="0" fontId="11" fillId="2" borderId="0" xfId="1" applyFont="1" applyFill="1" applyAlignment="1">
      <alignment horizontal="left" vertical="center" wrapText="1"/>
    </xf>
    <xf numFmtId="0" fontId="12" fillId="2" borderId="0" xfId="1" applyFont="1" applyFill="1" applyAlignment="1">
      <alignment horizontal="left" vertical="center" wrapText="1"/>
    </xf>
    <xf numFmtId="0" fontId="15" fillId="2" borderId="0" xfId="1" applyFont="1" applyFill="1" applyAlignment="1">
      <alignment horizontal="center" vertical="center"/>
    </xf>
    <xf numFmtId="0" fontId="5" fillId="3" borderId="2" xfId="1" applyFont="1" applyFill="1" applyBorder="1" applyAlignment="1">
      <alignment horizontal="center" vertical="center"/>
    </xf>
    <xf numFmtId="0" fontId="5" fillId="3" borderId="4" xfId="1" applyFont="1" applyFill="1" applyBorder="1" applyAlignment="1">
      <alignment horizontal="center" vertical="center"/>
    </xf>
    <xf numFmtId="0" fontId="5" fillId="3" borderId="2" xfId="1" applyFont="1" applyFill="1" applyBorder="1" applyAlignment="1">
      <alignment horizontal="center" vertical="center" wrapText="1"/>
    </xf>
    <xf numFmtId="0" fontId="5" fillId="3" borderId="4" xfId="1" applyFont="1" applyFill="1" applyBorder="1" applyAlignment="1">
      <alignment horizontal="center" vertical="center" wrapText="1"/>
    </xf>
    <xf numFmtId="0" fontId="5" fillId="3" borderId="10" xfId="1" applyFont="1" applyFill="1" applyBorder="1" applyAlignment="1">
      <alignment horizontal="center" vertical="center"/>
    </xf>
    <xf numFmtId="0" fontId="5" fillId="3" borderId="14" xfId="1" applyFont="1" applyFill="1" applyBorder="1" applyAlignment="1">
      <alignment horizontal="center" vertical="center"/>
    </xf>
    <xf numFmtId="43" fontId="5" fillId="3" borderId="2" xfId="4" applyFont="1" applyFill="1" applyBorder="1" applyAlignment="1">
      <alignment horizontal="center" vertical="center" wrapText="1"/>
    </xf>
    <xf numFmtId="43" fontId="5" fillId="3" borderId="4" xfId="4" applyFont="1" applyFill="1" applyBorder="1" applyAlignment="1">
      <alignment horizontal="center" vertical="center" wrapText="1"/>
    </xf>
    <xf numFmtId="43" fontId="5" fillId="3" borderId="4" xfId="4" applyFont="1" applyFill="1" applyBorder="1" applyAlignment="1">
      <alignment horizontal="center" vertical="center"/>
    </xf>
    <xf numFmtId="0" fontId="10" fillId="0" borderId="13" xfId="1" applyFont="1" applyBorder="1" applyAlignment="1">
      <alignment horizontal="center" vertical="center"/>
    </xf>
    <xf numFmtId="0" fontId="10" fillId="4" borderId="2" xfId="1" applyFont="1" applyFill="1" applyBorder="1" applyAlignment="1">
      <alignment horizontal="center" vertical="center"/>
    </xf>
    <xf numFmtId="0" fontId="10" fillId="4" borderId="4" xfId="1" applyFont="1" applyFill="1" applyBorder="1" applyAlignment="1">
      <alignment horizontal="center" vertical="center"/>
    </xf>
    <xf numFmtId="0" fontId="10" fillId="0" borderId="2" xfId="1" applyFont="1" applyBorder="1" applyAlignment="1">
      <alignment horizontal="center" vertical="center"/>
    </xf>
    <xf numFmtId="0" fontId="10" fillId="0" borderId="4" xfId="1" applyFont="1" applyBorder="1" applyAlignment="1">
      <alignment horizontal="center" vertical="center"/>
    </xf>
    <xf numFmtId="3" fontId="11" fillId="2" borderId="0" xfId="1" applyNumberFormat="1" applyFont="1" applyFill="1" applyAlignment="1">
      <alignment horizontal="center" vertical="center" wrapText="1"/>
    </xf>
    <xf numFmtId="0" fontId="16" fillId="5" borderId="5" xfId="1" applyFont="1" applyFill="1" applyBorder="1" applyAlignment="1">
      <alignment horizontal="center" vertical="center" wrapText="1"/>
    </xf>
    <xf numFmtId="0" fontId="16" fillId="5" borderId="6" xfId="1" applyFont="1" applyFill="1" applyBorder="1" applyAlignment="1">
      <alignment horizontal="center" vertical="center" wrapText="1"/>
    </xf>
    <xf numFmtId="0" fontId="16" fillId="5" borderId="7" xfId="1" applyFont="1" applyFill="1" applyBorder="1" applyAlignment="1">
      <alignment horizontal="center" vertical="center" wrapText="1"/>
    </xf>
  </cellXfs>
  <cellStyles count="14">
    <cellStyle name="Comma" xfId="7" builtinId="3"/>
    <cellStyle name="Comma 10" xfId="2" xr:uid="{00000000-0005-0000-0000-000000000000}"/>
    <cellStyle name="Comma 2 2" xfId="4" xr:uid="{00000000-0005-0000-0000-000001000000}"/>
    <cellStyle name="Comma 2 3" xfId="3" xr:uid="{00000000-0005-0000-0000-000002000000}"/>
    <cellStyle name="Comma 5" xfId="8" xr:uid="{3BF2BD9D-7D38-4CF9-BBA2-CE4B1F05AE55}"/>
    <cellStyle name="Currency 2 2 2" xfId="6" xr:uid="{00000000-0005-0000-0000-000003000000}"/>
    <cellStyle name="Hyperlink" xfId="13" builtinId="8"/>
    <cellStyle name="Ledger 17 x 11 in" xfId="5" xr:uid="{00000000-0005-0000-0000-000004000000}"/>
    <cellStyle name="Normal" xfId="0" builtinId="0"/>
    <cellStyle name="Normal - Style1 2" xfId="1" xr:uid="{00000000-0005-0000-0000-000006000000}"/>
    <cellStyle name="Normal 10" xfId="11" xr:uid="{A1D4378A-3B2F-4332-A398-1FE490279359}"/>
    <cellStyle name="Normal 2" xfId="12" xr:uid="{E1C7ABE2-D450-4DF0-ADBC-DA1217E6533C}"/>
    <cellStyle name="Normal 3" xfId="10" xr:uid="{A44E9FD8-99D7-40CF-9861-39D5E617BF1E}"/>
    <cellStyle name="Style 1" xfId="9" xr:uid="{9CD46639-E788-44D2-85AC-3A6FB39975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sharedStrings" Target="sharedString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image005.png@01D5995E.98DC07F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313765</xdr:colOff>
      <xdr:row>0</xdr:row>
      <xdr:rowOff>123824</xdr:rowOff>
    </xdr:from>
    <xdr:to>
      <xdr:col>14</xdr:col>
      <xdr:colOff>608061</xdr:colOff>
      <xdr:row>0</xdr:row>
      <xdr:rowOff>1316181</xdr:rowOff>
    </xdr:to>
    <xdr:pic>
      <xdr:nvPicPr>
        <xdr:cNvPr id="2" name="Picture 1" descr="cid:image005.png@01D5995E.98DC07F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60007" y="123824"/>
          <a:ext cx="13271387" cy="1192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Dung%20Quat\Goi3\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Son\DATA\B_Phu%20Thai%20HP\FY%2001-02\Fundamental%20Track\MSOffice\Excel\XL97\FA\FA3006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Dung%20Quat\Nhom%20GC\New%20Folder\My%20Documents\3533\99Q\99Q3657\99Q3299(REV.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ay2\D\My%20Documents\QLVT-MP\Huyen.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UNGQUAT-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Dung%20Quat\Nhom%20GC\New%20Folder\My%20Documents\3533\99Q\99Q3657\99Q3299(REV.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Dung%20Quat\Nhom%20GC\New%20Folder\My%20Documents\3533\96Q\96q2588\PANE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ay2\d\KE%20TOAN\XNT-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WINDOWS\TEMP\IBASE2.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PT.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T4"/>
      <sheetName val="T5"/>
      <sheetName val="T6"/>
      <sheetName val="T.7"/>
      <sheetName val="T.8"/>
      <sheetName val="T8 (2)"/>
      <sheetName val="T.9"/>
      <sheetName val="T.10"/>
      <sheetName val="T.11"/>
      <sheetName val="T.12"/>
      <sheetName val="T10"/>
      <sheetName val="T11 "/>
      <sheetName val="Sheet2"/>
      <sheetName val="Sheet3"/>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5 nam (tach)"/>
      <sheetName val="5 nam (tach) (2)"/>
      <sheetName val="KH 2003"/>
      <sheetName val="PNT-QUOT-D150#3"/>
      <sheetName val="PNT-QUOT-H153#3"/>
      <sheetName val="PNT-QUOT-K152#3"/>
      <sheetName val="PNT-QUOT-H146#3"/>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H Ky Anh"/>
      <sheetName val="Sheet2 (2)"/>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tong hop"/>
      <sheetName val="phan tich DG"/>
      <sheetName val="gia vat lieu"/>
      <sheetName val="gia xe may"/>
      <sheetName val="gia nhan cong"/>
      <sheetName val="XL4Test5"/>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TH  goi 4-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amPha"/>
      <sheetName val="MongCai"/>
      <sheetName val="70000000"/>
      <sheetName val="t1"/>
      <sheetName val="T11"/>
      <sheetName val="Bia"/>
      <sheetName val="Tm"/>
      <sheetName val="THKP"/>
      <sheetName val="DGi"/>
      <sheetName val="fOOD"/>
      <sheetName val="FORM hc"/>
      <sheetName val="FORM pc"/>
      <sheetName val="PNT_QUOT__3"/>
      <sheetName val="COAT_WRAP_QIOT__3"/>
      <sheetName val="kl m m d"/>
      <sheetName val="kl vt tho"/>
      <sheetName val="kl dat"/>
      <sheetName val="Sheet4"/>
      <sheetName val="xin kinh phi"/>
      <sheetName val="lan trai"/>
      <sheetName val="thuoc no"/>
      <sheetName val="so thuc pham"/>
      <sheetName val="Km27' - Km278"/>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CV den trong to聮g"/>
      <sheetName val="Oð mai 279"/>
      <sheetName val="Thang8-02"/>
      <sheetName val="Thang9-02"/>
      <sheetName val="Thang10-02"/>
      <sheetName val="Thang11-02"/>
      <sheetName val="Thang12-02"/>
      <sheetName val="Thang01-03"/>
      <sheetName val="Thang02-03"/>
      <sheetName val="Sheet8"/>
      <sheetName val="Sheet9"/>
      <sheetName val="Sheet10"/>
      <sheetName val="Sheet11"/>
      <sheetName val="Sheet12"/>
      <sheetName val="Sheet13"/>
      <sheetName val="Sheet14"/>
      <sheetName val="Sheet15"/>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SOLIEU"/>
      <sheetName val="TINHTOAN"/>
      <sheetName val="BangTH"/>
      <sheetName val="Xaylap "/>
      <sheetName val="Nhan cong"/>
      <sheetName val="Thietbi"/>
      <sheetName val="Diengiai"/>
      <sheetName val="Vanchuyen"/>
      <sheetName val="ȴ0000000"/>
      <sheetName val="mau kiem ke"/>
      <sheetName val="quyet toan HD 2000"/>
      <sheetName val="quyet toan hoa don 2001"/>
      <sheetName val="kiem ke hoa don 2001"/>
      <sheetName val="QUY III 02"/>
      <sheetName val="QUY IV 02"/>
      <sheetName val="QUYET TOAN 02"/>
      <sheetName val="Kѭ284"/>
      <sheetName val="Macro1"/>
      <sheetName val="Macro2"/>
      <sheetName val="Macro3"/>
      <sheetName val="Shedt1"/>
      <sheetName val="_x0012_0000000"/>
      <sheetName val="Thang06-2002"/>
      <sheetName val="Thang07-2002"/>
      <sheetName val="Thang08-2002"/>
      <sheetName val="Thang09-2002"/>
      <sheetName val="Thang10-2002 "/>
      <sheetName val="Thang11-2002"/>
      <sheetName val="Thang12-2002"/>
      <sheetName val="Sheet1 (3)"/>
      <sheetName val="K43"/>
      <sheetName val="THKL"/>
      <sheetName val="PL43"/>
      <sheetName val="K43+0.00 - 338 Trai"/>
      <sheetName val="XLÇ_x0015_oppy"/>
      <sheetName val="Bao cao KQTH quy hoach 135"/>
      <sheetName val="Sheet5"/>
      <sheetName val="Sheet6"/>
      <sheetName val="Sheet7"/>
      <sheetName val="cocB40 5B"/>
      <sheetName val="cocD50 9A"/>
      <sheetName val="cocD75 16"/>
      <sheetName val="coc B80 TD25"/>
      <sheetName val="P27 B80"/>
      <sheetName val="Coc23 B80"/>
      <sheetName val="cong B80 C4"/>
      <sheetName val="Km283 - Jm284"/>
      <sheetName val="T_x000b_331"/>
      <sheetName val="BKLBD"/>
      <sheetName val="PTDG"/>
      <sheetName val="DTCT"/>
      <sheetName val="vlct"/>
      <sheetName val="0304"/>
      <sheetName val="0904"/>
      <sheetName val="1204"/>
      <sheetName val="80000000"/>
      <sheetName val="90000000"/>
      <sheetName val="a0000000"/>
      <sheetName val="b0000000"/>
      <sheetName val="c0000000"/>
      <sheetName val="Cong ban 1,5_x0013__x0000_"/>
      <sheetName val="Song ban 0,7x0,7"/>
      <sheetName val="Cong ban 0,8x ,8"/>
      <sheetName val="p0000000"/>
      <sheetName val="xdcb 01-2003"/>
      <sheetName val="Mix-Tarpaulin"/>
      <sheetName val="Tarpaulin"/>
      <sheetName val="Pric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onthly"/>
      <sheetName val="For Summary"/>
      <sheetName val="For Summary(KG)"/>
      <sheetName val="PP Cloth"/>
      <sheetName val="Mix-PP Cloth"/>
      <sheetName val="Material Price-PP"/>
      <sheetName val="Khac DP"/>
      <sheetName val="Khoi than "/>
      <sheetName val="B3_208_than"/>
      <sheetName val="B3_208_TU"/>
      <sheetName val="B3_208_TW"/>
      <sheetName val="B3_208_DP"/>
      <sheetName val="B3_208_khac"/>
      <sheetName val="Km&quot;80"/>
      <sheetName val="Lap ®at ®hÖn"/>
      <sheetName val="TAU"/>
      <sheetName val="KHACH"/>
      <sheetName val="BC1"/>
      <sheetName val="BC2"/>
      <sheetName val="BAO CAO AN"/>
      <sheetName val="BANGKEKHACH"/>
      <sheetName val="XXXXX\XX"/>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ADKTKT02"/>
      <sheetName val="Baocao"/>
      <sheetName val="UT"/>
      <sheetName val="TongHopHD"/>
      <sheetName val="Áo"/>
      <sheetName val="ct luong "/>
      <sheetName val="Nhap 6T"/>
      <sheetName val="baocaochinh(qui1.05) (DC)"/>
      <sheetName val="Ctuluongq.1.05"/>
      <sheetName val="BANG PHAN BO qui1.05(DC)"/>
      <sheetName val="BANG PHAN BO quiII.05"/>
      <sheetName val="bao cac cinh Qui II-2005"/>
      <sheetName val="30100000"/>
      <sheetName val="Ton 31.1"/>
      <sheetName val="NhapT.2"/>
      <sheetName val="Xuat T.2"/>
      <sheetName val="Ton 28.2"/>
      <sheetName val="H.Tra"/>
      <sheetName val="Hang CTY TRA LAI"/>
      <sheetName val="Hang NV Tra Lai"/>
      <sheetName val="ADKT"/>
      <sheetName val="TL33-13.14"/>
      <sheetName val="tlđm190337,8"/>
      <sheetName val="GC190337,8"/>
      <sheetName val="033,7,8"/>
      <sheetName val="TL033 ,2,4"/>
      <sheetName val="TL 0331,2"/>
      <sheetName val="033-1,4"/>
      <sheetName val="TL033,19,5"/>
      <sheetName val="[PNT-P3.xlsUTong hop (2)"/>
      <sheetName val="Km276 - Ke277"/>
      <sheetName val="[PNT-P3.xlsUKm279 - Km280"/>
      <sheetName val="7000 000"/>
      <sheetName val="_x000b_luong phu"/>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
      <sheetName val="gVL"/>
      <sheetName val="mua vao"/>
      <sheetName val="chi phi "/>
      <sheetName val="ban ra 10%"/>
      <sheetName val="??-BLDG"/>
      <sheetName val="ESTI."/>
      <sheetName val="DI-ESTI"/>
      <sheetName val="TNghiªm T_x0002_ "/>
      <sheetName val="tt-_x0014_BA"/>
      <sheetName val="TD_x0014_"/>
      <sheetName val="_x0014_.12"/>
      <sheetName val="QD c5a HDQT (2)"/>
      <sheetName val="_x0003_hart1"/>
      <sheetName val="gìIÏÝ_x001c_Ã_x0008_ç¾{è"/>
      <sheetName val="BCDSPS"/>
      <sheetName val="BCDKT"/>
      <sheetName val="Don gia"/>
      <sheetName val="Nhap du lieu"/>
      <sheetName val="Km266"/>
      <sheetName val="GS02-thu0TM"/>
      <sheetName val="ၔong hop QL48 - 2"/>
      <sheetName val="Dong$bac"/>
      <sheetName val="Cac cang UT mua thal Dong bac"/>
      <sheetName val="Shaet13"/>
      <sheetName val="Dimu"/>
      <sheetName val="Klct"/>
      <sheetName val="Covi"/>
      <sheetName val="Nlvt"/>
      <sheetName val="Innl"/>
      <sheetName val="Invt"/>
      <sheetName val="Chon"/>
      <sheetName val="Qtnv"/>
      <sheetName val="Bqtn"/>
      <sheetName val="Bqtv"/>
      <sheetName val="Giao"/>
      <sheetName val="Dcap"/>
      <sheetName val="Nlie"/>
      <sheetName val="Mnli"/>
      <sheetName val="CV den trong to?g"/>
      <sheetName val="?0000000"/>
      <sheetName val="Tong (op"/>
      <sheetName val="Coc 4ieu"/>
      <sheetName val="Diem mon hoc"/>
      <sheetName val="Tong hop diem"/>
      <sheetName val="HoTen-khong duoc xoa"/>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Sÿÿÿÿ"/>
      <sheetName val="quÿÿ"/>
      <sheetName val="bc"/>
      <sheetName val="K.O"/>
      <sheetName val="xang _clc"/>
      <sheetName val="X¡NG_td"/>
      <sheetName val="MaZUT"/>
      <sheetName val="DIESEL"/>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Cong ban 1,5„—_x0013__x0000_"/>
      <sheetName val="Du tnan chi tiet coc nuoc"/>
      <sheetName val="XNxlva sxthanKCIÉ"/>
      <sheetName val="TDT-TBࡁ"/>
      <sheetName val="Op mai 2_x000c__x0000_"/>
      <sheetName val="_x0000_bÑi_x0003__x0000__x0000__x0000__x0000_²r_x0013__x0000_"/>
      <sheetName val="Km_x0012_77 "/>
      <sheetName val="k, vt tho"/>
      <sheetName val="Km280 ࠭ Km281"/>
      <sheetName val="Mp mai 275"/>
      <sheetName val="Package1"/>
      <sheetName val="Giao nhie- vu"/>
      <sheetName val="120"/>
      <sheetName val="IFAD"/>
      <sheetName val="CVHN"/>
      <sheetName val="TCVM"/>
      <sheetName val="RIDP"/>
      <sheetName val="LDNN"/>
      <sheetName val="gia x_x0000_ may"/>
      <sheetName val="Thang 07"/>
      <sheetName val="T10-05"/>
      <sheetName val="T9-05"/>
      <sheetName val="t805"/>
      <sheetName val="11T"/>
      <sheetName val="9T"/>
      <sheetName val="K?284"/>
      <sheetName val="thaß26"/>
      <sheetName val="CVden nw8ai TCT (1)"/>
      <sheetName val="_x0000__x000d__x0000__x0000__x0000_âO"/>
      <sheetName val="_x0000__x000f__x0000__x0000__x0000_½"/>
      <sheetName val="_x0000__x0000_²r"/>
      <sheetName val="_x0000__x0000__x0000__x0000__x0000_M pc_x0006__x0000__x0000_CamPh_x0000__x0000_"/>
      <sheetName val="TNghiÖ- VL"/>
      <sheetName val="CDPS3"/>
      <sheetName val="K-280 - Km281"/>
      <sheetName val="Cong ban 0,7p0,7"/>
      <sheetName val="Km275 - Ke276"/>
      <sheetName val="Km280 - Km2(1"/>
      <sheetName val="Km282 - Kl283"/>
      <sheetName val="Tong hop Op m!i"/>
      <sheetName val="FORM jc"/>
      <sheetName val="tt chu don"/>
      <sheetName val="Xa9lap "/>
      <sheetName val="_x000c__x0000__x0000__x0000__x0000__x0000__x0000__x0000__x000d__x0000__x0000__x0000_"/>
      <sheetName val="_x0000__x000f__x0000__x0000__x0000_‚ž½"/>
      <sheetName val="_x0000__x000d__x0000__x0000__x0000_âOŽ"/>
      <sheetName val="QD cua HDQ²_x0000__x0000_)"/>
      <sheetName val="P210-TP20"/>
      <sheetName val="CB32"/>
      <sheetName val="CTT NuiC_x000f_eo"/>
      <sheetName val="TDT-TB?"/>
      <sheetName val="Km280 ? Km281"/>
      <sheetName val="Kluo-_x0008_ phu"/>
      <sheetName val="QD cua HDQ²_x0000__x0000_€)"/>
      <sheetName val="VÃt liÖu"/>
      <sheetName val="_x0000__x000a__x0000__x0000__x0000_âO"/>
      <sheetName val="_x000c__x0000__x0000__x0000__x0000__x0000__x0000__x0000__x000a__x0000__x0000__x0000_"/>
      <sheetName val="_x0000__x000a__x0000__x0000__x0000_âOŽ"/>
      <sheetName val="_x0003_har"/>
      <sheetName val="HNI"/>
      <sheetName val="DŃ02"/>
      <sheetName val="DG "/>
      <sheetName val="tldm190337,8"/>
      <sheetName val="GS08)B.hµng"/>
      <sheetName val="Giao nhiem fu"/>
      <sheetName val="QDcea TGD (2)"/>
      <sheetName val="QD cua "/>
      <sheetName val="Tong hop$Op mai"/>
      <sheetName val="PNT-P3"/>
      <sheetName val="Km27%"/>
      <sheetName val="O0 mai 279"/>
      <sheetName val="Op_x0000_mai 280"/>
      <sheetName val="Op mai 28_x0011_"/>
      <sheetName val="5 nam (tac`) (2)"/>
      <sheetName val="D%o nai"/>
      <sheetName val="CTT cao so."/>
      <sheetName val="gìIÏÝ_x001c_齘_x0013_龜_x0013_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refreshError="1"/>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sheetData sheetId="407"/>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 sheetId="502"/>
      <sheetData sheetId="503"/>
      <sheetData sheetId="504"/>
      <sheetData sheetId="505"/>
      <sheetData sheetId="506"/>
      <sheetData sheetId="507"/>
      <sheetData sheetId="508"/>
      <sheetData sheetId="509"/>
      <sheetData sheetId="510" refreshError="1"/>
      <sheetData sheetId="511" refreshError="1"/>
      <sheetData sheetId="512" refreshError="1"/>
      <sheetData sheetId="513"/>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sheetData sheetId="552"/>
      <sheetData sheetId="553"/>
      <sheetData sheetId="554" refreshError="1"/>
      <sheetData sheetId="555" refreshError="1"/>
      <sheetData sheetId="556" refreshError="1"/>
      <sheetData sheetId="557"/>
      <sheetData sheetId="558"/>
      <sheetData sheetId="559"/>
      <sheetData sheetId="560"/>
      <sheetData sheetId="561"/>
      <sheetData sheetId="562" refreshError="1"/>
      <sheetData sheetId="563" refreshError="1"/>
      <sheetData sheetId="564"/>
      <sheetData sheetId="565"/>
      <sheetData sheetId="566"/>
      <sheetData sheetId="567"/>
      <sheetData sheetId="568" refreshError="1"/>
      <sheetData sheetId="569"/>
      <sheetData sheetId="570"/>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sheetData sheetId="640" refreshError="1"/>
      <sheetData sheetId="641" refreshError="1"/>
      <sheetData sheetId="642" refreshError="1"/>
      <sheetData sheetId="643"/>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refreshError="1"/>
      <sheetData sheetId="658"/>
      <sheetData sheetId="659"/>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sheetData sheetId="686"/>
      <sheetData sheetId="687" refreshError="1"/>
      <sheetData sheetId="688" refreshError="1"/>
      <sheetData sheetId="689" refreshError="1"/>
      <sheetData sheetId="690"/>
      <sheetData sheetId="691" refreshError="1"/>
      <sheetData sheetId="692"/>
      <sheetData sheetId="693" refreshError="1"/>
      <sheetData sheetId="694" refreshError="1"/>
      <sheetData sheetId="695"/>
      <sheetData sheetId="696" refreshError="1"/>
      <sheetData sheetId="697" refreshError="1"/>
      <sheetData sheetId="698"/>
      <sheetData sheetId="699" refreshError="1"/>
      <sheetData sheetId="700" refreshError="1"/>
      <sheetData sheetId="701" refreshError="1"/>
      <sheetData sheetId="702" refreshError="1"/>
      <sheetData sheetId="703" refreshError="1"/>
      <sheetData sheetId="704" refreshError="1"/>
      <sheetData sheetId="705"/>
      <sheetData sheetId="706" refreshError="1"/>
      <sheetData sheetId="707" refreshError="1"/>
      <sheetData sheetId="70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XL4P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Sheet3"/>
      <sheetName val="211A"/>
      <sheetName val="211B"/>
      <sheetName val="SCT511"/>
      <sheetName val="SCT627"/>
      <sheetName val="SCT154"/>
      <sheetName val="Sheet5"/>
      <sheetName val="Hoi phu nu"/>
      <sheetName val="4p1"/>
      <sheetName val="4P"/>
      <sheetName val="Schneider"/>
      <sheetName val="THANG1"/>
      <sheetName val="THANG2"/>
      <sheetName val="THANG3"/>
      <sheetName val="THANG4"/>
      <sheetName val="THANG5"/>
      <sheetName val="THANG6"/>
      <sheetName val="THANG7"/>
      <sheetName val="THANG 8"/>
      <sheetName val="Sheet9"/>
      <sheetName val="Sheet8"/>
      <sheetName val="Sheet7"/>
      <sheetName val="Sheet6"/>
      <sheetName val="Sheet4"/>
      <sheetName val="Sheet2"/>
      <sheetName val="Sheet1"/>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XL4Test5"/>
      <sheetName val="________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Tdoi t.truong"/>
      <sheetName val="BC DBKH T5"/>
      <sheetName val="BC DBKH T6"/>
      <sheetName val="BC DBKH T7"/>
      <sheetName val="Q1-02"/>
      <sheetName val="Q2-02"/>
      <sheetName val="Q3-02"/>
      <sheetName val="2001"/>
      <sheetName val="2002"/>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BLDG"/>
      <sheetName val="Bia "/>
      <sheetName val="Muc luc"/>
      <sheetName val="Thuyet minh PA1"/>
      <sheetName val="kl xaychan khay"/>
      <sheetName val="Jan11"/>
      <sheetName val="Jan13"/>
      <sheetName val="Jan14"/>
      <sheetName val="Jan15"/>
      <sheetName val="Jan16"/>
      <sheetName val="Jan17"/>
      <sheetName val="Jan18"/>
      <sheetName val="Jan20"/>
      <sheetName val="Jan21"/>
      <sheetName val="Outlets"/>
      <sheetName val="PGs"/>
      <sheetName val="GVL"/>
      <sheetName val="tam"/>
      <sheetName val="PTDG"/>
      <sheetName val="DTCT"/>
      <sheetName val="DGBQ"/>
      <sheetName val="DGDT"/>
      <sheetName val="Gia trung thau"/>
      <sheetName val="Thanh toan dot 1"/>
      <sheetName val="DTXL"/>
      <sheetName val="THXL"/>
      <sheetName val="dieuphoida"/>
      <sheetName val="dieuphoida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LUONG CHO HUU"/>
      <sheetName val="thu BHXH,YT"/>
      <sheetName val="Phan bo"/>
      <sheetName val="Luong T5-04"/>
      <sheetName val="THLK2"/>
      <sheetName val="?¬’P‰¿ì¬?-BLDG"/>
      <sheetName val="?¬P¿ì¬?-BLDG"/>
      <sheetName val="?쒕?-BLDG"/>
      <sheetName val="??????-BLDG"/>
      <sheetName val="Phan tich VT"/>
      <sheetName val="TKe VT"/>
      <sheetName val="Du tru Vat tu"/>
      <sheetName val="Mau 1"/>
      <sheetName val="Mau so 2"/>
      <sheetName val="Mau so 3"/>
      <sheetName val="Mau so 7"/>
      <sheetName val="Mau so 8"/>
      <sheetName val="Mau so 9 da tru 45;54"/>
      <sheetName val="Mau so 9 45;54"/>
      <sheetName val="Mau 9 "/>
      <sheetName val="Mau 9 goc"/>
      <sheetName val="Mau 10"/>
      <sheetName val="Mau so 11"/>
      <sheetName val="Ga"/>
      <sheetName val="Ca"/>
      <sheetName val="rau"/>
      <sheetName val="Thit"/>
      <sheetName val="Gia vi"/>
      <sheetName val="Gao"/>
      <sheetName val="Quyet toan1"/>
      <sheetName val="Quyet Toan2"/>
      <sheetName val="TH"/>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
      <sheetName val="Disch"/>
      <sheetName val="Pack"/>
      <sheetName val="Delivery"/>
      <sheetName val="M50"/>
      <sheetName val="M48"/>
      <sheetName val="M45"/>
      <sheetName val="M38"/>
      <sheetName val="D.Order"/>
      <sheetName val="Report"/>
      <sheetName val="Report.Delivery"/>
      <sheetName val="Monthly"/>
      <sheetName val="HUNG"/>
      <sheetName val="THO"/>
      <sheetName val="HOA"/>
      <sheetName val="TINH"/>
      <sheetName val="THONG"/>
      <sheetName val="XXXXXXX0"/>
      <sheetName val="XXXXXXX1"/>
      <sheetName val="BOQ FORM FOR INQÕIRY"/>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Overhead &amp; Profit B-1"/>
      <sheetName val="Chart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ang ngang"/>
      <sheetName val="Bang doc"/>
      <sheetName val="B cham cong"/>
      <sheetName val="Btt luong"/>
      <sheetName val="DI-ESTI"/>
      <sheetName val="thietbi"/>
      <sheetName val="10_x0000__x0000__x0000__x0000__x0000__x0000_"/>
      <sheetName val="Dec#1"/>
      <sheetName val="?+Invoice!$DF$57?-BLDG"/>
      <sheetName val="Chi tiet don gia khgi phuc"/>
      <sheetName val="=??????-BLDG"/>
      <sheetName val="FORM OF PROPNSAL RFP-003"/>
      <sheetName val="Sc #34"/>
      <sheetName val="MTL$-INTER"/>
      <sheetName val="PTDGDT"/>
      <sheetName val="DA0463BQ"/>
      <sheetName val="Hoi phe nu"/>
      <sheetName val="THANG#"/>
      <sheetName val="Sheet("/>
      <sheetName val="Sheed7"/>
      <sheetName val="A`r3"/>
      <sheetName val="Apb4"/>
      <sheetName val="KhanhThuong"/>
      <sheetName val="PlotDat4"/>
      <sheetName val="V_x000c_(No V-c)"/>
      <sheetName val="_x0001_pr2"/>
      <sheetName val="??+Invoice!$DF$57?????-BLDG"/>
      <sheetName val="quy 1"/>
      <sheetName val="quy 2"/>
      <sheetName val="6 thang"/>
      <sheetName val="quy 3"/>
      <sheetName val="9 TH"/>
      <sheetName val="quy4"/>
      <sheetName val="nam"/>
      <sheetName val="Sheet11"/>
      <sheetName val="Sheet12"/>
      <sheetName val="T.hopCPXDho_x0000_n_x0000_hanh (2)"/>
      <sheetName val="LK cp _x0000_dcb"/>
      <sheetName val="GDTH_x0000_5"/>
      <sheetName val="Ph_x0000_n_x0000__x0000_ich _x0000_a_x0000_ tu"/>
      <sheetName val="N@"/>
      <sheetName val="Don gaa chi tiet"/>
      <sheetName val="XL4Poppq"/>
      <sheetName val="FH"/>
      <sheetName val="Chi p`i van chuyen"/>
      <sheetName val="BCDP_x0005_"/>
      <sheetName val="NKC _x0003__x0000__x0000_TM1_x0006__x0000__x0000_SC 111_x0002__x0000__x0000_NH_x0006__x0000__x0000_SC 1"/>
      <sheetName val="Coc40x40c-"/>
      <sheetName val="Han13"/>
      <sheetName val="T.@_x000c__x0000__x0001__x0000__x0000__x0000__x0003_Ú_x0000__x0000_&lt;_x001f__x0000__x0000__x0000_"/>
      <sheetName val="TIEUHAO"/>
      <sheetName val="SC_x0000_133"/>
      <sheetName val="QC 152"/>
      <sheetName val="SC 41_x0011_"/>
      <sheetName val="SC _x0014_42 loan"/>
      <sheetName val="SCT_x0011_54"/>
      <sheetName val="CT aong"/>
      <sheetName val="²_x0000__x0000_AI TK 112"/>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9 toan"/>
      <sheetName val="FORM OF PROPOSAL RFP-00Ê"/>
      <sheetName val="VL(No V-c)_x0005__x0000__x0000_X"/>
      <sheetName val="?+Invoice!$DF$57㊞_x0000_-BLDG"/>
      <sheetName val="XL4Po_x0000_p_x0010_"/>
      <sheetName val="_x0010_HANG1"/>
      <sheetName val="Chiet tinh dz22"/>
      <sheetName val="PHANG5"/>
      <sheetName val="NhapHD"/>
      <sheetName val="INHOADON"/>
      <sheetName val="DataSource"/>
      <sheetName val="Danhsach KH"/>
      <sheetName val="GIA VON"/>
      <sheetName val="DS 11"/>
      <sheetName val="Module2"/>
      <sheetName val="BC"/>
      <sheetName val="?öm÷²??öm?-BLDG"/>
      <sheetName val="TT_35"/>
      <sheetName val="__-BLDG"/>
      <sheetName val="_______-BLDG"/>
      <sheetName val="____-BLDG"/>
      <sheetName val="_¬’P‰¿ì¬_-BLDG"/>
      <sheetName val="_¬P¿ì¬_-BLDG"/>
      <sheetName val="_쒕_-BLDG"/>
      <sheetName val="______-BLDG"/>
      <sheetName val="DG"/>
      <sheetName val="NL"/>
      <sheetName val="TP"/>
      <sheetName val="Sheat4"/>
      <sheetName val="bang tien luong"/>
      <sheetName val="PNT-QUOT-#3"/>
      <sheetName val="COAT&amp;WRAP-QIOT-#3"/>
      <sheetName val="Chi tiet dmn gia khoi phuc"/>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Ԁ䈀_x0000__x0000__x0000_䦀"/>
      <sheetName val="䘀䘀䘀䘀䘀䘀䘀䘀"/>
      <sheetName val="䘀ༀ؀ᬀ"/>
      <sheetName val="_x0000__x0000__x0000_䦀"/>
      <sheetName val="䐀ሀ_x0000_ﴀ"/>
      <sheetName val="䔀ጀ_x0000_ﴀ"/>
      <sheetName val="Tro gaup"/>
      <sheetName val="?+Anvoice!$DF$57?-BLDG"/>
      <sheetName val="XL4Wÿÿÿÿ"/>
      <sheetName val="਀ကĀ䐀ᔀ_x0000_ﴀ਀"/>
      <sheetName val="ऀЀ_x0000_㠀"/>
      <sheetName val="_x0000_"/>
      <sheetName val=""/>
      <sheetName val="쀓ࡄЀ׀ࡄ᐀πɾ_x000a_ _x0000_í_x0000_䀘ȁ_x0006_ _x0001_ȉɾ_x000a_ _x0002_î"/>
      <sheetName val="_x000a_ _x0003_÷Ĉ_x0000_½_x0012_ _x0004_ð_x0000_"/>
      <sheetName val="DG "/>
      <sheetName val="??-BLDG"/>
      <sheetName val="??-BLDG"/>
      <sheetName val="??-BLDG"/>
      <sheetName val="2_x0006__x0000__x0000_Sheet3_x0004__x0000__x0000_211A_x0004__x0000__x0000_211B_x0006__x0000__x0000_SCT5"/>
      <sheetName val="Phan tich don gia chi&quot;tiet"/>
      <sheetName val="IBASE"/>
      <sheetName val="?¬P¿?¬?-BLDG"/>
      <sheetName val="Overhead &amp; "/>
      <sheetName val="Overhead &amp; Ԁ_x0000__x0000__x0000_"/>
      <sheetName val="Overhead &amp; Ԁ_x0000__x0000__x0000_Ȁ"/>
      <sheetName val="Overhead &amp; ?_x0000__x0000__x0000_?"/>
      <sheetName val="10??????"/>
      <sheetName val="10?"/>
      <sheetName val="T.@_x000c_?_x0001_???_x0003_Ú??&lt;_x001f_???"/>
      <sheetName val="T.@_x000c_?_x0001_?_x0003_Ú&lt;_x001f_?"/>
      <sheetName val="T.@_x000c_?_x0001_?_x0003_Ú?&lt;_x001f_?"/>
      <sheetName val="Overhead &amp; Ԁ???ﰀ"/>
      <sheetName val="Overhead &amp; Ԁ???"/>
      <sheetName val="Overhead &amp; Ԁ???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sheetData sheetId="393"/>
      <sheetData sheetId="394" refreshError="1"/>
      <sheetData sheetId="395"/>
      <sheetData sheetId="396" refreshError="1"/>
      <sheetData sheetId="397" refreshError="1"/>
      <sheetData sheetId="398"/>
      <sheetData sheetId="399"/>
      <sheetData sheetId="400"/>
      <sheetData sheetId="401"/>
      <sheetData sheetId="402"/>
      <sheetData sheetId="403"/>
      <sheetData sheetId="404"/>
      <sheetData sheetId="405" refreshError="1"/>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refreshError="1"/>
      <sheetData sheetId="424"/>
      <sheetData sheetId="425"/>
      <sheetData sheetId="426" refreshError="1"/>
      <sheetData sheetId="427"/>
      <sheetData sheetId="428" refreshError="1"/>
      <sheetData sheetId="429" refreshError="1"/>
      <sheetData sheetId="430"/>
      <sheetData sheetId="431"/>
      <sheetData sheetId="432" refreshError="1"/>
      <sheetData sheetId="433" refreshError="1"/>
      <sheetData sheetId="434"/>
      <sheetData sheetId="435"/>
      <sheetData sheetId="436"/>
      <sheetData sheetId="437"/>
      <sheetData sheetId="438"/>
      <sheetData sheetId="439"/>
      <sheetData sheetId="440" refreshError="1"/>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refreshError="1"/>
      <sheetData sheetId="464" refreshError="1"/>
      <sheetData sheetId="465"/>
      <sheetData sheetId="466"/>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sheetData sheetId="480"/>
      <sheetData sheetId="481" refreshError="1"/>
      <sheetData sheetId="482" refreshError="1"/>
      <sheetData sheetId="483" refreshError="1"/>
      <sheetData sheetId="484" refreshError="1"/>
      <sheetData sheetId="485" refreshError="1"/>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refreshError="1"/>
      <sheetData sheetId="596" refreshError="1"/>
      <sheetData sheetId="597" refreshError="1"/>
      <sheetData sheetId="598" refreshError="1"/>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sheetData sheetId="614" refreshError="1"/>
      <sheetData sheetId="615"/>
      <sheetData sheetId="616"/>
      <sheetData sheetId="617"/>
      <sheetData sheetId="618"/>
      <sheetData sheetId="619"/>
      <sheetData sheetId="620"/>
      <sheetData sheetId="621"/>
      <sheetData sheetId="6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MTO REV_2_ARMOR_"/>
      <sheetName val="MTO REV.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Chiet tinh dz35"/>
      <sheetName val=""/>
      <sheetName val="Ten da dat_x0000__x0003_材本柀果栰栌梠桼検楠"/>
      <sheetName val="Sheet1"/>
      <sheetName val="Sheet6"/>
      <sheetName val="Sheet2"/>
      <sheetName val="Sheet7"/>
      <sheetName val="Sheet4"/>
      <sheetName val="Sheet5"/>
      <sheetName val="Sheet3"/>
      <sheetName val="XL4Poppy"/>
      <sheetName val="(1)TK_ThueGTGT_Thang"/>
      <sheetName val="Du thau Yªn Minh - Hµ Giang"/>
      <sheetName val="DGchitiet "/>
      <sheetName val="MTP"/>
      <sheetName val="Mau 02"/>
      <sheetName val="PNT-QUOT-#3"/>
      <sheetName val="COAT&amp;WRAP-QIOT-#3"/>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Du_thau_Yªn_Minh_-_Hµ_Giang"/>
      <sheetName val="DGchitiet_"/>
      <sheetName val="Mau_02"/>
      <sheetName val="gvl"/>
      <sheetName val="Chiet tinh dz22"/>
      <sheetName val="Chiet_tinh_dz35"/>
      <sheetName val="dongia (2)"/>
      <sheetName val="LKVL-CK-HT-GD1"/>
      <sheetName val="giathanh1"/>
      <sheetName val="THPDMoi  (2)"/>
      <sheetName val="gtrinh"/>
      <sheetName val="phuluc1"/>
      <sheetName val="TONG HOP VL-NC"/>
      <sheetName val="lam-moi"/>
      <sheetName val="chitiet"/>
      <sheetName val="TH VL, NC, DDHT Thanhphuoc"/>
      <sheetName val="#REF"/>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F"/>
      <sheetName val="GIAVLIEU"/>
      <sheetName val="BETON"/>
      <sheetName val="SUMMARY"/>
      <sheetName val="tifico"/>
      <sheetName val="KL-CONG"/>
      <sheetName val="Hệ số"/>
      <sheetName val="Động cơ"/>
      <sheetName val="MTO REV.2(ARMOR)"/>
      <sheetName val="Ap Don"/>
      <sheetName val="Ap Gia Be"/>
      <sheetName val="Áp Xom Moi"/>
      <sheetName val="Ap Trang Lam"/>
      <sheetName val="Ap Trung Hoa"/>
      <sheetName val="Ap Lao Tao Trung"/>
      <sheetName val="XXXXXXXX"/>
      <sheetName val="???????????????????????????????"/>
      <sheetName val="Ten da dat_x0000__x0003_材™本™柀™果™栰™栌™梠™桼™検™楠"/>
      <sheetName val="K懼TC "/>
      <sheetName val="PRO.OT1"/>
      <sheetName val="Dgia vat tu"/>
      <sheetName val="Don gia_III"/>
      <sheetName val="IBASE"/>
      <sheetName val="Ten da dat_x005f_x0000__x005f_x0003_材本柀果"/>
      <sheetName val="Ten da dat_x005f_x0000__x005f_x0003_材™本™柀™果"/>
      <sheetName val="Company Related Premises"/>
      <sheetName val="Ten da dat?_x0003_材本柀果栰栌梠桼検楠"/>
      <sheetName val="Ten da dat?_x0003_材™本™柀™果™栰™栌™梠™桼™検™楠"/>
      <sheetName val="gia vt,nc,may"/>
      <sheetName val="Ten da dat_x0000__x0003_??????????"/>
      <sheetName val="Ten da dat_x0000__x0003_???????????????????"/>
      <sheetName val="Ten da dat_x0000__x0003_?™?™?™?™?™?™?™?™?™?"/>
      <sheetName val="K?TC "/>
      <sheetName val="Ap Tr@_x0004__x0000__x0001__x0000__x0000__x0000_"/>
      <sheetName val="Ap Tr@_x0004_"/>
      <sheetName val="Ten da dat?_x0003_??????????"/>
      <sheetName val="Ten da dat?_x0003_???????????????????"/>
      <sheetName val="Ten da dat?_x0003_?™?™?™?™?™?™?™?™?™?"/>
      <sheetName val="Ap Tr@_x0004_?_x0001_???"/>
      <sheetName val="Ap Tr@_x0004_?_x0001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_______________________________"/>
      <sheetName val="K_TC "/>
      <sheetName val="Ten da dat__x0003_材本柀果栰栌梠桼検楠"/>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DTCT"/>
      <sheetName val="Bang KT"/>
      <sheetName val="DS T.bi"/>
      <sheetName val="CPK"/>
      <sheetName val="2.KLDT"/>
      <sheetName val="0.BTH.CHNG"/>
      <sheetName val="BTHKP"/>
      <sheetName val="000000"/>
      <sheetName val="3.THVT"/>
      <sheetName val="4.PTVT"/>
      <sheetName val="DANH MUC"/>
      <sheetName val="tkkl"/>
      <sheetName val="5.BANG KHOI LUONG"/>
      <sheetName val="Ten da dat_x0000__x0003_材本柀果栰栌梠桼䤜楠"/>
      <sheetName val="Sheep1"/>
      <sheetName val="_x0018_L4Poppy"/>
      <sheetName val="GiaVL"/>
      <sheetName val="Ten da dat_x0000_f㆘f㇀f㇨f㈐f㈸fゐf㋰f㌘f㍀f㍨"/>
      <sheetName val="TONGKE3p "/>
      <sheetName val="D.lg Lao &amp; 2_x0000__x0000_"/>
      <sheetName val="D.lg Lao &amp; 2??"/>
      <sheetName val="D.lg Lao &amp; 2_x0000__x0000_€"/>
      <sheetName val="D.lg Lao &amp; 2??€"/>
      <sheetName val="D.lg Lao &amp; 2"/>
      <sheetName val="D.lg Lao &amp; 2__"/>
      <sheetName val="D.lg Lao &amp; 2__€"/>
      <sheetName val="Ten da dat?_x0003_???????????????7???"/>
      <sheetName val="Ten da dat?_x0003_材本柀果栰栌梠桼䤜楠"/>
      <sheetName val="Ten da dat_x0000__x0000__x0000__x0000__x0000__x0000__x0000__x0000_̃̃̃̃Ϩ_x0000_㣤e狈秌_x0015__x0000_О"/>
      <sheetName val="Ten da dat__x0003_材本柀果栰栌梠桼䤜楠"/>
      <sheetName val="f?f?f?f?f?f?f?f?f?f?f?f?f?f?f?f"/>
      <sheetName val="Ten_da_dat材™本™柀™果™栰™栌™梠™桼™検™楠"/>
      <sheetName val="Ten_da_dat材本柀果栰栌梠桼検楠"/>
      <sheetName val="Ap_Don"/>
      <sheetName val="Ap_Gia_Be"/>
      <sheetName val="Áp_Xom_Moi"/>
      <sheetName val="Ap_Trang_Lam"/>
      <sheetName val="Ap_Trung_Hoa"/>
      <sheetName val="Ap_Lao_Tao_Trung"/>
      <sheetName val="gia_VT"/>
      <sheetName val="K懼TC_"/>
      <sheetName val="2_KLDT"/>
      <sheetName val="0_BTH_CHNG"/>
      <sheetName val="3_THVT"/>
      <sheetName val="4_PTVT"/>
      <sheetName val="DANH_MUC"/>
      <sheetName val="5_BANG_KHOI_LUONG"/>
      <sheetName val="MTO_REV_2(ARMOR)"/>
      <sheetName val="QUY1"/>
      <sheetName val="QUY2"/>
      <sheetName val="QUY3"/>
      <sheetName val="QUY4"/>
      <sheetName val="Nam"/>
      <sheetName val="2011"/>
      <sheetName val="Q.1"/>
      <sheetName val="Q.2"/>
      <sheetName val="th.7ch. nhu"/>
      <sheetName val="f_f_f_f_f_f_f_f_f_f_f_f_f_f_f_f"/>
      <sheetName val="D_lg_Thang_Mo1"/>
      <sheetName val="CT_Thang_Mo1"/>
      <sheetName val="D_lg_Phu_Lung1"/>
      <sheetName val="CT__PL1"/>
      <sheetName val="D_lg_Lao_&amp;_chai1"/>
      <sheetName val="CT__Lao_&amp;_chai1"/>
      <sheetName val="Gia_thau_TM1"/>
      <sheetName val="TH_chao_thau_(2)1"/>
      <sheetName val="KHTC_1"/>
      <sheetName val="Tien_do1"/>
      <sheetName val="Nguon_goc_VT1"/>
      <sheetName val="TH_chao_thau1"/>
      <sheetName val="Ten_da_dat1"/>
      <sheetName val="gia_VT1"/>
      <sheetName val="Ap_Don1"/>
      <sheetName val="Ap_Gia_Be1"/>
      <sheetName val="Áp_Xom_Moi1"/>
      <sheetName val="Ap_Trang_Lam1"/>
      <sheetName val="Ap_Trung_Hoa1"/>
      <sheetName val="Ap_Lao_Tao_Trung1"/>
      <sheetName val="K懼TC_1"/>
      <sheetName val="2_KLDT1"/>
      <sheetName val="0_BTH_CHNG1"/>
      <sheetName val="3_THVT1"/>
      <sheetName val="4_PTVT1"/>
      <sheetName val="DANH_MUC1"/>
      <sheetName val="5_BANG_KHOI_LUONG1"/>
      <sheetName val="MTO_REV_2(ARMOR)1"/>
      <sheetName val="Ten da dat?f㆘f㇀f㇨f㈐f㈸fゐf㋰f㌘f㍀f㍨"/>
      <sheetName val="Khoi luong"/>
      <sheetName val="Ten da dat__x0003________________7___"/>
      <sheetName val="Chiet tinh 0,4KV"/>
      <sheetName val="Ten da dat_f㆘f㇀f㇨f㈐f㈸fゐf㋰f㌘f㍀f㍨"/>
      <sheetName val="Ten da dat_x0000_̃_x0007__x0000_%_x0000__x0000__x0000__x0000__x0000__x0000__x0000_̃̃_xffff__xffff_̃̃̃̃̃"/>
      <sheetName val="Ten da dat????????̃̃̃̃Ϩ?㣤e狈秌_x0015_?О"/>
      <sheetName val="Ten da dat_x0000__x0003_材_x0019_本柀果栰栌梠桼検楠"/>
      <sheetName val="Cheet5"/>
      <sheetName val="???/???????????????????????????"/>
      <sheetName val="Khai toan XD"/>
      <sheetName val="Ten da dat_x0000_f?f?f?f?f?f?f?f?f?f?"/>
      <sheetName val="Ten da dat__x0003_???????????????????"/>
      <sheetName val="Ten da dat__x0003_??????????"/>
      <sheetName val="Ten_da_dat??????????"/>
      <sheetName val="K?TC_"/>
      <sheetName val="Ten_da_dat???????????????????"/>
      <sheetName val="K?TC_1"/>
      <sheetName val="Ten da dat?f?f?f?f?f?f?f?f?f?f?"/>
      <sheetName val="Ten da dat?̃_x0007_?%???????̃̃_xffff__xffff_̃̃̃̃̃"/>
      <sheetName val="THKP"/>
      <sheetName val="DTXL"/>
      <sheetName val="PTKL"/>
      <sheetName val="KL"/>
      <sheetName val="BK"/>
      <sheetName val="BKL BV"/>
      <sheetName val="QD-437"/>
      <sheetName val="DG_Binh Duong"/>
      <sheetName val="89"/>
      <sheetName val="Ten da dat________̃̃̃̃Ϩ_㣤e狈秌_x0015__О"/>
      <sheetName val="Ten_da_dat__________"/>
      <sheetName val="K_TC_"/>
      <sheetName val="Ten_da_dat___________________"/>
      <sheetName val="K_TC_1"/>
      <sheetName val="Ten da dat_f_f_f_f_f_f_f_f_f_f_"/>
      <sheetName val="Ten da dat_x0000__x0000__x0000__x0000__x0000__x0000_쨁ￊ_xdba0_x_x0000__x0000__x0000__x0000__x0000__x0000__x0000__x0000__x0000__x0000__x0000_"/>
      <sheetName val="瑥㌳_x0007_匀"/>
      <sheetName val="桓敥㍴ܴ_x0000_桓敥㍴ܵ_x0000_桓敥㍴"/>
      <sheetName val="ܵ_x0000_桓敥㍴ܶ_x0000_桓敥㍴ܷ"/>
      <sheetName val="桓敥㍴ܷ_x0000_桓敥㍴ܸ_x0000_桓敥㍴"/>
      <sheetName val="ܸ_x0000_桓敥㍴ܹ"/>
      <sheetName val="㤳_x0007_匀敨瑥〴_x0007_匀敨瑥ㄴ_x0007_匀敨瑥"/>
      <sheetName val="瑥ㄴ_x0007_匀敨瑥㈴_x0007_匀敨瑥㌴_x0007_匀"/>
      <sheetName val="桓敥㑴ܳ_x0000_桓敥㑴ܴ_x0000_桓"/>
      <sheetName val="㑴ܴ_x0000_桓敥㑴ܵ_x0000_桓敥㑴ܶ_x0000_桓敥㑴"/>
      <sheetName val="瑥㘴_x0007_匀敨"/>
      <sheetName val="敨瑥㜴_x0007_匀敨瑥"/>
      <sheetName val="敨瑥㠴_x0007_匀敨瑥㤴_x0007_匀敨瑥"/>
      <sheetName val="ܹ_x0000_桓敥㕴Ȱ_x0000_䍎_x0002_嘀ь_x0000_"/>
      <sheetName val="Ƀ_x0000_䱖_x0004_吀䑈є_x0000_䡔呑"/>
      <sheetName val="Ten da dat??????쨁ￊ_xdba0_x???????????"/>
      <sheetName val="桓敥㍴ܴ?桓敥㍴ܵ?桓敥㍴"/>
      <sheetName val="ܵ?桓敥㍴ܶ?桓敥㍴ܷ"/>
      <sheetName val="桓敥㍴ܷ?桓敥㍴ܸ?桓敥㍴"/>
      <sheetName val="ܸ?桓敥㍴ܹ"/>
      <sheetName val="桓敥㑴ܳ?桓敥㑴ܴ?桓"/>
      <sheetName val="㑴ܴ?桓敥㑴ܵ?桓敥㑴ܶ?桓敥㑴"/>
      <sheetName val="ܹ?桓敥㕴Ȱ?䍎_x0002_嘀ь?"/>
      <sheetName val="Ƀ?䱖_x0004_吀䑈є?䡔呑"/>
      <sheetName val="Ten da dat_x0000__x0000__x0000__x0000__x0000__x0000__x0000_쀀_x0000_쀀_x0009__x0000__x0000__x0000__x0000__x0000__x0000__x0000__x0000__x0000__x0000_"/>
      <sheetName val="桓敥㍴ܴ"/>
      <sheetName val="ܵ"/>
      <sheetName val="桓敥㍴ܷ"/>
      <sheetName val="ܸ"/>
      <sheetName val="桓敥㑴ܳ"/>
      <sheetName val="㑴ܴ"/>
      <sheetName val="ܹ"/>
      <sheetName val="Ten da dat______쨁ￊ_xdba0_x___________"/>
      <sheetName val="桓敥㍴ܴ_桓敥㍴ܵ_桓敥㍴"/>
      <sheetName val="ܵ_桓敥㍴ܶ_桓敥㍴ܷ"/>
      <sheetName val="桓敥㍴ܷ_桓敥㍴ܸ_桓敥㍴"/>
      <sheetName val="ܸ_桓敥㍴ܹ"/>
      <sheetName val="桓敥㑴ܳ_桓敥㑴ܴ_桓"/>
      <sheetName val="㑴ܴ_桓敥㑴ܵ_桓敥㑴ܶ_桓敥㑴"/>
      <sheetName val="ܹ_桓敥㕴Ȱ_䍎_x0002_嘀ь_"/>
      <sheetName val="Ƀ_䱖_x0004_吀䑈є_䡔呑"/>
      <sheetName val="Ten da dat_x0000__x0000__x0000__x0000__x0000__x0000_頁㻈䞜Ë_x0000__x0000__x0000__x0000__x0000__x0000__x0000__x0000__x0000__x0000__x0000_"/>
      <sheetName val="Ten da dat_x0000__x0000__x0000__x0000__x0000__x0000__x0001__x0000_䞜Ë_x0000__x0000__x0000__x0000__x0000__x0000__x0000__x0000__x0000__x0000__x0000_"/>
      <sheetName val="Ƀ"/>
      <sheetName val="Ten da dat_x0000__x0000__x0000__x0000__x0000__x0000__x0000_쀀_x0000_쀀 _x0000__x0000__x0000__x0000__x0000__x0000__x0000__x0000_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Chi tiet"/>
      <sheetName val="Sheet1"/>
      <sheetName val="Sheet2"/>
      <sheetName val="Sheet3"/>
      <sheetName val="Sheet6"/>
      <sheetName val="Sheet7"/>
      <sheetName val="Sheet4"/>
      <sheetName val="Sheet5"/>
      <sheetName val="XL4Poppy"/>
      <sheetName val="(1)TK_ThueGTGT_Thang"/>
      <sheetName val="VCTT"/>
      <sheetName val="CT Thang Mo"/>
      <sheetName val="CT  PL"/>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hiet tinh dz35"/>
      <sheetName val="00000000"/>
      <sheetName val="DT DZ 22+TBA "/>
      <sheetName val="NKCTỪ"/>
      <sheetName val="SỔ CÁI"/>
      <sheetName val="BCÂNĐỐI"/>
      <sheetName val="CĐKTOÁN"/>
      <sheetName val="KQHĐKD"/>
      <sheetName val="TỒN QUỸ"/>
      <sheetName val="NKCT?"/>
      <sheetName val="S? CÁI"/>
      <sheetName val="BCÂNÐ?I"/>
      <sheetName val="CÐKTOÁN"/>
      <sheetName val="KQHÐKD"/>
      <sheetName val="T?N QU?"/>
      <sheetName val="_x0002_i  _x0004_z22"/>
      <sheetName val="#REF"/>
      <sheetName val="NKCT_"/>
      <sheetName val="S_ CÁI"/>
      <sheetName val="BCÂNÐ_I"/>
      <sheetName val="T_N QU_"/>
      <sheetName val="DAUVAO"/>
      <sheetName val="DAURA"/>
      <sheetName val="bia_Dz22"/>
      <sheetName val="TH_22"/>
      <sheetName val="DT_DZ_22_Kv"/>
      <sheetName val="DTchi_tiet_DZ_22_Kv"/>
      <sheetName val="Chiet_tinh_dz22"/>
      <sheetName val="Thi_nghiem_22"/>
      <sheetName val="DTtram_"/>
      <sheetName val="DTTC_tram_"/>
      <sheetName val="Chiet_tinh_TB,_VT"/>
      <sheetName val="_thi_nghiemTBA"/>
      <sheetName val="trang_bia"/>
      <sheetName val="TH_tram"/>
      <sheetName val="THOP XL"/>
      <sheetName val="Canuoc_QH"/>
      <sheetName val="Canuoc_"/>
      <sheetName val="MN&amp;TDsua_QH"/>
      <sheetName val="DBBB_sua_QH"/>
      <sheetName val="DBBB_sua"/>
      <sheetName val="BTBsua_QH"/>
      <sheetName val="DHNTBsua_QH"/>
      <sheetName val="TNsua_QH"/>
      <sheetName val="DNBsua_QH"/>
      <sheetName val="DBSCLsua_QH"/>
      <sheetName val="CT_Thang_Mo"/>
      <sheetName val="CT__PL"/>
      <sheetName val="SỔ_CÁI"/>
      <sheetName val="TỒN_QUỸ"/>
      <sheetName val="Tong hop"/>
      <sheetName val="PL so"/>
      <sheetName val="CNDTVT"/>
      <sheetName val="CNDNH"/>
      <sheetName val="CHUYEN MA HIEU"/>
      <sheetName val="CUMTB"/>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Income Statement"/>
      <sheetName val="Shareholders' Equity"/>
      <sheetName val="Dgia vat tu"/>
      <sheetName val="Don gia_III"/>
      <sheetName val="KH-Q1,Q2,01"/>
      <sheetName val="gia vt,nc,may"/>
      <sheetName val="佄⁎䥇⁁䡃⁉䥔呅"/>
      <sheetName val="吠䕉⁔䱔_x0004_"/>
      <sheetName val="_x0004_䐀㍄Ե_x0000_䉔㍁వ_x0000_䡔焠"/>
      <sheetName val="వ_x0000_䡔焠祵瑥潴湡_x0005_戀慩呑_x0003_吀敋_x0003_一䵁_x0004_"/>
      <sheetName val="呑_x0003_吀敋_x0003_一䵁_x0004_䠀乕͇_x0000_䅈͉_x0000_"/>
      <sheetName val="乕͇_x0000_䅈͉_x0000_䅌ࡍ_x0000_慂杮朠慩"/>
      <sheetName val="_x0000_慂杮朠"/>
      <sheetName val="楧ൡ_x0000_䅈䝎吠䕉"/>
      <sheetName val="吠䕉⁎䅂୏_x0000_䡔丠䅈⁐"/>
      <sheetName val="⁈䡎偁吠乏_x0006_吀⁈䅂Վ_x0000_敄㍣б_x0000_慊㉮"/>
      <sheetName val="_x0000_敄㍣б_x0000_慊㉮_x0004_䨀湡г_x0000_慊㑮"/>
      <sheetName val="慊㍮_x0004_䨀"/>
      <sheetName val="䨀湡ж_x0000_慊㝮_x0004_䨀湡"/>
      <sheetName val="_x0004_䨀湡и_x0000_慊㥮"/>
      <sheetName val="_x0004_䐀㍄Ե"/>
      <sheetName val="వ"/>
      <sheetName val="呑_x0003_吀敋_x0003_一䵁_x0004_䠀乕͇"/>
      <sheetName val="乕͇"/>
      <sheetName val=""/>
      <sheetName val="楧ൡ"/>
      <sheetName val="吠䕉⁎䅂୏"/>
      <sheetName val="⁈䡎偁吠乏_x0006_吀⁈䅂Վ"/>
      <sheetName val="䨀湡ж"/>
      <sheetName val="_x0004_䨀湡и"/>
      <sheetName val="_x0004_䐀㍄Ե?䉔㍁వ?䡔焠"/>
      <sheetName val="వ?䡔焠祵瑥潴湡_x0005_戀慩呑_x0003_吀敋_x0003_一䵁_x0004_"/>
      <sheetName val="呑_x0003_吀敋_x0003_一䵁_x0004_䠀乕͇?䅈͉?"/>
      <sheetName val="乕͇?䅈͉?䅌ࡍ?慂杮朠慩"/>
      <sheetName val="?慂杮朠"/>
      <sheetName val="楧ൡ?䅈䝎吠䕉"/>
      <sheetName val="吠䕉⁎䅂୏?䡔丠䅈⁐"/>
      <sheetName val="⁈䡎偁吠乏_x0006_吀⁈䅂Վ?敄㍣б?慊㉮"/>
      <sheetName val="?敄㍣б?慊㉮_x0004_䨀湡г?慊㑮"/>
      <sheetName val="䨀湡ж?慊㝮_x0004_䨀湡"/>
      <sheetName val="_x0004_䨀湡и?慊㥮"/>
      <sheetName val="_x0004_䐀㍄Ե_䉔㍁వ_䡔焠"/>
      <sheetName val="వ_䡔焠祵瑥潴湡_x0005_戀慩呑_x0003_吀敋_x0003_一䵁_x0004_"/>
      <sheetName val="呑_x0003_吀敋_x0003_一䵁_x0004_䠀乕͇_䅈͉_"/>
      <sheetName val="乕͇_䅈͉_䅌ࡍ_慂杮朠慩"/>
      <sheetName val="_慂杮朠"/>
      <sheetName val="楧ൡ_䅈䝎吠䕉"/>
      <sheetName val="吠䕉⁎䅂୏_䡔丠䅈⁐"/>
      <sheetName val="⁈䡎偁吠乏_x0006_吀⁈䅂Վ_敄㍣б_慊㉮"/>
      <sheetName val="_敄㍣б_慊㉮_x0004_䨀湡г_慊㑮"/>
      <sheetName val="䨀湡ж_慊㝮_x0004_䨀湡"/>
      <sheetName val="_x0004_䨀湡и_慊㥮"/>
      <sheetName val="慊㑮_x0004_"/>
      <sheetName val="Ptroduo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XL4Poppy"/>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00000000"/>
      <sheetName val="DanhMuc"/>
      <sheetName val="DUONG"/>
      <sheetName val="KHANH"/>
      <sheetName val="PHONG"/>
      <sheetName val="XXXXXXXX"/>
      <sheetName val="DAUTU"/>
      <sheetName val="BLNN"/>
      <sheetName val="2003"/>
      <sheetName val="Sheet6"/>
      <sheetName val="Sheet7"/>
      <sheetName val="Sheet4"/>
      <sheetName val="Sheet5"/>
      <sheetName val="(1)TK_ThueGTGT_Thang"/>
      <sheetName val="(2)Bangkebanra"/>
      <sheetName val="(3)BKMuavao-Co HDGTGT"/>
      <sheetName val="(4)BKMuavao-KTru 3% "/>
      <sheetName val="Chiet tinh dz22"/>
      <sheetName val="CT Thang Mo"/>
      <sheetName val="CT  PL"/>
      <sheetName val="QT_DZ35"/>
      <sheetName val="DT_DZ_35_Kv"/>
      <sheetName val="Chiet_tinh_dz35"/>
      <sheetName val="Chiet_tinh_dz22"/>
      <sheetName val="(3)BKMuavao-Co_HDGTGT"/>
      <sheetName val="(4)BKMuavao-KTru_3%_"/>
      <sheetName val="ctTBA"/>
      <sheetName val="HY35"/>
      <sheetName val="MTP"/>
      <sheetName val="M&amp;E"/>
      <sheetName val="Fur Data"/>
      <sheetName val="Fur. Qty"/>
      <sheetName val="Fit-out Qty"/>
      <sheetName val="HY35.xls"/>
      <sheetName val="dtxl"/>
      <sheetName val="D_x0014_ DZ 35 Kv"/>
      <sheetName val="KL-THO"/>
      <sheetName val="TienLuong"/>
      <sheetName val="GIAVLIEU"/>
      <sheetName val="D_x005f_x0014_ DZ 35 Kv"/>
      <sheetName val="D_x005f_x005f_x005f_x0014_ DZ 35 Kv"/>
      <sheetName val="Record CR"/>
      <sheetName val="Chi tiet"/>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Code"/>
      <sheetName val="Theodoichung"/>
      <sheetName val="T.D.C.Tiet"/>
      <sheetName val="C.tiet"/>
      <sheetName val="Khuyenmai"/>
      <sheetName val="10000000"/>
      <sheetName val="MTO REV.2(ARMOR)"/>
      <sheetName val="VPP 03 2005"/>
      <sheetName val="20000000"/>
      <sheetName val="30000000"/>
      <sheetName val="40000000"/>
      <sheetName val="XL4Test5"/>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Overhead &amp; Profit B-1"/>
      <sheetName val="mau1"/>
      <sheetName val="inth2"/>
      <sheetName val="mau3"/>
      <sheetName val="mau4"/>
      <sheetName val="MAU TH5"/>
      <sheetName val="mau6"/>
      <sheetName val="mau7"/>
      <sheetName val="mau8"/>
      <sheetName val="mauTH9"/>
      <sheetName val="mauTH 10"/>
      <sheetName val="HIEU QUA DAO TAO PC"/>
      <sheetName val="KẾ HOẠCH THANG 05"/>
      <sheetName val="PL01 Giao chi tieu NV"/>
      <sheetName val="PL02 Giao chi tieu CTV"/>
      <sheetName val="PL03 phan ca"/>
      <sheetName val="PL04 BH vung lom"/>
      <sheetName val="PL5 CS Điểm bán"/>
      <sheetName val="PL6 Du tru hang hoa"/>
      <sheetName val="Tien do theo tuan"/>
      <sheetName val="co huu"/>
      <sheetName val="to kho"/>
      <sheetName val="PU"/>
      <sheetName val="NHAN"/>
      <sheetName val="luong moc"/>
      <sheetName val="Sheet8"/>
      <sheetName val="dongia (2)"/>
      <sheetName val="THANG_1"/>
      <sheetName val="THANG_4"/>
      <sheetName val="THANG_5"/>
      <sheetName val="THANG_6"/>
      <sheetName val="THANG_7"/>
      <sheetName val="THANG_8"/>
      <sheetName val="THANG_9"/>
      <sheetName val="THANG_10"/>
      <sheetName val="THANG_11"/>
      <sheetName val="THANG_12"/>
      <sheetName val="LUONG_THANG_THU_13"/>
      <sheetName val="CONG_DOAN"/>
      <sheetName val="Ton_T12"/>
      <sheetName val="Ton_T1"/>
      <sheetName val="Ton_T2"/>
      <sheetName val="Ton_T3"/>
      <sheetName val="Ton_T4"/>
      <sheetName val="Ton_T5"/>
      <sheetName val="Ton_T6"/>
      <sheetName val="Ton_T7"/>
      <sheetName val="BKe_thang(12)"/>
      <sheetName val="BKe_thang_(1)"/>
      <sheetName val="BKe_thang_(2)"/>
      <sheetName val="BKe_thang_3"/>
      <sheetName val="BKe_thang4"/>
      <sheetName val="BKe_thang5"/>
      <sheetName val="BKe_thang6"/>
      <sheetName val="QT_DZ351"/>
      <sheetName val="DT_DZ_35_Kv1"/>
      <sheetName val="Chiet_tinh_dz351"/>
      <sheetName val="(3)BKMuavao-Co_HDGTGT1"/>
      <sheetName val="(4)BKMuavao-KTru_3%_1"/>
      <sheetName val="THANG_13"/>
      <sheetName val="THANG_41"/>
      <sheetName val="THANG_51"/>
      <sheetName val="THANG_61"/>
      <sheetName val="THANG_71"/>
      <sheetName val="THANG_81"/>
      <sheetName val="THANG_91"/>
      <sheetName val="THANG_101"/>
      <sheetName val="THANG_111"/>
      <sheetName val="THANG_121"/>
      <sheetName val="LUONG_THANG_THU_131"/>
      <sheetName val="CONG_DOAN1"/>
      <sheetName val="Chiet_tinh_dz221"/>
      <sheetName val="Ton_T121"/>
      <sheetName val="Ton_T11"/>
      <sheetName val="Ton_T21"/>
      <sheetName val="Ton_T31"/>
      <sheetName val="Ton_T41"/>
      <sheetName val="Ton_T51"/>
      <sheetName val="Ton_T61"/>
      <sheetName val="Ton_T71"/>
      <sheetName val="BKe_thang(12)1"/>
      <sheetName val="BKe_thang_(1)1"/>
      <sheetName val="BKe_thang_(2)1"/>
      <sheetName val="BKe_thang_31"/>
      <sheetName val="BKe_thang41"/>
      <sheetName val="BKe_thang51"/>
      <sheetName val="BKe_thang61"/>
      <sheetName val="K? HO?CH THANG 05"/>
      <sheetName val="PL5 CS ÐiêÒm baìn"/>
      <sheetName val="SS02-_x0010_5-10"/>
      <sheetName val="K_ HO_CH THANG 05"/>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1-03)"/>
      <sheetName val="xuat(1-03)"/>
      <sheetName val="X-N-T(T1-03)"/>
      <sheetName val="Nhap - t2"/>
      <sheetName val="xuat- t2 "/>
      <sheetName val="N-X-T(T2-03) "/>
      <sheetName val="Nhap - t3"/>
      <sheetName val="xuat- t3"/>
      <sheetName val="N-X-T(T3-03)"/>
      <sheetName val="nhap- t4"/>
      <sheetName val="xuat- t4"/>
      <sheetName val="N-X-T(T4)  "/>
      <sheetName val="nhap- t5"/>
      <sheetName val="nhap- t5 (2)"/>
      <sheetName val="N-X-T(T5) (2)"/>
      <sheetName val="xuat- t5"/>
      <sheetName val="Nhap-T6"/>
      <sheetName val="Xuat-T6"/>
      <sheetName val="N-X-T(6) "/>
      <sheetName val="N-X-T(6)  (2)"/>
      <sheetName val="Nhap-7"/>
      <sheetName val="Xuat-7"/>
      <sheetName val="N-X-T(7) "/>
      <sheetName val="N-X-T(7)  (2)"/>
      <sheetName val="Nhap-8"/>
      <sheetName val="Xuat-8"/>
      <sheetName val="N-X-T(8)"/>
      <sheetName val="N-X-T(8) (2)"/>
      <sheetName val="Nhap-T9"/>
      <sheetName val="Xuat-T9 "/>
      <sheetName val="N-X-T(9)"/>
      <sheetName val="N-X-T9(2)"/>
      <sheetName val="Nhap-T10 "/>
      <sheetName val="Xuat-T10"/>
      <sheetName val="N-X-T10"/>
      <sheetName val="N-X-T10 (2)"/>
      <sheetName val="Nhap-T11"/>
      <sheetName val="Xuat-T11"/>
      <sheetName val="N-X-T11"/>
      <sheetName val="Tinh toan(T5)"/>
      <sheetName val="NK Volvo"/>
      <sheetName val="NK Volvo (2)"/>
      <sheetName val="N-X-T(8)(3)"/>
      <sheetName val="Sheet 1"/>
      <sheetName val="NK Volvo (3)"/>
      <sheetName val="NK Volvo (4)"/>
      <sheetName val="Nhap-T11 (2)"/>
      <sheetName val="Xuat-T11 (3)"/>
      <sheetName val="Xuat-T1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sheetData sheetId="47"/>
      <sheetData sheetId="4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MTO REV_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Sheet1"/>
      <sheetName val="Sheet2"/>
      <sheetName val="Sheet3"/>
      <sheetName val="XL4Test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XL4Poppy"/>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TAI"/>
      <sheetName val="BANLE"/>
      <sheetName val="t.kho"/>
      <sheetName val="CLB"/>
      <sheetName val="phong"/>
      <sheetName val="hoat"/>
      <sheetName val="tong BH"/>
      <sheetName val="nhapkho"/>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T6"/>
      <sheetName val="Mau"/>
      <sheetName val="KH LDTL"/>
      <sheetName val="Q1-02"/>
      <sheetName val="Q2-02"/>
      <sheetName val="Q3-02"/>
      <sheetName val="Outlets"/>
      <sheetName val="PGs"/>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C45"/>
      <sheetName val="C47A"/>
      <sheetName val="C47B"/>
      <sheetName val="C46"/>
      <sheetName val="DsachYT"/>
      <sheetName val="00"/>
      <sheetName val="Bhxhoi"/>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LUONG CHO HUU"/>
      <sheetName val="thu BHXH,YT"/>
      <sheetName val="Phan bo"/>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SILICAT_x0003_"/>
      <sheetName val="SP-KH"/>
      <sheetName val="Xuatkho"/>
      <sheetName val="PT"/>
      <sheetName val="1-1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ummary"/>
      <sheetName val="Design &amp; Applications"/>
      <sheetName val="Building Summary"/>
      <sheetName val="Building"/>
      <sheetName val="External Works"/>
      <sheetName val="TH QT"/>
      <sheetName val="KE QT"/>
      <sheetName val="뜃맟뭁돽띿맟?-BLDG"/>
      <sheetName val="CAT_5"/>
      <sheetName val="현장관리비"/>
      <sheetName val="실행내역"/>
      <sheetName val="#REF"/>
      <sheetName val="적용환율"/>
      <sheetName val="合成単価作成表-BLDG"/>
      <sheetName val="MTL$-INTER"/>
      <sheetName val="Macro1"/>
      <sheetName val="Macro2"/>
      <sheetName val="Macro3"/>
      <sheetName val="Pivot(Silica|e)"/>
      <sheetName val="ROCK WO_x0003__x0000_"/>
      <sheetName val="Piwot(Silicate)"/>
      <sheetName val="Chiet tinh dz22"/>
      <sheetName val="Pi6ot(Urethan)"/>
      <sheetName val="gvl"/>
      <sheetName val="S¶_x001d_et2"/>
      <sheetName val="Dieu chinh"/>
      <sheetName val="So -03"/>
      <sheetName val="SoLD"/>
      <sheetName val="So-02"/>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TH VL, NC, DDHT Thanhphuoc"/>
      <sheetName val="???????-BLDG"/>
      <sheetName val="??-BLDG"/>
      <sheetName val="Du_lieu"/>
      <sheetName val="_x0000__x0000__x0000__x0000__x0000__x0000_"/>
      <sheetName val="TH T19"/>
      <sheetName val="INSUL"/>
      <sheetName val="Sheed4"/>
      <sheetName val="TH_x0001_NG2"/>
      <sheetName val="hoat_x0000_࣭_x0000__x0000__x0000__x0000__x0000__x0000__x0000__x0000__x0009__x0000_᭬࣫_x0000__x0004__x0000__x0000__x0000__x0000__x0000__x0000_ᑜ࣭_x0000__x0000__x0000_"/>
      <sheetName val="báo cáo thang11 m?i"/>
      <sheetName val="vi_du_n"/>
      <sheetName val="vi_du"/>
      <sheetName val="Bieu 2"/>
      <sheetName val="biªu 3"/>
      <sheetName val="bieu1 CTy"/>
      <sheetName val="b2 cty"/>
      <sheetName val="b 3 cty"/>
      <sheetName val="bieu 7"/>
      <sheetName val="bieu 9"/>
      <sheetName val="b14"/>
      <sheetName val="Sheet12"/>
      <sheetName val="Pivot(RckWool)"/>
      <sheetName val="DU TRU LUONG 06 TH@NG"/>
      <sheetName val="AN CA DH 10"/>
      <sheetName val="TAM UNG LNC TH 08"/>
      <sheetName val="Leong thoi gian th 10"/>
      <sheetName val="Luong thoa gian th 11"/>
      <sheetName val="at lns th 10"/>
      <sheetName val="tam ung DNS th 11"/>
      <sheetName val="XL4Test4"/>
      <sheetName val="Pivot(_x0007_lass Wool)"/>
      <sheetName val="bcôhang"/>
      <sheetName val="thong tin cty"/>
      <sheetName val="TK-in"/>
      <sheetName val="TKTH"/>
      <sheetName val="BR"/>
      <sheetName val="MV"/>
      <sheetName val="mvtt"/>
      <sheetName val="HDKT"/>
      <sheetName val="Linh tinh"/>
      <sheetName val="nk"/>
      <sheetName val="N"/>
      <sheetName val="X"/>
      <sheetName val="RDP013"/>
      <sheetName val="NEW-PANEL"/>
      <sheetName val="Sheev6"/>
      <sheetName val="Nhap fon gia VL dia phuong"/>
      <sheetName val="CT Thang Mo"/>
      <sheetName val="CT  PL"/>
      <sheetName val="Chi tiet"/>
      <sheetName val="Giai trinh"/>
      <sheetName val="EQUIPMENT -2"/>
      <sheetName val="전차선로 물량표"/>
      <sheetName val="PBS"/>
      <sheetName val="간접비내역-1"/>
      <sheetName val="Basic"/>
      <sheetName val="DESIGN CRITERIA"/>
      <sheetName val="용기"/>
      <sheetName val="TT_10KV"/>
      <sheetName val="\uong mot ngay cong xay lap"/>
      <sheetName val="Luong mot ngay conw0khao sat"/>
      <sheetName val="thu BHXH&lt;YT"/>
      <sheetName val="Q2-00"/>
      <sheetName val="Luong moÿÿngay cong khao sat"/>
      <sheetName val="PNT-QUOT-#3"/>
      <sheetName val="COAT&amp;WRAP-QIOT-#3"/>
      <sheetName val="Pivnt(RockWool)"/>
      <sheetName val="@ivot(Form Glass)"/>
      <sheetName val="Pivot(Gl!ss Wool)"/>
      <sheetName val="ROCK WOKL"/>
      <sheetName val="He co"/>
      <sheetName val="Bhitieu-dam cac loai"/>
      <sheetName val="_x0000_TCTiet"/>
      <sheetName val="공통가설"/>
      <sheetName val="뜃맟뭁돽띿맟_-BLDG"/>
      <sheetName val="_______-BLDG"/>
      <sheetName val="__-BLDG"/>
      <sheetName val="báo cáo thang11 m_i"/>
      <sheetName val="_uong mot ngay cong xay lap"/>
      <sheetName val="TK"/>
      <sheetName val="BRCT"/>
      <sheetName val="SDHD"/>
      <sheetName val="SDHD QUY"/>
      <sheetName val="GTGT135"/>
      <sheetName val="BRCN135"/>
      <sheetName val="MV135"/>
      <sheetName val="SDHDCN"/>
      <sheetName val="SDHDCN quy"/>
      <sheetName val="NXT.CN03"/>
      <sheetName val="bl"/>
      <sheetName val="20000000"/>
      <sheetName val="SILICCTE"/>
      <sheetName val="PACK"/>
      <sheetName val="INV"/>
      <sheetName val="TK-XUAT"/>
      <sheetName val="TK-NHAP"/>
      <sheetName val="DT 1"/>
      <sheetName val="DT 2"/>
      <sheetName val="DT 3"/>
      <sheetName val="DM"/>
      <sheetName val="SP"/>
      <sheetName val="NPL"/>
      <sheetName val="tong l²_x0000__x0000_ ban"/>
      <sheetName val="_x0010_ivot(Glass Wool)"/>
      <sheetName val="She%t1"/>
      <sheetName val="XL4Pop`y"/>
      <sheetName val="Chitieu-dam c!c loai"/>
      <sheetName val="@Gdg"/>
      <sheetName val="CocKJ1m"/>
      <sheetName val="BCDTK"/>
      <sheetName val="soktmay"/>
      <sheetName val="THVT"/>
      <sheetName val="PTDM"/>
      <sheetName val="ctTBA"/>
      <sheetName val="_x0010_iwot(Silicate)"/>
      <sheetName val="Tong hop QL4( - 3"/>
      <sheetName val="DG"/>
      <sheetName val="SN C£GNV"/>
      <sheetName val="TH4_x0000__x0000__x0000__x0000__x0000__x0000__x0000__x0000__x0000__x0000__x0000_ℨʢ_x0000__x0004__x0000__x0000__x0000__x0000__x0000__x0000_崬ʢ_x0000__x0000__x0000__x0000__x0000_"/>
      <sheetName val="100000P0"/>
      <sheetName val="RFP0_x0010_6"/>
      <sheetName val="RFP_x0010_07"/>
      <sheetName val="RFP_x0011_1(2)"/>
      <sheetName val="Q_x0012_-02"/>
      <sheetName val="Q_x0013_-02"/>
      <sheetName val="Du toan chi Tiet coc_x0000_nuoc"/>
      <sheetName val="Nhap_x0000_don gia VL dia phuong"/>
      <sheetName val="Luong mot ngay Cong xay_x0000_lap"/>
      <sheetName val="DU TRU LUONG_x0000_06 THANG"/>
      <sheetName val="PP tinh Thue thu_x0000_nhap"/>
      <sheetName val="Luong TG thang _x0010_9"/>
      <sheetName val="QT LUONG NS_x0000_T 07"/>
      <sheetName val="TAM_x0000_UNG LUONG NS TH 10"/>
      <sheetName val="??????"/>
      <sheetName val="ROCK WO_x0003_?"/>
      <sheetName val="DI-ESTI"/>
      <sheetName val="Gia vat tu"/>
      <sheetName val="TKP"/>
      <sheetName val="적용률"/>
      <sheetName val="d' cOng"/>
      <sheetName val="CAPTHOAP"/>
      <sheetName val=" t`oat nuoc nc"/>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湡㘱_x0005_䨀湡㜱"/>
      <sheetName val="ㅮԷ_x0000_慊ㅮԸ"/>
      <sheetName val="㠱_x0005_䨀湡〲_x0005_"/>
      <sheetName val="԰_x0000_慊㉮Ա_x0000_"/>
      <sheetName val="_x0005_䨀湡㈲_x0005_䨀"/>
      <sheetName val="_x0000_慊㉮Գ_x0000_慊㉮Դ"/>
      <sheetName val="湡㐲_x0005_䨀湡㔲_x0005_"/>
      <sheetName val="㔲_x0005_䨀"/>
      <sheetName val="hoat?࣭????????_x0009_?᭬࣫?_x0004_??????ᑜ࣭???"/>
      <sheetName val="MTO REV.2(ARMOR)"/>
      <sheetName val="MTO REV.0"/>
      <sheetName val="PTDGDT"/>
      <sheetName val="_x0000__x0000_CAI TK 112"/>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A²_x0000__x0000_NH"/>
      <sheetName val="POWER"/>
      <sheetName val="LABTOTAL"/>
      <sheetName val="견적조건"/>
      <sheetName val="BQ_Equip_Pipe"/>
      <sheetName val="BLR-S"/>
      <sheetName val="Est-Hotpp"/>
      <sheetName val="PipWT"/>
      <sheetName val="piping"/>
      <sheetName val="BREAKDOWN(철거설치)"/>
      <sheetName val="COA-17"/>
      <sheetName val="C-18"/>
      <sheetName val="_x0000__x0000_DT"/>
      <sheetName val="truy_x0000_thu"/>
      <sheetName val="truy"/>
      <sheetName val=" thoat nuog nc"/>
      <sheetName val="_x0000__x0000__x0000__x0000__x0000__x0009__x0000_??_x0000__x0004__x0000__x0000__x0000__x0000__x0000__x0000_??_x0000__x0000__x0000__x0000__x0000__x0000__x0000__x0000_??_x0000__x0000_"/>
      <sheetName val="POTAL"/>
      <sheetName val="Chitieu-dam cac_x0000_loai"/>
      <sheetName val=" thoau nuoc nc"/>
      <sheetName val="hoat?࣭?_x0009_᭬࣫?_x0004_?ᑜ࣭?ڬ࣫?"/>
      <sheetName val="T.Tinh"/>
      <sheetName val="Luo_x0009__x0008__x0010__x0000__x0000__x0006__x0005__x0000__x001c_ Í_x0007_ÉÀ_x0000__x0000__x0006__x0003__x0000__x0000_á_x0000__x0002__x0000_°"/>
      <sheetName val="TSCD"/>
      <sheetName val="VV-NTKL NHA _x000b_HO DOT 2"/>
      <sheetName val="THA_x000e_G 8"/>
      <sheetName val="AN CA _x0014_HANG 08"/>
      <sheetName val="Xuatkh/"/>
      <sheetName val="재료비"/>
      <sheetName val="BQ List"/>
      <sheetName val="ࡍ_x0000_慂杮朠慩_x000a_䠀乁⁇䥔久䈠佁_x000b_吀⁈"/>
      <sheetName val="KHQT-00-01"/>
      <sheetName val="Coc$0x40cm"/>
      <sheetName val="&quot;0ngay"/>
      <sheetName val="báo cák thang11 mới"/>
      <sheetName val="THANG'"/>
      <sheetName val="CN"/>
      <sheetName val="BCN"/>
      <sheetName val="Q TOAN"/>
      <sheetName val="NO MUA"/>
      <sheetName val="VO CHAI"/>
      <sheetName val="VC THU HOI"/>
      <sheetName val="?????_x0009_????_x0004_????????????????????"/>
      <sheetName val="hoat_x0000_?_x0000__x0009_??_x0000__x0004__x0000_??_x0000_??_x0000_"/>
      <sheetName val="hoat??????????_x0009_????_x0004_???????????"/>
      <sheetName val="hoat???_x0009_???_x0004_???????"/>
      <sheetName val="????"/>
      <sheetName val="báo cák thang11 m?i"/>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tong l²?? ban"/>
      <sheetName val="???????"/>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TA²"/>
      <sheetName val="hoat_x0000_࣭_x0000__x0009_᭬࣫_x0000__x0004__x0000_ᑜ࣭_x0000_ڬ࣫_x0000_"/>
      <sheetName val="Package A"/>
      <sheetName val="Package B"/>
      <sheetName val="PIPE"/>
      <sheetName val="FLANGE"/>
      <sheetName val="VALVE"/>
      <sheetName val="Mech_1030"/>
      <sheetName val="Tro giup"/>
      <sheetName val="Bia"/>
      <sheetName val="So lieu"/>
      <sheetName val="ፌ"/>
      <sheetName val="ROCK WO_x0003_"/>
      <sheetName val=""/>
      <sheetName val="KL_x0000_LAP TH KHO"/>
      <sheetName val="呅吠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refreshError="1"/>
      <sheetData sheetId="287"/>
      <sheetData sheetId="288" refreshError="1"/>
      <sheetData sheetId="289"/>
      <sheetData sheetId="290" refreshError="1"/>
      <sheetData sheetId="291"/>
      <sheetData sheetId="292"/>
      <sheetData sheetId="293"/>
      <sheetData sheetId="294"/>
      <sheetData sheetId="295"/>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refreshError="1"/>
      <sheetData sheetId="372" refreshError="1"/>
      <sheetData sheetId="373"/>
      <sheetData sheetId="374"/>
      <sheetData sheetId="375"/>
      <sheetData sheetId="376"/>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sheetData sheetId="414"/>
      <sheetData sheetId="415"/>
      <sheetData sheetId="416" refreshError="1"/>
      <sheetData sheetId="417" refreshError="1"/>
      <sheetData sheetId="418" refreshError="1"/>
      <sheetData sheetId="419" refreshError="1"/>
      <sheetData sheetId="420" refreshError="1"/>
      <sheetData sheetId="421"/>
      <sheetData sheetId="422"/>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sheetData sheetId="525" refreshError="1"/>
      <sheetData sheetId="526" refreshError="1"/>
      <sheetData sheetId="527" refreshError="1"/>
      <sheetData sheetId="528"/>
      <sheetData sheetId="529"/>
      <sheetData sheetId="530"/>
      <sheetData sheetId="531"/>
      <sheetData sheetId="532" refreshError="1"/>
      <sheetData sheetId="533" refreshError="1"/>
      <sheetData sheetId="534" refreshError="1"/>
      <sheetData sheetId="535"/>
      <sheetData sheetId="536"/>
      <sheetData sheetId="537"/>
      <sheetData sheetId="538"/>
      <sheetData sheetId="539" refreshError="1"/>
      <sheetData sheetId="540" refreshError="1"/>
      <sheetData sheetId="541"/>
      <sheetData sheetId="542" refreshError="1"/>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DTHH"/>
      <sheetName val="Bang1"/>
      <sheetName val="TAI TRONG"/>
      <sheetName val="NOI LUC"/>
      <sheetName val="TINH DUYET THTT CHINH"/>
      <sheetName val="TDUYET THTT PHU"/>
      <sheetName val="TINH DAO DONG VA DO VONG"/>
      <sheetName val="TINH NEO"/>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1"/>
      <sheetName val="Q1-02"/>
      <sheetName val="Q2-02"/>
      <sheetName val="Q3-02"/>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Chi tiet - Dv lap"/>
      <sheetName val="TH KHTC"/>
      <sheetName val="000"/>
      <sheetName val="00000000"/>
      <sheetName val="MD"/>
      <sheetName val="ND"/>
      <sheetName val="CONG"/>
      <sheetName val="DGCT"/>
      <sheetName val="Dong Dau"/>
      <sheetName val="Dong Dau (2)"/>
      <sheetName val="Sau dong"/>
      <sheetName val="Ma xa"/>
      <sheetName val="My dinh"/>
      <sheetName val="Tong cong"/>
      <sheetName val="Chart2"/>
      <sheetName val="Phu luc"/>
      <sheetName val="Gia trÞ"/>
      <sheetName val="TH"/>
      <sheetName val="XXXXXXXX"/>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Bia"/>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Quang Tri"/>
      <sheetName val="TTHue"/>
      <sheetName val="Da Nang"/>
      <sheetName val="Quang Nam"/>
      <sheetName val="Quang Ngai"/>
      <sheetName val="TH DH-QN"/>
      <sheetName val="KP HD"/>
      <sheetName val="DB HD"/>
      <sheetName val="KH 2003 (moi max)"/>
      <sheetName val="KM"/>
      <sheetName val="KHOANMUC"/>
      <sheetName val="CPQL"/>
      <sheetName val="SANLUONG"/>
      <sheetName val="SSCP-SL"/>
      <sheetName val="CPSX"/>
      <sheetName val="KQKD"/>
      <sheetName val="CDSL (2)"/>
      <sheetName val="tscd"/>
      <sheetName val="00000001"/>
      <sheetName val="00000002"/>
      <sheetName val="00000003"/>
      <sheetName val="00000004"/>
      <sheetName val="Thuyet minh"/>
      <sheetName val="CQ-HQ"/>
      <sheetName val="be tong"/>
      <sheetName val="Thep"/>
      <sheetName val="Tong hop thep"/>
      <sheetName val="KH12"/>
      <sheetName val="CN12"/>
      <sheetName val="HD12"/>
      <sheetName val="KH1"/>
      <sheetName val="tong hop"/>
      <sheetName val="phan tich DG"/>
      <sheetName val="gia vat lieu"/>
      <sheetName val="gia xe may"/>
      <sheetName val="gia nhan cong"/>
      <sheetName val="XL4Test5"/>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Gia VL"/>
      <sheetName val="Bang gia ca may"/>
      <sheetName val="Bang luong CB"/>
      <sheetName val="Bang P.tich CT"/>
      <sheetName val="D.toan chi tiet"/>
      <sheetName val="Bang TH Dtoan"/>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Quyet toan"/>
      <sheetName val="Thu hoi"/>
      <sheetName val="Lai vay"/>
      <sheetName val="Tien vay"/>
      <sheetName val="Cong no"/>
      <sheetName val="Cop pha"/>
      <sheetName val="10000000"/>
      <sheetName val="20000000"/>
      <sheetName val="Sheet18"/>
      <sheetName val="Sheet19"/>
      <sheetName val="sent to"/>
      <sheetName val="Congty"/>
      <sheetName val="VPPN"/>
      <sheetName val="XN74"/>
      <sheetName val="XN54"/>
      <sheetName val="XN33"/>
      <sheetName val="NK96"/>
      <sheetName val="THCT"/>
      <sheetName val="cap cho cac DT"/>
      <sheetName val="Ung - hoan"/>
      <sheetName val="CP may"/>
      <sheetName val="SS"/>
      <sheetName val="NVL"/>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CHIT"/>
      <sheetName val="THXH"/>
      <sheetName val="BHXH"/>
      <sheetName val="PTCT"/>
      <sheetName val="CDghino"/>
      <sheetName val="Tonghop"/>
      <sheetName val="TH (T1-6)"/>
      <sheetName val="ThueTB"/>
      <sheetName val="SCD5"/>
      <sheetName val=" NL"/>
      <sheetName val="CPVL-CPM"/>
      <sheetName val="PTVL"/>
      <sheetName val="CD1"/>
      <sheetName val=" NL (2)"/>
      <sheetName val="CDTHCT"/>
      <sheetName val="CDTHCT (3)"/>
      <sheetName val="CT Duong"/>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Thep "/>
      <sheetName val="Chi tiet Khoi luong"/>
      <sheetName val="TH khoi luong"/>
      <sheetName val="Chiet tinh vat lieu "/>
      <sheetName val="TH KL VL"/>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cd viaK0-T6"/>
      <sheetName val="cdvia T6-Tc24"/>
      <sheetName val="cdvia Tc24-T46"/>
      <sheetName val="cdbtnL2ko-k0+361"/>
      <sheetName val="cd btnL2k0+361-T19"/>
      <sheetName val="01"/>
      <sheetName val="02"/>
      <sheetName val="03"/>
      <sheetName val="04"/>
      <sheetName val="05"/>
      <sheetName val="Sheet20"/>
      <sheetName val="9"/>
      <sheetName val="10"/>
      <sheetName val="tc"/>
      <sheetName val="TDT"/>
      <sheetName val="xl"/>
      <sheetName val="NN"/>
      <sheetName val="Tralaivay"/>
      <sheetName val="TBTN"/>
      <sheetName val="CPTV"/>
      <sheetName val="PCCHAY"/>
      <sheetName val="dtks"/>
      <sheetName val="Dutoan"/>
      <sheetName val="congtac vien-uy"/>
      <sheetName val="Nhan luc2001"/>
      <sheetName val="Vattu2"/>
      <sheetName val="Vattu"/>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T xa"/>
      <sheetName val="TLGC"/>
      <sheetName val="BL"/>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M"/>
      <sheetName val="BU-gian"/>
      <sheetName val="Bu-Ha"/>
      <sheetName val="PTVT"/>
      <sheetName val="Gia DAN"/>
      <sheetName val="Dan"/>
      <sheetName val="Cuoc"/>
      <sheetName val="Bugia"/>
      <sheetName val="KL57"/>
      <sheetName val="cong bien t10"/>
      <sheetName val="luong t9 "/>
      <sheetName val="bb t9"/>
      <sheetName val="XETT10-03"/>
      <sheetName val="bxet"/>
      <sheetName val="Phu luc HD"/>
      <sheetName val="Gia du thau"/>
      <sheetName val="PTDG"/>
      <sheetName val="Ca xe"/>
      <sheetName val="DT"/>
      <sheetName val="THND"/>
      <sheetName val="THMD"/>
      <sheetName val="Phtro1"/>
      <sheetName val="DTKS1"/>
      <sheetName val="CT1m"/>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L VL"/>
      <sheetName val="KHCTiet"/>
      <sheetName val="QT 9-6"/>
      <sheetName val="Thuong luu HB"/>
      <sheetName val="QT03"/>
      <sheetName val="QT"/>
      <sheetName val="PTmay"/>
      <sheetName val="KK"/>
      <sheetName val="QT Ky T"/>
      <sheetName val="BCKT"/>
      <sheetName val="bc vt TON BAI"/>
      <sheetName val="XXXXXXX0"/>
      <sheetName val="C45A-BH"/>
      <sheetName val="C46A-BH"/>
      <sheetName val="C47A-BH"/>
      <sheetName val="C48A-BH"/>
      <sheetName val="S-53-1"/>
      <sheetName val="cong Q2"/>
      <sheetName val="T.U luong Q1"/>
      <sheetName val="T.U luong Q2"/>
      <sheetName val="T.U luong Q3"/>
      <sheetName val="THDGK"/>
      <sheetName val="THDGTT"/>
      <sheetName val="Cong hop"/>
      <sheetName val="nt+dd+cl"/>
      <sheetName val="kc+conlaiql"/>
      <sheetName val="kc+clai(107)"/>
      <sheetName val="duong(107)"/>
      <sheetName val="qui1"/>
      <sheetName val="1,3-30,4"/>
      <sheetName val="kldukien"/>
      <sheetName val="kldukien (107)"/>
      <sheetName val="thang4"/>
      <sheetName val="Ke"/>
      <sheetName val=""/>
      <sheetName val="CT 03"/>
      <sheetName val="TH 03"/>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qui1 (2)"/>
      <sheetName val="clvl"/>
      <sheetName val="Chenh lech"/>
      <sheetName val="Kinh phí"/>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efreshError="1"/>
      <sheetData sheetId="718" refreshError="1"/>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NEW_PANEL"/>
      <sheetName val="dg-VTu"/>
      <sheetName val="Gia Ban"/>
      <sheetName val="GiaCK"/>
      <sheetName val="Gia DSRs"/>
      <sheetName val="Gia NTD"/>
      <sheetName val="GiaVon"/>
      <sheetName val="00000000"/>
      <sheetName val="Outlets"/>
      <sheetName val="PGs"/>
      <sheetName val="PANEL ?????"/>
      <sheetName val="Sheet2"/>
      <sheetName val="Sheet3"/>
      <sheetName val="Sheet4"/>
      <sheetName val="Sheet5"/>
      <sheetName val="Sheet6"/>
      <sheetName val="Sheet7"/>
      <sheetName val="Sheet8"/>
      <sheetName val="Sheet9"/>
      <sheetName val="Sheet10"/>
      <sheetName val="Sheet11"/>
      <sheetName val="XL4Poppy"/>
    </sheetNames>
    <sheetDataSet>
      <sheetData sheetId="0"/>
      <sheetData sheetId="1"/>
      <sheetData sheetId="2"/>
      <sheetData sheetId="3"/>
      <sheetData sheetId="4" refreshError="1"/>
      <sheetData sheetId="5" refreshError="1"/>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1-03)"/>
      <sheetName val="xuat(1-03)"/>
      <sheetName val="X-N-T(T1-03)"/>
      <sheetName val="Nhap - t2"/>
      <sheetName val="xuat- t2 "/>
      <sheetName val="N-X-T(T2-03) "/>
      <sheetName val="Nhap - t3"/>
      <sheetName val="xuat- t3"/>
      <sheetName val="N-X-T(T3-03)"/>
      <sheetName val="nhap- t4"/>
      <sheetName val="xuat- t4"/>
      <sheetName val="N-X-T(T4)  "/>
      <sheetName val="nhap- Th5"/>
      <sheetName val="xuat- th5"/>
      <sheetName val="X-N-T(t5)"/>
      <sheetName val="nhap- t6"/>
      <sheetName val="nhap- t6 (2)"/>
      <sheetName val="Nhap-6"/>
      <sheetName val="Xuat-6"/>
      <sheetName val="N-X-T(6) "/>
      <sheetName val="N-X-T(6)  (2)"/>
      <sheetName val="Nhap-7"/>
      <sheetName val="Xuat-7"/>
      <sheetName val="nhap-8"/>
      <sheetName val="Xuat-8"/>
      <sheetName val="Nhap-T9"/>
      <sheetName val="Xuat-T9 "/>
      <sheetName val="Nhap-T10 "/>
      <sheetName val="Xuat-T10"/>
      <sheetName val="Nhap-T11"/>
      <sheetName val="Xuat-T11"/>
      <sheetName val="Mua"/>
      <sheetName val="Xuat-T10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TBA"/>
      <sheetName val="Netbook"/>
      <sheetName val="DZ"/>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hep be"/>
      <sheetName val="Thep than"/>
      <sheetName val="Thep xa mu"/>
      <sheetName val="142201-T1-th"/>
      <sheetName val="142201-T1 "/>
      <sheetName val="142201-T2-th "/>
      <sheetName val="142201-T2"/>
      <sheetName val="142201-T3-th "/>
      <sheetName val="142201-T3"/>
      <sheetName val="142201-T4-th  "/>
      <sheetName val="142201-T4"/>
      <sheetName val="142201-T6"/>
      <sheetName val="142201-T10"/>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10000000"/>
      <sheetName val="socai2003-6tc"/>
      <sheetName val="SCT Cong trinh"/>
      <sheetName val="06-2003 (2)"/>
      <sheetName val="CDPS 6tc"/>
      <sheetName val="SCT Nha thau"/>
      <sheetName val="socai2003 (6tc)dp"/>
      <sheetName val="socai2003 (6tc)"/>
      <sheetName val="CDPS 6tc (2)"/>
      <sheetName val="20000000"/>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Sheet6"/>
      <sheetName val="KM"/>
      <sheetName val="KHOANMUC"/>
      <sheetName val="QTNC"/>
      <sheetName val="CPQL"/>
      <sheetName val="SANLUONG"/>
      <sheetName val="SSCP-SL"/>
      <sheetName val="CPSX"/>
      <sheetName val="KQKD"/>
      <sheetName val="CDSL (2)"/>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LuongT1"/>
      <sheetName val="LuongT2"/>
      <sheetName val="luongthang12"/>
      <sheetName val="LuongT11"/>
      <sheetName val="thang5"/>
      <sheetName val="T7"/>
      <sheetName val="T10"/>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HTSCD1"/>
      <sheetName val="KHTSCD2"/>
      <sheetName val="SoCaiTM"/>
      <sheetName val="NK"/>
      <sheetName val="PhieuKT"/>
      <sheetName val="tb1"/>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TH"/>
      <sheetName val="Sheet9"/>
      <sheetName val="Sheet10"/>
      <sheetName val="Sheet7"/>
      <sheetName val="Sheet8"/>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IBASE2.XLSѝTNHNoi"/>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km248"/>
      <sheetName val="Tonghop"/>
      <sheetName val="Congty"/>
      <sheetName val="VPPN"/>
      <sheetName val="XN74"/>
      <sheetName val="XN54"/>
      <sheetName val="XN33"/>
      <sheetName val="NK96"/>
      <sheetName val="XL4Test5"/>
      <sheetName val="Thau"/>
      <sheetName val="CT-BT"/>
      <sheetName val="Xa"/>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BangTH"/>
      <sheetName val="Xaylap "/>
      <sheetName val="Nhan cong"/>
      <sheetName val="Thietbi"/>
      <sheetName val="Diengiai"/>
      <sheetName val="Vanchuyen"/>
      <sheetName val="Song trai"/>
      <sheetName val="Dinh+ha nha"/>
      <sheetName val="PTLK"/>
      <sheetName val="NG k"/>
      <sheetName val="THcong"/>
      <sheetName val="BHXH"/>
      <sheetName val="BHXH12"/>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phan tich DG"/>
      <sheetName val="gia vat lieu"/>
      <sheetName val="gia xe may"/>
      <sheetName val="gia nhan cong"/>
      <sheetName val="HHVt "/>
      <sheetName val="F ThanhTri"/>
      <sheetName val="F Gialam"/>
      <sheetName val="DG"/>
      <sheetName val="TH dam"/>
      <sheetName val="SX dam"/>
      <sheetName val="LD dam"/>
      <sheetName val="Bang gia VL"/>
      <sheetName val="Gia NC"/>
      <sheetName val="Gia may"/>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GIA NUOC"/>
      <sheetName val="GIA DIEN THOAI"/>
      <sheetName val="GIA DIEN"/>
      <sheetName val="chiet tinh XD"/>
      <sheetName val="Triet T"/>
      <sheetName val="Phan tich gia"/>
      <sheetName val="pHAN CONG"/>
      <sheetName val="GIA XD"/>
      <sheetName val="T8-9)"/>
      <sheetName val="THVDT"/>
      <sheetName val="NCLD"/>
      <sheetName val="MMTB"/>
      <sheetName val="CFSX"/>
      <sheetName val="KQ"/>
      <sheetName val="DTSL"/>
      <sheetName val="XDCBK"/>
      <sheetName val="KHTSCD"/>
      <sheetName val="XDCB"/>
      <sheetName val="Trich Ngang"/>
      <sheetName val="Danh sach Rieng"/>
      <sheetName val="Dia Diem Thuc Tap"/>
      <sheetName val="De Tai Thuc Tap"/>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TH du toan "/>
      <sheetName val="Du toan "/>
      <sheetName val="C.Tinh"/>
      <sheetName val="TK_cap"/>
      <sheetName val="XXXXXX_xda24_X"/>
      <sheetName val="Nhap lieu"/>
      <sheetName val="PGT"/>
      <sheetName val="Tien dien"/>
      <sheetName val="Thue GTGT"/>
      <sheetName val="CV di trong  dong"/>
      <sheetName val="Heso 3-2004 (3)"/>
      <sheetName val="Luong (2)"/>
      <sheetName val="heso"/>
      <sheetName val="heso T3"/>
      <sheetName val="heso T4"/>
      <sheetName val="heso T5"/>
      <sheetName val="Heso T6"/>
      <sheetName val="Heso T7"/>
      <sheetName val="Heso T8"/>
      <sheetName val="Heso T9"/>
      <sheetName val="Heso 2-2004"/>
      <sheetName val="Heso 3-2004"/>
      <sheetName val="chamcong"/>
      <sheetName val="Baocao"/>
      <sheetName val="Heso 3-2004 (2)"/>
      <sheetName val="CamPha"/>
      <sheetName val="MongCai"/>
      <sheetName val="30000000"/>
      <sheetName val="40000000"/>
      <sheetName val="50000000"/>
      <sheetName val="60000000"/>
      <sheetName val="70000000"/>
      <sheetName val="D1"/>
      <sheetName val="D2"/>
      <sheetName val="D3"/>
      <sheetName val="D4"/>
      <sheetName val="D5"/>
      <sheetName val="D6"/>
      <sheetName val="Tay ninh"/>
      <sheetName val="A.Duc"/>
      <sheetName val="TH2003"/>
      <sheetName val="GVL"/>
      <sheetName val="giai thich"/>
      <sheetName val="CTDG"/>
      <sheetName val="DT - Ro"/>
      <sheetName val="TH - Ro "/>
      <sheetName val="GDT - Ro"/>
      <sheetName val="DT - TB"/>
      <sheetName val="TH - TB"/>
      <sheetName val="GDT - TB"/>
      <sheetName val="DT - NT"/>
      <sheetName val="TH - NT"/>
      <sheetName val="GDT - NT"/>
      <sheetName val="THGT"/>
      <sheetName val="HD1"/>
      <sheetName val="HD4"/>
      <sheetName val="HD3"/>
      <sheetName val="HD5"/>
      <sheetName val="HD7"/>
      <sheetName val="HD6"/>
      <sheetName val="HD2"/>
      <sheetName val="T03 - 03"/>
      <sheetName val="AncaT03"/>
      <sheetName val="THL T03"/>
      <sheetName val="TTBC T03"/>
      <sheetName val="Luong noi Bo - T3"/>
      <sheetName val="Tong hop - T3"/>
      <sheetName val="Thuong Quy 3"/>
      <sheetName val="LBS"/>
      <sheetName val="Phu cap trach nhiem"/>
      <sheetName val=" KQTH quy hoach 135"/>
      <sheetName val="Bao cao KQTH quy hoach 135"/>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1"/>
      <sheetName val="t12"/>
      <sheetName val="0103"/>
      <sheetName val="0203"/>
      <sheetName val="th-nop"/>
      <sheetName val="tô rôiDY"/>
      <sheetName val="ATCANING"/>
      <sheetName val="KNH"/>
      <sheetName val="KVF"/>
      <sheetName val="Hoada"/>
      <sheetName val="Nguphuc"/>
      <sheetName val="TCH"/>
      <sheetName val="TTT"/>
      <sheetName val="TVK"/>
      <sheetName val="Tuichuom"/>
      <sheetName val="NKDT"/>
      <sheetName val="Vitagin"/>
      <sheetName val="T.K H.T.T5"/>
      <sheetName val="T.K T7"/>
      <sheetName val="TK T6"/>
      <sheetName val="T.K T5"/>
      <sheetName val="Bang thong ke hang ton"/>
      <sheetName val="thong ke "/>
      <sheetName val="T.KT04"/>
      <sheetName val="CT 03"/>
      <sheetName val="TH 03"/>
      <sheetName val="Thi_sinh"/>
      <sheetName val="Luong"/>
      <sheetName val="HethongDebai"/>
      <sheetName val="TH131"/>
      <sheetName val="TH155&amp;156"/>
      <sheetName val="TH152"/>
      <sheetName val="TH153"/>
      <sheetName val="TH331"/>
      <sheetName val="KhoDL"/>
      <sheetName val="THSPHH"/>
      <sheetName val="THVL"/>
      <sheetName val="DMTK"/>
      <sheetName val="DMKH"/>
      <sheetName val="DMNB"/>
      <sheetName val="DMNV"/>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bcth 05-04"/>
      <sheetName val="baocao 05-04"/>
      <sheetName val="bcth04-04"/>
      <sheetName val="baocao04-04"/>
      <sheetName val="bcth03-04"/>
      <sheetName val="baocao03-04"/>
      <sheetName val="bcth02-04"/>
      <sheetName val="baocao02-04"/>
      <sheetName val="bcth01-04"/>
      <sheetName val="baocao01-04"/>
      <sheetName val="THQI"/>
      <sheetName val="T6"/>
      <sheetName val="THQII"/>
      <sheetName val="Trung"/>
      <sheetName val="THQIII"/>
      <sheetName val="THT nam 04"/>
      <sheetName val="Co~g hop 1,5x1,5"/>
      <sheetName val="Dinh_ha nha"/>
      <sheetName val="[IBASE2.XLS}BHXH"/>
      <sheetName val="TH_BQ"/>
      <sheetName val="20+590"/>
      <sheetName val="20+1218"/>
      <sheetName val="22+456"/>
      <sheetName val="23+200"/>
      <sheetName val="23+327"/>
      <sheetName val="23+468"/>
      <sheetName val="23+563"/>
      <sheetName val="24+520"/>
      <sheetName val="25"/>
      <sheetName val="Luu goc"/>
      <sheetName val="cn"/>
      <sheetName val="ct"/>
      <sheetName val="Nc"/>
      <sheetName val="pt"/>
      <sheetName val="q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sheetData sheetId="717" refreshError="1"/>
      <sheetData sheetId="718" refreshError="1"/>
      <sheetData sheetId="719"/>
      <sheetData sheetId="720"/>
      <sheetData sheetId="721"/>
      <sheetData sheetId="722"/>
      <sheetData sheetId="72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RPT"/>
      <sheetName val="DI_ESTI"/>
      <sheetName val="XL4Poppy"/>
      <sheetName val="IBASE"/>
      <sheetName val="Bthkl"/>
      <sheetName val="KM247"/>
      <sheetName val="km248"/>
      <sheetName val="DTOAN"/>
      <sheetName val="THOP-KL"/>
      <sheetName val="CPHI KKS"/>
      <sheetName val="DG-KSAT"/>
      <sheetName val="TMDAUTU"/>
      <sheetName val="GTXLCHINH"/>
      <sheetName val="CPHI-TT"/>
      <sheetName val="CPHIBUVL"/>
      <sheetName val="CHENH VLCHINH"/>
      <sheetName val="GVLHT"/>
      <sheetName val="DGCT-QCH2"/>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Sheet1"/>
      <sheetName val="Cmay"/>
      <sheetName val="VL (2)"/>
      <sheetName val="May (2)"/>
      <sheetName val="GVLBo"/>
      <sheetName val="XXXXXXXX"/>
      <sheetName val="Gia VL"/>
      <sheetName val="Bang gia ca may"/>
      <sheetName val="Bang luong CB"/>
      <sheetName val="Bang P.tich CT"/>
      <sheetName val="D.toan chi tiet"/>
      <sheetName val="Bang TH Dtoan"/>
      <sheetName val="VL"/>
      <sheetName val="NHAN CONG"/>
      <sheetName val="MAY"/>
      <sheetName val="VUA"/>
      <sheetName val="DG CAU"/>
      <sheetName val="THOP CAU"/>
      <sheetName val="TLP CAU"/>
      <sheetName val="DAKT1"/>
      <sheetName val="Sheet3"/>
      <sheetName val="XL4Test5"/>
      <sheetName val="XL4Poppy (2)"/>
      <sheetName val="gVL"/>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00000000"/>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Congty"/>
      <sheetName val="VPPN"/>
      <sheetName val="XN74"/>
      <sheetName val="XN54"/>
      <sheetName val="XN33"/>
      <sheetName val="NK96"/>
      <sheetName val="THANG 09"/>
      <sheetName val="THANG 10"/>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tong hop"/>
      <sheetName val="phan tich DG"/>
      <sheetName val="gia vat lieu"/>
      <sheetName val="gia xe may"/>
      <sheetName val="gia nhan cong"/>
      <sheetName val="Quang Tri"/>
      <sheetName val="TTHue"/>
      <sheetName val="Da Nang"/>
      <sheetName val="Quang Nam"/>
      <sheetName val="Quang Ngai"/>
      <sheetName val="TH DH-QN"/>
      <sheetName val="KP HD"/>
      <sheetName val="DB HD"/>
      <sheetName val="DTCT"/>
      <sheetName val="PTVT"/>
      <sheetName val="THDT"/>
      <sheetName val="THVT"/>
      <sheetName val="THGT"/>
      <sheetName val="TK331A"/>
      <sheetName val="TK131B"/>
      <sheetName val="TK131A"/>
      <sheetName val="TK 331c1"/>
      <sheetName val="TK331C"/>
      <sheetName val="CT331-2003"/>
      <sheetName val="CT 331"/>
      <sheetName val="CT131-2003"/>
      <sheetName val="CT 131"/>
      <sheetName val="TK331B"/>
      <sheetName val="Duong con' vu hcm (8)"/>
      <sheetName val="Chart1"/>
      <sheetName val="Du an nut So"/>
      <sheetName val="Du an nut vong"/>
      <sheetName val="Du an nut Nam cau Tlong"/>
      <sheetName val="Duong kim lien 0 cho dua"/>
      <sheetName val="Du an KTDC Nam trung yen"/>
      <sheetName val="caodothietke"/>
      <sheetName val="General"/>
      <sheetName val="Nhap"/>
      <sheetName val="Thang 8"/>
      <sheetName val="Macro1"/>
      <sheetName val="Macro2"/>
      <sheetName val="Macro3"/>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Qheet3"/>
      <sheetName val="C47-456"/>
      <sheetName val="C46"/>
      <sheetName val="C47-PII"/>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ESTI_"/>
      <sheetName val="Giao"/>
      <sheetName val="CHIET TINH"/>
      <sheetName val="Bang Gia VL"/>
      <sheetName val="Tong Hop KP"/>
      <sheetName val=" DON GIA"/>
      <sheetName val="CHIET TINH THEO KH.SAT"/>
      <sheetName val="phuluc1"/>
      <sheetName val="phuluc2"/>
      <sheetName val="phuluc3A"/>
      <sheetName val="phuluc3b"/>
      <sheetName val="Phuluc4"/>
      <sheetName val="phuluc5"/>
      <sheetName val="phuluc9"/>
      <sheetName val="phuluc10"/>
      <sheetName val="PHULUC11"/>
      <sheetName val="phuluc12"/>
      <sheetName val="CCDN"/>
      <sheetName val="XTRA"/>
      <sheetName val="Daily"/>
      <sheetName val="Data-input"/>
      <sheetName val="Data"/>
      <sheetName val="TK12"/>
      <sheetName val="MAU_A"/>
      <sheetName val="MAU_B"/>
      <sheetName val="MAU_C"/>
      <sheetName val="MAU E -XCD"/>
      <sheetName val="MAU E -TDS1"/>
      <sheetName val="MAU E- NDH"/>
      <sheetName val="__ MTL"/>
      <sheetName val="__ DI"/>
      <sheetName val="CAN DOI"/>
      <sheetName val="GIA TRI"/>
      <sheetName val="NO-DIEN"/>
      <sheetName val="NO-KHUONG"/>
      <sheetName val="NO-DUNG"/>
      <sheetName val="NO-DU"/>
      <sheetName val="TC NV"/>
      <sheetName val="khuong"/>
      <sheetName val="du"/>
      <sheetName val="dien"/>
      <sheetName val="dung"/>
      <sheetName val="NO-BANG"/>
      <sheetName val="ton kho"/>
      <sheetName val="bang"/>
      <sheetName val="10000000"/>
      <sheetName val="TH9"/>
      <sheetName val="TH12"/>
      <sheetName val="THKP"/>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20000000"/>
      <sheetName val="30000000"/>
      <sheetName val="40000000"/>
      <sheetName val="50000000"/>
      <sheetName val="60000000"/>
      <sheetName val="XXXXXXX0"/>
      <sheetName val="thang 1"/>
      <sheetName val="thang2"/>
      <sheetName val="Thang 3"/>
      <sheetName val="thang5"/>
      <sheetName val="thang4"/>
      <sheetName val="00000001"/>
      <sheetName val="CTP"/>
      <sheetName val="LUONG"/>
      <sheetName val="lphi"/>
      <sheetName val="PLTT"/>
      <sheetName val="KTPLVP"/>
      <sheetName val="KTPL2"/>
      <sheetName val="KHKPHT7-02"/>
      <sheetName val="KHKPHT9-02"/>
      <sheetName val="KHKPHT8-02"/>
      <sheetName val="KHKPHT10-02 "/>
      <sheetName val="lptinh"/>
      <sheetName val="UHNN"/>
      <sheetName val="BHYT02"/>
      <sheetName val="TLL"/>
      <sheetName val="TLL (2)"/>
      <sheetName val="TLLhuyen"/>
      <sheetName val="Dsach"/>
      <sheetName val="TCONG"/>
      <sheetName val="KHKPHT1-02"/>
      <sheetName val="ththdt"/>
      <sheetName val="CPTHU"/>
      <sheetName val="THKPCHD"/>
      <sheetName val="QD100"/>
      <sheetName val="KHKPHT-T6-02"/>
      <sheetName val="giao nv TH chong qua tai dot 3"/>
      <sheetName val="ton tai cac tram dong dien"/>
      <sheetName val="chong qua tai dot 3"/>
      <sheetName val="cac du an"/>
      <sheetName val="Chong qua tai dot 3 moi"/>
      <sheetName val="H.so tram chong qua tai dot 3"/>
      <sheetName val="cac tram dong dien"/>
      <sheetName val="Bieu ngang"/>
      <sheetName val="T.van gs"/>
      <sheetName val="23 tram von WB"/>
      <sheetName val="Chi phi den bu A"/>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Chart2"/>
      <sheetName val="Sheet4"/>
      <sheetName val="특외대"/>
      <sheetName val="TCT DIEN LUC (EVN)"/>
      <sheetName val="canh (2)"/>
      <sheetName val="canh"/>
      <sheetName val="Bang Don gia II"/>
      <sheetName val="TINHNEN"/>
      <sheetName val="Nen VN"/>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RUC TIEP"/>
      <sheetName val="GIAN TIEP"/>
      <sheetName val="HOP DONG"/>
      <sheetName val="CON LINH"/>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 MTL"/>
      <sheetName val="?? DI"/>
      <sheetName val="???"/>
      <sheetName val="THAYCTO "/>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MTL$-INTER"/>
      <sheetName val="pt0-1"/>
      <sheetName val="kp0-1"/>
      <sheetName val="0-1"/>
      <sheetName val="pt2-3"/>
      <sheetName val="thkp2-3"/>
      <sheetName val="clvl"/>
      <sheetName val="2-3"/>
      <sheetName val="cl1-2"/>
      <sheetName val="thkp1-2"/>
      <sheetName val="clvl1-2"/>
      <sheetName val="1-2"/>
      <sheetName val=""/>
      <sheetName val="[RPT.xlsၝCmay"/>
      <sheetName val="cot_xa"/>
      <sheetName val="Quet rac"/>
      <sheetName val="Bang 聧ia ca may"/>
      <sheetName val="km346+00-km346_x000b_240 (2)"/>
      <sheetName val="km342+297._x0015_8-km342+376.41"/>
      <sheetName val="km341+1077 -km34_x0011_+1177.61"/>
      <sheetName val="tienluong"/>
      <sheetName val="giamay"/>
      <sheetName val="km337+533î60-km3ó4 (2)"/>
      <sheetName val=" quy I-2005"/>
      <sheetName val="Quy 2- 2005 "/>
      <sheetName val="Quy III- 2005 "/>
      <sheetName val="Quy 4- 2005"/>
      <sheetName val="Duong cong vu hcm (8;) (:)"/>
      <sheetName val="Duofg cong vu hcm (7;) (2)"/>
      <sheetName val="[RPT.x"/>
      <sheetName val="Duïng cong vu hcm (13;) (2)"/>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Km346+60_x0010_-km346+820 (2)"/>
      <sheetName val="km346+00-km3_x0014_6+240 (_x0012_)"/>
      <sheetName val="km345+6_x0016_1-km345+000"/>
      <sheetName val="km342+_x0013_76.41- km342+520.29"/>
      <sheetName val="km342+29_x0017_.58-km3_x0014_2+376.41"/>
      <sheetName val="Bang ?ia ca may"/>
      <sheetName val="[RPT.xls?Cmay"/>
      <sheetName val="Ë261"/>
      <sheetName val="K261_x0000_Base"/>
      <sheetName val="K2_x0016_1 AC"/>
      <sheetName val="N_x0008_AN CONG"/>
      <sheetName val="K251 _x0001_C"/>
      <sheetName val="DG1kSAT"/>
      <sheetName val="Mau so 04 TFDN"/>
      <sheetName val="180VanDinh"/>
      <sheetName val="TONGDUTOAN"/>
      <sheetName val="TDT"/>
      <sheetName val="TDT35KV"/>
      <sheetName val="THVLNC-MTC-35"/>
      <sheetName val="160Nhien"/>
      <sheetName val="75A.xanh"/>
      <sheetName val="CT-35"/>
      <sheetName val="CT-BETONG"/>
      <sheetName val="CTVL"/>
      <sheetName val="DONGIA_HADINH"/>
      <sheetName val="DM"/>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 sheetId="590"/>
      <sheetData sheetId="591"/>
      <sheetData sheetId="592"/>
      <sheetData sheetId="593"/>
      <sheetData sheetId="594"/>
      <sheetData sheetId="595" refreshError="1"/>
      <sheetData sheetId="596" refreshError="1"/>
      <sheetData sheetId="597"/>
      <sheetData sheetId="598" refreshError="1"/>
      <sheetData sheetId="599" refreshError="1"/>
      <sheetData sheetId="600" refreshError="1"/>
      <sheetData sheetId="601" refreshError="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efreshError="1"/>
      <sheetData sheetId="629"/>
      <sheetData sheetId="630" refreshError="1"/>
      <sheetData sheetId="631" refreshError="1"/>
      <sheetData sheetId="632" refreshError="1"/>
      <sheetData sheetId="633"/>
      <sheetData sheetId="634"/>
      <sheetData sheetId="635"/>
      <sheetData sheetId="636"/>
      <sheetData sheetId="637"/>
      <sheetData sheetId="638"/>
      <sheetData sheetId="639"/>
      <sheetData sheetId="640" refreshError="1"/>
      <sheetData sheetId="641" refreshError="1"/>
      <sheetData sheetId="642"/>
      <sheetData sheetId="643" refreshError="1"/>
      <sheetData sheetId="644"/>
      <sheetData sheetId="645"/>
      <sheetData sheetId="646"/>
      <sheetData sheetId="647"/>
      <sheetData sheetId="648" refreshError="1"/>
      <sheetData sheetId="649"/>
      <sheetData sheetId="650"/>
      <sheetData sheetId="651" refreshError="1"/>
      <sheetData sheetId="65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CT Thang Mo"/>
      <sheetName val="CT  PL"/>
      <sheetName val="Sheet1"/>
      <sheetName val="DUONG"/>
      <sheetName val="KHANH"/>
      <sheetName val="PHONG"/>
      <sheetName val="XXXXXXXX"/>
      <sheetName val="July 05 VA 12 mths"/>
      <sheetName val="Sheet6"/>
      <sheetName val="Sheet2"/>
      <sheetName val="Sheet7"/>
      <sheetName val="Sheet4"/>
      <sheetName val="Sheet5"/>
      <sheetName val="Sheet3"/>
      <sheetName val="(1)TK_ThueGTGT_Thang"/>
      <sheetName val="Dinh nghia"/>
      <sheetName val="BIA I"/>
      <sheetName val="BIA II"/>
      <sheetName val="THC"/>
      <sheetName val="CTGT"/>
      <sheetName val="DDAYTT"/>
      <sheetName val="TGLLHT"/>
      <sheetName val="TGLL TT"/>
      <sheetName val="DDHT"/>
      <sheetName val="00000000"/>
      <sheetName val="TGTGT"/>
      <sheetName val="DAURA"/>
      <sheetName val="DAUVAO"/>
      <sheetName val="NXT"/>
      <sheetName val="HOPDONG"/>
      <sheetName val="SDHD"/>
      <sheetName val="Chiet tinh dz22"/>
      <sheetName val="@HGDT huu Lung - LS"/>
      <sheetName val="THDT Yen Sjn"/>
      <sheetName val="D.lg Huu Lieb"/>
      <sheetName val="Unit price"/>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
      <sheetName val="TDTKP1"/>
      <sheetName val="KPVC-BD "/>
      <sheetName val="VCV-BE-TONG"/>
      <sheetName val="ESTI."/>
      <sheetName val="DI-ESTI"/>
      <sheetName val="mau1"/>
      <sheetName val="inth2"/>
      <sheetName val="mau3"/>
      <sheetName val="mau4"/>
      <sheetName val="MAU TH5"/>
      <sheetName val="mau6"/>
      <sheetName val="mau7"/>
      <sheetName val="mau8"/>
      <sheetName val="mauTH9"/>
      <sheetName val="mauTH 10"/>
      <sheetName val="HIEU QUA DAO TAO PC"/>
      <sheetName val="XL4Test5"/>
      <sheetName val="TL rieng"/>
      <sheetName val="tra-vat-lieu"/>
      <sheetName val="NKCTỪ"/>
      <sheetName val="SỔ CÁI"/>
      <sheetName val="BCÂNĐỐI"/>
      <sheetName val="CĐKTOÁN"/>
      <sheetName val="KQHĐKD"/>
      <sheetName val="TỒN QUỸ"/>
      <sheetName val="DK_KH"/>
      <sheetName val="Tra_bang"/>
      <sheetName val="DK-KH"/>
      <sheetName val="NKCT?"/>
      <sheetName val="S? CÁI"/>
      <sheetName val="BCÂNÐ?I"/>
      <sheetName val="CÐKTOÁN"/>
      <sheetName val="KQHÐKD"/>
      <sheetName val="T?N QU?"/>
      <sheetName val="TVL"/>
      <sheetName val="Khoi luong"/>
      <sheetName val="B¶ng tång híp kinh phÛ"/>
      <sheetName val="Weight"/>
      <sheetName val="NKCT_"/>
      <sheetName val="S_ CÁI"/>
      <sheetName val="BCÂNÐ_I"/>
      <sheetName val="T_N QU_"/>
      <sheetName val="SUMMARY"/>
      <sheetName val="Chiet tinh dz35"/>
      <sheetName val="data. invoice"/>
      <sheetName val="THGDT_huu_Lung_-_LS"/>
      <sheetName val="THDT_Yen_Son"/>
      <sheetName val="D_lg_Yen_Son"/>
      <sheetName val="THDT_Huu_Lien"/>
      <sheetName val="D_lg_Huu_Lien"/>
      <sheetName val="THDT_Yen_Thinh"/>
      <sheetName val="D_lg_Yen_Thinh"/>
      <sheetName val="Chi_tiet"/>
      <sheetName val="@HGDT_huu_Lung_-_LS"/>
      <sheetName val="THDT_Yen_Sjn"/>
      <sheetName val="D_lg_Huu_Lieb"/>
      <sheetName val="nky"/>
      <sheetName val="CUOC"/>
      <sheetName val="BIA_I"/>
      <sheetName val="BIA_II"/>
      <sheetName val="TGLL_TT"/>
      <sheetName val="SỔ_CÁI"/>
      <sheetName val="TỒN_QUỸ"/>
      <sheetName val="TONGKE1P"/>
      <sheetName val="ptvt"/>
      <sheetName val="Ty gia"/>
      <sheetName val="KHQT-00-01"/>
      <sheetName val="2001"/>
      <sheetName val="156nhap01"/>
      <sheetName val="TTHBCMT"/>
      <sheetName val="1vanban"/>
      <sheetName val="dtct cong"/>
      <sheetName val="dulieu"/>
      <sheetName val="dulieu3"/>
      <sheetName val="dulieu1"/>
      <sheetName val="匀敨瑥㌳_x0007_匀敨瑥㐳_x0007_匀敨瑥㔳_x0007_匀敨瑥㘳"/>
      <sheetName val="敨瑥㔳_x0007_匀敨瑥㘳_x0007_匀敨瑥"/>
      <sheetName val="ܶ_x0000_桓敥㍴ܷ_x0000_桓敥㍴ܸ_x0000_"/>
      <sheetName val="_x0007_匀敨瑥〴_x0007_匀敨瑥ㄴ_x0007_匀敨"/>
      <sheetName val="瑥ㄴ_x0007_匀敨瑥㈴_x0007_匀敨瑥㌴_x0007_匀"/>
      <sheetName val="桓敥㑴ܳ_x0000_桓敥㑴ܴ_x0000_桓敥㑴ܵ"/>
      <sheetName val="_x0007_匀敨瑥㔴_x0007_匀敨"/>
      <sheetName val="_x0000_桓敥㑴"/>
      <sheetName val="㘴_x0007_匀敨瑥㜴_x0007_匀"/>
      <sheetName val="ܶ"/>
      <sheetName val="桓敥㑴ܳ"/>
      <sheetName val=""/>
      <sheetName val="敨瑥㠳_x0007_匀敨瑥㤳_x0007_匀敨瑥〴"/>
      <sheetName val="ܶ?桓敥㍴ܷ?桓敥㍴ܸ?"/>
      <sheetName val="桓敥㑴ܳ?桓敥㑴ܴ?桓敥㑴ܵ"/>
      <sheetName val="?桓敥㑴"/>
      <sheetName val="ܶ_桓敥㍴ܷ_桓敥㍴ܸ_"/>
      <sheetName val="桓敥㑴ܳ_桓敥㑴ܴ_桓敥㑴ܵ"/>
      <sheetName val="_桓敥㑴"/>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sheetData sheetId="156"/>
      <sheetData sheetId="157"/>
      <sheetData sheetId="158"/>
      <sheetData sheetId="159"/>
      <sheetData sheetId="160"/>
      <sheetData sheetId="161"/>
      <sheetData sheetId="162" refreshError="1"/>
      <sheetData sheetId="163" refreshError="1"/>
      <sheetData sheetId="164" refreshError="1"/>
      <sheetData sheetId="165"/>
      <sheetData sheetId="166"/>
      <sheetData sheetId="167"/>
      <sheetData sheetId="168"/>
      <sheetData sheetId="169" refreshError="1"/>
      <sheetData sheetId="170" refreshError="1"/>
      <sheetData sheetId="17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an.tq@techg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78"/>
  <sheetViews>
    <sheetView tabSelected="1" topLeftCell="A12" zoomScale="55" zoomScaleNormal="55" zoomScaleSheetLayoutView="55" workbookViewId="0">
      <selection activeCell="I14" sqref="I14"/>
    </sheetView>
  </sheetViews>
  <sheetFormatPr defaultColWidth="9.140625" defaultRowHeight="12.6"/>
  <cols>
    <col min="1" max="1" width="2.140625" style="1" customWidth="1"/>
    <col min="2" max="2" width="6" style="1" customWidth="1"/>
    <col min="3" max="3" width="90.28515625" style="1" customWidth="1"/>
    <col min="4" max="4" width="21.85546875" style="1" customWidth="1"/>
    <col min="5" max="5" width="13" style="1" customWidth="1"/>
    <col min="6" max="6" width="12.5703125" style="1" customWidth="1"/>
    <col min="7" max="7" width="5.7109375" style="1" customWidth="1"/>
    <col min="8" max="8" width="10.28515625" style="1" customWidth="1"/>
    <col min="9" max="10" width="15.140625" style="1" customWidth="1"/>
    <col min="11" max="11" width="14.28515625" style="1" customWidth="1"/>
    <col min="12" max="12" width="11.28515625" style="1" hidden="1" customWidth="1"/>
    <col min="13" max="14" width="14.28515625" style="1" customWidth="1"/>
    <col min="15" max="15" width="14.42578125" style="1" customWidth="1"/>
    <col min="16" max="16" width="31.7109375" style="81" customWidth="1"/>
    <col min="17" max="17" width="16.85546875" style="81" hidden="1" customWidth="1"/>
    <col min="18" max="18" width="10.7109375" style="1" bestFit="1" customWidth="1"/>
    <col min="19" max="16384" width="9.140625" style="1"/>
  </cols>
  <sheetData>
    <row r="1" spans="2:18" ht="117.6" customHeight="1"/>
    <row r="2" spans="2:18" ht="24" customHeight="1">
      <c r="B2" s="2" t="s">
        <v>0</v>
      </c>
      <c r="C2" s="3"/>
      <c r="D2" s="4"/>
      <c r="E2" s="4"/>
      <c r="F2" s="4"/>
      <c r="G2" s="4"/>
      <c r="H2" s="5"/>
      <c r="I2" s="6"/>
      <c r="J2" s="6"/>
      <c r="K2" s="7"/>
      <c r="L2" s="8"/>
      <c r="M2" s="7"/>
      <c r="N2" s="7"/>
    </row>
    <row r="3" spans="2:18" ht="21.6" customHeight="1">
      <c r="B3" s="2" t="s">
        <v>1</v>
      </c>
      <c r="C3" s="4"/>
      <c r="D3" s="4"/>
      <c r="E3" s="4"/>
      <c r="F3" s="4"/>
      <c r="G3" s="4"/>
      <c r="H3" s="9"/>
      <c r="I3" s="10"/>
      <c r="J3" s="10"/>
      <c r="K3" s="11"/>
      <c r="L3" s="8"/>
      <c r="M3" s="11"/>
      <c r="N3" s="11"/>
    </row>
    <row r="4" spans="2:18" ht="19.899999999999999" customHeight="1">
      <c r="B4" s="2" t="s">
        <v>2</v>
      </c>
      <c r="C4" s="53" t="s">
        <v>3</v>
      </c>
      <c r="D4" s="4"/>
      <c r="E4" s="4"/>
      <c r="F4" s="4"/>
      <c r="G4" s="4"/>
      <c r="H4" s="5"/>
      <c r="I4" s="12"/>
      <c r="J4" s="12"/>
      <c r="K4" s="11"/>
      <c r="L4" s="8"/>
      <c r="M4" s="11"/>
      <c r="N4" s="11"/>
    </row>
    <row r="5" spans="2:18" ht="21.6" customHeight="1">
      <c r="B5" s="97" t="s">
        <v>4</v>
      </c>
      <c r="C5" s="98"/>
      <c r="D5" s="4"/>
      <c r="E5" s="4"/>
      <c r="F5" s="4"/>
      <c r="G5" s="4"/>
      <c r="H5" s="13"/>
      <c r="I5" s="12"/>
      <c r="J5" s="12"/>
      <c r="K5" s="11"/>
      <c r="L5" s="8"/>
      <c r="M5" s="11"/>
      <c r="N5" s="11"/>
    </row>
    <row r="6" spans="2:18" ht="30.6" customHeight="1">
      <c r="B6" s="14" t="s">
        <v>5</v>
      </c>
      <c r="C6" s="15"/>
      <c r="D6" s="15"/>
      <c r="E6" s="15"/>
      <c r="F6" s="15"/>
      <c r="G6" s="15"/>
      <c r="H6" s="14" t="s">
        <v>6</v>
      </c>
      <c r="I6" s="16"/>
      <c r="J6" s="16"/>
      <c r="K6" s="17"/>
      <c r="L6" s="8"/>
      <c r="M6" s="17"/>
      <c r="N6" s="17"/>
    </row>
    <row r="7" spans="2:18" ht="35.25" customHeight="1">
      <c r="B7" s="99" t="s">
        <v>7</v>
      </c>
      <c r="C7" s="99"/>
      <c r="D7" s="99"/>
      <c r="E7" s="99"/>
      <c r="F7" s="99"/>
      <c r="G7" s="99"/>
      <c r="H7" s="99"/>
      <c r="I7" s="99"/>
      <c r="J7" s="99"/>
      <c r="K7" s="99"/>
      <c r="L7" s="99"/>
      <c r="M7" s="99"/>
      <c r="N7" s="99"/>
      <c r="O7" s="99"/>
    </row>
    <row r="8" spans="2:18" ht="27.75" customHeight="1">
      <c r="B8" s="18" t="s">
        <v>8</v>
      </c>
      <c r="C8" s="19"/>
      <c r="D8" s="19"/>
      <c r="E8" s="19"/>
      <c r="F8" s="19"/>
      <c r="G8" s="19"/>
      <c r="H8" s="19"/>
      <c r="I8" s="19"/>
      <c r="J8" s="19"/>
      <c r="K8" s="19"/>
      <c r="L8" s="19"/>
      <c r="M8" s="19"/>
      <c r="N8" s="19"/>
      <c r="O8" s="19"/>
    </row>
    <row r="9" spans="2:18" ht="12.75" customHeight="1">
      <c r="B9" s="100" t="s">
        <v>9</v>
      </c>
      <c r="C9" s="100" t="s">
        <v>10</v>
      </c>
      <c r="D9" s="100" t="s">
        <v>11</v>
      </c>
      <c r="E9" s="100" t="s">
        <v>12</v>
      </c>
      <c r="F9" s="100" t="s">
        <v>13</v>
      </c>
      <c r="G9" s="100" t="s">
        <v>14</v>
      </c>
      <c r="H9" s="102" t="s">
        <v>15</v>
      </c>
      <c r="I9" s="106" t="s">
        <v>16</v>
      </c>
      <c r="J9" s="106" t="s">
        <v>17</v>
      </c>
      <c r="K9" s="106" t="s">
        <v>18</v>
      </c>
      <c r="L9" s="100" t="s">
        <v>19</v>
      </c>
      <c r="M9" s="106" t="s">
        <v>20</v>
      </c>
      <c r="N9" s="106" t="s">
        <v>21</v>
      </c>
      <c r="O9" s="104" t="s">
        <v>22</v>
      </c>
      <c r="P9" s="84"/>
      <c r="Q9" s="84"/>
    </row>
    <row r="10" spans="2:18" ht="18" customHeight="1">
      <c r="B10" s="101"/>
      <c r="C10" s="101"/>
      <c r="D10" s="101" t="s">
        <v>23</v>
      </c>
      <c r="E10" s="101" t="s">
        <v>23</v>
      </c>
      <c r="F10" s="101" t="s">
        <v>23</v>
      </c>
      <c r="G10" s="101"/>
      <c r="H10" s="103"/>
      <c r="I10" s="107"/>
      <c r="J10" s="107"/>
      <c r="K10" s="108"/>
      <c r="L10" s="101"/>
      <c r="M10" s="108"/>
      <c r="N10" s="108"/>
      <c r="O10" s="105"/>
      <c r="P10" s="84"/>
      <c r="Q10" s="84"/>
    </row>
    <row r="11" spans="2:18">
      <c r="B11" s="60"/>
      <c r="C11" s="61" t="s">
        <v>24</v>
      </c>
      <c r="D11" s="60"/>
      <c r="E11" s="60"/>
      <c r="F11" s="60"/>
      <c r="G11" s="60"/>
      <c r="H11" s="62"/>
      <c r="I11" s="63"/>
      <c r="J11" s="63"/>
      <c r="K11" s="64"/>
      <c r="L11" s="57"/>
      <c r="M11" s="64"/>
      <c r="N11" s="64"/>
      <c r="O11" s="87"/>
      <c r="P11" s="83"/>
      <c r="Q11" s="83"/>
    </row>
    <row r="12" spans="2:18" s="24" customFormat="1" ht="409.6">
      <c r="B12" s="56">
        <v>1</v>
      </c>
      <c r="C12" s="48" t="s">
        <v>25</v>
      </c>
      <c r="D12" s="49" t="s">
        <v>26</v>
      </c>
      <c r="E12" s="49" t="s">
        <v>27</v>
      </c>
      <c r="F12" s="49" t="s">
        <v>28</v>
      </c>
      <c r="G12" s="21" t="s">
        <v>29</v>
      </c>
      <c r="H12" s="50">
        <v>1</v>
      </c>
      <c r="I12" s="22">
        <v>265535500</v>
      </c>
      <c r="J12" s="22">
        <v>50000</v>
      </c>
      <c r="K12" s="22">
        <f>H12*I12</f>
        <v>265535500</v>
      </c>
      <c r="L12" s="23" t="s">
        <v>30</v>
      </c>
      <c r="M12" s="22">
        <f>H12*J12</f>
        <v>50000</v>
      </c>
      <c r="N12" s="22">
        <f>K12+M12</f>
        <v>265585500</v>
      </c>
      <c r="O12" s="88" t="s">
        <v>31</v>
      </c>
      <c r="P12" s="85"/>
      <c r="Q12" s="90"/>
      <c r="R12" s="93"/>
    </row>
    <row r="13" spans="2:18" s="25" customFormat="1" ht="152.25">
      <c r="B13" s="56">
        <v>1</v>
      </c>
      <c r="C13" s="51" t="s">
        <v>32</v>
      </c>
      <c r="D13" s="49" t="s">
        <v>33</v>
      </c>
      <c r="E13" s="52" t="s">
        <v>34</v>
      </c>
      <c r="F13" s="52" t="s">
        <v>35</v>
      </c>
      <c r="G13" s="56" t="s">
        <v>29</v>
      </c>
      <c r="H13" s="50">
        <v>1</v>
      </c>
      <c r="I13" s="22">
        <v>223442190</v>
      </c>
      <c r="J13" s="22">
        <v>50000</v>
      </c>
      <c r="K13" s="22">
        <f>H13*I13</f>
        <v>223442190</v>
      </c>
      <c r="L13" s="23" t="s">
        <v>30</v>
      </c>
      <c r="M13" s="22">
        <f>H13*J13</f>
        <v>50000</v>
      </c>
      <c r="N13" s="22">
        <f>K13+M13</f>
        <v>223492190</v>
      </c>
      <c r="O13" s="88" t="s">
        <v>31</v>
      </c>
      <c r="P13" s="85"/>
      <c r="Q13" s="90" t="e">
        <f>I13/P13</f>
        <v>#DIV/0!</v>
      </c>
      <c r="R13" s="94"/>
    </row>
    <row r="14" spans="2:18" s="25" customFormat="1" ht="176.45">
      <c r="B14" s="68">
        <v>3</v>
      </c>
      <c r="C14" s="51" t="s">
        <v>36</v>
      </c>
      <c r="D14" s="49" t="s">
        <v>37</v>
      </c>
      <c r="E14" s="52" t="s">
        <v>34</v>
      </c>
      <c r="F14" s="52" t="s">
        <v>35</v>
      </c>
      <c r="G14" s="56" t="s">
        <v>29</v>
      </c>
      <c r="H14" s="50">
        <v>1</v>
      </c>
      <c r="I14" s="22">
        <v>210224700</v>
      </c>
      <c r="J14" s="22">
        <v>50000</v>
      </c>
      <c r="K14" s="22">
        <f>H14*I14</f>
        <v>210224700</v>
      </c>
      <c r="L14" s="23" t="s">
        <v>30</v>
      </c>
      <c r="M14" s="22">
        <f>H14*J14</f>
        <v>50000</v>
      </c>
      <c r="N14" s="22">
        <f>K14+M14</f>
        <v>210274700</v>
      </c>
      <c r="O14" s="88" t="s">
        <v>31</v>
      </c>
      <c r="P14" s="85"/>
      <c r="Q14" s="90" t="e">
        <f>I14/P14</f>
        <v>#DIV/0!</v>
      </c>
      <c r="R14" s="94"/>
    </row>
    <row r="15" spans="2:18" s="25" customFormat="1" ht="91.15">
      <c r="B15" s="69">
        <v>4</v>
      </c>
      <c r="C15" s="72" t="s">
        <v>38</v>
      </c>
      <c r="D15" s="58" t="s">
        <v>39</v>
      </c>
      <c r="E15" s="59" t="s">
        <v>40</v>
      </c>
      <c r="F15" s="52" t="s">
        <v>35</v>
      </c>
      <c r="G15" s="56" t="s">
        <v>29</v>
      </c>
      <c r="H15" s="50">
        <v>2</v>
      </c>
      <c r="I15" s="22">
        <v>170362846</v>
      </c>
      <c r="J15" s="22">
        <v>30000</v>
      </c>
      <c r="K15" s="22">
        <f>H15*I15</f>
        <v>340725692</v>
      </c>
      <c r="L15" s="23" t="s">
        <v>30</v>
      </c>
      <c r="M15" s="22">
        <f>H15*J15</f>
        <v>60000</v>
      </c>
      <c r="N15" s="22">
        <f>K15+M15</f>
        <v>340785692</v>
      </c>
      <c r="O15" s="88" t="s">
        <v>31</v>
      </c>
      <c r="P15" s="85"/>
      <c r="Q15" s="90"/>
      <c r="R15" s="94"/>
    </row>
    <row r="16" spans="2:18" s="25" customFormat="1" ht="14.1">
      <c r="B16" s="69"/>
      <c r="C16" s="76" t="s">
        <v>41</v>
      </c>
      <c r="D16" s="58"/>
      <c r="E16" s="59"/>
      <c r="F16" s="52"/>
      <c r="G16" s="56"/>
      <c r="H16" s="50"/>
      <c r="I16" s="22"/>
      <c r="J16" s="22"/>
      <c r="K16" s="22"/>
      <c r="L16" s="20"/>
      <c r="M16" s="22"/>
      <c r="N16" s="22"/>
      <c r="O16" s="89"/>
      <c r="P16" s="85"/>
      <c r="Q16" s="90"/>
    </row>
    <row r="17" spans="2:18" s="25" customFormat="1" ht="34.15">
      <c r="B17" s="109">
        <v>5</v>
      </c>
      <c r="C17" s="73" t="s">
        <v>42</v>
      </c>
      <c r="D17" s="58" t="s">
        <v>43</v>
      </c>
      <c r="E17" s="59" t="s">
        <v>44</v>
      </c>
      <c r="F17" s="52" t="s">
        <v>45</v>
      </c>
      <c r="G17" s="56" t="s">
        <v>29</v>
      </c>
      <c r="H17" s="50">
        <v>1</v>
      </c>
      <c r="I17" s="22">
        <v>289315520</v>
      </c>
      <c r="J17" s="22">
        <v>30000</v>
      </c>
      <c r="K17" s="22">
        <f>H17*I17</f>
        <v>289315520</v>
      </c>
      <c r="L17" s="23" t="s">
        <v>30</v>
      </c>
      <c r="M17" s="22">
        <f>H17*J17</f>
        <v>30000</v>
      </c>
      <c r="N17" s="22">
        <f>K17+M17</f>
        <v>289345520</v>
      </c>
      <c r="O17" s="88" t="s">
        <v>31</v>
      </c>
      <c r="P17" s="85"/>
      <c r="Q17" s="90" t="e">
        <f>I17/P17</f>
        <v>#DIV/0!</v>
      </c>
      <c r="R17" s="94"/>
    </row>
    <row r="18" spans="2:18" s="25" customFormat="1" ht="25.15">
      <c r="B18" s="109"/>
      <c r="C18" s="73" t="s">
        <v>46</v>
      </c>
      <c r="D18" s="58" t="s">
        <v>47</v>
      </c>
      <c r="E18" s="59" t="s">
        <v>44</v>
      </c>
      <c r="F18" s="52" t="s">
        <v>45</v>
      </c>
      <c r="G18" s="56" t="s">
        <v>29</v>
      </c>
      <c r="H18" s="50">
        <v>139</v>
      </c>
      <c r="I18" s="22">
        <v>1539390</v>
      </c>
      <c r="J18" s="22"/>
      <c r="K18" s="22">
        <f>H18*I18</f>
        <v>213975210</v>
      </c>
      <c r="L18" s="23" t="s">
        <v>30</v>
      </c>
      <c r="M18" s="22">
        <f>H18*J18</f>
        <v>0</v>
      </c>
      <c r="N18" s="22">
        <f>K18+M18</f>
        <v>213975210</v>
      </c>
      <c r="O18" s="88" t="s">
        <v>31</v>
      </c>
      <c r="P18" s="85"/>
      <c r="Q18" s="90" t="e">
        <f>I18/P18</f>
        <v>#DIV/0!</v>
      </c>
    </row>
    <row r="19" spans="2:18" s="25" customFormat="1" ht="14.1">
      <c r="B19" s="69"/>
      <c r="C19" s="76" t="s">
        <v>48</v>
      </c>
      <c r="D19" s="58"/>
      <c r="E19" s="59"/>
      <c r="F19" s="52"/>
      <c r="G19" s="56"/>
      <c r="H19" s="50"/>
      <c r="I19" s="22"/>
      <c r="J19" s="22"/>
      <c r="K19" s="22"/>
      <c r="L19" s="20"/>
      <c r="M19" s="22"/>
      <c r="N19" s="22"/>
      <c r="O19" s="89"/>
      <c r="P19" s="85"/>
      <c r="Q19" s="90"/>
    </row>
    <row r="20" spans="2:18" s="24" customFormat="1" ht="138.6">
      <c r="B20" s="110">
        <v>6</v>
      </c>
      <c r="C20" s="48" t="s">
        <v>49</v>
      </c>
      <c r="D20" s="50" t="s">
        <v>50</v>
      </c>
      <c r="E20" s="49" t="s">
        <v>51</v>
      </c>
      <c r="F20" s="52" t="s">
        <v>52</v>
      </c>
      <c r="G20" s="21" t="s">
        <v>29</v>
      </c>
      <c r="H20" s="50">
        <v>1</v>
      </c>
      <c r="I20" s="22">
        <v>50164850</v>
      </c>
      <c r="J20" s="22">
        <v>20000</v>
      </c>
      <c r="K20" s="22">
        <f t="shared" ref="K20:K44" si="0">H20*I20</f>
        <v>50164850</v>
      </c>
      <c r="L20" s="23" t="s">
        <v>30</v>
      </c>
      <c r="M20" s="22">
        <f t="shared" ref="M20:M44" si="1">H20*J20</f>
        <v>20000</v>
      </c>
      <c r="N20" s="22">
        <f t="shared" ref="N20:N44" si="2">K20+M20</f>
        <v>50184850</v>
      </c>
      <c r="O20" s="88" t="s">
        <v>53</v>
      </c>
      <c r="P20" s="85"/>
      <c r="Q20" s="90"/>
      <c r="R20" s="93"/>
    </row>
    <row r="21" spans="2:18" s="24" customFormat="1" ht="88.15">
      <c r="B21" s="111"/>
      <c r="C21" s="48" t="s">
        <v>54</v>
      </c>
      <c r="D21" s="50" t="s">
        <v>55</v>
      </c>
      <c r="E21" s="49" t="s">
        <v>51</v>
      </c>
      <c r="F21" s="52" t="s">
        <v>52</v>
      </c>
      <c r="G21" s="21" t="s">
        <v>29</v>
      </c>
      <c r="H21" s="50">
        <v>1</v>
      </c>
      <c r="I21" s="22">
        <v>3819370</v>
      </c>
      <c r="J21" s="22">
        <v>10000</v>
      </c>
      <c r="K21" s="22">
        <f t="shared" si="0"/>
        <v>3819370</v>
      </c>
      <c r="L21" s="23" t="s">
        <v>30</v>
      </c>
      <c r="M21" s="22">
        <f t="shared" si="1"/>
        <v>10000</v>
      </c>
      <c r="N21" s="22">
        <f t="shared" si="2"/>
        <v>3829370</v>
      </c>
      <c r="O21" s="88" t="s">
        <v>53</v>
      </c>
      <c r="P21" s="85"/>
      <c r="Q21" s="90"/>
      <c r="R21" s="93"/>
    </row>
    <row r="22" spans="2:18" s="24" customFormat="1" ht="138.6">
      <c r="B22" s="21">
        <v>7</v>
      </c>
      <c r="C22" s="48" t="s">
        <v>56</v>
      </c>
      <c r="D22" s="50" t="s">
        <v>57</v>
      </c>
      <c r="E22" s="49" t="s">
        <v>34</v>
      </c>
      <c r="F22" s="49" t="s">
        <v>35</v>
      </c>
      <c r="G22" s="21" t="s">
        <v>29</v>
      </c>
      <c r="H22" s="50">
        <v>1</v>
      </c>
      <c r="I22" s="22">
        <v>71420373</v>
      </c>
      <c r="J22" s="22">
        <v>20000</v>
      </c>
      <c r="K22" s="22">
        <f t="shared" si="0"/>
        <v>71420373</v>
      </c>
      <c r="L22" s="23" t="s">
        <v>30</v>
      </c>
      <c r="M22" s="22">
        <f t="shared" si="1"/>
        <v>20000</v>
      </c>
      <c r="N22" s="22">
        <f t="shared" si="2"/>
        <v>71440373</v>
      </c>
      <c r="O22" s="88" t="s">
        <v>31</v>
      </c>
      <c r="P22" s="85"/>
      <c r="Q22" s="90" t="e">
        <f>I22/P22</f>
        <v>#DIV/0!</v>
      </c>
      <c r="R22" s="93"/>
    </row>
    <row r="23" spans="2:18" s="24" customFormat="1" ht="37.9">
      <c r="B23" s="21">
        <v>8</v>
      </c>
      <c r="C23" s="51" t="s">
        <v>58</v>
      </c>
      <c r="D23" s="49" t="s">
        <v>59</v>
      </c>
      <c r="E23" s="52" t="s">
        <v>60</v>
      </c>
      <c r="F23" s="52" t="s">
        <v>52</v>
      </c>
      <c r="G23" s="21" t="s">
        <v>29</v>
      </c>
      <c r="H23" s="50">
        <v>1</v>
      </c>
      <c r="I23" s="22">
        <v>2739280</v>
      </c>
      <c r="J23" s="22">
        <v>720000</v>
      </c>
      <c r="K23" s="22">
        <f t="shared" si="0"/>
        <v>2739280</v>
      </c>
      <c r="L23" s="23" t="s">
        <v>30</v>
      </c>
      <c r="M23" s="22">
        <f t="shared" si="1"/>
        <v>720000</v>
      </c>
      <c r="N23" s="22">
        <f t="shared" si="2"/>
        <v>3459280</v>
      </c>
      <c r="O23" s="88" t="s">
        <v>53</v>
      </c>
      <c r="P23" s="85" t="s">
        <v>61</v>
      </c>
      <c r="Q23" s="90"/>
    </row>
    <row r="24" spans="2:18" s="24" customFormat="1" ht="264.60000000000002">
      <c r="B24" s="21">
        <v>9</v>
      </c>
      <c r="C24" s="51" t="s">
        <v>62</v>
      </c>
      <c r="D24" s="49" t="s">
        <v>63</v>
      </c>
      <c r="E24" s="52" t="s">
        <v>34</v>
      </c>
      <c r="F24" s="52" t="s">
        <v>35</v>
      </c>
      <c r="G24" s="21" t="s">
        <v>29</v>
      </c>
      <c r="H24" s="50">
        <v>1</v>
      </c>
      <c r="I24" s="22">
        <v>411890400</v>
      </c>
      <c r="J24" s="22">
        <v>50000</v>
      </c>
      <c r="K24" s="22">
        <f t="shared" si="0"/>
        <v>411890400</v>
      </c>
      <c r="L24" s="23" t="s">
        <v>30</v>
      </c>
      <c r="M24" s="22">
        <f t="shared" si="1"/>
        <v>50000</v>
      </c>
      <c r="N24" s="22">
        <f t="shared" si="2"/>
        <v>411940400</v>
      </c>
      <c r="O24" s="88" t="s">
        <v>31</v>
      </c>
      <c r="P24" s="85"/>
      <c r="Q24" s="90" t="e">
        <f>I24/P24</f>
        <v>#DIV/0!</v>
      </c>
      <c r="R24" s="93"/>
    </row>
    <row r="25" spans="2:18" s="24" customFormat="1" ht="50.45">
      <c r="B25" s="21">
        <v>10</v>
      </c>
      <c r="C25" s="51" t="s">
        <v>64</v>
      </c>
      <c r="D25" s="49" t="s">
        <v>65</v>
      </c>
      <c r="E25" s="52" t="s">
        <v>34</v>
      </c>
      <c r="F25" s="52" t="s">
        <v>35</v>
      </c>
      <c r="G25" s="21" t="s">
        <v>29</v>
      </c>
      <c r="H25" s="50">
        <v>1</v>
      </c>
      <c r="I25" s="22">
        <v>5007240</v>
      </c>
      <c r="J25" s="22">
        <v>10000</v>
      </c>
      <c r="K25" s="22">
        <f t="shared" si="0"/>
        <v>5007240</v>
      </c>
      <c r="L25" s="23" t="s">
        <v>30</v>
      </c>
      <c r="M25" s="22">
        <f t="shared" si="1"/>
        <v>10000</v>
      </c>
      <c r="N25" s="22">
        <f t="shared" si="2"/>
        <v>5017240</v>
      </c>
      <c r="O25" s="88" t="s">
        <v>31</v>
      </c>
      <c r="P25" s="85"/>
      <c r="Q25" s="90" t="e">
        <f>I25/P25</f>
        <v>#DIV/0!</v>
      </c>
      <c r="R25" s="93"/>
    </row>
    <row r="26" spans="2:18" s="24" customFormat="1" ht="25.15">
      <c r="B26" s="54">
        <v>11</v>
      </c>
      <c r="C26" s="74" t="s">
        <v>66</v>
      </c>
      <c r="D26" s="54" t="s">
        <v>67</v>
      </c>
      <c r="E26" s="54" t="s">
        <v>68</v>
      </c>
      <c r="F26" s="54" t="s">
        <v>35</v>
      </c>
      <c r="G26" s="54" t="s">
        <v>29</v>
      </c>
      <c r="H26" s="55">
        <v>1</v>
      </c>
      <c r="I26" s="22">
        <v>17688920</v>
      </c>
      <c r="J26" s="22">
        <v>90000</v>
      </c>
      <c r="K26" s="22">
        <f t="shared" si="0"/>
        <v>17688920</v>
      </c>
      <c r="L26" s="23" t="s">
        <v>30</v>
      </c>
      <c r="M26" s="22">
        <f t="shared" si="1"/>
        <v>90000</v>
      </c>
      <c r="N26" s="22">
        <f t="shared" si="2"/>
        <v>17778920</v>
      </c>
      <c r="O26" s="88" t="s">
        <v>53</v>
      </c>
      <c r="P26" s="86"/>
      <c r="Q26" s="90"/>
    </row>
    <row r="27" spans="2:18" s="24" customFormat="1" ht="63">
      <c r="B27" s="56">
        <v>12</v>
      </c>
      <c r="C27" s="66" t="s">
        <v>69</v>
      </c>
      <c r="D27" s="49" t="s">
        <v>70</v>
      </c>
      <c r="E27" s="49" t="s">
        <v>60</v>
      </c>
      <c r="F27" s="49" t="s">
        <v>52</v>
      </c>
      <c r="G27" s="21" t="s">
        <v>29</v>
      </c>
      <c r="H27" s="50">
        <v>1</v>
      </c>
      <c r="I27" s="22">
        <v>33904410</v>
      </c>
      <c r="J27" s="22">
        <v>3600000</v>
      </c>
      <c r="K27" s="22">
        <f t="shared" si="0"/>
        <v>33904410</v>
      </c>
      <c r="L27" s="23" t="s">
        <v>30</v>
      </c>
      <c r="M27" s="22">
        <f t="shared" si="1"/>
        <v>3600000</v>
      </c>
      <c r="N27" s="22">
        <f t="shared" si="2"/>
        <v>37504410</v>
      </c>
      <c r="O27" s="88" t="s">
        <v>53</v>
      </c>
      <c r="P27" s="85" t="s">
        <v>71</v>
      </c>
      <c r="Q27" s="90"/>
    </row>
    <row r="28" spans="2:18" s="25" customFormat="1" ht="25.15">
      <c r="B28" s="70">
        <v>13</v>
      </c>
      <c r="C28" s="51" t="s">
        <v>72</v>
      </c>
      <c r="D28" s="49" t="s">
        <v>73</v>
      </c>
      <c r="E28" s="52" t="s">
        <v>74</v>
      </c>
      <c r="F28" s="52" t="s">
        <v>52</v>
      </c>
      <c r="G28" s="56" t="s">
        <v>29</v>
      </c>
      <c r="H28" s="50">
        <v>1</v>
      </c>
      <c r="I28" s="22">
        <v>203315238</v>
      </c>
      <c r="J28" s="22">
        <v>350000</v>
      </c>
      <c r="K28" s="22">
        <f t="shared" si="0"/>
        <v>203315238</v>
      </c>
      <c r="L28" s="23" t="s">
        <v>30</v>
      </c>
      <c r="M28" s="22">
        <f t="shared" si="1"/>
        <v>350000</v>
      </c>
      <c r="N28" s="22">
        <f t="shared" si="2"/>
        <v>203665238</v>
      </c>
      <c r="O28" s="88" t="s">
        <v>75</v>
      </c>
      <c r="P28" s="85" t="s">
        <v>76</v>
      </c>
      <c r="Q28" s="90"/>
      <c r="R28" s="94"/>
    </row>
    <row r="29" spans="2:18" s="25" customFormat="1" ht="126">
      <c r="B29" s="71">
        <v>14</v>
      </c>
      <c r="C29" s="51" t="s">
        <v>77</v>
      </c>
      <c r="D29" s="49" t="s">
        <v>78</v>
      </c>
      <c r="E29" s="49" t="s">
        <v>34</v>
      </c>
      <c r="F29" s="49" t="s">
        <v>35</v>
      </c>
      <c r="G29" s="56" t="s">
        <v>29</v>
      </c>
      <c r="H29" s="50">
        <v>1</v>
      </c>
      <c r="I29" s="22">
        <v>160220840</v>
      </c>
      <c r="J29" s="22">
        <v>20000</v>
      </c>
      <c r="K29" s="22">
        <f t="shared" si="0"/>
        <v>160220840</v>
      </c>
      <c r="L29" s="23" t="s">
        <v>30</v>
      </c>
      <c r="M29" s="22">
        <f t="shared" si="1"/>
        <v>20000</v>
      </c>
      <c r="N29" s="22">
        <f t="shared" si="2"/>
        <v>160240840</v>
      </c>
      <c r="O29" s="88" t="s">
        <v>31</v>
      </c>
      <c r="P29" s="85"/>
      <c r="Q29" s="90" t="e">
        <f t="shared" ref="Q29:Q34" si="3">I29/P29</f>
        <v>#DIV/0!</v>
      </c>
      <c r="R29" s="94"/>
    </row>
    <row r="30" spans="2:18" s="25" customFormat="1" ht="138.6">
      <c r="B30" s="20">
        <v>15</v>
      </c>
      <c r="C30" s="51" t="s">
        <v>79</v>
      </c>
      <c r="D30" s="49" t="s">
        <v>80</v>
      </c>
      <c r="E30" s="49" t="s">
        <v>34</v>
      </c>
      <c r="F30" s="49" t="s">
        <v>35</v>
      </c>
      <c r="G30" s="56" t="s">
        <v>29</v>
      </c>
      <c r="H30" s="50">
        <v>4</v>
      </c>
      <c r="I30" s="22">
        <v>88868640</v>
      </c>
      <c r="J30" s="22">
        <v>20000</v>
      </c>
      <c r="K30" s="22">
        <f t="shared" si="0"/>
        <v>355474560</v>
      </c>
      <c r="L30" s="23" t="s">
        <v>30</v>
      </c>
      <c r="M30" s="22">
        <f t="shared" si="1"/>
        <v>80000</v>
      </c>
      <c r="N30" s="22">
        <f t="shared" si="2"/>
        <v>355554560</v>
      </c>
      <c r="O30" s="88" t="s">
        <v>31</v>
      </c>
      <c r="P30" s="85"/>
      <c r="Q30" s="90" t="e">
        <f t="shared" si="3"/>
        <v>#DIV/0!</v>
      </c>
      <c r="R30" s="94"/>
    </row>
    <row r="31" spans="2:18" s="25" customFormat="1" ht="50.45">
      <c r="B31" s="67">
        <v>16</v>
      </c>
      <c r="C31" s="51" t="s">
        <v>81</v>
      </c>
      <c r="D31" s="49" t="s">
        <v>82</v>
      </c>
      <c r="E31" s="49" t="s">
        <v>34</v>
      </c>
      <c r="F31" s="49" t="s">
        <v>35</v>
      </c>
      <c r="G31" s="56" t="s">
        <v>29</v>
      </c>
      <c r="H31" s="50">
        <v>3</v>
      </c>
      <c r="I31" s="22">
        <v>18247860</v>
      </c>
      <c r="J31" s="22">
        <v>20000</v>
      </c>
      <c r="K31" s="22">
        <f t="shared" si="0"/>
        <v>54743580</v>
      </c>
      <c r="L31" s="23" t="s">
        <v>30</v>
      </c>
      <c r="M31" s="22">
        <f t="shared" si="1"/>
        <v>60000</v>
      </c>
      <c r="N31" s="22">
        <f t="shared" si="2"/>
        <v>54803580</v>
      </c>
      <c r="O31" s="88" t="s">
        <v>31</v>
      </c>
      <c r="P31" s="85"/>
      <c r="Q31" s="90" t="e">
        <f t="shared" si="3"/>
        <v>#DIV/0!</v>
      </c>
      <c r="R31" s="94"/>
    </row>
    <row r="32" spans="2:18" s="25" customFormat="1" ht="126">
      <c r="B32" s="67">
        <v>17</v>
      </c>
      <c r="C32" s="51" t="s">
        <v>83</v>
      </c>
      <c r="D32" s="49" t="s">
        <v>84</v>
      </c>
      <c r="E32" s="49" t="s">
        <v>34</v>
      </c>
      <c r="F32" s="49" t="s">
        <v>35</v>
      </c>
      <c r="G32" s="56" t="s">
        <v>29</v>
      </c>
      <c r="H32" s="50">
        <v>8</v>
      </c>
      <c r="I32" s="22">
        <v>115610230</v>
      </c>
      <c r="J32" s="22">
        <v>20000</v>
      </c>
      <c r="K32" s="22">
        <f t="shared" si="0"/>
        <v>924881840</v>
      </c>
      <c r="L32" s="23" t="s">
        <v>30</v>
      </c>
      <c r="M32" s="22">
        <f t="shared" si="1"/>
        <v>160000</v>
      </c>
      <c r="N32" s="22">
        <f t="shared" si="2"/>
        <v>925041840</v>
      </c>
      <c r="O32" s="88" t="s">
        <v>31</v>
      </c>
      <c r="P32" s="85"/>
      <c r="Q32" s="90" t="e">
        <f t="shared" si="3"/>
        <v>#DIV/0!</v>
      </c>
      <c r="R32" s="94"/>
    </row>
    <row r="33" spans="2:18" s="25" customFormat="1" ht="138.6">
      <c r="B33" s="67">
        <v>18</v>
      </c>
      <c r="C33" s="51" t="s">
        <v>85</v>
      </c>
      <c r="D33" s="49" t="s">
        <v>57</v>
      </c>
      <c r="E33" s="49" t="s">
        <v>34</v>
      </c>
      <c r="F33" s="49" t="s">
        <v>35</v>
      </c>
      <c r="G33" s="56" t="s">
        <v>29</v>
      </c>
      <c r="H33" s="50">
        <v>3</v>
      </c>
      <c r="I33" s="22">
        <v>78483940</v>
      </c>
      <c r="J33" s="22">
        <v>20000</v>
      </c>
      <c r="K33" s="22">
        <f t="shared" si="0"/>
        <v>235451820</v>
      </c>
      <c r="L33" s="23" t="s">
        <v>30</v>
      </c>
      <c r="M33" s="22">
        <f t="shared" si="1"/>
        <v>60000</v>
      </c>
      <c r="N33" s="22">
        <f t="shared" si="2"/>
        <v>235511820</v>
      </c>
      <c r="O33" s="88" t="s">
        <v>31</v>
      </c>
      <c r="P33" s="85"/>
      <c r="Q33" s="90" t="e">
        <f t="shared" si="3"/>
        <v>#DIV/0!</v>
      </c>
      <c r="R33" s="94"/>
    </row>
    <row r="34" spans="2:18" s="25" customFormat="1" ht="25.15">
      <c r="B34" s="67">
        <v>19</v>
      </c>
      <c r="C34" s="51" t="s">
        <v>86</v>
      </c>
      <c r="D34" s="49" t="s">
        <v>87</v>
      </c>
      <c r="E34" s="49" t="s">
        <v>34</v>
      </c>
      <c r="F34" s="49" t="s">
        <v>35</v>
      </c>
      <c r="G34" s="56" t="s">
        <v>29</v>
      </c>
      <c r="H34" s="50">
        <v>42</v>
      </c>
      <c r="I34" s="22">
        <v>13326058</v>
      </c>
      <c r="J34" s="22">
        <v>10000</v>
      </c>
      <c r="K34" s="22">
        <f t="shared" si="0"/>
        <v>559694436</v>
      </c>
      <c r="L34" s="23" t="s">
        <v>30</v>
      </c>
      <c r="M34" s="22">
        <f t="shared" si="1"/>
        <v>420000</v>
      </c>
      <c r="N34" s="22">
        <f t="shared" si="2"/>
        <v>560114436</v>
      </c>
      <c r="O34" s="88" t="s">
        <v>31</v>
      </c>
      <c r="P34" s="85"/>
      <c r="Q34" s="90" t="e">
        <f t="shared" si="3"/>
        <v>#DIV/0!</v>
      </c>
      <c r="R34" s="94"/>
    </row>
    <row r="35" spans="2:18" s="25" customFormat="1" ht="37.9">
      <c r="B35" s="65">
        <v>20</v>
      </c>
      <c r="C35" s="51" t="s">
        <v>88</v>
      </c>
      <c r="D35" s="49" t="s">
        <v>89</v>
      </c>
      <c r="E35" s="52" t="s">
        <v>60</v>
      </c>
      <c r="F35" s="52" t="s">
        <v>52</v>
      </c>
      <c r="G35" s="56" t="s">
        <v>29</v>
      </c>
      <c r="H35" s="50">
        <v>3</v>
      </c>
      <c r="I35" s="22">
        <v>2739280</v>
      </c>
      <c r="J35" s="22">
        <v>480000</v>
      </c>
      <c r="K35" s="22">
        <f t="shared" si="0"/>
        <v>8217840</v>
      </c>
      <c r="L35" s="23" t="s">
        <v>30</v>
      </c>
      <c r="M35" s="22">
        <f t="shared" si="1"/>
        <v>1440000</v>
      </c>
      <c r="N35" s="22">
        <f t="shared" si="2"/>
        <v>9657840</v>
      </c>
      <c r="O35" s="88" t="s">
        <v>53</v>
      </c>
      <c r="P35" s="85" t="s">
        <v>90</v>
      </c>
      <c r="Q35" s="90"/>
    </row>
    <row r="36" spans="2:18" s="25" customFormat="1" ht="37.9">
      <c r="B36" s="65">
        <v>21</v>
      </c>
      <c r="C36" s="51" t="s">
        <v>91</v>
      </c>
      <c r="D36" s="49" t="s">
        <v>89</v>
      </c>
      <c r="E36" s="52" t="s">
        <v>60</v>
      </c>
      <c r="F36" s="52" t="s">
        <v>52</v>
      </c>
      <c r="G36" s="56" t="s">
        <v>29</v>
      </c>
      <c r="H36" s="50">
        <v>7</v>
      </c>
      <c r="I36" s="22">
        <v>2739280</v>
      </c>
      <c r="J36" s="22">
        <v>720000</v>
      </c>
      <c r="K36" s="22">
        <f t="shared" si="0"/>
        <v>19174960</v>
      </c>
      <c r="L36" s="23" t="s">
        <v>30</v>
      </c>
      <c r="M36" s="22">
        <f t="shared" si="1"/>
        <v>5040000</v>
      </c>
      <c r="N36" s="22">
        <f t="shared" si="2"/>
        <v>24214960</v>
      </c>
      <c r="O36" s="88" t="s">
        <v>53</v>
      </c>
      <c r="P36" s="85" t="s">
        <v>90</v>
      </c>
      <c r="Q36" s="90"/>
    </row>
    <row r="37" spans="2:18" s="25" customFormat="1" ht="37.9">
      <c r="B37" s="65">
        <v>22</v>
      </c>
      <c r="C37" s="51" t="s">
        <v>92</v>
      </c>
      <c r="D37" s="49" t="s">
        <v>93</v>
      </c>
      <c r="E37" s="52" t="s">
        <v>60</v>
      </c>
      <c r="F37" s="52" t="s">
        <v>52</v>
      </c>
      <c r="G37" s="56" t="s">
        <v>29</v>
      </c>
      <c r="H37" s="50">
        <v>9</v>
      </c>
      <c r="I37" s="22">
        <v>5705540</v>
      </c>
      <c r="J37" s="22">
        <v>1440000</v>
      </c>
      <c r="K37" s="22">
        <f t="shared" si="0"/>
        <v>51349860</v>
      </c>
      <c r="L37" s="23" t="s">
        <v>30</v>
      </c>
      <c r="M37" s="22">
        <f t="shared" si="1"/>
        <v>12960000</v>
      </c>
      <c r="N37" s="22">
        <f t="shared" si="2"/>
        <v>64309860</v>
      </c>
      <c r="O37" s="88" t="s">
        <v>53</v>
      </c>
      <c r="P37" s="85" t="s">
        <v>90</v>
      </c>
      <c r="Q37" s="90"/>
    </row>
    <row r="38" spans="2:18" s="25" customFormat="1" ht="63">
      <c r="B38" s="67">
        <v>23</v>
      </c>
      <c r="C38" s="51" t="s">
        <v>94</v>
      </c>
      <c r="D38" s="49" t="s">
        <v>95</v>
      </c>
      <c r="E38" s="52" t="s">
        <v>60</v>
      </c>
      <c r="F38" s="52" t="s">
        <v>52</v>
      </c>
      <c r="G38" s="56" t="s">
        <v>29</v>
      </c>
      <c r="H38" s="50">
        <v>4</v>
      </c>
      <c r="I38" s="22">
        <v>20957820</v>
      </c>
      <c r="J38" s="22">
        <v>600000</v>
      </c>
      <c r="K38" s="22">
        <f t="shared" si="0"/>
        <v>83831280</v>
      </c>
      <c r="L38" s="23" t="s">
        <v>30</v>
      </c>
      <c r="M38" s="22">
        <f t="shared" si="1"/>
        <v>2400000</v>
      </c>
      <c r="N38" s="22">
        <f t="shared" si="2"/>
        <v>86231280</v>
      </c>
      <c r="O38" s="88" t="s">
        <v>53</v>
      </c>
      <c r="P38" s="85" t="s">
        <v>96</v>
      </c>
      <c r="Q38" s="90"/>
    </row>
    <row r="39" spans="2:18" s="25" customFormat="1" ht="63">
      <c r="B39" s="67">
        <v>24</v>
      </c>
      <c r="C39" s="51" t="s">
        <v>97</v>
      </c>
      <c r="D39" s="49" t="s">
        <v>95</v>
      </c>
      <c r="E39" s="52" t="s">
        <v>60</v>
      </c>
      <c r="F39" s="52" t="s">
        <v>52</v>
      </c>
      <c r="G39" s="56" t="s">
        <v>29</v>
      </c>
      <c r="H39" s="50">
        <v>4</v>
      </c>
      <c r="I39" s="22">
        <v>19932530</v>
      </c>
      <c r="J39" s="22">
        <v>400000</v>
      </c>
      <c r="K39" s="22">
        <f t="shared" si="0"/>
        <v>79730120</v>
      </c>
      <c r="L39" s="23" t="s">
        <v>30</v>
      </c>
      <c r="M39" s="22">
        <f t="shared" si="1"/>
        <v>1600000</v>
      </c>
      <c r="N39" s="22">
        <f t="shared" si="2"/>
        <v>81330120</v>
      </c>
      <c r="O39" s="88" t="s">
        <v>53</v>
      </c>
      <c r="P39" s="85" t="s">
        <v>96</v>
      </c>
      <c r="Q39" s="90"/>
    </row>
    <row r="40" spans="2:18" s="25" customFormat="1" ht="25.15">
      <c r="B40" s="56">
        <v>25</v>
      </c>
      <c r="C40" s="51" t="s">
        <v>98</v>
      </c>
      <c r="D40" s="49" t="s">
        <v>67</v>
      </c>
      <c r="E40" s="49" t="s">
        <v>68</v>
      </c>
      <c r="F40" s="49" t="s">
        <v>52</v>
      </c>
      <c r="G40" s="56" t="s">
        <v>29</v>
      </c>
      <c r="H40" s="50">
        <v>8</v>
      </c>
      <c r="I40" s="22">
        <v>17688920</v>
      </c>
      <c r="J40" s="22">
        <v>90000</v>
      </c>
      <c r="K40" s="22">
        <f t="shared" si="0"/>
        <v>141511360</v>
      </c>
      <c r="L40" s="23" t="s">
        <v>30</v>
      </c>
      <c r="M40" s="22">
        <f t="shared" si="1"/>
        <v>720000</v>
      </c>
      <c r="N40" s="22">
        <f t="shared" si="2"/>
        <v>142231360</v>
      </c>
      <c r="O40" s="88" t="s">
        <v>53</v>
      </c>
      <c r="P40" s="85"/>
      <c r="Q40" s="90"/>
    </row>
    <row r="41" spans="2:18" s="25" customFormat="1" ht="25.15">
      <c r="B41" s="56">
        <v>26</v>
      </c>
      <c r="C41" s="51" t="s">
        <v>99</v>
      </c>
      <c r="D41" s="49">
        <v>760249372</v>
      </c>
      <c r="E41" s="49" t="s">
        <v>60</v>
      </c>
      <c r="F41" s="49" t="s">
        <v>52</v>
      </c>
      <c r="G41" s="56" t="s">
        <v>100</v>
      </c>
      <c r="H41" s="50">
        <v>727</v>
      </c>
      <c r="I41" s="22">
        <v>42500</v>
      </c>
      <c r="J41" s="22"/>
      <c r="K41" s="22">
        <f t="shared" si="0"/>
        <v>30897500</v>
      </c>
      <c r="L41" s="23" t="s">
        <v>30</v>
      </c>
      <c r="M41" s="22">
        <f t="shared" si="1"/>
        <v>0</v>
      </c>
      <c r="N41" s="22">
        <f t="shared" si="2"/>
        <v>30897500</v>
      </c>
      <c r="O41" s="88" t="s">
        <v>53</v>
      </c>
      <c r="P41" s="85" t="s">
        <v>101</v>
      </c>
      <c r="Q41" s="90"/>
    </row>
    <row r="42" spans="2:18" s="25" customFormat="1" ht="25.15">
      <c r="B42" s="56">
        <v>27</v>
      </c>
      <c r="C42" s="51" t="s">
        <v>102</v>
      </c>
      <c r="D42" s="49">
        <v>760249373</v>
      </c>
      <c r="E42" s="49" t="s">
        <v>60</v>
      </c>
      <c r="F42" s="49" t="s">
        <v>52</v>
      </c>
      <c r="G42" s="56" t="s">
        <v>100</v>
      </c>
      <c r="H42" s="50">
        <v>481</v>
      </c>
      <c r="I42" s="22">
        <v>58000</v>
      </c>
      <c r="J42" s="22"/>
      <c r="K42" s="22">
        <f t="shared" si="0"/>
        <v>27898000</v>
      </c>
      <c r="L42" s="23" t="s">
        <v>30</v>
      </c>
      <c r="M42" s="22">
        <f t="shared" si="1"/>
        <v>0</v>
      </c>
      <c r="N42" s="22">
        <f t="shared" si="2"/>
        <v>27898000</v>
      </c>
      <c r="O42" s="88" t="s">
        <v>53</v>
      </c>
      <c r="P42" s="85" t="s">
        <v>101</v>
      </c>
      <c r="Q42" s="90"/>
    </row>
    <row r="43" spans="2:18" s="25" customFormat="1" ht="50.45">
      <c r="B43" s="56">
        <v>28</v>
      </c>
      <c r="C43" s="51" t="s">
        <v>103</v>
      </c>
      <c r="D43" s="49" t="s">
        <v>104</v>
      </c>
      <c r="E43" s="49" t="s">
        <v>60</v>
      </c>
      <c r="F43" s="49" t="s">
        <v>52</v>
      </c>
      <c r="G43" s="56" t="s">
        <v>29</v>
      </c>
      <c r="H43" s="50">
        <v>288</v>
      </c>
      <c r="I43" s="22">
        <v>132000</v>
      </c>
      <c r="J43" s="22">
        <v>30000</v>
      </c>
      <c r="K43" s="22">
        <f t="shared" si="0"/>
        <v>38016000</v>
      </c>
      <c r="L43" s="23" t="s">
        <v>30</v>
      </c>
      <c r="M43" s="22">
        <f t="shared" si="1"/>
        <v>8640000</v>
      </c>
      <c r="N43" s="22">
        <f t="shared" si="2"/>
        <v>46656000</v>
      </c>
      <c r="O43" s="88" t="s">
        <v>53</v>
      </c>
      <c r="P43" s="85"/>
      <c r="Q43" s="90"/>
    </row>
    <row r="44" spans="2:18" s="25" customFormat="1" ht="63">
      <c r="B44" s="56">
        <v>29</v>
      </c>
      <c r="C44" s="51" t="s">
        <v>105</v>
      </c>
      <c r="D44" s="49" t="s">
        <v>104</v>
      </c>
      <c r="E44" s="49" t="s">
        <v>60</v>
      </c>
      <c r="F44" s="49" t="s">
        <v>52</v>
      </c>
      <c r="G44" s="56" t="s">
        <v>29</v>
      </c>
      <c r="H44" s="50">
        <v>55</v>
      </c>
      <c r="I44" s="22">
        <v>132000</v>
      </c>
      <c r="J44" s="22">
        <v>30000</v>
      </c>
      <c r="K44" s="22">
        <f t="shared" si="0"/>
        <v>7260000</v>
      </c>
      <c r="L44" s="23" t="s">
        <v>30</v>
      </c>
      <c r="M44" s="22">
        <f t="shared" si="1"/>
        <v>1650000</v>
      </c>
      <c r="N44" s="22">
        <f t="shared" si="2"/>
        <v>8910000</v>
      </c>
      <c r="O44" s="88" t="s">
        <v>53</v>
      </c>
      <c r="P44" s="85"/>
      <c r="Q44" s="90"/>
    </row>
    <row r="45" spans="2:18" s="25" customFormat="1">
      <c r="B45" s="56"/>
      <c r="C45" s="77" t="s">
        <v>106</v>
      </c>
      <c r="D45" s="49"/>
      <c r="E45" s="49"/>
      <c r="F45" s="49"/>
      <c r="G45" s="56"/>
      <c r="H45" s="50"/>
      <c r="I45" s="22"/>
      <c r="J45" s="22"/>
      <c r="K45" s="22"/>
      <c r="L45" s="20"/>
      <c r="M45" s="22"/>
      <c r="N45" s="22"/>
      <c r="O45" s="89"/>
      <c r="P45" s="85"/>
      <c r="Q45" s="90"/>
    </row>
    <row r="46" spans="2:18" s="25" customFormat="1" ht="37.9">
      <c r="B46" s="112">
        <v>30</v>
      </c>
      <c r="C46" s="51" t="s">
        <v>107</v>
      </c>
      <c r="D46" s="49" t="s">
        <v>108</v>
      </c>
      <c r="E46" s="49" t="s">
        <v>109</v>
      </c>
      <c r="F46" s="49" t="s">
        <v>35</v>
      </c>
      <c r="G46" s="56" t="s">
        <v>29</v>
      </c>
      <c r="H46" s="50">
        <v>119</v>
      </c>
      <c r="I46" s="22">
        <v>14939500</v>
      </c>
      <c r="J46" s="22">
        <v>70000</v>
      </c>
      <c r="K46" s="22">
        <f t="shared" ref="K46:K52" si="4">H46*I46</f>
        <v>1777800500</v>
      </c>
      <c r="L46" s="23" t="s">
        <v>30</v>
      </c>
      <c r="M46" s="22">
        <f t="shared" ref="M46:M52" si="5">H46*J46</f>
        <v>8330000</v>
      </c>
      <c r="N46" s="22">
        <f t="shared" ref="N46:N52" si="6">K46+M46</f>
        <v>1786130500</v>
      </c>
      <c r="O46" s="88" t="s">
        <v>110</v>
      </c>
      <c r="P46" s="85"/>
      <c r="Q46" s="90" t="e">
        <f>I46/P46</f>
        <v>#DIV/0!</v>
      </c>
      <c r="R46" s="94"/>
    </row>
    <row r="47" spans="2:18" s="25" customFormat="1" ht="37.9">
      <c r="B47" s="113"/>
      <c r="C47" s="51" t="s">
        <v>111</v>
      </c>
      <c r="D47" s="49" t="s">
        <v>112</v>
      </c>
      <c r="E47" s="49" t="s">
        <v>109</v>
      </c>
      <c r="F47" s="49" t="s">
        <v>35</v>
      </c>
      <c r="G47" s="56" t="s">
        <v>29</v>
      </c>
      <c r="H47" s="50">
        <v>20</v>
      </c>
      <c r="I47" s="22">
        <v>30875680</v>
      </c>
      <c r="J47" s="22">
        <v>70000</v>
      </c>
      <c r="K47" s="22">
        <f t="shared" si="4"/>
        <v>617513600</v>
      </c>
      <c r="L47" s="23" t="s">
        <v>30</v>
      </c>
      <c r="M47" s="22">
        <f t="shared" si="5"/>
        <v>1400000</v>
      </c>
      <c r="N47" s="22">
        <f t="shared" si="6"/>
        <v>618913600</v>
      </c>
      <c r="O47" s="88" t="s">
        <v>110</v>
      </c>
      <c r="P47" s="85"/>
      <c r="Q47" s="90" t="e">
        <f>I47/P47</f>
        <v>#DIV/0!</v>
      </c>
      <c r="R47" s="94"/>
    </row>
    <row r="48" spans="2:18" s="25" customFormat="1" ht="37.9">
      <c r="B48" s="56">
        <v>31</v>
      </c>
      <c r="C48" s="51" t="s">
        <v>113</v>
      </c>
      <c r="D48" s="49" t="s">
        <v>114</v>
      </c>
      <c r="E48" s="49" t="s">
        <v>60</v>
      </c>
      <c r="F48" s="49" t="s">
        <v>52</v>
      </c>
      <c r="G48" s="56" t="s">
        <v>100</v>
      </c>
      <c r="H48" s="75">
        <v>54290</v>
      </c>
      <c r="I48" s="22">
        <v>11313</v>
      </c>
      <c r="J48" s="22"/>
      <c r="K48" s="22">
        <f t="shared" si="4"/>
        <v>614182770</v>
      </c>
      <c r="L48" s="23" t="s">
        <v>30</v>
      </c>
      <c r="M48" s="22">
        <f t="shared" si="5"/>
        <v>0</v>
      </c>
      <c r="N48" s="22">
        <f t="shared" si="6"/>
        <v>614182770</v>
      </c>
      <c r="O48" s="88" t="s">
        <v>53</v>
      </c>
      <c r="P48" s="85" t="s">
        <v>115</v>
      </c>
      <c r="Q48" s="90"/>
    </row>
    <row r="49" spans="2:17" s="25" customFormat="1" ht="24.6">
      <c r="B49" s="54">
        <v>32</v>
      </c>
      <c r="C49" s="51" t="s">
        <v>116</v>
      </c>
      <c r="D49" s="49"/>
      <c r="E49" s="52"/>
      <c r="F49" s="52" t="s">
        <v>117</v>
      </c>
      <c r="G49" s="56" t="s">
        <v>118</v>
      </c>
      <c r="H49" s="50">
        <v>1</v>
      </c>
      <c r="I49" s="22">
        <v>233000000</v>
      </c>
      <c r="J49" s="22"/>
      <c r="K49" s="22">
        <f t="shared" si="4"/>
        <v>233000000</v>
      </c>
      <c r="L49" s="23" t="s">
        <v>30</v>
      </c>
      <c r="M49" s="22">
        <f t="shared" si="5"/>
        <v>0</v>
      </c>
      <c r="N49" s="22">
        <f t="shared" si="6"/>
        <v>233000000</v>
      </c>
      <c r="O49" s="89"/>
      <c r="P49" s="85" t="s">
        <v>119</v>
      </c>
      <c r="Q49" s="90"/>
    </row>
    <row r="50" spans="2:17" s="25" customFormat="1" ht="50.45">
      <c r="B50" s="56">
        <v>33</v>
      </c>
      <c r="C50" s="51" t="s">
        <v>103</v>
      </c>
      <c r="D50" s="49" t="s">
        <v>104</v>
      </c>
      <c r="E50" s="49" t="s">
        <v>60</v>
      </c>
      <c r="F50" s="49" t="s">
        <v>52</v>
      </c>
      <c r="G50" s="56" t="s">
        <v>29</v>
      </c>
      <c r="H50" s="50">
        <v>20</v>
      </c>
      <c r="I50" s="22">
        <v>132000</v>
      </c>
      <c r="J50" s="22">
        <v>30000</v>
      </c>
      <c r="K50" s="22">
        <f t="shared" si="4"/>
        <v>2640000</v>
      </c>
      <c r="L50" s="23" t="s">
        <v>30</v>
      </c>
      <c r="M50" s="22">
        <f t="shared" si="5"/>
        <v>600000</v>
      </c>
      <c r="N50" s="22">
        <f t="shared" si="6"/>
        <v>3240000</v>
      </c>
      <c r="O50" s="88" t="s">
        <v>53</v>
      </c>
      <c r="P50" s="85"/>
      <c r="Q50" s="90"/>
    </row>
    <row r="51" spans="2:17" s="25" customFormat="1" ht="37.9">
      <c r="B51" s="67">
        <v>34</v>
      </c>
      <c r="C51" s="51" t="s">
        <v>107</v>
      </c>
      <c r="D51" s="49" t="s">
        <v>108</v>
      </c>
      <c r="E51" s="49" t="s">
        <v>109</v>
      </c>
      <c r="F51" s="49" t="s">
        <v>35</v>
      </c>
      <c r="G51" s="56" t="s">
        <v>29</v>
      </c>
      <c r="H51" s="50">
        <v>17</v>
      </c>
      <c r="I51" s="22">
        <v>14939500</v>
      </c>
      <c r="J51" s="22">
        <v>70000</v>
      </c>
      <c r="K51" s="22">
        <f t="shared" si="4"/>
        <v>253971500</v>
      </c>
      <c r="L51" s="23" t="s">
        <v>30</v>
      </c>
      <c r="M51" s="22">
        <f t="shared" si="5"/>
        <v>1190000</v>
      </c>
      <c r="N51" s="22">
        <f t="shared" si="6"/>
        <v>255161500</v>
      </c>
      <c r="O51" s="88" t="s">
        <v>110</v>
      </c>
      <c r="P51" s="85"/>
      <c r="Q51" s="90" t="e">
        <f>I51/P51</f>
        <v>#DIV/0!</v>
      </c>
    </row>
    <row r="52" spans="2:17" s="25" customFormat="1" ht="37.9">
      <c r="B52" s="56">
        <v>35</v>
      </c>
      <c r="C52" s="51" t="s">
        <v>113</v>
      </c>
      <c r="D52" s="49" t="s">
        <v>114</v>
      </c>
      <c r="E52" s="49" t="s">
        <v>60</v>
      </c>
      <c r="F52" s="49" t="s">
        <v>52</v>
      </c>
      <c r="G52" s="56" t="s">
        <v>100</v>
      </c>
      <c r="H52" s="75">
        <v>2017</v>
      </c>
      <c r="I52" s="22">
        <v>11313</v>
      </c>
      <c r="J52" s="22"/>
      <c r="K52" s="22">
        <f t="shared" si="4"/>
        <v>22818321</v>
      </c>
      <c r="L52" s="23" t="s">
        <v>30</v>
      </c>
      <c r="M52" s="22">
        <f t="shared" si="5"/>
        <v>0</v>
      </c>
      <c r="N52" s="22">
        <f t="shared" si="6"/>
        <v>22818321</v>
      </c>
      <c r="O52" s="88" t="s">
        <v>53</v>
      </c>
      <c r="P52" s="85" t="s">
        <v>115</v>
      </c>
      <c r="Q52" s="90"/>
    </row>
    <row r="53" spans="2:17" ht="18" customHeight="1">
      <c r="B53" s="115" t="s">
        <v>120</v>
      </c>
      <c r="C53" s="116"/>
      <c r="D53" s="116"/>
      <c r="E53" s="116"/>
      <c r="F53" s="116"/>
      <c r="G53" s="116"/>
      <c r="H53" s="116"/>
      <c r="I53" s="117"/>
      <c r="J53" s="92"/>
      <c r="K53" s="26">
        <f>SUM(K12:K52)</f>
        <v>8643449580</v>
      </c>
      <c r="L53" s="27"/>
      <c r="M53" s="26">
        <f>SUM(M12:M52)</f>
        <v>51880000</v>
      </c>
      <c r="N53" s="26">
        <f>SUM(N12:N52)</f>
        <v>8695329580</v>
      </c>
      <c r="O53" s="28"/>
      <c r="P53" s="82"/>
      <c r="Q53" s="82"/>
    </row>
    <row r="54" spans="2:17" ht="18" customHeight="1">
      <c r="B54" s="115" t="s">
        <v>121</v>
      </c>
      <c r="C54" s="116"/>
      <c r="D54" s="116"/>
      <c r="E54" s="116"/>
      <c r="F54" s="116"/>
      <c r="G54" s="116"/>
      <c r="H54" s="116"/>
      <c r="I54" s="117"/>
      <c r="J54" s="92"/>
      <c r="K54" s="26"/>
      <c r="L54" s="27"/>
      <c r="M54" s="26"/>
      <c r="N54" s="26">
        <f>N53*10%</f>
        <v>869532958</v>
      </c>
      <c r="O54" s="28"/>
    </row>
    <row r="55" spans="2:17" ht="18" customHeight="1">
      <c r="B55" s="115" t="s">
        <v>122</v>
      </c>
      <c r="C55" s="116"/>
      <c r="D55" s="116"/>
      <c r="E55" s="116"/>
      <c r="F55" s="116"/>
      <c r="G55" s="116"/>
      <c r="H55" s="116"/>
      <c r="I55" s="117"/>
      <c r="J55" s="92"/>
      <c r="K55" s="26"/>
      <c r="L55" s="27"/>
      <c r="M55" s="26"/>
      <c r="N55" s="26">
        <f>N53+N54</f>
        <v>9564862538</v>
      </c>
      <c r="O55" s="28"/>
    </row>
    <row r="57" spans="2:17" ht="18" customHeight="1">
      <c r="B57" s="29"/>
      <c r="C57" s="30" t="s">
        <v>123</v>
      </c>
      <c r="D57" s="31"/>
      <c r="E57" s="31"/>
      <c r="F57" s="31"/>
      <c r="G57" s="32"/>
      <c r="H57" s="33"/>
      <c r="I57" s="34"/>
      <c r="J57" s="34"/>
      <c r="K57" s="34"/>
      <c r="L57" s="34"/>
      <c r="M57" s="34"/>
      <c r="N57" s="34"/>
    </row>
    <row r="58" spans="2:17">
      <c r="B58" s="35"/>
      <c r="C58" s="35" t="s">
        <v>124</v>
      </c>
      <c r="D58" s="35"/>
      <c r="E58" s="35"/>
      <c r="F58" s="35"/>
      <c r="G58" s="36"/>
      <c r="H58" s="37"/>
      <c r="I58" s="37"/>
      <c r="J58" s="37"/>
      <c r="K58" s="35"/>
      <c r="L58" s="35"/>
      <c r="M58" s="35"/>
      <c r="N58" s="35"/>
    </row>
    <row r="59" spans="2:17">
      <c r="B59" s="35"/>
      <c r="C59" s="35" t="s">
        <v>125</v>
      </c>
      <c r="D59" s="35"/>
      <c r="E59" s="35"/>
      <c r="F59" s="35"/>
      <c r="G59" s="36"/>
      <c r="H59" s="37"/>
      <c r="I59" s="37"/>
      <c r="J59" s="37"/>
      <c r="K59" s="35"/>
      <c r="L59" s="35"/>
      <c r="M59" s="35"/>
      <c r="N59" s="35"/>
    </row>
    <row r="60" spans="2:17">
      <c r="B60" s="35"/>
      <c r="C60" s="78" t="s">
        <v>126</v>
      </c>
      <c r="D60" s="35"/>
      <c r="E60" s="35"/>
      <c r="F60" s="35"/>
      <c r="G60" s="36"/>
      <c r="H60" s="37"/>
      <c r="I60" s="37"/>
      <c r="J60" s="37"/>
      <c r="K60" s="35"/>
      <c r="L60" s="35"/>
      <c r="M60" s="35"/>
      <c r="N60" s="35"/>
    </row>
    <row r="61" spans="2:17">
      <c r="B61" s="35"/>
      <c r="C61" s="78" t="s">
        <v>127</v>
      </c>
      <c r="D61" s="78"/>
      <c r="E61" s="78"/>
      <c r="F61" s="78"/>
      <c r="G61" s="79"/>
      <c r="H61" s="80"/>
      <c r="I61" s="80"/>
      <c r="J61" s="80"/>
      <c r="K61" s="35"/>
      <c r="L61" s="35"/>
      <c r="M61" s="35"/>
      <c r="N61" s="35"/>
    </row>
    <row r="62" spans="2:17">
      <c r="B62" s="35"/>
      <c r="C62" s="95" t="s">
        <v>128</v>
      </c>
      <c r="D62" s="78"/>
      <c r="E62" s="78"/>
      <c r="F62" s="78"/>
      <c r="G62" s="78"/>
      <c r="H62" s="78"/>
      <c r="I62" s="80"/>
      <c r="J62" s="80"/>
      <c r="K62" s="35"/>
      <c r="L62" s="35"/>
      <c r="M62" s="35"/>
      <c r="N62" s="35"/>
    </row>
    <row r="63" spans="2:17">
      <c r="B63" s="35"/>
      <c r="C63" s="95" t="s">
        <v>129</v>
      </c>
      <c r="D63" s="95"/>
      <c r="E63" s="95"/>
      <c r="F63" s="95"/>
      <c r="G63" s="95"/>
      <c r="H63" s="95"/>
      <c r="I63" s="95"/>
      <c r="J63" s="91"/>
      <c r="K63" s="35"/>
      <c r="L63" s="35"/>
      <c r="M63" s="35"/>
      <c r="N63" s="35"/>
    </row>
    <row r="64" spans="2:17">
      <c r="B64" s="35"/>
      <c r="C64" s="95" t="s">
        <v>130</v>
      </c>
      <c r="D64" s="95"/>
      <c r="E64" s="95"/>
      <c r="F64" s="95"/>
      <c r="G64" s="95"/>
      <c r="H64" s="95"/>
      <c r="I64" s="95"/>
      <c r="J64" s="91"/>
      <c r="K64" s="35"/>
      <c r="L64" s="35"/>
      <c r="M64" s="35"/>
      <c r="N64" s="35"/>
    </row>
    <row r="65" spans="2:14">
      <c r="B65" s="35"/>
      <c r="C65" s="35" t="s">
        <v>131</v>
      </c>
      <c r="D65" s="35"/>
      <c r="E65" s="35"/>
      <c r="F65" s="35"/>
      <c r="G65" s="36"/>
      <c r="H65" s="37"/>
      <c r="I65" s="37"/>
      <c r="J65" s="37"/>
      <c r="K65" s="35"/>
      <c r="L65" s="35"/>
      <c r="M65" s="35"/>
      <c r="N65" s="35"/>
    </row>
    <row r="66" spans="2:14">
      <c r="B66" s="35"/>
      <c r="C66" s="35"/>
      <c r="D66" s="35"/>
      <c r="E66" s="35"/>
      <c r="F66" s="35"/>
      <c r="G66" s="36"/>
      <c r="H66" s="37"/>
      <c r="I66" s="37"/>
      <c r="J66" s="37"/>
      <c r="K66" s="35"/>
      <c r="L66" s="35"/>
      <c r="M66" s="35"/>
      <c r="N66" s="35"/>
    </row>
    <row r="67" spans="2:14" ht="32.25" customHeight="1">
      <c r="B67" s="35"/>
      <c r="C67" s="114" t="s">
        <v>132</v>
      </c>
      <c r="D67" s="114"/>
      <c r="E67" s="114"/>
      <c r="F67" s="114"/>
      <c r="G67" s="114"/>
      <c r="H67" s="114"/>
      <c r="I67" s="114"/>
      <c r="J67" s="114"/>
      <c r="K67" s="114"/>
      <c r="L67" s="35"/>
      <c r="M67" s="35"/>
      <c r="N67" s="35"/>
    </row>
    <row r="68" spans="2:14">
      <c r="B68" s="35"/>
      <c r="C68" s="35"/>
      <c r="D68" s="35"/>
      <c r="E68" s="35"/>
      <c r="F68" s="35"/>
      <c r="G68" s="36"/>
      <c r="H68" s="37"/>
      <c r="I68" s="37"/>
      <c r="J68" s="37"/>
      <c r="K68" s="35"/>
      <c r="L68" s="35"/>
      <c r="M68" s="35"/>
      <c r="N68" s="35"/>
    </row>
    <row r="69" spans="2:14">
      <c r="C69" s="9" t="s">
        <v>133</v>
      </c>
      <c r="D69" s="38"/>
      <c r="E69" s="38"/>
      <c r="F69" s="38"/>
      <c r="G69" s="39"/>
      <c r="H69" s="12"/>
      <c r="I69" s="9" t="s">
        <v>134</v>
      </c>
      <c r="J69" s="9" t="s">
        <v>134</v>
      </c>
      <c r="K69" s="40"/>
      <c r="L69" s="41"/>
      <c r="M69" s="40"/>
      <c r="N69" s="40"/>
    </row>
    <row r="70" spans="2:14">
      <c r="C70" s="96" t="s">
        <v>135</v>
      </c>
      <c r="D70" s="43"/>
      <c r="E70" s="43"/>
      <c r="F70" s="43"/>
      <c r="G70" s="44"/>
      <c r="H70" s="45"/>
      <c r="I70" s="43"/>
      <c r="J70" s="43"/>
      <c r="K70" s="44"/>
      <c r="L70" s="8"/>
      <c r="M70" s="44"/>
      <c r="N70" s="44"/>
    </row>
    <row r="71" spans="2:14">
      <c r="C71" s="42"/>
      <c r="D71" s="43"/>
      <c r="E71" s="43"/>
      <c r="F71" s="43"/>
      <c r="G71" s="44"/>
      <c r="H71" s="45"/>
      <c r="I71" s="43"/>
      <c r="J71" s="43"/>
      <c r="K71" s="44"/>
      <c r="L71" s="8"/>
      <c r="M71" s="44"/>
      <c r="N71" s="44"/>
    </row>
    <row r="72" spans="2:14">
      <c r="C72" s="42"/>
      <c r="D72" s="43"/>
      <c r="E72" s="43"/>
      <c r="F72" s="43"/>
      <c r="G72" s="44"/>
      <c r="H72" s="45"/>
      <c r="I72" s="43"/>
      <c r="J72" s="43"/>
      <c r="K72" s="44"/>
      <c r="L72" s="8"/>
      <c r="M72" s="44"/>
      <c r="N72" s="44"/>
    </row>
    <row r="73" spans="2:14">
      <c r="C73" s="8"/>
      <c r="D73" s="46"/>
      <c r="E73" s="46"/>
      <c r="F73" s="46"/>
      <c r="G73" s="8"/>
      <c r="H73" s="46"/>
      <c r="I73" s="41"/>
      <c r="J73" s="41"/>
      <c r="K73" s="41"/>
      <c r="L73" s="41"/>
      <c r="M73" s="41"/>
      <c r="N73" s="41"/>
    </row>
    <row r="74" spans="2:14">
      <c r="C74" s="8"/>
      <c r="D74" s="46"/>
      <c r="E74" s="46"/>
      <c r="F74" s="46"/>
      <c r="G74" s="8"/>
      <c r="H74" s="46"/>
      <c r="I74" s="41"/>
      <c r="J74" s="41"/>
      <c r="K74" s="41"/>
      <c r="L74" s="41"/>
      <c r="M74" s="41"/>
      <c r="N74" s="41"/>
    </row>
    <row r="75" spans="2:14">
      <c r="C75" s="8"/>
      <c r="D75" s="46"/>
      <c r="E75" s="46"/>
      <c r="F75" s="46"/>
      <c r="G75" s="8"/>
      <c r="H75" s="46"/>
      <c r="I75" s="41"/>
      <c r="J75" s="41"/>
      <c r="K75" s="41"/>
      <c r="L75" s="41"/>
      <c r="M75" s="41"/>
      <c r="N75" s="41"/>
    </row>
    <row r="76" spans="2:14">
      <c r="C76" s="46" t="s">
        <v>136</v>
      </c>
      <c r="D76" s="46"/>
      <c r="E76" s="46"/>
      <c r="F76" s="46"/>
      <c r="G76" s="8"/>
      <c r="I76" s="47" t="s">
        <v>137</v>
      </c>
      <c r="J76" s="47" t="s">
        <v>137</v>
      </c>
      <c r="K76" s="41"/>
      <c r="L76" s="41"/>
      <c r="M76" s="41"/>
      <c r="N76" s="41"/>
    </row>
    <row r="77" spans="2:14">
      <c r="B77" s="35"/>
      <c r="C77" s="35"/>
      <c r="D77" s="35"/>
      <c r="E77" s="35"/>
      <c r="F77" s="35"/>
      <c r="G77" s="36"/>
      <c r="H77" s="37"/>
      <c r="I77" s="37"/>
      <c r="J77" s="37"/>
      <c r="K77" s="35"/>
      <c r="L77" s="35"/>
      <c r="M77" s="35"/>
      <c r="N77" s="35"/>
    </row>
    <row r="78" spans="2:14" ht="32.25" customHeight="1">
      <c r="B78" s="35"/>
      <c r="C78" s="114"/>
      <c r="D78" s="114"/>
      <c r="E78" s="114"/>
      <c r="F78" s="114"/>
      <c r="G78" s="114"/>
      <c r="H78" s="114"/>
      <c r="I78" s="114"/>
      <c r="J78" s="114"/>
      <c r="K78" s="114"/>
      <c r="L78" s="35"/>
      <c r="M78" s="35"/>
      <c r="N78" s="35"/>
    </row>
  </sheetData>
  <mergeCells count="24">
    <mergeCell ref="B17:B18"/>
    <mergeCell ref="B20:B21"/>
    <mergeCell ref="B46:B47"/>
    <mergeCell ref="C78:K78"/>
    <mergeCell ref="B53:I53"/>
    <mergeCell ref="B54:I54"/>
    <mergeCell ref="B55:I55"/>
    <mergeCell ref="C67:K67"/>
    <mergeCell ref="B5:C5"/>
    <mergeCell ref="B7:O7"/>
    <mergeCell ref="B9:B10"/>
    <mergeCell ref="C9:C10"/>
    <mergeCell ref="D9:D10"/>
    <mergeCell ref="E9:E10"/>
    <mergeCell ref="G9:G10"/>
    <mergeCell ref="H9:H10"/>
    <mergeCell ref="L9:L10"/>
    <mergeCell ref="O9:O10"/>
    <mergeCell ref="I9:I10"/>
    <mergeCell ref="K9:K10"/>
    <mergeCell ref="F9:F10"/>
    <mergeCell ref="J9:J10"/>
    <mergeCell ref="M9:M10"/>
    <mergeCell ref="N9:N10"/>
  </mergeCells>
  <hyperlinks>
    <hyperlink ref="C4" r:id="rId1" xr:uid="{FFBC1AA6-DAC0-4B98-B4AA-4616A10D08FE}"/>
  </hyperlinks>
  <printOptions horizontalCentered="1"/>
  <pageMargins left="0.1" right="0.1" top="0" bottom="0" header="0" footer="0"/>
  <pageSetup paperSize="8" scale="75" orientation="landscape" r:id="rId2"/>
  <headerFooter alignWithMargins="0">
    <oddFooter>&amp;C&amp;"Times New Roman,Regular"&amp;12Trang &amp;P/&amp;N</oddFooter>
  </headerFooter>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Hieu Huynh</cp:lastModifiedBy>
  <cp:revision/>
  <dcterms:created xsi:type="dcterms:W3CDTF">2019-11-12T07:41:35Z</dcterms:created>
  <dcterms:modified xsi:type="dcterms:W3CDTF">2022-10-21T02:20:00Z</dcterms:modified>
  <cp:category/>
  <cp:contentStatus/>
</cp:coreProperties>
</file>