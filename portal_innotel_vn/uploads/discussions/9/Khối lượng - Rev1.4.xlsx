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https://hackermuxameduvn-my.sharepoint.com/personal/khoahoang_hackermuxam_edu_vn/Documents/Personal/Works/Alphanam/Marriotts Sông Hàn/Diagram/Rack Layout/"/>
    </mc:Choice>
  </mc:AlternateContent>
  <xr:revisionPtr revIDLastSave="195" documentId="11_F25DC773A252ABDACC1048BF599857405BDE58E4" xr6:coauthVersionLast="47" xr6:coauthVersionMax="47" xr10:uidLastSave="{2D11430E-1695-4A91-AB4B-AD93025A9108}"/>
  <bookViews>
    <workbookView xWindow="28680" yWindow="-120" windowWidth="29040" windowHeight="15990" activeTab="1" xr2:uid="{00000000-000D-0000-FFFF-FFFF00000000}"/>
  </bookViews>
  <sheets>
    <sheet name="Khối CY &amp; MEA" sheetId="2" r:id="rId1"/>
    <sheet name="Khối MLM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1" i="2" l="1"/>
  <c r="D32" i="2"/>
  <c r="J32" i="2"/>
  <c r="K32" i="2"/>
  <c r="M32" i="2"/>
  <c r="E31" i="2"/>
  <c r="G31" i="2"/>
  <c r="I31" i="2"/>
  <c r="C31" i="2"/>
  <c r="G10" i="3"/>
  <c r="H29" i="2"/>
  <c r="K9" i="3"/>
  <c r="J9" i="3"/>
  <c r="I9" i="3"/>
  <c r="H9" i="3"/>
  <c r="G9" i="3"/>
  <c r="F9" i="3"/>
  <c r="E9" i="3"/>
  <c r="D9" i="3"/>
  <c r="C9" i="3"/>
  <c r="M28" i="2"/>
  <c r="L28" i="2"/>
  <c r="K28" i="2"/>
  <c r="J28" i="2"/>
  <c r="I28" i="2"/>
  <c r="H28" i="2"/>
  <c r="G28" i="2"/>
  <c r="F28" i="2"/>
  <c r="E28" i="2"/>
  <c r="D28" i="2"/>
  <c r="C28" i="2"/>
</calcChain>
</file>

<file path=xl/sharedStrings.xml><?xml version="1.0" encoding="utf-8"?>
<sst xmlns="http://schemas.openxmlformats.org/spreadsheetml/2006/main" count="64" uniqueCount="54">
  <si>
    <t>Tầng</t>
  </si>
  <si>
    <t>Switch 48-ports</t>
  </si>
  <si>
    <t>Switch 24-ports</t>
  </si>
  <si>
    <t>DAC 10G</t>
  </si>
  <si>
    <t>SFP 10G</t>
  </si>
  <si>
    <t>ODF 48-FO</t>
  </si>
  <si>
    <t>ODF 12-FO</t>
  </si>
  <si>
    <t>Cable Mgmt</t>
  </si>
  <si>
    <t>RACK 800</t>
  </si>
  <si>
    <t>RACK 600</t>
  </si>
  <si>
    <t>ELV - B1F</t>
  </si>
  <si>
    <t>IDF - B1F</t>
  </si>
  <si>
    <t>IDF - 1F</t>
  </si>
  <si>
    <t>IDF - 2F</t>
  </si>
  <si>
    <t>IDF - 3F</t>
  </si>
  <si>
    <t>IDF - 3AF</t>
  </si>
  <si>
    <t>IDF - 4F</t>
  </si>
  <si>
    <t>IDF - 4AF</t>
  </si>
  <si>
    <t>IDF - 4BF</t>
  </si>
  <si>
    <t>IDF - 5F</t>
  </si>
  <si>
    <t>IDF - 7F</t>
  </si>
  <si>
    <t>IDF - 9F</t>
  </si>
  <si>
    <t>IDF - 11F</t>
  </si>
  <si>
    <t>IDF - 13F</t>
  </si>
  <si>
    <t>IDF - B3F</t>
  </si>
  <si>
    <t>DC - 4BF</t>
  </si>
  <si>
    <t>IDF - 15F</t>
  </si>
  <si>
    <t>IDF - 18F</t>
  </si>
  <si>
    <t>IDF - 21F</t>
  </si>
  <si>
    <t>IDF - 23F</t>
  </si>
  <si>
    <t>IDF - 26F</t>
  </si>
  <si>
    <t>IDF - 29F</t>
  </si>
  <si>
    <t>IDF - 32F</t>
  </si>
  <si>
    <t>IDF - 35F</t>
  </si>
  <si>
    <t>IDF - 38F</t>
  </si>
  <si>
    <t>IDF - 39F</t>
  </si>
  <si>
    <t>MEA
BLOCK</t>
  </si>
  <si>
    <t>TỔNG</t>
  </si>
  <si>
    <t>Patch Panel - 48</t>
  </si>
  <si>
    <t>Patch Panel - 24</t>
  </si>
  <si>
    <t>TỔNG GIAO</t>
  </si>
  <si>
    <t>Switch POE 48-ports</t>
  </si>
  <si>
    <t>Switch POE 24-ports</t>
  </si>
  <si>
    <t>CÒN DƯ 
(TỪ KHỐI CY &amp; MEA)</t>
  </si>
  <si>
    <t>IDF - A.2F</t>
  </si>
  <si>
    <t>IDF - A.24AF</t>
  </si>
  <si>
    <t>IDF - A.26F</t>
  </si>
  <si>
    <t>IDF - A.29F</t>
  </si>
  <si>
    <t>IDF - A.32F</t>
  </si>
  <si>
    <t>IDF - A.35F</t>
  </si>
  <si>
    <t>IDF - A.38F</t>
  </si>
  <si>
    <t>SFP 10G (Core SW)</t>
  </si>
  <si>
    <t>SỐ LƯỢNG CÒN THIẾU</t>
  </si>
  <si>
    <t>SỐ LƯỢNG CÒN DƯ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</si>
</sst>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CC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8D50C-02BB-438C-9B07-ACC363FCBD41}">
  <dimension ref="A1:M32"/>
  <sheetViews>
    <sheetView workbookViewId="0">
      <selection activeCell="F35" sqref="F35"/>
    </sheetView>
  </sheetViews>
  <sheetFormatPr defaultRowHeight="14.5" x14ac:dyDescent="0.35"/>
  <cols>
    <col min="1" max="1" width="8.7265625" style="1"/>
    <col min="2" max="2" width="11.1796875" style="2" customWidth="1"/>
    <col min="3" max="3" width="10.1796875" style="1" customWidth="1"/>
    <col min="4" max="4" width="10.453125" style="1" customWidth="1"/>
    <col min="5" max="6" width="17.90625" style="1" bestFit="1" customWidth="1"/>
    <col min="7" max="7" width="12.08984375" style="1" customWidth="1"/>
    <col min="8" max="8" width="13.7265625" style="1" customWidth="1"/>
    <col min="9" max="9" width="16.7265625" style="1" customWidth="1"/>
    <col min="10" max="10" width="14.90625" style="1" customWidth="1"/>
    <col min="11" max="11" width="12.26953125" style="1" customWidth="1"/>
    <col min="12" max="13" width="10.453125" style="1" customWidth="1"/>
    <col min="14" max="16384" width="8.7265625" style="1"/>
  </cols>
  <sheetData>
    <row r="1" spans="2:13" s="2" customFormat="1" x14ac:dyDescent="0.35">
      <c r="B1" s="6" t="s">
        <v>0</v>
      </c>
      <c r="C1" s="3" t="s">
        <v>5</v>
      </c>
      <c r="D1" s="3" t="s">
        <v>6</v>
      </c>
      <c r="E1" s="3" t="s">
        <v>41</v>
      </c>
      <c r="F1" s="3" t="s">
        <v>42</v>
      </c>
      <c r="G1" s="3" t="s">
        <v>3</v>
      </c>
      <c r="H1" s="3" t="s">
        <v>4</v>
      </c>
      <c r="I1" s="3" t="s">
        <v>38</v>
      </c>
      <c r="J1" s="3" t="s">
        <v>39</v>
      </c>
      <c r="K1" s="3" t="s">
        <v>7</v>
      </c>
      <c r="L1" s="3" t="s">
        <v>8</v>
      </c>
      <c r="M1" s="3" t="s">
        <v>9</v>
      </c>
    </row>
    <row r="2" spans="2:13" x14ac:dyDescent="0.35">
      <c r="B2" s="4" t="s">
        <v>24</v>
      </c>
      <c r="C2" s="5"/>
      <c r="D2" s="5">
        <v>2</v>
      </c>
      <c r="E2" s="5">
        <v>1</v>
      </c>
      <c r="F2" s="5">
        <v>1</v>
      </c>
      <c r="G2" s="5"/>
      <c r="H2" s="5">
        <v>4</v>
      </c>
      <c r="I2" s="5">
        <v>1</v>
      </c>
      <c r="J2" s="5">
        <v>1</v>
      </c>
      <c r="K2" s="5">
        <v>2</v>
      </c>
      <c r="L2" s="5"/>
      <c r="M2" s="5">
        <v>1</v>
      </c>
    </row>
    <row r="3" spans="2:13" x14ac:dyDescent="0.35">
      <c r="B3" s="6" t="s">
        <v>10</v>
      </c>
      <c r="C3" s="5">
        <v>5</v>
      </c>
      <c r="D3" s="5"/>
      <c r="E3" s="5"/>
      <c r="F3" s="5"/>
      <c r="G3" s="5"/>
      <c r="H3" s="5"/>
      <c r="I3" s="5"/>
      <c r="J3" s="5"/>
      <c r="K3" s="5"/>
      <c r="L3" s="5">
        <v>1</v>
      </c>
      <c r="M3" s="5">
        <v>1</v>
      </c>
    </row>
    <row r="4" spans="2:13" x14ac:dyDescent="0.35">
      <c r="B4" s="4" t="s">
        <v>11</v>
      </c>
      <c r="C4" s="5"/>
      <c r="D4" s="5">
        <v>2</v>
      </c>
      <c r="E4" s="5">
        <v>3</v>
      </c>
      <c r="F4" s="5"/>
      <c r="G4" s="5">
        <v>2</v>
      </c>
      <c r="H4" s="5">
        <v>4</v>
      </c>
      <c r="I4" s="5">
        <v>3</v>
      </c>
      <c r="J4" s="5"/>
      <c r="K4" s="5">
        <v>3</v>
      </c>
      <c r="L4" s="5"/>
      <c r="M4" s="5">
        <v>1</v>
      </c>
    </row>
    <row r="5" spans="2:13" x14ac:dyDescent="0.35">
      <c r="B5" s="4" t="s">
        <v>12</v>
      </c>
      <c r="C5" s="5"/>
      <c r="D5" s="5">
        <v>2</v>
      </c>
      <c r="E5" s="5">
        <v>4</v>
      </c>
      <c r="F5" s="5"/>
      <c r="G5" s="5">
        <v>3</v>
      </c>
      <c r="H5" s="5">
        <v>4</v>
      </c>
      <c r="I5" s="5">
        <v>4</v>
      </c>
      <c r="J5" s="5"/>
      <c r="K5" s="5">
        <v>5</v>
      </c>
      <c r="L5" s="5"/>
      <c r="M5" s="5">
        <v>1</v>
      </c>
    </row>
    <row r="6" spans="2:13" x14ac:dyDescent="0.35">
      <c r="B6" s="4" t="s">
        <v>13</v>
      </c>
      <c r="C6" s="5"/>
      <c r="D6" s="5">
        <v>3</v>
      </c>
      <c r="E6" s="5">
        <v>3</v>
      </c>
      <c r="F6" s="5">
        <v>2</v>
      </c>
      <c r="G6" s="5">
        <v>2</v>
      </c>
      <c r="H6" s="5">
        <v>8</v>
      </c>
      <c r="I6" s="5">
        <v>3</v>
      </c>
      <c r="J6" s="5">
        <v>2</v>
      </c>
      <c r="K6" s="5">
        <v>5</v>
      </c>
      <c r="L6" s="5"/>
      <c r="M6" s="5">
        <v>2</v>
      </c>
    </row>
    <row r="7" spans="2:13" x14ac:dyDescent="0.35">
      <c r="B7" s="4" t="s">
        <v>14</v>
      </c>
      <c r="C7" s="5"/>
      <c r="D7" s="5">
        <v>2</v>
      </c>
      <c r="E7" s="5">
        <v>1</v>
      </c>
      <c r="F7" s="5">
        <v>3</v>
      </c>
      <c r="G7" s="5">
        <v>4</v>
      </c>
      <c r="H7" s="5">
        <v>4</v>
      </c>
      <c r="I7" s="5">
        <v>1</v>
      </c>
      <c r="J7" s="5">
        <v>3</v>
      </c>
      <c r="K7" s="5">
        <v>4</v>
      </c>
      <c r="L7" s="5"/>
      <c r="M7" s="5">
        <v>1</v>
      </c>
    </row>
    <row r="8" spans="2:13" x14ac:dyDescent="0.35">
      <c r="B8" s="4" t="s">
        <v>15</v>
      </c>
      <c r="C8" s="5"/>
      <c r="D8" s="5">
        <v>3</v>
      </c>
      <c r="E8" s="5">
        <v>3</v>
      </c>
      <c r="F8" s="5">
        <v>2</v>
      </c>
      <c r="G8" s="5">
        <v>2</v>
      </c>
      <c r="H8" s="5">
        <v>8</v>
      </c>
      <c r="I8" s="5">
        <v>3</v>
      </c>
      <c r="J8" s="5">
        <v>2</v>
      </c>
      <c r="K8" s="5">
        <v>5</v>
      </c>
      <c r="L8" s="5"/>
      <c r="M8" s="5">
        <v>2</v>
      </c>
    </row>
    <row r="9" spans="2:13" x14ac:dyDescent="0.35">
      <c r="B9" s="4" t="s">
        <v>16</v>
      </c>
      <c r="C9" s="5"/>
      <c r="D9" s="5">
        <v>2</v>
      </c>
      <c r="E9" s="5">
        <v>1</v>
      </c>
      <c r="F9" s="5">
        <v>2</v>
      </c>
      <c r="G9" s="5">
        <v>2</v>
      </c>
      <c r="H9" s="5">
        <v>4</v>
      </c>
      <c r="I9" s="5">
        <v>1</v>
      </c>
      <c r="J9" s="5">
        <v>2</v>
      </c>
      <c r="K9" s="5">
        <v>3</v>
      </c>
      <c r="L9" s="5"/>
      <c r="M9" s="5">
        <v>1</v>
      </c>
    </row>
    <row r="10" spans="2:13" x14ac:dyDescent="0.35">
      <c r="B10" s="4" t="s">
        <v>17</v>
      </c>
      <c r="C10" s="5"/>
      <c r="D10" s="5">
        <v>2</v>
      </c>
      <c r="E10" s="5">
        <v>1</v>
      </c>
      <c r="F10" s="5">
        <v>2</v>
      </c>
      <c r="G10" s="5">
        <v>2</v>
      </c>
      <c r="H10" s="5">
        <v>4</v>
      </c>
      <c r="I10" s="5">
        <v>1</v>
      </c>
      <c r="J10" s="5">
        <v>2</v>
      </c>
      <c r="K10" s="5">
        <v>3</v>
      </c>
      <c r="L10" s="5"/>
      <c r="M10" s="5">
        <v>1</v>
      </c>
    </row>
    <row r="11" spans="2:13" x14ac:dyDescent="0.35">
      <c r="B11" s="4" t="s">
        <v>18</v>
      </c>
      <c r="C11" s="5"/>
      <c r="D11" s="5">
        <v>2</v>
      </c>
      <c r="E11" s="5">
        <v>4</v>
      </c>
      <c r="F11" s="5">
        <v>1</v>
      </c>
      <c r="G11" s="5">
        <v>4</v>
      </c>
      <c r="H11" s="5">
        <v>4</v>
      </c>
      <c r="I11" s="5">
        <v>4</v>
      </c>
      <c r="J11" s="5">
        <v>1</v>
      </c>
      <c r="K11" s="5">
        <v>6</v>
      </c>
      <c r="L11" s="5"/>
      <c r="M11" s="5">
        <v>1</v>
      </c>
    </row>
    <row r="12" spans="2:13" x14ac:dyDescent="0.35">
      <c r="B12" s="6" t="s">
        <v>25</v>
      </c>
      <c r="C12" s="5">
        <v>5</v>
      </c>
      <c r="D12" s="5"/>
      <c r="E12" s="5"/>
      <c r="F12" s="5"/>
      <c r="G12" s="5"/>
      <c r="H12" s="5"/>
      <c r="I12" s="5"/>
      <c r="J12" s="5"/>
      <c r="K12" s="5"/>
      <c r="L12" s="5">
        <v>5</v>
      </c>
      <c r="M12" s="5"/>
    </row>
    <row r="13" spans="2:13" x14ac:dyDescent="0.35">
      <c r="B13" s="4" t="s">
        <v>19</v>
      </c>
      <c r="C13" s="5"/>
      <c r="D13" s="5">
        <v>2</v>
      </c>
      <c r="E13" s="5">
        <v>2</v>
      </c>
      <c r="F13" s="5">
        <v>1</v>
      </c>
      <c r="G13" s="5">
        <v>2</v>
      </c>
      <c r="H13" s="5">
        <v>4</v>
      </c>
      <c r="I13" s="5">
        <v>2</v>
      </c>
      <c r="J13" s="5">
        <v>1</v>
      </c>
      <c r="K13" s="5">
        <v>3</v>
      </c>
      <c r="L13" s="5"/>
      <c r="M13" s="5">
        <v>1</v>
      </c>
    </row>
    <row r="14" spans="2:13" x14ac:dyDescent="0.35">
      <c r="B14" s="4" t="s">
        <v>20</v>
      </c>
      <c r="C14" s="5"/>
      <c r="D14" s="5">
        <v>2</v>
      </c>
      <c r="E14" s="5">
        <v>2</v>
      </c>
      <c r="F14" s="5">
        <v>1</v>
      </c>
      <c r="G14" s="5">
        <v>2</v>
      </c>
      <c r="H14" s="5">
        <v>4</v>
      </c>
      <c r="I14" s="5">
        <v>2</v>
      </c>
      <c r="J14" s="5">
        <v>1</v>
      </c>
      <c r="K14" s="5">
        <v>3</v>
      </c>
      <c r="L14" s="5"/>
      <c r="M14" s="5">
        <v>1</v>
      </c>
    </row>
    <row r="15" spans="2:13" x14ac:dyDescent="0.35">
      <c r="B15" s="4" t="s">
        <v>21</v>
      </c>
      <c r="C15" s="5"/>
      <c r="D15" s="5">
        <v>2</v>
      </c>
      <c r="E15" s="5">
        <v>2</v>
      </c>
      <c r="F15" s="5">
        <v>1</v>
      </c>
      <c r="G15" s="5">
        <v>2</v>
      </c>
      <c r="H15" s="5">
        <v>4</v>
      </c>
      <c r="I15" s="5">
        <v>2</v>
      </c>
      <c r="J15" s="5">
        <v>1</v>
      </c>
      <c r="K15" s="5">
        <v>3</v>
      </c>
      <c r="L15" s="5"/>
      <c r="M15" s="5">
        <v>1</v>
      </c>
    </row>
    <row r="16" spans="2:13" x14ac:dyDescent="0.35">
      <c r="B16" s="4" t="s">
        <v>22</v>
      </c>
      <c r="C16" s="5"/>
      <c r="D16" s="5">
        <v>2</v>
      </c>
      <c r="E16" s="5">
        <v>2</v>
      </c>
      <c r="F16" s="5">
        <v>1</v>
      </c>
      <c r="G16" s="5">
        <v>2</v>
      </c>
      <c r="H16" s="5">
        <v>4</v>
      </c>
      <c r="I16" s="5">
        <v>2</v>
      </c>
      <c r="J16" s="5">
        <v>1</v>
      </c>
      <c r="K16" s="5">
        <v>3</v>
      </c>
      <c r="L16" s="5"/>
      <c r="M16" s="5">
        <v>1</v>
      </c>
    </row>
    <row r="17" spans="1:13" x14ac:dyDescent="0.35">
      <c r="B17" s="4" t="s">
        <v>23</v>
      </c>
      <c r="C17" s="5"/>
      <c r="D17" s="5">
        <v>2</v>
      </c>
      <c r="E17" s="5">
        <v>2</v>
      </c>
      <c r="F17" s="5">
        <v>1</v>
      </c>
      <c r="G17" s="5">
        <v>2</v>
      </c>
      <c r="H17" s="5">
        <v>4</v>
      </c>
      <c r="I17" s="5">
        <v>2</v>
      </c>
      <c r="J17" s="5">
        <v>1</v>
      </c>
      <c r="K17" s="5">
        <v>3</v>
      </c>
      <c r="L17" s="5"/>
      <c r="M17" s="5">
        <v>1</v>
      </c>
    </row>
    <row r="18" spans="1:13" x14ac:dyDescent="0.35">
      <c r="B18" s="4" t="s">
        <v>26</v>
      </c>
      <c r="C18" s="5"/>
      <c r="D18" s="5">
        <v>2</v>
      </c>
      <c r="E18" s="5">
        <v>2</v>
      </c>
      <c r="F18" s="5">
        <v>1</v>
      </c>
      <c r="G18" s="5">
        <v>2</v>
      </c>
      <c r="H18" s="5">
        <v>4</v>
      </c>
      <c r="I18" s="5">
        <v>2</v>
      </c>
      <c r="J18" s="5">
        <v>1</v>
      </c>
      <c r="K18" s="5">
        <v>3</v>
      </c>
      <c r="L18" s="5"/>
      <c r="M18" s="5">
        <v>1</v>
      </c>
    </row>
    <row r="19" spans="1:13" x14ac:dyDescent="0.35">
      <c r="B19" s="4" t="s">
        <v>27</v>
      </c>
      <c r="C19" s="5"/>
      <c r="D19" s="5">
        <v>2</v>
      </c>
      <c r="E19" s="5">
        <v>3</v>
      </c>
      <c r="F19" s="5">
        <v>1</v>
      </c>
      <c r="G19" s="5">
        <v>3</v>
      </c>
      <c r="H19" s="5">
        <v>4</v>
      </c>
      <c r="I19" s="5">
        <v>3</v>
      </c>
      <c r="J19" s="5">
        <v>1</v>
      </c>
      <c r="K19" s="5">
        <v>4</v>
      </c>
      <c r="L19" s="5"/>
      <c r="M19" s="5">
        <v>1</v>
      </c>
    </row>
    <row r="20" spans="1:13" x14ac:dyDescent="0.35">
      <c r="B20" s="4" t="s">
        <v>28</v>
      </c>
      <c r="C20" s="5"/>
      <c r="D20" s="5">
        <v>2</v>
      </c>
      <c r="E20" s="5">
        <v>3</v>
      </c>
      <c r="F20" s="5">
        <v>1</v>
      </c>
      <c r="G20" s="5">
        <v>3</v>
      </c>
      <c r="H20" s="5">
        <v>4</v>
      </c>
      <c r="I20" s="5">
        <v>3</v>
      </c>
      <c r="J20" s="5">
        <v>1</v>
      </c>
      <c r="K20" s="5">
        <v>4</v>
      </c>
      <c r="L20" s="5"/>
      <c r="M20" s="5">
        <v>1</v>
      </c>
    </row>
    <row r="21" spans="1:13" x14ac:dyDescent="0.35">
      <c r="B21" s="4" t="s">
        <v>29</v>
      </c>
      <c r="C21" s="5"/>
      <c r="D21" s="5">
        <v>2</v>
      </c>
      <c r="E21" s="5">
        <v>3</v>
      </c>
      <c r="F21" s="5">
        <v>1</v>
      </c>
      <c r="G21" s="5">
        <v>3</v>
      </c>
      <c r="H21" s="5">
        <v>4</v>
      </c>
      <c r="I21" s="5">
        <v>3</v>
      </c>
      <c r="J21" s="5">
        <v>1</v>
      </c>
      <c r="K21" s="5">
        <v>4</v>
      </c>
      <c r="L21" s="5"/>
      <c r="M21" s="5">
        <v>1</v>
      </c>
    </row>
    <row r="22" spans="1:13" x14ac:dyDescent="0.35">
      <c r="A22" s="12" t="s">
        <v>36</v>
      </c>
      <c r="B22" s="4" t="s">
        <v>30</v>
      </c>
      <c r="C22" s="5"/>
      <c r="D22" s="5">
        <v>2</v>
      </c>
      <c r="E22" s="5">
        <v>3</v>
      </c>
      <c r="F22" s="5">
        <v>1</v>
      </c>
      <c r="G22" s="5">
        <v>3</v>
      </c>
      <c r="H22" s="5">
        <v>4</v>
      </c>
      <c r="I22" s="5">
        <v>3</v>
      </c>
      <c r="J22" s="5">
        <v>1</v>
      </c>
      <c r="K22" s="5">
        <v>4</v>
      </c>
      <c r="L22" s="5"/>
      <c r="M22" s="5">
        <v>1</v>
      </c>
    </row>
    <row r="23" spans="1:13" x14ac:dyDescent="0.35">
      <c r="A23" s="13"/>
      <c r="B23" s="4" t="s">
        <v>31</v>
      </c>
      <c r="C23" s="5"/>
      <c r="D23" s="5">
        <v>2</v>
      </c>
      <c r="E23" s="5">
        <v>3</v>
      </c>
      <c r="F23" s="5">
        <v>1</v>
      </c>
      <c r="G23" s="5">
        <v>3</v>
      </c>
      <c r="H23" s="5">
        <v>4</v>
      </c>
      <c r="I23" s="5">
        <v>3</v>
      </c>
      <c r="J23" s="5">
        <v>1</v>
      </c>
      <c r="K23" s="5">
        <v>4</v>
      </c>
      <c r="L23" s="5"/>
      <c r="M23" s="5">
        <v>1</v>
      </c>
    </row>
    <row r="24" spans="1:13" x14ac:dyDescent="0.35">
      <c r="A24" s="13"/>
      <c r="B24" s="4" t="s">
        <v>32</v>
      </c>
      <c r="C24" s="5"/>
      <c r="D24" s="5">
        <v>2</v>
      </c>
      <c r="E24" s="5">
        <v>3</v>
      </c>
      <c r="F24" s="5">
        <v>1</v>
      </c>
      <c r="G24" s="5">
        <v>3</v>
      </c>
      <c r="H24" s="5">
        <v>4</v>
      </c>
      <c r="I24" s="5">
        <v>3</v>
      </c>
      <c r="J24" s="5">
        <v>1</v>
      </c>
      <c r="K24" s="5">
        <v>4</v>
      </c>
      <c r="L24" s="5"/>
      <c r="M24" s="5">
        <v>1</v>
      </c>
    </row>
    <row r="25" spans="1:13" x14ac:dyDescent="0.35">
      <c r="A25" s="13"/>
      <c r="B25" s="4" t="s">
        <v>33</v>
      </c>
      <c r="C25" s="5"/>
      <c r="D25" s="5">
        <v>2</v>
      </c>
      <c r="E25" s="5">
        <v>3</v>
      </c>
      <c r="F25" s="5">
        <v>1</v>
      </c>
      <c r="G25" s="5">
        <v>3</v>
      </c>
      <c r="H25" s="5">
        <v>4</v>
      </c>
      <c r="I25" s="5">
        <v>3</v>
      </c>
      <c r="J25" s="5">
        <v>1</v>
      </c>
      <c r="K25" s="5">
        <v>4</v>
      </c>
      <c r="L25" s="5"/>
      <c r="M25" s="5">
        <v>1</v>
      </c>
    </row>
    <row r="26" spans="1:13" x14ac:dyDescent="0.35">
      <c r="A26" s="13"/>
      <c r="B26" s="4" t="s">
        <v>34</v>
      </c>
      <c r="C26" s="5"/>
      <c r="D26" s="5">
        <v>2</v>
      </c>
      <c r="E26" s="5">
        <v>3</v>
      </c>
      <c r="F26" s="5">
        <v>1</v>
      </c>
      <c r="G26" s="5">
        <v>3</v>
      </c>
      <c r="H26" s="5">
        <v>4</v>
      </c>
      <c r="I26" s="5">
        <v>3</v>
      </c>
      <c r="J26" s="5">
        <v>1</v>
      </c>
      <c r="K26" s="5">
        <v>4</v>
      </c>
      <c r="L26" s="5"/>
      <c r="M26" s="5">
        <v>1</v>
      </c>
    </row>
    <row r="27" spans="1:13" x14ac:dyDescent="0.35">
      <c r="B27" s="7" t="s">
        <v>35</v>
      </c>
      <c r="C27" s="5"/>
      <c r="D27" s="5">
        <v>2</v>
      </c>
      <c r="E27" s="5">
        <v>2</v>
      </c>
      <c r="F27" s="5">
        <v>2</v>
      </c>
      <c r="G27" s="5">
        <v>4</v>
      </c>
      <c r="H27" s="5">
        <v>4</v>
      </c>
      <c r="I27" s="5">
        <v>2</v>
      </c>
      <c r="J27" s="5">
        <v>2</v>
      </c>
      <c r="K27" s="5">
        <v>4</v>
      </c>
      <c r="L27" s="5"/>
      <c r="M27" s="5">
        <v>1</v>
      </c>
    </row>
    <row r="28" spans="1:13" s="9" customFormat="1" x14ac:dyDescent="0.35">
      <c r="A28" s="14" t="s">
        <v>37</v>
      </c>
      <c r="B28" s="14"/>
      <c r="C28" s="8">
        <f>SUM(C2:C27)</f>
        <v>10</v>
      </c>
      <c r="D28" s="8">
        <f>SUM(D2:D27)</f>
        <v>50</v>
      </c>
      <c r="E28" s="8">
        <f>SUM(E2:E27)</f>
        <v>59</v>
      </c>
      <c r="F28" s="8">
        <f t="shared" ref="F28:M28" si="0">SUM(F2:F27)</f>
        <v>29</v>
      </c>
      <c r="G28" s="8">
        <f>SUM(G2:G27)</f>
        <v>61</v>
      </c>
      <c r="H28" s="8">
        <f>SUM(H2:H27)</f>
        <v>104</v>
      </c>
      <c r="I28" s="8">
        <f>SUM(I2:I27)</f>
        <v>59</v>
      </c>
      <c r="J28" s="8">
        <f t="shared" ref="J28:K28" si="1">SUM(J2:J27)</f>
        <v>29</v>
      </c>
      <c r="K28" s="8">
        <f t="shared" si="1"/>
        <v>90</v>
      </c>
      <c r="L28" s="8">
        <f t="shared" si="0"/>
        <v>6</v>
      </c>
      <c r="M28" s="8">
        <f t="shared" si="0"/>
        <v>27</v>
      </c>
    </row>
    <row r="29" spans="1:13" s="9" customFormat="1" x14ac:dyDescent="0.35">
      <c r="A29" s="16" t="s">
        <v>51</v>
      </c>
      <c r="B29" s="17"/>
      <c r="C29" s="8"/>
      <c r="D29" s="8"/>
      <c r="E29" s="8"/>
      <c r="F29" s="8"/>
      <c r="G29" s="8"/>
      <c r="H29" s="8">
        <f>H28</f>
        <v>104</v>
      </c>
      <c r="I29" s="8"/>
      <c r="J29" s="8"/>
      <c r="K29" s="8"/>
      <c r="L29" s="8"/>
      <c r="M29" s="8"/>
    </row>
    <row r="30" spans="1:13" s="10" customFormat="1" x14ac:dyDescent="0.35">
      <c r="A30" s="15" t="s">
        <v>40</v>
      </c>
      <c r="B30" s="15"/>
      <c r="C30" s="11">
        <v>7</v>
      </c>
      <c r="D30" s="11">
        <v>68</v>
      </c>
      <c r="E30" s="11">
        <v>40</v>
      </c>
      <c r="F30" s="11">
        <v>29</v>
      </c>
      <c r="G30" s="11">
        <v>49</v>
      </c>
      <c r="H30" s="11">
        <v>184</v>
      </c>
      <c r="I30" s="11">
        <v>58</v>
      </c>
      <c r="J30" s="11">
        <v>31</v>
      </c>
      <c r="K30" s="11">
        <v>93</v>
      </c>
      <c r="L30" s="11">
        <v>6</v>
      </c>
      <c r="M30" s="11">
        <v>28</v>
      </c>
    </row>
    <row r="31" spans="1:13" s="10" customFormat="1" x14ac:dyDescent="0.35">
      <c r="A31" s="15" t="s">
        <v>52</v>
      </c>
      <c r="B31" s="15"/>
      <c r="C31" s="11">
        <f>C28-C30</f>
        <v>3</v>
      </c>
      <c r="D31" s="11"/>
      <c r="E31" s="11">
        <f t="shared" ref="D31:M31" si="2">E28-E30</f>
        <v>19</v>
      </c>
      <c r="F31" s="11"/>
      <c r="G31" s="11">
        <f t="shared" si="2"/>
        <v>12</v>
      </c>
      <c r="H31" s="11">
        <f>(H28+H29)-H30</f>
        <v>24</v>
      </c>
      <c r="I31" s="11">
        <f t="shared" si="2"/>
        <v>1</v>
      </c>
      <c r="J31" s="11"/>
      <c r="K31" s="11"/>
      <c r="L31" s="11"/>
      <c r="M31" s="11"/>
    </row>
    <row r="32" spans="1:13" s="10" customFormat="1" x14ac:dyDescent="0.35">
      <c r="A32" s="15" t="s">
        <v>53</v>
      </c>
      <c r="B32" s="15"/>
      <c r="C32" s="11"/>
      <c r="D32" s="11">
        <f t="shared" ref="D32:M32" si="3">D30-D28</f>
        <v>18</v>
      </c>
      <c r="E32" s="11"/>
      <c r="F32" s="11"/>
      <c r="G32" s="11"/>
      <c r="H32" s="11"/>
      <c r="I32" s="11"/>
      <c r="J32" s="11">
        <f t="shared" si="3"/>
        <v>2</v>
      </c>
      <c r="K32" s="11">
        <f t="shared" si="3"/>
        <v>3</v>
      </c>
      <c r="L32" s="11"/>
      <c r="M32" s="11">
        <f t="shared" si="3"/>
        <v>1</v>
      </c>
    </row>
  </sheetData>
  <mergeCells count="6">
    <mergeCell ref="A32:B32"/>
    <mergeCell ref="A22:A26"/>
    <mergeCell ref="A28:B28"/>
    <mergeCell ref="A30:B30"/>
    <mergeCell ref="A29:B29"/>
    <mergeCell ref="A31:B3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7F201-C3EB-40D6-928E-08BBA48445F0}">
  <dimension ref="A1:K11"/>
  <sheetViews>
    <sheetView tabSelected="1" workbookViewId="0">
      <selection activeCell="J27" sqref="J27"/>
    </sheetView>
  </sheetViews>
  <sheetFormatPr defaultRowHeight="14.5" x14ac:dyDescent="0.35"/>
  <cols>
    <col min="1" max="1" width="9.7265625" style="1" customWidth="1"/>
    <col min="2" max="2" width="11.1796875" style="2" customWidth="1"/>
    <col min="3" max="3" width="10.453125" style="1" customWidth="1"/>
    <col min="4" max="5" width="17.90625" style="1" bestFit="1" customWidth="1"/>
    <col min="6" max="6" width="12.08984375" style="1" customWidth="1"/>
    <col min="7" max="7" width="10.453125" style="1" customWidth="1"/>
    <col min="8" max="8" width="16.7265625" style="1" customWidth="1"/>
    <col min="9" max="9" width="14.90625" style="1" customWidth="1"/>
    <col min="10" max="10" width="12.26953125" style="1" customWidth="1"/>
    <col min="11" max="11" width="10.453125" style="1" customWidth="1"/>
    <col min="12" max="16384" width="8.7265625" style="1"/>
  </cols>
  <sheetData>
    <row r="1" spans="1:11" s="2" customFormat="1" x14ac:dyDescent="0.35">
      <c r="A1" s="20"/>
      <c r="B1" s="6" t="s">
        <v>0</v>
      </c>
      <c r="C1" s="3" t="s">
        <v>6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38</v>
      </c>
      <c r="I1" s="3" t="s">
        <v>39</v>
      </c>
      <c r="J1" s="3" t="s">
        <v>7</v>
      </c>
      <c r="K1" s="3" t="s">
        <v>9</v>
      </c>
    </row>
    <row r="2" spans="1:11" x14ac:dyDescent="0.35">
      <c r="A2" s="20"/>
      <c r="B2" s="4" t="s">
        <v>44</v>
      </c>
      <c r="C2" s="5">
        <v>2</v>
      </c>
      <c r="D2" s="5"/>
      <c r="E2" s="5">
        <v>2</v>
      </c>
      <c r="F2" s="5"/>
      <c r="G2" s="5">
        <v>4</v>
      </c>
      <c r="H2" s="5">
        <v>0</v>
      </c>
      <c r="I2" s="5">
        <v>2</v>
      </c>
      <c r="J2" s="5">
        <v>2</v>
      </c>
      <c r="K2" s="5">
        <v>1</v>
      </c>
    </row>
    <row r="3" spans="1:11" x14ac:dyDescent="0.35">
      <c r="A3" s="20"/>
      <c r="B3" s="4" t="s">
        <v>45</v>
      </c>
      <c r="C3" s="5">
        <v>1</v>
      </c>
      <c r="D3" s="5">
        <v>1</v>
      </c>
      <c r="E3" s="5">
        <v>1</v>
      </c>
      <c r="F3" s="5"/>
      <c r="G3" s="5">
        <v>4</v>
      </c>
      <c r="H3" s="5">
        <v>1</v>
      </c>
      <c r="I3" s="5">
        <v>1</v>
      </c>
      <c r="J3" s="5">
        <v>2</v>
      </c>
      <c r="K3" s="5">
        <v>1</v>
      </c>
    </row>
    <row r="4" spans="1:11" x14ac:dyDescent="0.35">
      <c r="A4" s="20"/>
      <c r="B4" s="4" t="s">
        <v>46</v>
      </c>
      <c r="C4" s="5">
        <v>1</v>
      </c>
      <c r="D4" s="5">
        <v>3</v>
      </c>
      <c r="E4" s="5">
        <v>1</v>
      </c>
      <c r="F4" s="5">
        <v>3</v>
      </c>
      <c r="G4" s="5">
        <v>4</v>
      </c>
      <c r="H4" s="5">
        <v>3</v>
      </c>
      <c r="I4" s="5">
        <v>1</v>
      </c>
      <c r="J4" s="5">
        <v>4</v>
      </c>
      <c r="K4" s="5">
        <v>1</v>
      </c>
    </row>
    <row r="5" spans="1:11" x14ac:dyDescent="0.35">
      <c r="A5" s="20"/>
      <c r="B5" s="4" t="s">
        <v>47</v>
      </c>
      <c r="C5" s="5">
        <v>1</v>
      </c>
      <c r="D5" s="5">
        <v>3</v>
      </c>
      <c r="E5" s="5">
        <v>1</v>
      </c>
      <c r="F5" s="5">
        <v>3</v>
      </c>
      <c r="G5" s="5">
        <v>4</v>
      </c>
      <c r="H5" s="5">
        <v>3</v>
      </c>
      <c r="I5" s="5">
        <v>1</v>
      </c>
      <c r="J5" s="5">
        <v>4</v>
      </c>
      <c r="K5" s="5">
        <v>1</v>
      </c>
    </row>
    <row r="6" spans="1:11" x14ac:dyDescent="0.35">
      <c r="A6" s="20"/>
      <c r="B6" s="4" t="s">
        <v>48</v>
      </c>
      <c r="C6" s="5">
        <v>2</v>
      </c>
      <c r="D6" s="5">
        <v>3</v>
      </c>
      <c r="E6" s="5">
        <v>1</v>
      </c>
      <c r="F6" s="5">
        <v>3</v>
      </c>
      <c r="G6" s="5">
        <v>4</v>
      </c>
      <c r="H6" s="5">
        <v>3</v>
      </c>
      <c r="I6" s="5">
        <v>1</v>
      </c>
      <c r="J6" s="5">
        <v>4</v>
      </c>
      <c r="K6" s="5">
        <v>1</v>
      </c>
    </row>
    <row r="7" spans="1:11" x14ac:dyDescent="0.35">
      <c r="A7" s="20"/>
      <c r="B7" s="4" t="s">
        <v>49</v>
      </c>
      <c r="C7" s="5">
        <v>2</v>
      </c>
      <c r="D7" s="5">
        <v>3</v>
      </c>
      <c r="E7" s="5">
        <v>1</v>
      </c>
      <c r="F7" s="5">
        <v>3</v>
      </c>
      <c r="G7" s="5">
        <v>4</v>
      </c>
      <c r="H7" s="5">
        <v>3</v>
      </c>
      <c r="I7" s="5">
        <v>1</v>
      </c>
      <c r="J7" s="5">
        <v>4</v>
      </c>
      <c r="K7" s="5">
        <v>1</v>
      </c>
    </row>
    <row r="8" spans="1:11" x14ac:dyDescent="0.35">
      <c r="A8" s="20"/>
      <c r="B8" s="4" t="s">
        <v>50</v>
      </c>
      <c r="C8" s="5">
        <v>2</v>
      </c>
      <c r="D8" s="5">
        <v>2</v>
      </c>
      <c r="E8" s="5">
        <v>2</v>
      </c>
      <c r="F8" s="5">
        <v>3</v>
      </c>
      <c r="G8" s="5">
        <v>4</v>
      </c>
      <c r="H8" s="5">
        <v>2</v>
      </c>
      <c r="I8" s="5">
        <v>2</v>
      </c>
      <c r="J8" s="5">
        <v>4</v>
      </c>
      <c r="K8" s="5">
        <v>1</v>
      </c>
    </row>
    <row r="9" spans="1:11" s="9" customFormat="1" x14ac:dyDescent="0.35">
      <c r="A9" s="16" t="s">
        <v>37</v>
      </c>
      <c r="B9" s="17"/>
      <c r="C9" s="8">
        <f t="shared" ref="C9:K9" si="0">SUM(C2:C8)</f>
        <v>11</v>
      </c>
      <c r="D9" s="8">
        <f t="shared" si="0"/>
        <v>15</v>
      </c>
      <c r="E9" s="8">
        <f t="shared" si="0"/>
        <v>9</v>
      </c>
      <c r="F9" s="8">
        <f t="shared" si="0"/>
        <v>15</v>
      </c>
      <c r="G9" s="8">
        <f t="shared" si="0"/>
        <v>28</v>
      </c>
      <c r="H9" s="8">
        <f t="shared" si="0"/>
        <v>15</v>
      </c>
      <c r="I9" s="8">
        <f t="shared" si="0"/>
        <v>9</v>
      </c>
      <c r="J9" s="8">
        <f t="shared" si="0"/>
        <v>24</v>
      </c>
      <c r="K9" s="8">
        <f t="shared" si="0"/>
        <v>7</v>
      </c>
    </row>
    <row r="10" spans="1:11" s="9" customFormat="1" x14ac:dyDescent="0.35">
      <c r="A10" s="16" t="s">
        <v>51</v>
      </c>
      <c r="B10" s="17"/>
      <c r="C10" s="8"/>
      <c r="D10" s="8"/>
      <c r="E10" s="8"/>
      <c r="F10" s="8"/>
      <c r="G10" s="8">
        <f>G9</f>
        <v>28</v>
      </c>
      <c r="H10" s="8"/>
      <c r="I10" s="8"/>
      <c r="J10" s="8"/>
      <c r="K10" s="8"/>
    </row>
    <row r="11" spans="1:11" s="10" customFormat="1" ht="29.5" customHeight="1" x14ac:dyDescent="0.35">
      <c r="A11" s="18" t="s">
        <v>43</v>
      </c>
      <c r="B11" s="19"/>
      <c r="C11" s="11">
        <v>18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2</v>
      </c>
      <c r="J11" s="11">
        <v>3</v>
      </c>
      <c r="K11" s="11">
        <v>1</v>
      </c>
    </row>
  </sheetData>
  <mergeCells count="4">
    <mergeCell ref="A9:B9"/>
    <mergeCell ref="A11:B11"/>
    <mergeCell ref="A1:A8"/>
    <mergeCell ref="A10:B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Khối CY &amp; MEA</vt:lpstr>
      <vt:lpstr>Khối MLM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AnhKhoa</dc:creator>
  <cp:lastModifiedBy>Khoa Hoàng 020821</cp:lastModifiedBy>
  <dcterms:created xsi:type="dcterms:W3CDTF">2015-06-05T18:17:20Z</dcterms:created>
  <dcterms:modified xsi:type="dcterms:W3CDTF">2022-10-28T03:14:39Z</dcterms:modified>
</cp:coreProperties>
</file>