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Work\Khối lượng\BOQ\Data\"/>
    </mc:Choice>
  </mc:AlternateContent>
  <xr:revisionPtr revIDLastSave="0" documentId="13_ncr:1_{75486300-37F1-4F8D-BCB6-9110B4BF6FE0}" xr6:coauthVersionLast="47" xr6:coauthVersionMax="47" xr10:uidLastSave="{00000000-0000-0000-0000-000000000000}"/>
  <bookViews>
    <workbookView xWindow="-120" yWindow="-120" windowWidth="29040" windowHeight="15720" xr2:uid="{A68DF4E1-65DA-43C3-966E-216B8340BA50}"/>
  </bookViews>
  <sheets>
    <sheet name="CCTV" sheetId="12" r:id="rId1"/>
    <sheet name="data-tel " sheetId="1" r:id="rId2"/>
    <sheet name="BOM" sheetId="10" r:id="rId3"/>
  </sheets>
  <externalReferences>
    <externalReference r:id="rId4"/>
    <externalReference r:id="rId5"/>
    <externalReference r:id="rId6"/>
  </externalReferences>
  <definedNames>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a1" hidden="1">{"'Sheet1'!$L$16"}</definedName>
    <definedName name="_________________________________PA3" hidden="1">{"'Sheet1'!$L$16"}</definedName>
    <definedName name="________________________________a1" hidden="1">{"'Sheet1'!$L$16"}</definedName>
    <definedName name="_______________________________a1" hidden="1">{"'Sheet1'!$L$16"}</definedName>
    <definedName name="_______________________________PA3" hidden="1">{"'Sheet1'!$L$16"}</definedName>
    <definedName name="______________________________a1" hidden="1">{"'Sheet1'!$L$16"}</definedName>
    <definedName name="______________________________PA3" hidden="1">{"'Sheet1'!$L$16"}</definedName>
    <definedName name="_____________________________a1" hidden="1">{"'Sheet1'!$L$16"}</definedName>
    <definedName name="_____________________________CN1" hidden="1">{"'Sheet1'!$L$16"}</definedName>
    <definedName name="_____________________________PA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PA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PA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PA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PA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PA3" hidden="1">{"'Sheet1'!$L$16"}</definedName>
    <definedName name="______________________a1" hidden="1">{"'Sheet1'!$L$16"}</definedName>
    <definedName name="______________________BG12" hidden="1">{"'Sheet1'!$L$16"}</definedName>
    <definedName name="______________________CN1" hidden="1">{"'Sheet1'!$L$16"}</definedName>
    <definedName name="______________________PA3" hidden="1">{"'Sheet1'!$L$16"}</definedName>
    <definedName name="_____________________a1" hidden="1">{"'Sheet1'!$L$16"}</definedName>
    <definedName name="_____________________BG12" hidden="1">{"'Sheet1'!$L$16"}</definedName>
    <definedName name="_____________________CN1" hidden="1">{"'Sheet1'!$L$16"}</definedName>
    <definedName name="_____________________PA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SCL4" hidden="1">{"'Sheet1'!$L$16"}</definedName>
    <definedName name="___________________a1" hidden="1">{"'Sheet1'!$L$16"}</definedName>
    <definedName name="___________________BG12" hidden="1">{"'Sheet1'!$L$16"}</definedName>
    <definedName name="___________________CN1" hidden="1">{"'Sheet1'!$L$16"}</definedName>
    <definedName name="___________________Goi8" hidden="1">{"'Sheet1'!$L$16"}</definedName>
    <definedName name="___________________PA3" hidden="1">{"'Sheet1'!$L$16"}</definedName>
    <definedName name="___________________SCL4" hidden="1">{"'Sheet1'!$L$16"}</definedName>
    <definedName name="__________________a1" hidden="1">{"'Sheet1'!$L$16"}</definedName>
    <definedName name="__________________BG12" hidden="1">{"'Sheet1'!$L$16"}</definedName>
    <definedName name="__________________CN1" hidden="1">{"'Sheet1'!$L$16"}</definedName>
    <definedName name="__________________Goi8" hidden="1">{"'Sheet1'!$L$16"}</definedName>
    <definedName name="__________________PA3" hidden="1">{"'Sheet1'!$L$16"}</definedName>
    <definedName name="__________________SCL4" hidden="1">{"'Sheet1'!$L$16"}</definedName>
    <definedName name="_________________a1" hidden="1">{"'Sheet1'!$L$16"}</definedName>
    <definedName name="_________________BG12" hidden="1">{"'Sheet1'!$L$16"}</definedName>
    <definedName name="_________________CN1" hidden="1">{"'Sheet1'!$L$16"}</definedName>
    <definedName name="_________________Goi8" hidden="1">{"'Sheet1'!$L$16"}</definedName>
    <definedName name="_________________PA3" hidden="1">{"'Sheet1'!$L$16"}</definedName>
    <definedName name="_________________SCL4" hidden="1">{"'Sheet1'!$L$16"}</definedName>
    <definedName name="________________a1" hidden="1">{"'Sheet1'!$L$16"}</definedName>
    <definedName name="________________BG12" hidden="1">{"'Sheet1'!$L$16"}</definedName>
    <definedName name="________________CN1" hidden="1">{"'Sheet1'!$L$16"}</definedName>
    <definedName name="________________Goi8" hidden="1">{"'Sheet1'!$L$16"}</definedName>
    <definedName name="________________PA3" hidden="1">{"'Sheet1'!$L$16"}</definedName>
    <definedName name="________________SCL4" hidden="1">{"'Sheet1'!$L$16"}</definedName>
    <definedName name="_______________a1" hidden="1">{"'Sheet1'!$L$16"}</definedName>
    <definedName name="_______________BG12" hidden="1">{"'Sheet1'!$L$16"}</definedName>
    <definedName name="_______________CN1" hidden="1">{"'Sheet1'!$L$16"}</definedName>
    <definedName name="_______________Goi8" hidden="1">{"'Sheet1'!$L$16"}</definedName>
    <definedName name="_______________PA3" hidden="1">{"'Sheet1'!$L$16"}</definedName>
    <definedName name="_______________SCL4" hidden="1">{"'Sheet1'!$L$16"}</definedName>
    <definedName name="______________a1" hidden="1">{"'Sheet1'!$L$16"}</definedName>
    <definedName name="______________BG12" hidden="1">{"'Sheet1'!$L$16"}</definedName>
    <definedName name="______________CN1" hidden="1">{"'Sheet1'!$L$16"}</definedName>
    <definedName name="______________Goi8" hidden="1">{"'Sheet1'!$L$16"}</definedName>
    <definedName name="______________PA3" hidden="1">{"'Sheet1'!$L$16"}</definedName>
    <definedName name="______________SCL4" hidden="1">{"'Sheet1'!$L$16"}</definedName>
    <definedName name="______________tu4" hidden="1">{"'Sheet1'!$L$16"}</definedName>
    <definedName name="_____________a1" hidden="1">{"'Sheet1'!$L$16"}</definedName>
    <definedName name="_____________BG12" hidden="1">{"'Sheet1'!$L$16"}</definedName>
    <definedName name="_____________CN1" hidden="1">{"'Sheet1'!$L$16"}</definedName>
    <definedName name="_____________Goi8" hidden="1">{"'Sheet1'!$L$16"}</definedName>
    <definedName name="_____________PA3" hidden="1">{"'Sheet1'!$L$16"}</definedName>
    <definedName name="_____________SCL4" hidden="1">{"'Sheet1'!$L$16"}</definedName>
    <definedName name="_____________tu4" hidden="1">{"'Sheet1'!$L$16"}</definedName>
    <definedName name="____________a1" hidden="1">{"'Sheet1'!$L$16"}</definedName>
    <definedName name="____________BG12" hidden="1">{"'Sheet1'!$L$16"}</definedName>
    <definedName name="____________CN1" hidden="1">{"'Sheet1'!$L$16"}</definedName>
    <definedName name="____________Goi8" hidden="1">{"'Sheet1'!$L$16"}</definedName>
    <definedName name="____________Lan1" hidden="1">{"'Sheet1'!$L$16"}</definedName>
    <definedName name="____________LAN3" hidden="1">{"'Sheet1'!$L$16"}</definedName>
    <definedName name="____________NSO2" hidden="1">{"'Sheet1'!$L$16"}</definedName>
    <definedName name="____________PA3" hidden="1">{"'Sheet1'!$L$16"}</definedName>
    <definedName name="____________SCL4"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a1" hidden="1">{"'Sheet1'!$L$16"}</definedName>
    <definedName name="___________a2" hidden="1">{"'Sheet1'!$L$16"}</definedName>
    <definedName name="___________BG12" hidden="1">{"'Sheet1'!$L$16"}</definedName>
    <definedName name="___________CN1" hidden="1">{"'Sheet1'!$L$16"}</definedName>
    <definedName name="___________Goi8"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PA3" hidden="1">{"'Sheet1'!$L$16"}</definedName>
    <definedName name="___________SCL4" hidden="1">{"'Sheet1'!$L$16"}</definedName>
    <definedName name="___________tu4" hidden="1">{"'Sheet1'!$L$16"}</definedName>
    <definedName name="__________a1" hidden="1">{"'Sheet1'!$L$16"}</definedName>
    <definedName name="__________a2" hidden="1">{"'Sheet1'!$L$16"}</definedName>
    <definedName name="__________BG12" hidden="1">{"'Sheet1'!$L$16"}</definedName>
    <definedName name="__________CN1" hidden="1">{"'Sheet1'!$L$16"}</definedName>
    <definedName name="__________Goi8"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PA3" hidden="1">{"'Sheet1'!$L$16"}</definedName>
    <definedName name="__________SCL4" hidden="1">{"'Sheet1'!$L$16"}</definedName>
    <definedName name="__________tu4" hidden="1">{"'Sheet1'!$L$16"}</definedName>
    <definedName name="_________a1" hidden="1">{"'Sheet1'!$L$16"}</definedName>
    <definedName name="_________a2" hidden="1">{"'Sheet1'!$L$16"}</definedName>
    <definedName name="_________BG12" hidden="1">{"'Sheet1'!$L$16"}</definedName>
    <definedName name="_________CN1" hidden="1">{"'Sheet1'!$L$16"}</definedName>
    <definedName name="_________Goi8"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Lan1" hidden="1">{"'Sheet1'!$L$16"}</definedName>
    <definedName name="_________LAN3" hidden="1">{"'Sheet1'!$L$16"}</definedName>
    <definedName name="_________NSO2" hidden="1">{"'Sheet1'!$L$16"}</definedName>
    <definedName name="_________PA3" hidden="1">{"'Sheet1'!$L$16"}</definedName>
    <definedName name="_________SCL4" hidden="1">{"'Sheet1'!$L$16"}</definedName>
    <definedName name="_________T3" hidden="1">{"'Sheet1'!$L$16"}</definedName>
    <definedName name="_________TM2" hidden="1">{"'Sheet1'!$L$16"}</definedName>
    <definedName name="_________tt3" hidden="1">{"'Sheet1'!$L$16"}</definedName>
    <definedName name="_________tu4" hidden="1">{"'Sheet1'!$L$16"}</definedName>
    <definedName name="________a1" hidden="1">{"'Sheet1'!$L$16"}</definedName>
    <definedName name="________a2" hidden="1">{"'Sheet1'!$L$16"}</definedName>
    <definedName name="________BG12" hidden="1">{"'Sheet1'!$L$16"}</definedName>
    <definedName name="________CN1" hidden="1">{"'Sheet1'!$L$16"}</definedName>
    <definedName name="________Goi8"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Lan1" hidden="1">{"'Sheet1'!$L$16"}</definedName>
    <definedName name="________LAN3" hidden="1">{"'Sheet1'!$L$16"}</definedName>
    <definedName name="________NSO2" hidden="1">{"'Sheet1'!$L$16"}</definedName>
    <definedName name="________PA3" hidden="1">{"'Sheet1'!$L$16"}</definedName>
    <definedName name="________SCL4" hidden="1">{"'Sheet1'!$L$16"}</definedName>
    <definedName name="________T3" hidden="1">{"'Sheet1'!$L$16"}</definedName>
    <definedName name="________TM2" hidden="1">{"'Sheet1'!$L$16"}</definedName>
    <definedName name="________tt3" hidden="1">{"'Sheet1'!$L$16"}</definedName>
    <definedName name="________tu4" hidden="1">{"'Sheet1'!$L$16"}</definedName>
    <definedName name="_______a1" hidden="1">{"'Sheet1'!$L$16"}</definedName>
    <definedName name="_______a2" hidden="1">{"'Sheet1'!$L$16"}</definedName>
    <definedName name="_______BG12" hidden="1">{"'Sheet1'!$L$16"}</definedName>
    <definedName name="_______CN1" hidden="1">{"'Sheet1'!$L$16"}</definedName>
    <definedName name="_______Goi8"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Lan1" hidden="1">{"'Sheet1'!$L$16"}</definedName>
    <definedName name="_______LAN3" hidden="1">{"'Sheet1'!$L$16"}</definedName>
    <definedName name="_______NSO2" hidden="1">{"'Sheet1'!$L$16"}</definedName>
    <definedName name="_______PA3" hidden="1">{"'Sheet1'!$L$16"}</definedName>
    <definedName name="_______SCL4" hidden="1">{"'Sheet1'!$L$16"}</definedName>
    <definedName name="_______T3" hidden="1">{"'Sheet1'!$L$16"}</definedName>
    <definedName name="_______TM2" hidden="1">{"'Sheet1'!$L$16"}</definedName>
    <definedName name="_______tt3" hidden="1">{"'Sheet1'!$L$16"}</definedName>
    <definedName name="_______tu4" hidden="1">{"'Sheet1'!$L$16"}</definedName>
    <definedName name="______a1" hidden="1">{"'Sheet1'!$L$16"}</definedName>
    <definedName name="______a2" hidden="1">{"'Sheet1'!$L$16"}</definedName>
    <definedName name="______BG12" hidden="1">{"'Sheet1'!$L$16"}</definedName>
    <definedName name="______CN1" hidden="1">{"'Sheet1'!$L$16"}</definedName>
    <definedName name="______Goi8"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Lan1" hidden="1">{"'Sheet1'!$L$16"}</definedName>
    <definedName name="______LAN3" hidden="1">{"'Sheet1'!$L$16"}</definedName>
    <definedName name="______NSO2" hidden="1">{"'Sheet1'!$L$16"}</definedName>
    <definedName name="______PA3" hidden="1">{"'Sheet1'!$L$16"}</definedName>
    <definedName name="______SCL4" hidden="1">{"'Sheet1'!$L$16"}</definedName>
    <definedName name="______T10" hidden="1">{"'Sheet1'!$L$16"}</definedName>
    <definedName name="______T3" hidden="1">{"'Sheet1'!$L$16"}</definedName>
    <definedName name="______TM2" hidden="1">{"'Sheet1'!$L$16"}</definedName>
    <definedName name="______tt3" hidden="1">{"'Sheet1'!$L$16"}</definedName>
    <definedName name="______tu4" hidden="1">{"'Sheet1'!$L$16"}</definedName>
    <definedName name="_____a1" hidden="1">{"'Sheet1'!$L$16"}</definedName>
    <definedName name="_____a2" hidden="1">{"'Sheet1'!$L$16"}</definedName>
    <definedName name="_____BG12" hidden="1">{"'Sheet1'!$L$16"}</definedName>
    <definedName name="_____bht6" hidden="1">{"'Sheet1'!$L$16"}</definedName>
    <definedName name="_____CN1" hidden="1">{"'Sheet1'!$L$16"}</definedName>
    <definedName name="_____d1500" hidden="1">{"'Sheet1'!$L$16"}</definedName>
    <definedName name="_____Goi8"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Lan1" hidden="1">{"'Sheet1'!$L$16"}</definedName>
    <definedName name="_____LAN3" hidden="1">{"'Sheet1'!$L$16"}</definedName>
    <definedName name="_____NSO2" hidden="1">{"'Sheet1'!$L$16"}</definedName>
    <definedName name="_____PA3" hidden="1">{"'Sheet1'!$L$16"}</definedName>
    <definedName name="_____SCL4" hidden="1">{"'Sheet1'!$L$16"}</definedName>
    <definedName name="_____sxt5" hidden="1">{"'Sheet1'!$L$16"}</definedName>
    <definedName name="_____T3" hidden="1">{"'Sheet1'!$L$16"}</definedName>
    <definedName name="_____TM2" hidden="1">{"'Sheet1'!$L$16"}</definedName>
    <definedName name="_____tt3" hidden="1">{"'Sheet1'!$L$16"}</definedName>
    <definedName name="_____tu4" hidden="1">{"'Sheet1'!$L$16"}</definedName>
    <definedName name="_____vpt5" hidden="1">{"'Sheet1'!$L$16"}</definedName>
    <definedName name="_____vpt6" hidden="1">{"'Sheet1'!$L$16"}</definedName>
    <definedName name="____a1" hidden="1">{"'Sheet1'!$L$16"}</definedName>
    <definedName name="____a2" hidden="1">{"'Sheet1'!$L$16"}</definedName>
    <definedName name="____BG12" hidden="1">{"'Sheet1'!$L$16"}</definedName>
    <definedName name="____CN1" hidden="1">{"'Sheet1'!$L$16"}</definedName>
    <definedName name="____Goi8" hidden="1">{"'Sheet1'!$L$16"}</definedName>
    <definedName name="____h1"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Lan1" hidden="1">{"'Sheet1'!$L$16"}</definedName>
    <definedName name="____LAN3" hidden="1">{"'Sheet1'!$L$16"}</definedName>
    <definedName name="____ld2" hidden="1">{"'Sheet1'!$L$16"}</definedName>
    <definedName name="____nso1" hidden="1">{"'Sheet1'!$L$16"}</definedName>
    <definedName name="____NSO2" hidden="1">{"'Sheet1'!$L$16"}</definedName>
    <definedName name="____PA3" hidden="1">{"'Sheet1'!$L$16"}</definedName>
    <definedName name="____SCL4" hidden="1">{"'Sheet1'!$L$16"}</definedName>
    <definedName name="____T10" hidden="1">{"'Sheet1'!$L$16"}</definedName>
    <definedName name="____T3" hidden="1">{"'Sheet1'!$L$16"}</definedName>
    <definedName name="____TM2" hidden="1">{"'Sheet1'!$L$16"}</definedName>
    <definedName name="____tt3" hidden="1">{"'Sheet1'!$L$16"}</definedName>
    <definedName name="____ttt1" hidden="1">{"'Sheet1'!$L$16"}</definedName>
    <definedName name="____tu4" hidden="1">{"'Sheet1'!$L$16"}</definedName>
    <definedName name="___a1" hidden="1">{"'Sheet1'!$L$16"}</definedName>
    <definedName name="___a2" hidden="1">{"'Sheet1'!$L$16"}</definedName>
    <definedName name="___BG12" hidden="1">{"'Sheet1'!$L$16"}</definedName>
    <definedName name="___bht6" hidden="1">{"'Sheet1'!$L$16"}</definedName>
    <definedName name="___CN1" hidden="1">{"'Sheet1'!$L$16"}</definedName>
    <definedName name="___d1500" hidden="1">{"'Sheet1'!$L$16"}</definedName>
    <definedName name="___Goi8" hidden="1">{"'Sheet1'!$L$16"}</definedName>
    <definedName name="___h1"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Lan1" hidden="1">{"'Sheet1'!$L$16"}</definedName>
    <definedName name="___LAN3" hidden="1">{"'Sheet1'!$L$16"}</definedName>
    <definedName name="___ld2" hidden="1">{"'Sheet1'!$L$16"}</definedName>
    <definedName name="___nso1" hidden="1">{"'Sheet1'!$L$16"}</definedName>
    <definedName name="___NSO2" hidden="1">{"'Sheet1'!$L$16"}</definedName>
    <definedName name="___PA3" hidden="1">{"'Sheet1'!$L$16"}</definedName>
    <definedName name="___SCL4" hidden="1">{"'Sheet1'!$L$16"}</definedName>
    <definedName name="___sxt5" hidden="1">{"'Sheet1'!$L$16"}</definedName>
    <definedName name="___T10" hidden="1">{"'Sheet1'!$L$16"}</definedName>
    <definedName name="___T3" hidden="1">{"'Sheet1'!$L$16"}</definedName>
    <definedName name="___TM2" hidden="1">{"'Sheet1'!$L$16"}</definedName>
    <definedName name="___tt3" hidden="1">{"'Sheet1'!$L$16"}</definedName>
    <definedName name="___ttt1" hidden="1">{"'Sheet1'!$L$16"}</definedName>
    <definedName name="___tu4" hidden="1">{"'Sheet1'!$L$16"}</definedName>
    <definedName name="___vpt5" hidden="1">{"'Sheet1'!$L$16"}</definedName>
    <definedName name="___vpt6" hidden="1">{"'Sheet1'!$L$16"}</definedName>
    <definedName name="__a1" hidden="1">{"'Sheet1'!$L$16"}</definedName>
    <definedName name="__a2" hidden="1">{"'Sheet1'!$L$16"}</definedName>
    <definedName name="__a9" hidden="1">{"'Sheet1'!$L$16"}</definedName>
    <definedName name="__BG12" hidden="1">{"'Sheet1'!$L$16"}</definedName>
    <definedName name="__CN1" hidden="1">{"'Sheet1'!$L$16"}</definedName>
    <definedName name="__Goi8" hidden="1">{"'Sheet1'!$L$16"}</definedName>
    <definedName name="__h1"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Lan1" hidden="1">{"'Sheet1'!$L$16"}</definedName>
    <definedName name="__LAN3" hidden="1">{"'Sheet1'!$L$16"}</definedName>
    <definedName name="__ld2" hidden="1">{"'Sheet1'!$L$16"}</definedName>
    <definedName name="__nso1" hidden="1">{"'Sheet1'!$L$16"}</definedName>
    <definedName name="__NSO2" hidden="1">{"'Sheet1'!$L$16"}</definedName>
    <definedName name="__PA3" hidden="1">{"'Sheet1'!$L$16"}</definedName>
    <definedName name="__SCL4" hidden="1">{"'Sheet1'!$L$16"}</definedName>
    <definedName name="__T10" hidden="1">{"'Sheet1'!$L$16"}</definedName>
    <definedName name="__T3" hidden="1">{"'Sheet1'!$L$16"}</definedName>
    <definedName name="__TM2" hidden="1">{"'Sheet1'!$L$16"}</definedName>
    <definedName name="__tt3" hidden="1">{"'Sheet1'!$L$16"}</definedName>
    <definedName name="__ttt1" hidden="1">{"'Sheet1'!$L$16"}</definedName>
    <definedName name="__tu4" hidden="1">{"'Sheet1'!$L$16"}</definedName>
    <definedName name="_1__123Graph_ACHART_1" hidden="1">'[1]6MONTHS'!$AI$39:$AO$39</definedName>
    <definedName name="_10__123Graph_BCHART_1" hidden="1">'[1]6MONTHS'!$AI$40:$AO$40</definedName>
    <definedName name="_16__123Graph_BCHART_1" hidden="1">'[2]6MONTHS'!$AI$40:$AO$40</definedName>
    <definedName name="_17a1_" hidden="1">{"'Sheet1'!$L$16"}</definedName>
    <definedName name="_2__123Graph_ACHART_1" hidden="1">'[2]6MONTHS'!$AI$39:$AO$39</definedName>
    <definedName name="_21__123Graph_BCHART_1" hidden="1">'[3]6MONTHS'!$AI$40:$AO$40</definedName>
    <definedName name="_22__123Graph_BCHART_1" hidden="1">'[1]6MONTHS'!$AI$40:$AO$40</definedName>
    <definedName name="_2a1_" hidden="1">{"'Sheet1'!$L$16"}</definedName>
    <definedName name="_3__123Graph_ACHART_1" hidden="1">'[3]6MONTHS'!$AI$39:$AO$39</definedName>
    <definedName name="_30__123Graph_BCHART_1" hidden="1">'[1]6MONTHS'!$AI$40:$AO$40</definedName>
    <definedName name="_3a1_" hidden="1">{"'Sheet1'!$L$16"}</definedName>
    <definedName name="_4__123Graph_ACHART_1" hidden="1">'[1]6MONTHS'!$AI$39:$AO$39</definedName>
    <definedName name="_9__123Graph_BCHART_1" hidden="1">'[1]6MONTHS'!$AI$40:$AO$40</definedName>
    <definedName name="_a1" hidden="1">{"'Sheet1'!$L$16"}</definedName>
    <definedName name="_a1s" hidden="1">{"'Sheet1'!$L$16"}</definedName>
    <definedName name="_a2" hidden="1">{"'Sheet1'!$L$16"}</definedName>
    <definedName name="_a9" hidden="1">{"'Sheet1'!$L$16"}</definedName>
    <definedName name="_B2" hidden="1">{"'Sheet1'!$L$16"}</definedName>
    <definedName name="_BG12" hidden="1">{"'Sheet1'!$L$16"}</definedName>
    <definedName name="_bht6" hidden="1">{"'Sheet1'!$L$16"}</definedName>
    <definedName name="_CN1" hidden="1">{"'Sheet1'!$L$16"}</definedName>
    <definedName name="_d1500" hidden="1">{"'Sheet1'!$L$16"}</definedName>
    <definedName name="_xlnm._FilterDatabase" localSheetId="2" hidden="1">BOM!$B$1:$B$101</definedName>
    <definedName name="_xlnm._FilterDatabase" localSheetId="0" hidden="1">CCTV!$C$1:$C$1380</definedName>
    <definedName name="_xlnm._FilterDatabase" localSheetId="1" hidden="1">'data-tel '!$C$1:$C$1172</definedName>
    <definedName name="_Goi8" hidden="1">{"'Sheet1'!$L$16"}</definedName>
    <definedName name="_h1"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6" hidden="1">{"'Sheet1'!$L$16"}</definedName>
    <definedName name="_hu7" hidden="1">{"'Sheet1'!$L$16"}</definedName>
    <definedName name="_huy1" hidden="1">{"'Sheet1'!$L$16"}</definedName>
    <definedName name="_huy2" hidden="1">{"'Sheet1'!$L$16"}</definedName>
    <definedName name="_kl11" hidden="1">{"'Sheet1'!$L$16"}</definedName>
    <definedName name="_kl4" hidden="1">{"'Sheet1'!$L$16"}</definedName>
    <definedName name="_kl6" hidden="1">{"'Sheet1'!$L$16"}</definedName>
    <definedName name="_Lan1" hidden="1">{"'Sheet1'!$L$16"}</definedName>
    <definedName name="_LAN3" hidden="1">{"'Sheet1'!$L$16"}</definedName>
    <definedName name="_ld2" hidden="1">{"'Sheet1'!$L$16"}</definedName>
    <definedName name="_M2" hidden="1">{"'Sheet1'!$L$16"}</definedName>
    <definedName name="_nso1" hidden="1">{"'Sheet1'!$L$16"}</definedName>
    <definedName name="_NSO2" hidden="1">{"'Sheet1'!$L$16"}</definedName>
    <definedName name="_Order1" hidden="1">255</definedName>
    <definedName name="_Order2" hidden="1">255</definedName>
    <definedName name="_PA3" hidden="1">{"'Sheet1'!$L$16"}</definedName>
    <definedName name="_Regression_Int" hidden="1">1</definedName>
    <definedName name="_SCL4" hidden="1">{"'Sheet1'!$L$16"}</definedName>
    <definedName name="_sxt5" hidden="1">{"'Sheet1'!$L$16"}</definedName>
    <definedName name="_T10" hidden="1">{"'Sheet1'!$L$16"}</definedName>
    <definedName name="_T3" hidden="1">{"'Sheet1'!$L$16"}</definedName>
    <definedName name="_TH1" hidden="1">{"'Sheet1'!$L$16"}</definedName>
    <definedName name="_TM2" hidden="1">{"'Sheet1'!$L$16"}</definedName>
    <definedName name="_tt3" hidden="1">{"'Sheet1'!$L$16"}</definedName>
    <definedName name="_ttt1" hidden="1">{"'Sheet1'!$L$16"}</definedName>
    <definedName name="_tu4" hidden="1">{"'Sheet1'!$L$16"}</definedName>
    <definedName name="_vl1" hidden="1">{"'Sheet1'!$L$16"}</definedName>
    <definedName name="_vpt5" hidden="1">{"'Sheet1'!$L$16"}</definedName>
    <definedName name="_vpt6" hidden="1">{"'Sheet1'!$L$16"}</definedName>
    <definedName name="_VT3" hidden="1">{"'Sheet1'!$L$16"}</definedName>
    <definedName name="a" hidden="1">{"'Sheet1'!$L$16"}</definedName>
    <definedName name="â" hidden="1">{"'Sheet1'!$L$16"}</definedName>
    <definedName name="ầ" hidden="1">{"'Sheet1'!$L$16"}</definedName>
    <definedName name="a1" hidden="1">{"'Sheet1'!$L$16"}</definedName>
    <definedName name="a1moi" hidden="1">{"'Sheet1'!$L$16"}</definedName>
    <definedName name="a3rt" hidden="1">{"'Sheet1'!$L$16"}</definedName>
    <definedName name="aa" hidden="1">{"'Sheet1'!$L$16"}</definedName>
    <definedName name="AAAAA" hidden="1">{0}</definedName>
    <definedName name="aasasas" hidden="1">{"'Sheet1'!$L$16"}</definedName>
    <definedName name="Acell" hidden="1">INDIRECT(ADDRESS(ROW(),COLUMN()))</definedName>
    <definedName name="ACMV" hidden="1">{"'Sheet1'!$L$16"}</definedName>
    <definedName name="adadada" hidden="1">{0,0,0,0;0,0,0,0;0,0,0,0;0,0,0,0;0,0,0,0;0,0,0,0;0,0,0,0}</definedName>
    <definedName name="ÁDASDFASFA" hidden="1">{"'Sheet1'!$L$16"}</definedName>
    <definedName name="ÁDFGHJ" hidden="1">{"'Sheet1'!$L$16"}</definedName>
    <definedName name="ấdfsdfasdfsd" hidden="1">{"'Sheet1'!$L$16"}</definedName>
    <definedName name="ae" hidden="1">{"'Sheet1'!$L$16"}</definedName>
    <definedName name="aefaef" hidden="1">{"'Sheet1'!$L$16"}</definedName>
    <definedName name="aefesa" hidden="1">{"'Sheet1'!$L$16"}</definedName>
    <definedName name="afff" hidden="1">{"'Sheet1'!$L$16"}</definedName>
    <definedName name="AFWRR" hidden="1">{"'Sheet1'!$L$16"}</definedName>
    <definedName name="ahah" hidden="1">{"'Sheet1'!$L$16"}</definedName>
    <definedName name="ahajdks" hidden="1">{"'Sheet1'!$L$16"}</definedName>
    <definedName name="AHGA" hidden="1">{"'Sheet1'!$L$16"}</definedName>
    <definedName name="ahtjht" hidden="1">{"'Sheet1'!$L$16"}</definedName>
    <definedName name="anscount" hidden="1">1</definedName>
    <definedName name="Antoan" hidden="1">{"'Sheet1'!$L$16"}</definedName>
    <definedName name="AS2DocOpenMode" hidden="1">"AS2DocumentEdit"</definedName>
    <definedName name="AS2HasNoAutoHeaderFooter" hidden="1">" "</definedName>
    <definedName name="AS2ReportLS" hidden="1">1</definedName>
    <definedName name="AS2SyncStepLS" hidden="1">0</definedName>
    <definedName name="AS2VersionLS" hidden="1">300</definedName>
    <definedName name="asa" hidden="1">{"'Sheet1'!$L$16"}</definedName>
    <definedName name="asdasd" hidden="1">{"'Sheet1'!$L$16"}</definedName>
    <definedName name="ASDASDSADAS" hidden="1">{"'Sheet1'!$L$16"}</definedName>
    <definedName name="asdffgggh" hidden="1">{"'Sheet1'!$L$16"}</definedName>
    <definedName name="asdfg" hidden="1">{"'Sheet1'!$L$16"}</definedName>
    <definedName name="aserasdea" hidden="1">{"'Sheet1'!$L$16"}</definedName>
    <definedName name="asf" hidden="1">{"'Sheet1'!$L$16"}</definedName>
    <definedName name="asss" hidden="1">{"'Sheet1'!$L$16"}</definedName>
    <definedName name="asssss" hidden="1">{"'Sheet1'!$L$16"}</definedName>
    <definedName name="ÂSSSSS" hidden="1">{"'Sheet1'!$L$16"}</definedName>
    <definedName name="ATGT" hidden="1">{"'Sheet1'!$L$16"}</definedName>
    <definedName name="atien1" hidden="1">{"'Sheet1'!$L$16"}</definedName>
    <definedName name="b14b" hidden="1">{"'Sheet1'!$L$16"}</definedName>
    <definedName name="b14b1" hidden="1">{"'Sheet1'!$L$16"}</definedName>
    <definedName name="B2.Other" hidden="1">{"'Sheet1'!$L$16"}</definedName>
    <definedName name="B6a" hidden="1">{"'Sheet1'!$L$16"}</definedName>
    <definedName name="bai" hidden="1">{"'Sheet1'!$L$16"}</definedName>
    <definedName name="banQL" hidden="1">{"'Sheet1'!$L$16"}</definedName>
    <definedName name="BB_new" hidden="1">{"'Sheet1'!$L$16"}</definedName>
    <definedName name="BBB" hidden="1">{"'Sheet1'!$L$16"}</definedName>
    <definedName name="ｂｂｂ" hidden="1">{"'Sheet1'!$L$16"}</definedName>
    <definedName name="ｂｂｂｂ" hidden="1">{"'Sheet1'!$L$16"}</definedName>
    <definedName name="ｂｂｂｂｂ" hidden="1">{"'Sheet1'!$L$16"}</definedName>
    <definedName name="bc" hidden="1">{"'Sheet1'!$L$16"}</definedName>
    <definedName name="BCTQ" hidden="1">{"'Sheet1'!$L$16"}</definedName>
    <definedName name="BCTV" hidden="1">{"'Sheet1'!$L$16"}</definedName>
    <definedName name="bdv" hidden="1">{"'Sheet1'!$L$16"}</definedName>
    <definedName name="bg" hidden="1">{"'Sheet1'!$L$16"}</definedName>
    <definedName name="BG_Del" hidden="1">15</definedName>
    <definedName name="BG_Ins" hidden="1">4</definedName>
    <definedName name="BG_Mod" hidden="1">6</definedName>
    <definedName name="Bgiang" hidden="1">{"'Sheet1'!$L$16"}</definedName>
    <definedName name="bhthang6" hidden="1">{"'Sheet1'!$L$16"}</definedName>
    <definedName name="bill1a" hidden="1">{"'Sheet1'!$L$16"}</definedName>
    <definedName name="Binh" hidden="1">{"'Sheet1'!$L$16"}</definedName>
    <definedName name="BN" hidden="1">{"'Sheet1'!$L$16"}</definedName>
    <definedName name="book1" hidden="1">{"'现金流量表（全部投资）'!$B$4:$P$23"}</definedName>
    <definedName name="BOQA2" hidden="1">{"'Sheet1'!$L$16"}</definedName>
    <definedName name="BTH" hidden="1">{"'Sheet1'!$L$16"}</definedName>
    <definedName name="btl" hidden="1">{"'Sheet1'!$L$16"}</definedName>
    <definedName name="ca" hidden="1">{"'Sheet1'!$L$16"}</definedName>
    <definedName name="caccccc" hidden="1">{"'Sheet1'!$L$16"}</definedName>
    <definedName name="CACSA" hidden="1">{"'Sheet1'!$L$16"}</definedName>
    <definedName name="CALBE" hidden="1">{"'Sheet1'!$L$16"}</definedName>
    <definedName name="cauthang" hidden="1">{"'Sheet1'!$L$16"}</definedName>
    <definedName name="ccc" hidden="1">{"'Sheet1'!$L$16"}</definedName>
    <definedName name="cccccccasdasd" hidden="1">{"'Sheet1'!$L$16"}</definedName>
    <definedName name="chietchai2" hidden="1">{"'Sheet1'!$L$16"}</definedName>
    <definedName name="chitietbgiang2" hidden="1">{"'Sheet1'!$L$16"}</definedName>
    <definedName name="chl" hidden="1">{"'Sheet1'!$L$16"}</definedName>
    <definedName name="chot3" hidden="1">{"'Sheet1'!$L$16"}</definedName>
    <definedName name="chottda" hidden="1">{"'Sheet1'!$L$16"}</definedName>
    <definedName name="chuyen" hidden="1">{"'Sheet1'!$L$16"}</definedName>
    <definedName name="ci" hidden="1">{"'Sheet1'!$L$16"}</definedName>
    <definedName name="CONGPA1" hidden="1">{"'Sheet1'!$L$16"}</definedName>
    <definedName name="cotycap" hidden="1">{"'Sheet1'!$L$16"}</definedName>
    <definedName name="CPXD" hidden="1">{"'Sheet1'!$L$16"}</definedName>
    <definedName name="csac" hidden="1">{"'Sheet1'!$L$16"}</definedName>
    <definedName name="cscx" hidden="1">{"'Sheet1'!$L$16"}</definedName>
    <definedName name="css" hidden="1">{"'Sheet1'!$L$16"}</definedName>
    <definedName name="csxxc" hidden="1">{"'Sheet1'!$L$16"}</definedName>
    <definedName name="ctbbt" hidden="1">{"'Sheet1'!$L$16"}</definedName>
    <definedName name="CTCT1" hidden="1">{"'Sheet1'!$L$16"}</definedName>
    <definedName name="cung" hidden="1">{"'Sheet1'!$L$16"}</definedName>
    <definedName name="cuong" hidden="1">{"'Sheet1'!$L$16"}</definedName>
    <definedName name="cxsxs" hidden="1">{"'Sheet1'!$L$16"}</definedName>
    <definedName name="cxxacazc" hidden="1">{"'Sheet1'!$L$16"}</definedName>
    <definedName name="d" hidden="1">{"'Sheet1'!$L$16"}</definedName>
    <definedName name="Ð" hidden="1">{"'Sheet1'!$L$16"}</definedName>
    <definedName name="da" hidden="1">{"'Sheet1'!$L$16"}</definedName>
    <definedName name="dà" hidden="1">{"'Sheet1'!$L$16"}</definedName>
    <definedName name="DADASDSADSA" hidden="1">{"'Sheet1'!$L$16"}</definedName>
    <definedName name="daDSD" hidden="1">{"'Sheet1'!$L$16"}</definedName>
    <definedName name="DAMMONG" hidden="1">{"'Sheet1'!$L$16"}</definedName>
    <definedName name="dang" hidden="1">{"'Sheet1'!$L$16"}</definedName>
    <definedName name="dao" hidden="1">{"'Sheet1'!$L$16"}</definedName>
    <definedName name="das" hidden="1">{"'Sheet1'!$L$16"}</definedName>
    <definedName name="DASDSADADS" hidden="1">{"'Sheet1'!$L$16"}</definedName>
    <definedName name="DASDSADAS" hidden="1">{"'Sheet1'!$L$16"}</definedName>
    <definedName name="datct" hidden="1">{"'Sheet1'!$L$16"}</definedName>
    <definedName name="dc" hidden="1">{"'Sheet1'!$L$16"}</definedName>
    <definedName name="dcdxsz" hidden="1">{"'Sheet1'!$L$16"}</definedName>
    <definedName name="DCKS" hidden="1">{"'Sheet1'!$L$16"}</definedName>
    <definedName name="dcvxdsz" hidden="1">{"'Sheet1'!$L$16"}</definedName>
    <definedName name="dd" hidden="1">{"'Sheet1'!$L$16"}</definedName>
    <definedName name="ddång" hidden="1">{"'Sheet1'!$L$16"}</definedName>
    <definedName name="ddc" hidden="1">{"'Sheet1'!$L$16"}</definedName>
    <definedName name="ddd" hidden="1">{"'Sheet1'!$L$16"}</definedName>
    <definedName name="dddd" hidden="1">{"'Sheet1'!$L$16"}</definedName>
    <definedName name="DDDĐ" hidden="1">{"'Sheet1'!$L$16"}</definedName>
    <definedName name="ddddd" hidden="1">{"'Sheet1'!$L$16"}</definedName>
    <definedName name="ddds" hidden="1">{"'Sheet1'!$L$16"}</definedName>
    <definedName name="ddf" hidden="1">{"'Sheet1'!$L$16"}</definedName>
    <definedName name="đe" hidden="1">{"'Sheet1'!$L$16"}</definedName>
    <definedName name="dede" hidden="1">{"'Sheet1'!$L$16"}</definedName>
    <definedName name="DFADF" hidden="1">{"'Sheet1'!$L$16"}</definedName>
    <definedName name="dfadsfsdf" hidden="1">{"'Sheet1'!$L$16"}</definedName>
    <definedName name="dfasdfsdfsdf" hidden="1">{"'Sheet1'!$L$16"}</definedName>
    <definedName name="DFĐF" hidden="1">{"'Sheet1'!$L$16"}</definedName>
    <definedName name="dfdfd" hidden="1">{"'Sheet1'!$L$16"}</definedName>
    <definedName name="dfdfdf" hidden="1">{"'Sheet1'!$L$16"}</definedName>
    <definedName name="DFDSAFASF" hidden="1">{"'Sheet1'!$L$16"}</definedName>
    <definedName name="dfggg" hidden="1">{"'Sheet1'!$L$16"}</definedName>
    <definedName name="dfgsdsdfe" hidden="1">{"'Sheet1'!$L$16"}</definedName>
    <definedName name="dfh" hidden="1">{"'Sheet1'!$L$16"}</definedName>
    <definedName name="dfsfsd" hidden="1">{"'Sheet1'!$L$16"}</definedName>
    <definedName name="DGDG" hidden="1">{"'Sheet1'!$L$16"}</definedName>
    <definedName name="dghjyuk" hidden="1">{"'Sheet1'!$L$16"}</definedName>
    <definedName name="DGSDG" hidden="1">{"'Sheet1'!$L$16"}</definedName>
    <definedName name="dien" hidden="1">{"'Sheet1'!$L$16"}</definedName>
    <definedName name="dj" hidden="1">{"'Sheet1'!$L$16"}</definedName>
    <definedName name="dldyddn" hidden="1">{"'별표'!$N$220"}</definedName>
    <definedName name="dmxl2" hidden="1">{"'Sheet1'!$L$16"}</definedName>
    <definedName name="DN1_CT5" hidden="1">{"'Sheet1'!$L$16"}</definedName>
    <definedName name="dntt10" hidden="1">{"'Sheet1'!$L$16"}</definedName>
    <definedName name="dntt9" hidden="1">{"'Sheet1'!$L$16"}</definedName>
    <definedName name="doc" hidden="1">{"'Sheet1'!$L$16"}</definedName>
    <definedName name="Document_array">{"Book1"}</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saaee" hidden="1">{"'Sheet1'!$L$16"}</definedName>
    <definedName name="DSADEDWE" hidden="1">{"'Sheet1'!$L$16"}</definedName>
    <definedName name="dsafddsdf" hidden="1">{"'Sheet1'!$L$16"}</definedName>
    <definedName name="DSD" hidden="1">{"'Sheet1'!$L$16"}</definedName>
    <definedName name="DSDS" hidden="1">{"'Sheet1'!$L$16"}</definedName>
    <definedName name="DSDSDS" hidden="1">{"'Sheet1'!$L$16"}</definedName>
    <definedName name="dsfaws" hidden="1">{"'Sheet1'!$L$16"}</definedName>
    <definedName name="DSFDS" hidden="1">{"'Sheet1'!$L$16"}</definedName>
    <definedName name="DSFDSDFSD" hidden="1">{"'Sheet1'!$L$16"}</definedName>
    <definedName name="DSGDSG" hidden="1">{"'Sheet1'!$L$16"}</definedName>
    <definedName name="DSTD_Clear">[0]!DSTD_Clear</definedName>
    <definedName name="DTTK" hidden="1">{"'Sheet1'!$L$16"}</definedName>
    <definedName name="duc" hidden="1">{"'Sheet1'!$L$16"}</definedName>
    <definedName name="DucO" hidden="1">{"'Sheet1'!$L$16"}</definedName>
    <definedName name="DUNG" hidden="1">{"'Sheet1'!$L$16"}</definedName>
    <definedName name="èafe" hidden="1">{"'Sheet1'!$L$16"}</definedName>
    <definedName name="eef" hidden="1">{"'Sheet1'!$L$16"}</definedName>
    <definedName name="ẻgwe" hidden="1">{"'Sheet1'!$L$16"}</definedName>
    <definedName name="elv" hidden="1">{"'Sheet1'!$L$16"}</definedName>
    <definedName name="êr" hidden="1">{"'Sheet1'!$L$16"}</definedName>
    <definedName name="êre" hidden="1">{"'Sheet1'!$L$16"}</definedName>
    <definedName name="ERT" hidden="1">{"'Sheet1'!$L$16"}</definedName>
    <definedName name="es" hidden="1">{"'Sheet1'!$L$16"}</definedName>
    <definedName name="etuiuti" hidden="1">{"'Sheet1'!$L$16"}</definedName>
    <definedName name="èwerwe" hidden="1">{"'Sheet1'!$L$16"}</definedName>
    <definedName name="ewrfewr" hidden="1">{"'Sheet1'!$L$16"}</definedName>
    <definedName name="ewrfqewrrefeqrftr" hidden="1">{"'Sheet1'!$L$16"}</definedName>
    <definedName name="ewrfwe" hidden="1">{"'Sheet1'!$L$16"}</definedName>
    <definedName name="ewrfwef" hidden="1">{"'Sheet1'!$L$16"}</definedName>
    <definedName name="ews" hidden="1">{0}</definedName>
    <definedName name="ewwq" hidden="1">{"'Sheet1'!$L$16"}</definedName>
    <definedName name="fáaafafaf" hidden="1">{"'Sheet1'!$L$16"}</definedName>
    <definedName name="fae" hidden="1">{"'Sheet1'!$L$16"}</definedName>
    <definedName name="fasdfsdfsdfsdf" hidden="1">{"'Sheet1'!$L$16"}</definedName>
    <definedName name="fasfa" hidden="1">{"'Sheet1'!$L$16"}</definedName>
    <definedName name="fasfaga" hidden="1">{"'Sheet1'!$L$16"}</definedName>
    <definedName name="fasfsadfs" hidden="1">{"'Sheet1'!$L$16"}</definedName>
    <definedName name="fÇ" hidden="1">{"'Sheet1'!$L$16"}</definedName>
    <definedName name="fcae" hidden="1">{"'Sheet1'!$L$16"}</definedName>
    <definedName name="FDAFW" hidden="1">{"'Sheet1'!$L$16"}</definedName>
    <definedName name="FDFDF" hidden="1">{"'Sheet1'!$L$16"}</definedName>
    <definedName name="fdg" hidden="1">{"'Sheet1'!$L$16"}</definedName>
    <definedName name="fdgfg" hidden="1">{"'Sheet1'!$L$16"}</definedName>
    <definedName name="fdgssda" hidden="1">{"'Sheet1'!$L$16"}</definedName>
    <definedName name="fdsfsdfd" hidden="1">{"'Sheet1'!$L$16"}</definedName>
    <definedName name="fef" hidden="1">{"'Sheet1'!$L$16"}</definedName>
    <definedName name="FEFE" hidden="1">{"'Sheet1'!$L$16"}</definedName>
    <definedName name="ffas" hidden="1">{"'Sheet1'!$L$16"}</definedName>
    <definedName name="ffdfc" hidden="1">{"'Sheet1'!$L$16"}</definedName>
    <definedName name="fff" hidden="1">{"'Sheet1'!$L$16"}</definedName>
    <definedName name="ffff" hidden="1">{"'Sheet1'!$L$16"}</definedName>
    <definedName name="fffffffffffffff" hidden="1">{"'Sheet1'!$L$16"}</definedName>
    <definedName name="fg" hidden="1">{"'Sheet1'!$L$16"}</definedName>
    <definedName name="FGDFAG" hidden="1">{"'Sheet1'!$L$16"}</definedName>
    <definedName name="fgn" hidden="1">{"'Sheet1'!$L$16"}</definedName>
    <definedName name="fhf" hidden="1">{0,0,0,0}</definedName>
    <definedName name="form" hidden="1">{"'ELEC'!$A$2:$H$216","'ELEC'!$C$2:$D$2"}</definedName>
    <definedName name="fsdf" hidden="1">{"'Sheet1'!$L$16"}</definedName>
    <definedName name="FSDFĐ" hidden="1">{"'Sheet1'!$L$16"}</definedName>
    <definedName name="fsdfdsf" hidden="1">{"'Sheet1'!$L$16"}</definedName>
    <definedName name="FSDFEW" hidden="1">{"'Sheet1'!$L$16"}</definedName>
    <definedName name="FSDFSĐ" hidden="1">{"'Sheet1'!$L$16"}</definedName>
    <definedName name="fsfsfdd" hidden="1">{"'Sheet1'!$L$16"}</definedName>
    <definedName name="fszg" hidden="1">{"'Sheet1'!$L$16"}</definedName>
    <definedName name="ga" hidden="1">{"'Sheet1'!$L$16"}</definedName>
    <definedName name="GÀGF" hidden="1">{"'Sheet1'!$L$16"}</definedName>
    <definedName name="gbb" hidden="1">{"'Sheet1'!$L$16"}</definedName>
    <definedName name="gdfgdfgdf" hidden="1">{"'Sheet1'!$L$16"}</definedName>
    <definedName name="gdgdg." hidden="1">{"'Sheet1'!$L$16"}</definedName>
    <definedName name="GDGDS" hidden="1">{"'Sheet1'!$L$16"}</definedName>
    <definedName name="gdgfgf" hidden="1">{"'Sheet1'!$L$16"}</definedName>
    <definedName name="ge" hidden="1">{"'Sheet1'!$L$16"}</definedName>
    <definedName name="gfgf" hidden="1">{"'Sheet1'!$L$16"}</definedName>
    <definedName name="GFGFG" hidden="1">{"'Sheet1'!$L$16"}</definedName>
    <definedName name="gggg" hidden="1">{"'Sheet1'!$L$16"}</definedName>
    <definedName name="gjk" hidden="1">{0}</definedName>
    <definedName name="GSDGA" hidden="1">{"'Sheet1'!$L$16"}</definedName>
    <definedName name="GTOTAL" hidden="1">{"'Sheet1'!$L$16"}</definedName>
    <definedName name="h" hidden="1">{"'Sheet1'!$L$16"}</definedName>
    <definedName name="h_xoa" hidden="1">{"'Sheet1'!$L$16"}</definedName>
    <definedName name="h_xoa2" hidden="1">{"'Sheet1'!$L$16"}</definedName>
    <definedName name="HA" hidden="1">{"'Sheet1'!$L$16"}</definedName>
    <definedName name="hanh" hidden="1">{"'Sheet1'!$L$16"}</definedName>
    <definedName name="hb" hidden="1">{"'Sheet1'!$L$16"}</definedName>
    <definedName name="hehreh" hidden="1">{"'Sheet1'!$L$16"}</definedName>
    <definedName name="hergyew" hidden="1">{"'Sheet1'!$L$16"}</definedName>
    <definedName name="hfgsdf" hidden="1">{"'Sheet1'!$L$16"}</definedName>
    <definedName name="hg" hidden="1">{"'Sheet1'!$L$16"}</definedName>
    <definedName name="HGH" hidden="1">{"'Sheet1'!$L$16"}</definedName>
    <definedName name="HGHG" hidden="1">{"'Sheet1'!$L$16"}</definedName>
    <definedName name="hh" hidden="1">{"'Sheet1'!$L$16"}</definedName>
    <definedName name="hhb" hidden="1">{"'Sheet1'!$L$16"}</definedName>
    <definedName name="hhhhhu" hidden="1">{"'Sheet1'!$L$16"}</definedName>
    <definedName name="hhjd" hidden="1">{0}</definedName>
    <definedName name="ho" hidden="1">{"'Sheet1'!$L$16"}</definedName>
    <definedName name="hoa" hidden="1">{"'Sheet1'!$L$16"}</definedName>
    <definedName name="hoc" hidden="1">{"'Sheet1'!$L$16"}</definedName>
    <definedName name="hoi" hidden="1">{0}</definedName>
    <definedName name="hong" hidden="1">{"'Sheet1'!$L$16"}</definedName>
    <definedName name="hp" hidden="1">{"'Sheet1'!$L$16"}</definedName>
    <definedName name="hþ" hidden="1">{"'Sheet1'!$L$16"}</definedName>
    <definedName name="hþwr" hidden="1">{"'Sheet1'!$L$16"}</definedName>
    <definedName name="htlm" hidden="1">{"'Sheet1'!$L$16"}</definedName>
    <definedName name="html" hidden="1">{"'Sheet1'!$L$16"}</definedName>
    <definedName name="HTML_CodePage" hidden="1">950</definedName>
    <definedName name="HTML_Control" hidden="1">{"'Sheet1'!$L$16"}</definedName>
    <definedName name="html_control_xoa2" hidden="1">{"'Sheet1'!$L$16"}</definedName>
    <definedName name="HTML_Control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Title" hidden="1">"00Q3961-SUM"</definedName>
    <definedName name="HTML1_10" hidden="1">"charles_l_blake@ccm.rr.intel.com"</definedName>
    <definedName name="HTML1_11" hidden="1">1</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TMLcpnmtrol" hidden="1">{"'Sheet1'!$L$16"}</definedName>
    <definedName name="hu" hidden="1">{"'Sheet1'!$L$16"}</definedName>
    <definedName name="hui" hidden="1">{"'Sheet1'!$L$16"}</definedName>
    <definedName name="HUU" hidden="1">{"'Sheet1'!$L$16"}</definedName>
    <definedName name="huy" hidden="1">{"'Sheet1'!$L$16"}</definedName>
    <definedName name="huy_xoa" hidden="1">{"'Sheet1'!$L$16"}</definedName>
    <definedName name="huy_xoa2" hidden="1">{"'Sheet1'!$L$16"}</definedName>
    <definedName name="huyhoa" hidden="1">{"'Sheet1'!$L$16"}</definedName>
    <definedName name="huymoi" hidden="1">{"'Sheet1'!$L$16"}</definedName>
    <definedName name="HUYØ" hidden="1">{"'Sheet1'!$L$16"}</definedName>
    <definedName name="hy" hidden="1">{"'Sheet1'!$L$16"}</definedName>
    <definedName name="ISFOXAuthorSetInLabel" hidden="1">" "</definedName>
    <definedName name="ISFOXAutomaticLabelingDisabled" hidden="1">"True"</definedName>
    <definedName name="ISFOXClassificationId" hidden="1">"1bf05145-f82c-4a64-b8d3-b047f592889d"</definedName>
    <definedName name="ISFOXClassificationInKeywords" hidden="1">"Confidential"</definedName>
    <definedName name="ISFOXClassificationName" hidden="1">"Confidential"</definedName>
    <definedName name="ISFOXDocumentClassificationVersion" hidden="1">3</definedName>
    <definedName name="ISFOXLabelingVisibleInDocument" hidden="1">"True"</definedName>
    <definedName name="ISFOXOldClassificationId" hidden="1">"1bf05145-f82c-4a64-b8d3-b047f592889d"</definedName>
    <definedName name="ISFOXOldClassificationIdBackup" hidden="1">"1bf05145-f82c-4a64-b8d3-b047f592889d"</definedName>
    <definedName name="ISFOXPrefix" hidden="1">"DRX"</definedName>
    <definedName name="ISFOXPreviousClassificationId" hidden="1">"1bf05145-f82c-4a64-b8d3-b047f592889d"</definedName>
    <definedName name="ISFOXSaveAsProcess" hidden="1">"True"</definedName>
    <definedName name="ISFOXShowClassificationRequestWindow" hidden="1">"False"</definedName>
    <definedName name="ISFOXVersionHistoryCount" hidden="1">1</definedName>
    <definedName name="ISFOXVersioningChanged" hidden="1">"False"</definedName>
    <definedName name="ISFOXWorkbookInitialized" hidden="1">"False"</definedName>
    <definedName name="iuliupoui" hidden="1">{"'Sheet1'!$L$16"}</definedName>
    <definedName name="iwer" hidden="1">{"'Sheet1'!$L$16"}</definedName>
    <definedName name="iylryi" hidden="1">{"'Sheet1'!$L$16"}</definedName>
    <definedName name="jkjk" hidden="1">{"'Sheet1'!$L$16"}</definedName>
    <definedName name="jsdh" hidden="1">{"'Sheet1'!$L$16"}</definedName>
    <definedName name="jsryj" hidden="1">{"'Sheet1'!$L$16"}</definedName>
    <definedName name="jt" hidden="1">{"'Sheet1'!$L$16"}</definedName>
    <definedName name="jtru" hidden="1">{"'Sheet1'!$L$16"}</definedName>
    <definedName name="jtyk" hidden="1">{"'Sheet1'!$L$16"}</definedName>
    <definedName name="jyuk" hidden="1">{"'Sheet1'!$L$16"}</definedName>
    <definedName name="K.viecBAHUNG" hidden="1">{"'Sheet1'!$L$16"}</definedName>
    <definedName name="KCThep" hidden="1">{"'Sheet1'!$L$16"}</definedName>
    <definedName name="KDCNThonmoi20_00" hidden="1">{"'Sheet1'!$L$16"}</definedName>
    <definedName name="khoas" hidden="1">{"'Sheet1'!$L$16"}</definedName>
    <definedName name="khongtruotgia" hidden="1">{"'Sheet1'!$L$16"}</definedName>
    <definedName name="kjkjk" hidden="1">{"'Sheet1'!$L$16"}</definedName>
    <definedName name="kjkjkj" hidden="1">{"'Sheet1'!$L$16"}</definedName>
    <definedName name="ｋｋｋ" hidden="1">{"'Sheet1'!$L$16"}</definedName>
    <definedName name="kkkk" hidden="1">{"'Sheet1'!$L$16"}</definedName>
    <definedName name="klm" hidden="1">{"'Sheet1'!$L$16"}</definedName>
    <definedName name="ks" hidden="1">{"'Sheet1'!$L$16"}</definedName>
    <definedName name="ksbn" hidden="1">{"'Sheet1'!$L$16"}</definedName>
    <definedName name="kshn" hidden="1">{"'Sheet1'!$L$16"}</definedName>
    <definedName name="ksls" hidden="1">{"'Sheet1'!$L$16"}</definedName>
    <definedName name="kukek" hidden="1">{"'Sheet1'!$L$16"}</definedName>
    <definedName name="kuklk" hidden="1">{"'Sheet1'!$L$16"}</definedName>
    <definedName name="kutkuk" hidden="1">{"'Sheet1'!$L$16"}</definedName>
    <definedName name="lam" hidden="1">{"'Sheet1'!$L$16"}</definedName>
    <definedName name="langson" hidden="1">{"'Sheet1'!$L$16"}</definedName>
    <definedName name="le" hidden="1">{"'Sheet1'!$L$16"}</definedName>
    <definedName name="limcount" hidden="1">4</definedName>
    <definedName name="linhT" hidden="1">{"'Sheet1'!$L$16"}</definedName>
    <definedName name="List" hidden="1">{"'Sheet1'!$L$16"}</definedName>
    <definedName name="LOCO" hidden="1">{"'Sheet1'!$L$16"}</definedName>
    <definedName name="LOCO2" hidden="1">{"'Sheet1'!$L$16"}</definedName>
    <definedName name="Long" hidden="1">{"'Sheet1'!$L$16"}</definedName>
    <definedName name="luan" hidden="1">{"'Sheet1'!$L$16"}</definedName>
    <definedName name="luong" hidden="1">{"'Sheet1'!$L$16"}</definedName>
    <definedName name="luyÕn" hidden="1">{"'Sheet1'!$L$16"}</definedName>
    <definedName name="M10." hidden="1">{"'Sheet1'!$L$16"}</definedName>
    <definedName name="mat.spare" hidden="1">{"'ELEC'!$A$2:$H$216","'ELEC'!$C$2:$D$2"}</definedName>
    <definedName name="MAU" hidden="1">{"'Sheet1'!$L$16"}</definedName>
    <definedName name="mmlj" hidden="1">{0}</definedName>
    <definedName name="mmm" hidden="1">{"'Sheet1'!$L$16"}</definedName>
    <definedName name="ｍｍｍ" hidden="1">{"'Sheet1'!$L$16"}</definedName>
    <definedName name="MMMM" hidden="1">{"'Sheet1'!$L$16"}</definedName>
    <definedName name="ｍｍｍｍ" hidden="1">{"'Sheet1'!$L$16"}</definedName>
    <definedName name="mo" hidden="1">{"'Sheet1'!$L$16"}</definedName>
    <definedName name="moi" hidden="1">{"'Sheet1'!$L$16"}</definedName>
    <definedName name="Na" hidden="1">{"'Sheet1'!$L$16"}</definedName>
    <definedName name="nam" hidden="1">{"'Sheet1'!$L$16"}</definedName>
    <definedName name="ner" hidden="1">{"'Sheet1'!$L$16"}</definedName>
    <definedName name="ngu" hidden="1">{"'Sheet1'!$L$16"}</definedName>
    <definedName name="NguyenDiep" hidden="1">{"'Sheet1'!$L$16"}</definedName>
    <definedName name="Nhiem" hidden="1">{"'Sheet1'!$L$16"}</definedName>
    <definedName name="nhug" hidden="1">{"một";"hai";"ba";"bốn";"năm";"sáu";"bảy";"tám";"chín";"mười";"mươi";"mốt";"lăm";"trăm";"nghìn";"triệu";"tỷ";"lẻ";"không trăm";"Bằng chử : "}</definedName>
    <definedName name="NHUNG" hidden="1">zIsDgiaCTiet_Gia.VTu*2+3</definedName>
    <definedName name="NUOCHKHOAN" hidden="1">{"'Sheet1'!$L$16"}</definedName>
    <definedName name="NUOCHKHOANMOI" hidden="1">{"'Sheet1'!$L$16"}</definedName>
    <definedName name="o" hidden="1">{"'Sheet1'!$L$16"}</definedName>
    <definedName name="oanh" hidden="1">{"'Sheet1'!$L$16"}</definedName>
    <definedName name="OC" hidden="1">{"'Sheet1'!$L$16"}</definedName>
    <definedName name="old" hidden="1">{"'ELEC'!$A$2:$H$216","'ELEC'!$C$2:$D$2"}</definedName>
    <definedName name="p" hidden="1">{"'Sheet1'!$L$16"}</definedName>
    <definedName name="PAIII_" hidden="1">{"'Sheet1'!$L$16"}</definedName>
    <definedName name="phantich3" hidden="1">{"'Sheet1'!$L$16"}</definedName>
    <definedName name="phuoc" hidden="1">{"'Sheet1'!$L$16"}</definedName>
    <definedName name="Phuong" hidden="1">{"'Sheet1'!$L$16"}</definedName>
    <definedName name="PMS" hidden="1">{"'Sheet1'!$L$16"}</definedName>
    <definedName name="PPPP" hidden="1">{"'Sheet1'!$L$16"}</definedName>
    <definedName name="ｐｐｐｐ" hidden="1">{"'Sheet1'!$L$16"}</definedName>
    <definedName name="_xlnm.Print_Area" localSheetId="2">BOM!$A$1:$R$102</definedName>
    <definedName name="PRODUCTION" hidden="1">{"'Sheet1'!$L$16"}</definedName>
    <definedName name="ptich3" hidden="1">{"'Sheet1'!$L$16"}</definedName>
    <definedName name="PUBLIC" hidden="1">{"'Sheet1'!$L$16"}</definedName>
    <definedName name="PVC" hidden="1">{"'Sheet1'!$L$16"}</definedName>
    <definedName name="q" hidden="1">{"'Sheet1'!$L$16"}</definedName>
    <definedName name="qd10_gt" hidden="1">{"'Sheet1'!$L$16"}</definedName>
    <definedName name="qdqdwd" hidden="1">{"'Sheet1'!$L$16"}</definedName>
    <definedName name="QQQ" hidden="1">{"'Sheet1'!$L$16"}</definedName>
    <definedName name="ｑｑｑ" hidden="1">{"'Sheet1'!$L$16"}</definedName>
    <definedName name="qqqq" hidden="1">{"'Sheet1'!$L$16"}</definedName>
    <definedName name="ｑｑｑｑ" hidden="1">{"'Sheet1'!$L$16"}</definedName>
    <definedName name="qqqqq" hidden="1">{"'Sheet1'!$L$16"}</definedName>
    <definedName name="qqqqqqq" hidden="1">{"'Sheet1'!$L$16"}</definedName>
    <definedName name="qqqqqqqqqqqqqqqqqqqqqq" hidden="1">{"'Sheet1'!$L$16"}</definedName>
    <definedName name="qvv" hidden="1">{"'Sheet1'!$L$16"}</definedName>
    <definedName name="qwer" hidden="1">{"'Sheet1'!$L$16"}</definedName>
    <definedName name="qwertet" hidden="1">{"'Sheet1'!$L$16"}</definedName>
    <definedName name="qwwqe" hidden="1">{"'Sheet1'!$L$16"}</definedName>
    <definedName name="Ranhxay" hidden="1">{"'Sheet1'!$L$16"}</definedName>
    <definedName name="reawrew" hidden="1">{"'Sheet1'!$L$16"}</definedName>
    <definedName name="Ref" hidden="1">{"'Sheet1'!$L$16"}</definedName>
    <definedName name="rêreeyre" hidden="1">{"'Sheet1'!$L$16"}</definedName>
    <definedName name="Result21" hidden="1">{"'Sheet1'!$L$16"}</definedName>
    <definedName name="reûtht" hidden="1">{"'Sheet1'!$L$16"}</definedName>
    <definedName name="rewgwegn" hidden="1">{"'Sheet1'!$L$16"}</definedName>
    <definedName name="rewr" hidden="1">{"'Sheet1'!$L$16"}</definedName>
    <definedName name="rewrer" hidden="1">{"'Sheet1'!$L$16"}</definedName>
    <definedName name="rewrewr" hidden="1">{"'Sheet1'!$L$16"}</definedName>
    <definedName name="rgdf" hidden="1">{"'Sheet1'!$L$16"}</definedName>
    <definedName name="RHODIA" hidden="1">{"'DocTypeCode'!$A$142:$A$226"}</definedName>
    <definedName name="RPLA" hidden="1">{"'Sheet1'!$L$16"}</definedName>
    <definedName name="rrr" hidden="1">{"'Sheet1'!$L$16"}</definedName>
    <definedName name="ｒｒｒｒ" hidden="1">{"'Sheet1'!$L$16"}</definedName>
    <definedName name="rrrrrrrrrr" hidden="1">{"'Sheet1'!$L$16"}</definedName>
    <definedName name="rtrt" hidden="1">{"'Sheet1'!$L$16"}</definedName>
    <definedName name="rưerew" hidden="1">{"'Sheet1'!$L$16"}</definedName>
    <definedName name="s" hidden="1">{"'Sheet1'!$L$16"}</definedName>
    <definedName name="SADASC" hidden="1">{"'Sheet1'!$L$16"}</definedName>
    <definedName name="san" hidden="1">{"'Sheet1'!$L$16"}</definedName>
    <definedName name="sang" hidden="1">{"'Sheet1'!$L$16"}</definedName>
    <definedName name="SAVDSVVAV" hidden="1">{"'Sheet1'!$L$16"}</definedName>
    <definedName name="sc" hidden="1">{"'ELEC'!$A$2:$H$216","'ELEC'!$C$2:$D$2"}</definedName>
    <definedName name="sCol" hidden="1">zIsDgiaCTiet_Gia.VTu*2+3</definedName>
    <definedName name="SCTX" hidden="1">{"'Sheet1'!$L$16"}</definedName>
    <definedName name="scxca" hidden="1">{"'Sheet1'!$L$16"}</definedName>
    <definedName name="SD" hidden="1">{"'ELEC'!$A$2:$H$216","'ELEC'!$C$2:$D$2"}</definedName>
    <definedName name="sda" hidden="1">{"'Sheet1'!$L$16"}</definedName>
    <definedName name="sdcsd" hidden="1">{"'Sheet1'!$L$16"}</definedName>
    <definedName name="sdd" hidden="1">{"'Sheet1'!$L$16"}</definedName>
    <definedName name="sdf" hidden="1">{"'Sheet1'!$L$16"}</definedName>
    <definedName name="sdfas" hidden="1">{0}</definedName>
    <definedName name="sdfda" hidden="1">{"'Sheet1'!$L$16"}</definedName>
    <definedName name="SDFDS" hidden="1">{"'Sheet1'!$L$16"}</definedName>
    <definedName name="SDFSDFS" hidden="1">{"'Sheet1'!$L$16"}</definedName>
    <definedName name="sdfsdfsd" hidden="1">{"'Sheet1'!$L$16"}</definedName>
    <definedName name="sdz" hidden="1">{"'Sheet1'!$L$16"}</definedName>
    <definedName name="sen" hidden="1">{"'Sheet1'!$L$16"}</definedName>
    <definedName name="sencount" hidden="1">4</definedName>
    <definedName name="sfg" hidden="1">{"'Sheet1'!$L$16"}</definedName>
    <definedName name="sfsafsfds" hidden="1">{"'Sheet1'!$L$16"}</definedName>
    <definedName name="SFSFS" hidden="1">{"'Sheet1'!$L$16"}</definedName>
    <definedName name="SGG" hidden="1">{"'Sheet1'!$L$16"}</definedName>
    <definedName name="sgjhk" hidden="1">{"'Sheet1'!$L$16"}</definedName>
    <definedName name="shee12" hidden="1">{"'Sheet1'!$L$16"}</definedName>
    <definedName name="sheet" hidden="1">{"'Sheet1'!$L$16"}</definedName>
    <definedName name="sHsVlNcCm" hidden="1">VALUE(IF(LEFT(OFFSET(Acell,0,-4),1)="A",dTHKP_HsVl,IF(LEFT(OFFSET(Acell,0,-4),1)="B",dTHKP_HsNc,dTHKP_HsCm)))</definedName>
    <definedName name="silo4" hidden="1">{"'ELEC'!$A$2:$H$216","'ELEC'!$C$2:$D$2"}</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lin" hidden="1">0</definedName>
    <definedName name="solver_num" hidden="1">0</definedName>
    <definedName name="solver_typ" hidden="1">1</definedName>
    <definedName name="solver_val" hidden="1">0</definedName>
    <definedName name="Spample" hidden="1">{"'Sheet1'!$L$16"}</definedName>
    <definedName name="sRng" hidden="1">IF(LEFT(OFFSET(Acell,0,-6),1)="1",dVTu_Rng,IF(LEFT(OFFSET(Acell,0,-6),1)="2",dNCong_Rng,dCMay_Rng))</definedName>
    <definedName name="STJST" hidden="1">{"'Sheet1'!$L$16"}</definedName>
    <definedName name="sumimasenn" hidden="1">{"'Sheet1'!$L$16"}</definedName>
    <definedName name="SUOIDOI2" hidden="1">{"'Sheet1'!$L$16"}</definedName>
    <definedName name="sxcsac" hidden="1">{"'Sheet1'!$L$16"}</definedName>
    <definedName name="sxcxc" hidden="1">{"'Sheet1'!$L$16"}</definedName>
    <definedName name="tamm" hidden="1">{"'Sheet1'!$L$16"}</definedName>
    <definedName name="tammm" hidden="1">{"'Sheet1'!$L$16"}</definedName>
    <definedName name="tan" hidden="1">{"'Sheet1'!$L$16"}</definedName>
    <definedName name="tem" hidden="1">{"'Sheet1'!$L$16"}</definedName>
    <definedName name="TextRefCopyRangeCount" hidden="1">21</definedName>
    <definedName name="tha" hidden="1">{"'Sheet1'!$L$16"}</definedName>
    <definedName name="thang" hidden="1">{"'Sheet1'!$L$16"}</definedName>
    <definedName name="thang10" hidden="1">{"'Sheet1'!$L$16"}</definedName>
    <definedName name="thang13" hidden="1">{"'Sheet1'!$L$16"}</definedName>
    <definedName name="thang2" hidden="1">{"'Sheet1'!$L$16"}</definedName>
    <definedName name="THANH" hidden="1">{"'Sheet1'!$L$16"}</definedName>
    <definedName name="thanhtoankl" hidden="1">{"'Sheet1'!$L$16"}</definedName>
    <definedName name="THC" hidden="1">{"'Sheet1'!$L$16"}</definedName>
    <definedName name="THDT" hidden="1">{"'Sheet1'!$L$16"}</definedName>
    <definedName name="THG" hidden="1">{"'Sheet1'!$L$16"}</definedName>
    <definedName name="THKP7YT" hidden="1">{"'Sheet1'!$L$16"}</definedName>
    <definedName name="THKPM8" hidden="1">{"'Sheet1'!$L$16"}</definedName>
    <definedName name="THOAT" hidden="1">{"'Sheet1'!$L$16"}</definedName>
    <definedName name="thuy" hidden="1">{"'Sheet1'!$L$16"}</definedName>
    <definedName name="thvlmoi" hidden="1">{"'Sheet1'!$L$16"}</definedName>
    <definedName name="thvlmoimoi" hidden="1">{"'Sheet1'!$L$16"}</definedName>
    <definedName name="TIM" hidden="1">{"'Sheet1'!$L$16"}</definedName>
    <definedName name="tirirn" hidden="1">{"'Sheet1'!$L$16"}</definedName>
    <definedName name="tlc" hidden="1">{"'Sheet1'!$L$16"}</definedName>
    <definedName name="TLPMG" hidden="1">{"'Sheet1'!$L$16"}</definedName>
    <definedName name="tn" hidden="1">{"'Sheet1'!$L$16"}</definedName>
    <definedName name="toilet" hidden="1">{"'Sheet1'!$L$16"}</definedName>
    <definedName name="Tram" hidden="1">{"'Sheet1'!$L$16"}</definedName>
    <definedName name="tran" hidden="1">{"'现金流量表（全部投资）'!$B$4:$P$23"}</definedName>
    <definedName name="trieu" hidden="1">{"'Sheet1'!$L$16"}</definedName>
    <definedName name="TTHU" hidden="1">{"'Sheet1'!$L$16"}</definedName>
    <definedName name="ttr" hidden="1">{"'Sheet1'!$L$16"}</definedName>
    <definedName name="tttskldf" hidden="1">{0}</definedName>
    <definedName name="tttt" hidden="1">{"'Sheet1'!$L$16"}</definedName>
    <definedName name="ｔｔｔｔｔ" hidden="1">{"'Sheet1'!$L$16"}</definedName>
    <definedName name="TU" hidden="1">{"'Sheet1'!$L$16"}</definedName>
    <definedName name="tuam" hidden="1">{"'Sheet1'!$L$16"}</definedName>
    <definedName name="tuan03" hidden="1">{"'Sheet1'!$L$16"}</definedName>
    <definedName name="tuan2" hidden="1">{"'Sheet1'!$L$16"}</definedName>
    <definedName name="TUANKHANHTUYET45" hidden="1">{0}</definedName>
    <definedName name="tuyennhanh" hidden="1">{"'Sheet1'!$L$16"}</definedName>
    <definedName name="tv" hidden="1">{"'Sheet1'!$L$16"}</definedName>
    <definedName name="ư" hidden="1">{"'Sheet1'!$L$16"}</definedName>
    <definedName name="ưegweg" hidden="1">{"'Sheet1'!$L$16"}</definedName>
    <definedName name="ưergwrgn" hidden="1">{"'Sheet1'!$L$16"}</definedName>
    <definedName name="uip" hidden="1">{"'Sheet1'!$L$16"}</definedName>
    <definedName name="ukluy" hidden="1">{"'Sheet1'!$L$16"}</definedName>
    <definedName name="UL" hidden="1">{"'Sheet1'!$L$16"}</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V.clvl3" hidden="1">{"'Sheet1'!$L$16"}</definedName>
    <definedName name="Valve" hidden="1">{"'Sheet1'!$L$16"}</definedName>
    <definedName name="VATM" hidden="1">{"'Sheet1'!$L$16"}</definedName>
    <definedName name="vcoto" hidden="1">{"'Sheet1'!$L$16"}</definedName>
    <definedName name="vcvc" hidden="1">{"'Sheet1'!$L$16"}</definedName>
    <definedName name="vd" hidden="1">{"'Sheet1'!$L$16"}</definedName>
    <definedName name="vdfgdfg" hidden="1">{"'Sheet1'!$L$16"}</definedName>
    <definedName name="vghn" hidden="1">{"'Sheet1'!$L$16"}</definedName>
    <definedName name="vgho" hidden="1">{"'Sheet1'!$L$16"}</definedName>
    <definedName name="vi" hidden="1">{"'Sheet1'!$L$16"}</definedName>
    <definedName name="Viet" hidden="1">{"'Sheet1'!$L$16"}</definedName>
    <definedName name="vnd_list" hidden="1">{"một";"hai";"ba";"bốn";"năm";"sáu";"bảy";"tám";"chín";"mười";"mươi";"mốt";"lăm";"trăm";"nghìn";"triệu";"tỷ";"lẻ";"không trăm";"Bằng chử : "}</definedName>
    <definedName name="VU" hidden="1">{"'Sheet1'!$L$16"}</definedName>
    <definedName name="VUNGTB" hidden="1">{"'Sheet1'!$L$16"}</definedName>
    <definedName name="ｖｖｖ" hidden="1">{"'Sheet1'!$L$16"}</definedName>
    <definedName name="ｖｖｖｖｖ" hidden="1">{"'Sheet1'!$L$16"}</definedName>
    <definedName name="VXVZX" hidden="1">{"'Sheet1'!$L$16"}</definedName>
    <definedName name="walkway" hidden="1">{"'Sheet1'!$L$16"}</definedName>
    <definedName name="wdd" hidden="1">{"'Sheet1'!$L$16"}</definedName>
    <definedName name="WEQWEQ" hidden="1">{0,0,0,0}</definedName>
    <definedName name="werar" hidden="1">{"'Sheet1'!$L$16"}</definedName>
    <definedName name="wqe" hidden="1">{"'ELEC'!$A$2:$H$216","'ELEC'!$C$2:$D$2"}</definedName>
    <definedName name="ｗｗ" hidden="1">{"'Sheet1'!$L$16"}</definedName>
    <definedName name="WWF" hidden="1">{"'Sheet1'!$L$16"}</definedName>
    <definedName name="wwwrwee" hidden="1">{"'Sheet1'!$L$16"}</definedName>
    <definedName name="ｗｗｗｗ" hidden="1">{"'Sheet1'!$L$16"}</definedName>
    <definedName name="xlttbninh" hidden="1">{"'Sheet1'!$L$16"}</definedName>
    <definedName name="xoa1" hidden="1">{"'Sheet1'!$L$16"}</definedName>
    <definedName name="xscxz" hidden="1">{"'Sheet1'!$L$16"}</definedName>
    <definedName name="XuÊt8" hidden="1">{"'Sheet1'!$L$16"}</definedName>
    <definedName name="XVXZ" hidden="1">{"'Sheet1'!$L$16"}</definedName>
    <definedName name="ｘｘｘ" hidden="1">{"'Sheet1'!$L$16"}</definedName>
    <definedName name="XXXAAAA" hidden="1">{"'Sheet1'!$L$16"}</definedName>
    <definedName name="ｘｘｘｘ" hidden="1">{"'Sheet1'!$L$16"}</definedName>
    <definedName name="ｘｘｘｘｘ" hidden="1">{"'Sheet1'!$L$16"}</definedName>
    <definedName name="YTJTY" hidden="1">{0,0,0,0}</definedName>
    <definedName name="yu" hidden="1">{"'Sheet1'!$L$16"}</definedName>
    <definedName name="ｙｙｙ" hidden="1">{"'Sheet1'!$L$16"}</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zX" hidden="1">{"'Sheet1'!$L$16"}</definedName>
    <definedName name="ｚｚｚｚｚ" hidden="1">{"'Sheet1'!$L$16"}</definedName>
    <definedName name="ｚｚｚｚｚｚ" hidden="1">{"'Sheet1'!$L$16"}</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んｎ" hidden="1">{"'Sheet1'!$L$16"}</definedName>
    <definedName name="んんｎ" hidden="1">{"'Sheet1'!$L$16"}</definedName>
    <definedName name="건걱" hidden="1">{"'Sheet1'!$A$4:$M$21","'Sheet1'!$J$17:$K$19"}</definedName>
    <definedName name="건적" hidden="1">{"'Sheet1'!$A$4:$M$21","'Sheet1'!$J$17:$K$19"}</definedName>
    <definedName name="동별" hidden="1">{"'Sheet1'!$A$4:$M$21","'Sheet1'!$J$17:$K$19"}</definedName>
    <definedName name="동별내역" hidden="1">{"'Sheet1'!$A$4:$M$21","'Sheet1'!$J$17:$K$19"}</definedName>
    <definedName name="ㅂㅂㅂㅂㅂ" hidden="1">{"'별표'!$N$220"}</definedName>
    <definedName name="아니" hidden="1">{"'Sheet1'!$A$4:$M$21","'Sheet1'!$J$17:$K$19"}</definedName>
    <definedName name="아파트" hidden="1">{"'Sheet1'!$A$4:$M$21","'Sheet1'!$J$17:$K$19"}</definedName>
    <definedName name="우후" hidden="1">{"'별표'!$N$220"}</definedName>
    <definedName name="자" hidden="1">{"'Sheet1'!$A$4:$M$21","'Sheet1'!$J$17:$K$19"}</definedName>
    <definedName name="전기" hidden="1">{"'Sheet1'!$A$1:$E$59"}</definedName>
    <definedName name="철근수정본" hidden="1">{"'Sheet1'!$A$4:$M$21","'Sheet1'!$J$17:$K$19"}</definedName>
    <definedName name="토목공사" hidden="1">{"'Sheet1'!$A$4:$M$21","'Sheet1'!$J$17:$K$19"}</definedName>
    <definedName name="현장자재外" hidden="1">{"'Sheet1'!$A$4:$M$21","'Sheet1'!$J$17:$K$19"}</definedName>
    <definedName name="取费" hidden="1">{"'现金流量表（全部投资）'!$B$4:$P$23"}</definedName>
    <definedName name="地基处理" hidden="1">{"'现金流量表（全部投资）'!$B$4:$P$23"}</definedName>
    <definedName name="実行" hidden="1">{"'Sheet1'!$L$16"}</definedName>
    <definedName name="影响力" hidden="1">{"'现金流量表（全部投资）'!$B$4:$P$23"}</definedName>
    <definedName name="新封" hidden="1">{"'现金流量表（全部投资）'!$B$4:$P$23"}</definedName>
    <definedName name="脱硫表二" hidden="1">{"'现金流量表（全部投资）'!$B$4:$P$23"}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95" i="10" l="1"/>
  <c r="R95" i="10" s="1"/>
  <c r="M95" i="10"/>
  <c r="H95" i="10" l="1"/>
  <c r="Q95" i="10"/>
  <c r="N95" i="10"/>
  <c r="P6" i="10" l="1"/>
  <c r="P10" i="10"/>
  <c r="P11" i="10"/>
  <c r="P13" i="10"/>
  <c r="P23" i="10"/>
  <c r="P27" i="10"/>
  <c r="P28" i="10"/>
  <c r="P29" i="10"/>
  <c r="P30" i="10"/>
  <c r="P31" i="10"/>
  <c r="P32" i="10"/>
  <c r="R32" i="10" s="1"/>
  <c r="P33" i="10"/>
  <c r="R33" i="10" s="1"/>
  <c r="P34" i="10"/>
  <c r="R34" i="10" s="1"/>
  <c r="P35" i="10"/>
  <c r="P36" i="10"/>
  <c r="P37" i="10"/>
  <c r="P38" i="10"/>
  <c r="P40" i="10"/>
  <c r="P41" i="10"/>
  <c r="P42" i="10"/>
  <c r="P43" i="10"/>
  <c r="P44" i="10"/>
  <c r="P45" i="10"/>
  <c r="P46" i="10"/>
  <c r="P51" i="10"/>
  <c r="P52" i="10"/>
  <c r="P53" i="10"/>
  <c r="P54" i="10"/>
  <c r="P56" i="10"/>
  <c r="P57" i="10"/>
  <c r="P59" i="10"/>
  <c r="P60" i="10"/>
  <c r="P61" i="10"/>
  <c r="P62" i="10"/>
  <c r="P63" i="10"/>
  <c r="P64" i="10"/>
  <c r="P65" i="10"/>
  <c r="R65" i="10" s="1"/>
  <c r="P66" i="10"/>
  <c r="R66" i="10" s="1"/>
  <c r="P67" i="10"/>
  <c r="P68" i="10"/>
  <c r="R68" i="10" s="1"/>
  <c r="P69" i="10"/>
  <c r="P70" i="10"/>
  <c r="P71" i="10"/>
  <c r="P72" i="10"/>
  <c r="R72" i="10" s="1"/>
  <c r="P73" i="10"/>
  <c r="P74" i="10"/>
  <c r="P75" i="10"/>
  <c r="P76" i="10"/>
  <c r="P77" i="10"/>
  <c r="P78" i="10"/>
  <c r="P79" i="10"/>
  <c r="P80" i="10"/>
  <c r="P81" i="10"/>
  <c r="R81" i="10" s="1"/>
  <c r="P82" i="10"/>
  <c r="R82" i="10" s="1"/>
  <c r="P83" i="10"/>
  <c r="P84" i="10"/>
  <c r="R84" i="10" s="1"/>
  <c r="P85" i="10"/>
  <c r="P86" i="10"/>
  <c r="P87" i="10"/>
  <c r="P88" i="10"/>
  <c r="P89" i="10"/>
  <c r="P90" i="10"/>
  <c r="R90" i="10" s="1"/>
  <c r="P91" i="10"/>
  <c r="P92" i="10"/>
  <c r="P93" i="10"/>
  <c r="P94" i="10"/>
  <c r="M6" i="10"/>
  <c r="N6" i="10" s="1"/>
  <c r="M10" i="10"/>
  <c r="N10" i="10" s="1"/>
  <c r="M11" i="10"/>
  <c r="M13" i="10"/>
  <c r="N13" i="10" s="1"/>
  <c r="M19" i="10"/>
  <c r="N19" i="10" s="1"/>
  <c r="M23" i="10"/>
  <c r="N23" i="10" s="1"/>
  <c r="M27" i="10"/>
  <c r="N27" i="10" s="1"/>
  <c r="M28" i="10"/>
  <c r="N28" i="10" s="1"/>
  <c r="M29" i="10"/>
  <c r="N29" i="10" s="1"/>
  <c r="M30" i="10"/>
  <c r="N30" i="10" s="1"/>
  <c r="M31" i="10"/>
  <c r="N31" i="10" s="1"/>
  <c r="M32" i="10"/>
  <c r="N32" i="10" s="1"/>
  <c r="M33" i="10"/>
  <c r="N33" i="10" s="1"/>
  <c r="M34" i="10"/>
  <c r="N34" i="10" s="1"/>
  <c r="M35" i="10"/>
  <c r="N35" i="10" s="1"/>
  <c r="M36" i="10"/>
  <c r="N36" i="10" s="1"/>
  <c r="M37" i="10"/>
  <c r="N37" i="10" s="1"/>
  <c r="M38" i="10"/>
  <c r="N38" i="10" s="1"/>
  <c r="M40" i="10"/>
  <c r="N40" i="10" s="1"/>
  <c r="M41" i="10"/>
  <c r="N41" i="10" s="1"/>
  <c r="M42" i="10"/>
  <c r="N42" i="10" s="1"/>
  <c r="M43" i="10"/>
  <c r="N43" i="10" s="1"/>
  <c r="M44" i="10"/>
  <c r="N44" i="10" s="1"/>
  <c r="M45" i="10"/>
  <c r="N45" i="10" s="1"/>
  <c r="M46" i="10"/>
  <c r="N46" i="10" s="1"/>
  <c r="M51" i="10"/>
  <c r="N51" i="10" s="1"/>
  <c r="M52" i="10"/>
  <c r="N52" i="10" s="1"/>
  <c r="M53" i="10"/>
  <c r="N53" i="10" s="1"/>
  <c r="M54" i="10"/>
  <c r="N54" i="10" s="1"/>
  <c r="M55" i="10"/>
  <c r="N55" i="10" s="1"/>
  <c r="M56" i="10"/>
  <c r="N56" i="10" s="1"/>
  <c r="M57" i="10"/>
  <c r="N57" i="10" s="1"/>
  <c r="M58" i="10"/>
  <c r="N58" i="10" s="1"/>
  <c r="M59" i="10"/>
  <c r="N59" i="10" s="1"/>
  <c r="M60" i="10"/>
  <c r="N60" i="10" s="1"/>
  <c r="M61" i="10"/>
  <c r="N61" i="10" s="1"/>
  <c r="M62" i="10"/>
  <c r="N62" i="10" s="1"/>
  <c r="M63" i="10"/>
  <c r="N63" i="10" s="1"/>
  <c r="M64" i="10"/>
  <c r="N64" i="10" s="1"/>
  <c r="M65" i="10"/>
  <c r="N65" i="10" s="1"/>
  <c r="M66" i="10"/>
  <c r="N66" i="10" s="1"/>
  <c r="M67" i="10"/>
  <c r="N67" i="10" s="1"/>
  <c r="M68" i="10"/>
  <c r="N68" i="10" s="1"/>
  <c r="M69" i="10"/>
  <c r="N69" i="10" s="1"/>
  <c r="M70" i="10"/>
  <c r="N70" i="10" s="1"/>
  <c r="M71" i="10"/>
  <c r="N71" i="10" s="1"/>
  <c r="M72" i="10"/>
  <c r="N72" i="10" s="1"/>
  <c r="M73" i="10"/>
  <c r="N73" i="10" s="1"/>
  <c r="M74" i="10"/>
  <c r="N74" i="10" s="1"/>
  <c r="M76" i="10"/>
  <c r="N76" i="10" s="1"/>
  <c r="M77" i="10"/>
  <c r="N77" i="10" s="1"/>
  <c r="M78" i="10"/>
  <c r="N78" i="10" s="1"/>
  <c r="M79" i="10"/>
  <c r="N79" i="10" s="1"/>
  <c r="M80" i="10"/>
  <c r="N80" i="10" s="1"/>
  <c r="M81" i="10"/>
  <c r="N81" i="10" s="1"/>
  <c r="M82" i="10"/>
  <c r="N82" i="10" s="1"/>
  <c r="M83" i="10"/>
  <c r="N83" i="10" s="1"/>
  <c r="M84" i="10"/>
  <c r="N84" i="10" s="1"/>
  <c r="M85" i="10"/>
  <c r="N85" i="10" s="1"/>
  <c r="M86" i="10"/>
  <c r="N86" i="10" s="1"/>
  <c r="M87" i="10"/>
  <c r="N87" i="10" s="1"/>
  <c r="M88" i="10"/>
  <c r="N88" i="10" s="1"/>
  <c r="M89" i="10"/>
  <c r="N89" i="10" s="1"/>
  <c r="M90" i="10"/>
  <c r="N90" i="10" s="1"/>
  <c r="M91" i="10"/>
  <c r="N91" i="10" s="1"/>
  <c r="M92" i="10"/>
  <c r="N92" i="10" s="1"/>
  <c r="M93" i="10"/>
  <c r="N93" i="10" s="1"/>
  <c r="M94" i="10"/>
  <c r="N94" i="10" s="1"/>
  <c r="O6" i="12"/>
  <c r="P6" i="12" s="1"/>
  <c r="O7" i="12"/>
  <c r="P7" i="12" s="1"/>
  <c r="O8" i="12"/>
  <c r="P8" i="12" s="1"/>
  <c r="O9" i="12"/>
  <c r="O10" i="12"/>
  <c r="O11" i="12"/>
  <c r="O12" i="12"/>
  <c r="O13" i="12"/>
  <c r="O14" i="12"/>
  <c r="O15" i="12"/>
  <c r="O16" i="12"/>
  <c r="P16" i="12" s="1"/>
  <c r="O17" i="12"/>
  <c r="O18" i="12"/>
  <c r="P18" i="12" s="1"/>
  <c r="O19" i="12"/>
  <c r="O20" i="12"/>
  <c r="O21" i="12"/>
  <c r="O22" i="12"/>
  <c r="P22" i="12" s="1"/>
  <c r="O23" i="12"/>
  <c r="P23" i="12" s="1"/>
  <c r="O24" i="12"/>
  <c r="P24" i="12" s="1"/>
  <c r="O25" i="12"/>
  <c r="P25" i="12" s="1"/>
  <c r="O26" i="12"/>
  <c r="P26" i="12" s="1"/>
  <c r="O27" i="12"/>
  <c r="P27" i="12" s="1"/>
  <c r="O28" i="12"/>
  <c r="P28" i="12" s="1"/>
  <c r="O29" i="12"/>
  <c r="O30" i="12"/>
  <c r="P30" i="12" s="1"/>
  <c r="O31" i="12"/>
  <c r="P31" i="12" s="1"/>
  <c r="O32" i="12"/>
  <c r="P32" i="12" s="1"/>
  <c r="O33" i="12"/>
  <c r="P33" i="12" s="1"/>
  <c r="O34" i="12"/>
  <c r="P34" i="12" s="1"/>
  <c r="O35" i="12"/>
  <c r="P35" i="12" s="1"/>
  <c r="O36" i="12"/>
  <c r="P36" i="12" s="1"/>
  <c r="O37" i="12"/>
  <c r="P37" i="12" s="1"/>
  <c r="O38" i="12"/>
  <c r="P38" i="12" s="1"/>
  <c r="O39" i="12"/>
  <c r="P39" i="12" s="1"/>
  <c r="O40" i="12"/>
  <c r="P40" i="12" s="1"/>
  <c r="O41" i="12"/>
  <c r="O42" i="12"/>
  <c r="O43" i="12"/>
  <c r="O44" i="12"/>
  <c r="P44" i="12" s="1"/>
  <c r="O45" i="12"/>
  <c r="O46" i="12"/>
  <c r="O47" i="12"/>
  <c r="P47" i="12" s="1"/>
  <c r="O48" i="12"/>
  <c r="O49" i="12"/>
  <c r="P49" i="12" s="1"/>
  <c r="O50" i="12"/>
  <c r="P50" i="12" s="1"/>
  <c r="O51" i="12"/>
  <c r="O52" i="12"/>
  <c r="O53" i="12"/>
  <c r="O54" i="12"/>
  <c r="O55" i="12"/>
  <c r="O56" i="12"/>
  <c r="P56" i="12" s="1"/>
  <c r="O57" i="12"/>
  <c r="P57" i="12" s="1"/>
  <c r="O58" i="12"/>
  <c r="P58" i="12" s="1"/>
  <c r="O59" i="12"/>
  <c r="P59" i="12" s="1"/>
  <c r="O60" i="12"/>
  <c r="P60" i="12" s="1"/>
  <c r="O61" i="12"/>
  <c r="P61" i="12" s="1"/>
  <c r="O62" i="12"/>
  <c r="P62" i="12" s="1"/>
  <c r="O63" i="12"/>
  <c r="P63" i="12" s="1"/>
  <c r="O64" i="12"/>
  <c r="P64" i="12" s="1"/>
  <c r="O65" i="12"/>
  <c r="P65" i="12" s="1"/>
  <c r="O66" i="12"/>
  <c r="P66" i="12" s="1"/>
  <c r="O67" i="12"/>
  <c r="P67" i="12" s="1"/>
  <c r="O68" i="12"/>
  <c r="P68" i="12" s="1"/>
  <c r="O69" i="12"/>
  <c r="P69" i="12" s="1"/>
  <c r="O70" i="12"/>
  <c r="P70" i="12" s="1"/>
  <c r="O71" i="12"/>
  <c r="P71" i="12" s="1"/>
  <c r="O72" i="12"/>
  <c r="P72" i="12" s="1"/>
  <c r="O73" i="12"/>
  <c r="P73" i="12" s="1"/>
  <c r="O74" i="12"/>
  <c r="P74" i="12" s="1"/>
  <c r="O75" i="12"/>
  <c r="P75" i="12" s="1"/>
  <c r="O76" i="12"/>
  <c r="P76" i="12" s="1"/>
  <c r="O77" i="12"/>
  <c r="P77" i="12" s="1"/>
  <c r="O78" i="12"/>
  <c r="P78" i="12" s="1"/>
  <c r="O79" i="12"/>
  <c r="P79" i="12" s="1"/>
  <c r="O80" i="12"/>
  <c r="P80" i="12" s="1"/>
  <c r="O81" i="12"/>
  <c r="P81" i="12" s="1"/>
  <c r="O82" i="12"/>
  <c r="P82" i="12" s="1"/>
  <c r="O83" i="12"/>
  <c r="P83" i="12" s="1"/>
  <c r="O84" i="12"/>
  <c r="P84" i="12" s="1"/>
  <c r="O85" i="12"/>
  <c r="P85" i="12" s="1"/>
  <c r="O86" i="12"/>
  <c r="P86" i="12" s="1"/>
  <c r="O87" i="12"/>
  <c r="P87" i="12" s="1"/>
  <c r="O88" i="12"/>
  <c r="P88" i="12" s="1"/>
  <c r="O89" i="12"/>
  <c r="P89" i="12" s="1"/>
  <c r="O90" i="12"/>
  <c r="P90" i="12" s="1"/>
  <c r="O91" i="12"/>
  <c r="P91" i="12" s="1"/>
  <c r="O92" i="12"/>
  <c r="P92" i="12" s="1"/>
  <c r="O93" i="12"/>
  <c r="P93" i="12" s="1"/>
  <c r="O94" i="12"/>
  <c r="P94" i="12" s="1"/>
  <c r="O95" i="12"/>
  <c r="P95" i="12" s="1"/>
  <c r="O96" i="12"/>
  <c r="P96" i="12" s="1"/>
  <c r="O97" i="12"/>
  <c r="P97" i="12" s="1"/>
  <c r="O98" i="12"/>
  <c r="P98" i="12" s="1"/>
  <c r="O99" i="12"/>
  <c r="P99" i="12" s="1"/>
  <c r="O100" i="12"/>
  <c r="P100" i="12" s="1"/>
  <c r="O101" i="12"/>
  <c r="P101" i="12" s="1"/>
  <c r="O102" i="12"/>
  <c r="P102" i="12" s="1"/>
  <c r="O103" i="12"/>
  <c r="P103" i="12" s="1"/>
  <c r="O104" i="12"/>
  <c r="P104" i="12" s="1"/>
  <c r="O105" i="12"/>
  <c r="P105" i="12" s="1"/>
  <c r="O106" i="12"/>
  <c r="O107" i="12"/>
  <c r="O108" i="12"/>
  <c r="O109" i="12"/>
  <c r="O110" i="12"/>
  <c r="O111" i="12"/>
  <c r="O112" i="12"/>
  <c r="O113" i="12"/>
  <c r="P113" i="12" s="1"/>
  <c r="O114" i="12"/>
  <c r="O115" i="12"/>
  <c r="P115" i="12" s="1"/>
  <c r="O116" i="12"/>
  <c r="P116" i="12" s="1"/>
  <c r="O117" i="12"/>
  <c r="P117" i="12" s="1"/>
  <c r="O118" i="12"/>
  <c r="P118" i="12" s="1"/>
  <c r="O119" i="12"/>
  <c r="P119" i="12" s="1"/>
  <c r="O120" i="12"/>
  <c r="O121" i="12"/>
  <c r="P121" i="12" s="1"/>
  <c r="O122" i="12"/>
  <c r="P122" i="12" s="1"/>
  <c r="O123" i="12"/>
  <c r="P123" i="12" s="1"/>
  <c r="O124" i="12"/>
  <c r="O125" i="12"/>
  <c r="O126" i="12"/>
  <c r="P126" i="12" s="1"/>
  <c r="O127" i="12"/>
  <c r="P127" i="12" s="1"/>
  <c r="O128" i="12"/>
  <c r="P128" i="12" s="1"/>
  <c r="O129" i="12"/>
  <c r="P129" i="12" s="1"/>
  <c r="O130" i="12"/>
  <c r="P130" i="12" s="1"/>
  <c r="O131" i="12"/>
  <c r="P131" i="12" s="1"/>
  <c r="O132" i="12"/>
  <c r="P132" i="12" s="1"/>
  <c r="O133" i="12"/>
  <c r="O134" i="12"/>
  <c r="O135" i="12"/>
  <c r="O136" i="12"/>
  <c r="P136" i="12" s="1"/>
  <c r="O137" i="12"/>
  <c r="O138" i="12"/>
  <c r="O139" i="12"/>
  <c r="P139" i="12" s="1"/>
  <c r="O140" i="12"/>
  <c r="O141" i="12"/>
  <c r="O142" i="12"/>
  <c r="P142" i="12" s="1"/>
  <c r="O143" i="12"/>
  <c r="O144" i="12"/>
  <c r="O145" i="12"/>
  <c r="O146" i="12"/>
  <c r="O147" i="12"/>
  <c r="O148" i="12"/>
  <c r="P148" i="12" s="1"/>
  <c r="O149" i="12"/>
  <c r="P149" i="12" s="1"/>
  <c r="O150" i="12"/>
  <c r="P150" i="12" s="1"/>
  <c r="O151" i="12"/>
  <c r="P151" i="12" s="1"/>
  <c r="O152" i="12"/>
  <c r="P152" i="12" s="1"/>
  <c r="O153" i="12"/>
  <c r="O154" i="12"/>
  <c r="O155" i="12"/>
  <c r="O156" i="12"/>
  <c r="O157" i="12"/>
  <c r="O158" i="12"/>
  <c r="O159" i="12"/>
  <c r="O160" i="12"/>
  <c r="P160" i="12" s="1"/>
  <c r="O161" i="12"/>
  <c r="O162" i="12"/>
  <c r="P162" i="12" s="1"/>
  <c r="O163" i="12"/>
  <c r="P163" i="12" s="1"/>
  <c r="O164" i="12"/>
  <c r="P164" i="12" s="1"/>
  <c r="O165" i="12"/>
  <c r="P165" i="12" s="1"/>
  <c r="O166" i="12"/>
  <c r="P166" i="12" s="1"/>
  <c r="O167" i="12"/>
  <c r="O168" i="12"/>
  <c r="P168" i="12" s="1"/>
  <c r="O169" i="12"/>
  <c r="P169" i="12" s="1"/>
  <c r="O170" i="12"/>
  <c r="P170" i="12" s="1"/>
  <c r="O171" i="12"/>
  <c r="O172" i="12"/>
  <c r="O173" i="12"/>
  <c r="O174" i="12"/>
  <c r="P174" i="12" s="1"/>
  <c r="O175" i="12"/>
  <c r="P175" i="12" s="1"/>
  <c r="O176" i="12"/>
  <c r="P176" i="12" s="1"/>
  <c r="O177" i="12"/>
  <c r="P177" i="12" s="1"/>
  <c r="O178" i="12"/>
  <c r="P178" i="12" s="1"/>
  <c r="O179" i="12"/>
  <c r="P179" i="12" s="1"/>
  <c r="O180" i="12"/>
  <c r="O181" i="12"/>
  <c r="O182" i="12"/>
  <c r="O183" i="12"/>
  <c r="P183" i="12" s="1"/>
  <c r="O184" i="12"/>
  <c r="O185" i="12"/>
  <c r="O186" i="12"/>
  <c r="P186" i="12" s="1"/>
  <c r="O187" i="12"/>
  <c r="O188" i="12"/>
  <c r="O189" i="12"/>
  <c r="P189" i="12" s="1"/>
  <c r="O190" i="12"/>
  <c r="O191" i="12"/>
  <c r="O192" i="12"/>
  <c r="O193" i="12"/>
  <c r="O194" i="12"/>
  <c r="O195" i="12"/>
  <c r="P195" i="12" s="1"/>
  <c r="O196" i="12"/>
  <c r="P196" i="12" s="1"/>
  <c r="O197" i="12"/>
  <c r="P197" i="12" s="1"/>
  <c r="O198" i="12"/>
  <c r="P198" i="12" s="1"/>
  <c r="O199" i="12"/>
  <c r="P199" i="12" s="1"/>
  <c r="O200" i="12"/>
  <c r="O201" i="12"/>
  <c r="O202" i="12"/>
  <c r="O203" i="12"/>
  <c r="O204" i="12"/>
  <c r="O205" i="12"/>
  <c r="O206" i="12"/>
  <c r="O207" i="12"/>
  <c r="P207" i="12" s="1"/>
  <c r="O208" i="12"/>
  <c r="O209" i="12"/>
  <c r="P209" i="12" s="1"/>
  <c r="O210" i="12"/>
  <c r="P210" i="12" s="1"/>
  <c r="O211" i="12"/>
  <c r="P211" i="12" s="1"/>
  <c r="O212" i="12"/>
  <c r="P212" i="12" s="1"/>
  <c r="O213" i="12"/>
  <c r="P213" i="12" s="1"/>
  <c r="O214" i="12"/>
  <c r="O215" i="12"/>
  <c r="P215" i="12" s="1"/>
  <c r="O216" i="12"/>
  <c r="P216" i="12" s="1"/>
  <c r="O217" i="12"/>
  <c r="P217" i="12" s="1"/>
  <c r="O218" i="12"/>
  <c r="O219" i="12"/>
  <c r="O220" i="12"/>
  <c r="O221" i="12"/>
  <c r="P221" i="12" s="1"/>
  <c r="O222" i="12"/>
  <c r="P222" i="12" s="1"/>
  <c r="O223" i="12"/>
  <c r="P223" i="12" s="1"/>
  <c r="O224" i="12"/>
  <c r="P224" i="12" s="1"/>
  <c r="O225" i="12"/>
  <c r="P225" i="12" s="1"/>
  <c r="O226" i="12"/>
  <c r="P226" i="12" s="1"/>
  <c r="O227" i="12"/>
  <c r="P227" i="12" s="1"/>
  <c r="O228" i="12"/>
  <c r="O229" i="12"/>
  <c r="O230" i="12"/>
  <c r="O231" i="12"/>
  <c r="P231" i="12" s="1"/>
  <c r="O232" i="12"/>
  <c r="O233" i="12"/>
  <c r="O234" i="12"/>
  <c r="P234" i="12" s="1"/>
  <c r="O235" i="12"/>
  <c r="O236" i="12"/>
  <c r="O237" i="12"/>
  <c r="P237" i="12" s="1"/>
  <c r="O238" i="12"/>
  <c r="O239" i="12"/>
  <c r="O240" i="12"/>
  <c r="O241" i="12"/>
  <c r="O242" i="12"/>
  <c r="O243" i="12"/>
  <c r="P243" i="12" s="1"/>
  <c r="O244" i="12"/>
  <c r="P244" i="12" s="1"/>
  <c r="O245" i="12"/>
  <c r="P245" i="12" s="1"/>
  <c r="O246" i="12"/>
  <c r="P246" i="12" s="1"/>
  <c r="O247" i="12"/>
  <c r="P247" i="12" s="1"/>
  <c r="O248" i="12"/>
  <c r="O249" i="12"/>
  <c r="O250" i="12"/>
  <c r="O251" i="12"/>
  <c r="O252" i="12"/>
  <c r="O253" i="12"/>
  <c r="O254" i="12"/>
  <c r="O255" i="12"/>
  <c r="P255" i="12" s="1"/>
  <c r="O256" i="12"/>
  <c r="O257" i="12"/>
  <c r="P257" i="12" s="1"/>
  <c r="O258" i="12"/>
  <c r="P258" i="12" s="1"/>
  <c r="O259" i="12"/>
  <c r="P259" i="12" s="1"/>
  <c r="O260" i="12"/>
  <c r="P260" i="12" s="1"/>
  <c r="O261" i="12"/>
  <c r="P261" i="12" s="1"/>
  <c r="O262" i="12"/>
  <c r="O263" i="12"/>
  <c r="P263" i="12" s="1"/>
  <c r="O264" i="12"/>
  <c r="P264" i="12" s="1"/>
  <c r="O265" i="12"/>
  <c r="P265" i="12" s="1"/>
  <c r="O266" i="12"/>
  <c r="O267" i="12"/>
  <c r="O268" i="12"/>
  <c r="O269" i="12"/>
  <c r="P269" i="12" s="1"/>
  <c r="O270" i="12"/>
  <c r="P270" i="12" s="1"/>
  <c r="O271" i="12"/>
  <c r="P271" i="12" s="1"/>
  <c r="O272" i="12"/>
  <c r="P272" i="12" s="1"/>
  <c r="O273" i="12"/>
  <c r="P273" i="12" s="1"/>
  <c r="O274" i="12"/>
  <c r="P274" i="12" s="1"/>
  <c r="O275" i="12"/>
  <c r="O276" i="12"/>
  <c r="O277" i="12"/>
  <c r="O278" i="12"/>
  <c r="P278" i="12" s="1"/>
  <c r="O279" i="12"/>
  <c r="O280" i="12"/>
  <c r="O281" i="12"/>
  <c r="P281" i="12" s="1"/>
  <c r="O282" i="12"/>
  <c r="O283" i="12"/>
  <c r="O284" i="12"/>
  <c r="P284" i="12" s="1"/>
  <c r="O285" i="12"/>
  <c r="O286" i="12"/>
  <c r="O287" i="12"/>
  <c r="O288" i="12"/>
  <c r="O289" i="12"/>
  <c r="O290" i="12"/>
  <c r="P290" i="12" s="1"/>
  <c r="O291" i="12"/>
  <c r="P291" i="12" s="1"/>
  <c r="O292" i="12"/>
  <c r="P292" i="12" s="1"/>
  <c r="O293" i="12"/>
  <c r="P293" i="12" s="1"/>
  <c r="O294" i="12"/>
  <c r="P294" i="12" s="1"/>
  <c r="O295" i="12"/>
  <c r="O296" i="12"/>
  <c r="O297" i="12"/>
  <c r="O298" i="12"/>
  <c r="O299" i="12"/>
  <c r="O300" i="12"/>
  <c r="O301" i="12"/>
  <c r="O302" i="12"/>
  <c r="P302" i="12" s="1"/>
  <c r="O303" i="12"/>
  <c r="O304" i="12"/>
  <c r="P304" i="12" s="1"/>
  <c r="O305" i="12"/>
  <c r="P305" i="12" s="1"/>
  <c r="O306" i="12"/>
  <c r="P306" i="12" s="1"/>
  <c r="O307" i="12"/>
  <c r="P307" i="12" s="1"/>
  <c r="O308" i="12"/>
  <c r="P308" i="12" s="1"/>
  <c r="O309" i="12"/>
  <c r="O310" i="12"/>
  <c r="P310" i="12" s="1"/>
  <c r="O311" i="12"/>
  <c r="P311" i="12" s="1"/>
  <c r="O312" i="12"/>
  <c r="P312" i="12" s="1"/>
  <c r="O313" i="12"/>
  <c r="O314" i="12"/>
  <c r="O315" i="12"/>
  <c r="O316" i="12"/>
  <c r="P316" i="12" s="1"/>
  <c r="O317" i="12"/>
  <c r="P317" i="12" s="1"/>
  <c r="O318" i="12"/>
  <c r="P318" i="12" s="1"/>
  <c r="O319" i="12"/>
  <c r="P319" i="12" s="1"/>
  <c r="O320" i="12"/>
  <c r="P320" i="12" s="1"/>
  <c r="O321" i="12"/>
  <c r="P321" i="12" s="1"/>
  <c r="O322" i="12"/>
  <c r="O323" i="12"/>
  <c r="O324" i="12"/>
  <c r="O325" i="12"/>
  <c r="P325" i="12" s="1"/>
  <c r="O326" i="12"/>
  <c r="O327" i="12"/>
  <c r="O328" i="12"/>
  <c r="P328" i="12" s="1"/>
  <c r="O329" i="12"/>
  <c r="O330" i="12"/>
  <c r="O331" i="12"/>
  <c r="P331" i="12" s="1"/>
  <c r="O332" i="12"/>
  <c r="O333" i="12"/>
  <c r="O334" i="12"/>
  <c r="O335" i="12"/>
  <c r="O336" i="12"/>
  <c r="O337" i="12"/>
  <c r="P337" i="12" s="1"/>
  <c r="O338" i="12"/>
  <c r="P338" i="12" s="1"/>
  <c r="O339" i="12"/>
  <c r="P339" i="12" s="1"/>
  <c r="O340" i="12"/>
  <c r="P340" i="12" s="1"/>
  <c r="O341" i="12"/>
  <c r="P341" i="12" s="1"/>
  <c r="O342" i="12"/>
  <c r="O343" i="12"/>
  <c r="O344" i="12"/>
  <c r="O345" i="12"/>
  <c r="O346" i="12"/>
  <c r="O347" i="12"/>
  <c r="O348" i="12"/>
  <c r="O349" i="12"/>
  <c r="P349" i="12" s="1"/>
  <c r="O350" i="12"/>
  <c r="O351" i="12"/>
  <c r="P351" i="12" s="1"/>
  <c r="O352" i="12"/>
  <c r="P352" i="12" s="1"/>
  <c r="O353" i="12"/>
  <c r="P353" i="12" s="1"/>
  <c r="O354" i="12"/>
  <c r="P354" i="12" s="1"/>
  <c r="O355" i="12"/>
  <c r="P355" i="12" s="1"/>
  <c r="O356" i="12"/>
  <c r="O357" i="12"/>
  <c r="P357" i="12" s="1"/>
  <c r="O358" i="12"/>
  <c r="P358" i="12" s="1"/>
  <c r="O359" i="12"/>
  <c r="P359" i="12" s="1"/>
  <c r="O360" i="12"/>
  <c r="O361" i="12"/>
  <c r="O362" i="12"/>
  <c r="O363" i="12"/>
  <c r="P363" i="12" s="1"/>
  <c r="O364" i="12"/>
  <c r="P364" i="12" s="1"/>
  <c r="O365" i="12"/>
  <c r="P365" i="12" s="1"/>
  <c r="O366" i="12"/>
  <c r="P366" i="12" s="1"/>
  <c r="O367" i="12"/>
  <c r="P367" i="12" s="1"/>
  <c r="O368" i="12"/>
  <c r="P368" i="12" s="1"/>
  <c r="O369" i="12"/>
  <c r="O370" i="12"/>
  <c r="O371" i="12"/>
  <c r="O372" i="12"/>
  <c r="P372" i="12" s="1"/>
  <c r="O373" i="12"/>
  <c r="O374" i="12"/>
  <c r="O375" i="12"/>
  <c r="P375" i="12" s="1"/>
  <c r="O376" i="12"/>
  <c r="O377" i="12"/>
  <c r="O378" i="12"/>
  <c r="P378" i="12" s="1"/>
  <c r="O379" i="12"/>
  <c r="O380" i="12"/>
  <c r="O381" i="12"/>
  <c r="O382" i="12"/>
  <c r="O383" i="12"/>
  <c r="O384" i="12"/>
  <c r="P384" i="12" s="1"/>
  <c r="O385" i="12"/>
  <c r="P385" i="12" s="1"/>
  <c r="O386" i="12"/>
  <c r="P386" i="12" s="1"/>
  <c r="O387" i="12"/>
  <c r="P387" i="12" s="1"/>
  <c r="O388" i="12"/>
  <c r="P388" i="12" s="1"/>
  <c r="O389" i="12"/>
  <c r="O390" i="12"/>
  <c r="O391" i="12"/>
  <c r="O392" i="12"/>
  <c r="O393" i="12"/>
  <c r="O394" i="12"/>
  <c r="O395" i="12"/>
  <c r="O396" i="12"/>
  <c r="P396" i="12" s="1"/>
  <c r="O397" i="12"/>
  <c r="O398" i="12"/>
  <c r="P398" i="12" s="1"/>
  <c r="O399" i="12"/>
  <c r="P399" i="12" s="1"/>
  <c r="O400" i="12"/>
  <c r="P400" i="12" s="1"/>
  <c r="O401" i="12"/>
  <c r="P401" i="12" s="1"/>
  <c r="O402" i="12"/>
  <c r="P402" i="12" s="1"/>
  <c r="O403" i="12"/>
  <c r="O404" i="12"/>
  <c r="P404" i="12" s="1"/>
  <c r="O405" i="12"/>
  <c r="P405" i="12" s="1"/>
  <c r="O406" i="12"/>
  <c r="P406" i="12" s="1"/>
  <c r="O407" i="12"/>
  <c r="O408" i="12"/>
  <c r="O409" i="12"/>
  <c r="O410" i="12"/>
  <c r="P410" i="12" s="1"/>
  <c r="O411" i="12"/>
  <c r="P411" i="12" s="1"/>
  <c r="O412" i="12"/>
  <c r="P412" i="12" s="1"/>
  <c r="O413" i="12"/>
  <c r="P413" i="12" s="1"/>
  <c r="O414" i="12"/>
  <c r="P414" i="12" s="1"/>
  <c r="O415" i="12"/>
  <c r="P415" i="12" s="1"/>
  <c r="O416" i="12"/>
  <c r="O417" i="12"/>
  <c r="O418" i="12"/>
  <c r="O419" i="12"/>
  <c r="P419" i="12" s="1"/>
  <c r="O420" i="12"/>
  <c r="O421" i="12"/>
  <c r="O422" i="12"/>
  <c r="P422" i="12" s="1"/>
  <c r="O423" i="12"/>
  <c r="O424" i="12"/>
  <c r="O425" i="12"/>
  <c r="P425" i="12" s="1"/>
  <c r="O426" i="12"/>
  <c r="O427" i="12"/>
  <c r="O428" i="12"/>
  <c r="O429" i="12"/>
  <c r="O430" i="12"/>
  <c r="O431" i="12"/>
  <c r="P431" i="12" s="1"/>
  <c r="O432" i="12"/>
  <c r="P432" i="12" s="1"/>
  <c r="O433" i="12"/>
  <c r="P433" i="12" s="1"/>
  <c r="O434" i="12"/>
  <c r="P434" i="12" s="1"/>
  <c r="O435" i="12"/>
  <c r="P435" i="12" s="1"/>
  <c r="O436" i="12"/>
  <c r="O437" i="12"/>
  <c r="O438" i="12"/>
  <c r="O439" i="12"/>
  <c r="O440" i="12"/>
  <c r="O441" i="12"/>
  <c r="O442" i="12"/>
  <c r="O443" i="12"/>
  <c r="P443" i="12" s="1"/>
  <c r="O444" i="12"/>
  <c r="O445" i="12"/>
  <c r="P445" i="12" s="1"/>
  <c r="O446" i="12"/>
  <c r="P446" i="12" s="1"/>
  <c r="O447" i="12"/>
  <c r="P447" i="12" s="1"/>
  <c r="O448" i="12"/>
  <c r="P448" i="12" s="1"/>
  <c r="O449" i="12"/>
  <c r="P449" i="12" s="1"/>
  <c r="O450" i="12"/>
  <c r="O451" i="12"/>
  <c r="P451" i="12" s="1"/>
  <c r="O452" i="12"/>
  <c r="P452" i="12" s="1"/>
  <c r="O453" i="12"/>
  <c r="P453" i="12" s="1"/>
  <c r="O454" i="12"/>
  <c r="O455" i="12"/>
  <c r="O456" i="12"/>
  <c r="O457" i="12"/>
  <c r="P457" i="12" s="1"/>
  <c r="O458" i="12"/>
  <c r="P458" i="12" s="1"/>
  <c r="O459" i="12"/>
  <c r="P459" i="12" s="1"/>
  <c r="O460" i="12"/>
  <c r="P460" i="12" s="1"/>
  <c r="O461" i="12"/>
  <c r="P461" i="12" s="1"/>
  <c r="O462" i="12"/>
  <c r="P462" i="12" s="1"/>
  <c r="O463" i="12"/>
  <c r="O464" i="12"/>
  <c r="O465" i="12"/>
  <c r="O466" i="12"/>
  <c r="P466" i="12" s="1"/>
  <c r="O467" i="12"/>
  <c r="O468" i="12"/>
  <c r="O469" i="12"/>
  <c r="P469" i="12" s="1"/>
  <c r="O470" i="12"/>
  <c r="O471" i="12"/>
  <c r="O472" i="12"/>
  <c r="P472" i="12" s="1"/>
  <c r="O473" i="12"/>
  <c r="O474" i="12"/>
  <c r="O475" i="12"/>
  <c r="O476" i="12"/>
  <c r="O477" i="12"/>
  <c r="O478" i="12"/>
  <c r="P478" i="12" s="1"/>
  <c r="O479" i="12"/>
  <c r="P479" i="12" s="1"/>
  <c r="O480" i="12"/>
  <c r="P480" i="12" s="1"/>
  <c r="O481" i="12"/>
  <c r="P481" i="12" s="1"/>
  <c r="O482" i="12"/>
  <c r="P482" i="12" s="1"/>
  <c r="O483" i="12"/>
  <c r="O484" i="12"/>
  <c r="O485" i="12"/>
  <c r="O486" i="12"/>
  <c r="O487" i="12"/>
  <c r="O488" i="12"/>
  <c r="O489" i="12"/>
  <c r="O490" i="12"/>
  <c r="P490" i="12" s="1"/>
  <c r="O491" i="12"/>
  <c r="O492" i="12"/>
  <c r="P492" i="12" s="1"/>
  <c r="O493" i="12"/>
  <c r="P493" i="12" s="1"/>
  <c r="O494" i="12"/>
  <c r="P494" i="12" s="1"/>
  <c r="O495" i="12"/>
  <c r="P495" i="12" s="1"/>
  <c r="O496" i="12"/>
  <c r="P496" i="12" s="1"/>
  <c r="O497" i="12"/>
  <c r="O498" i="12"/>
  <c r="P498" i="12" s="1"/>
  <c r="O499" i="12"/>
  <c r="P499" i="12" s="1"/>
  <c r="O500" i="12"/>
  <c r="P500" i="12" s="1"/>
  <c r="O501" i="12"/>
  <c r="O502" i="12"/>
  <c r="O503" i="12"/>
  <c r="O504" i="12"/>
  <c r="P504" i="12" s="1"/>
  <c r="O505" i="12"/>
  <c r="P505" i="12" s="1"/>
  <c r="O506" i="12"/>
  <c r="P506" i="12" s="1"/>
  <c r="O507" i="12"/>
  <c r="P507" i="12" s="1"/>
  <c r="O508" i="12"/>
  <c r="P508" i="12" s="1"/>
  <c r="O509" i="12"/>
  <c r="P509" i="12" s="1"/>
  <c r="O510" i="12"/>
  <c r="O511" i="12"/>
  <c r="O512" i="12"/>
  <c r="O513" i="12"/>
  <c r="P513" i="12" s="1"/>
  <c r="O514" i="12"/>
  <c r="O515" i="12"/>
  <c r="O516" i="12"/>
  <c r="P516" i="12" s="1"/>
  <c r="O517" i="12"/>
  <c r="O518" i="12"/>
  <c r="O519" i="12"/>
  <c r="P519" i="12" s="1"/>
  <c r="O520" i="12"/>
  <c r="O521" i="12"/>
  <c r="O522" i="12"/>
  <c r="O523" i="12"/>
  <c r="O524" i="12"/>
  <c r="O525" i="12"/>
  <c r="P525" i="12" s="1"/>
  <c r="O526" i="12"/>
  <c r="P526" i="12" s="1"/>
  <c r="O527" i="12"/>
  <c r="P527" i="12" s="1"/>
  <c r="O528" i="12"/>
  <c r="P528" i="12" s="1"/>
  <c r="O529" i="12"/>
  <c r="P529" i="12" s="1"/>
  <c r="O530" i="12"/>
  <c r="O531" i="12"/>
  <c r="O532" i="12"/>
  <c r="O533" i="12"/>
  <c r="O534" i="12"/>
  <c r="O535" i="12"/>
  <c r="O536" i="12"/>
  <c r="O537" i="12"/>
  <c r="P537" i="12" s="1"/>
  <c r="O538" i="12"/>
  <c r="O539" i="12"/>
  <c r="P539" i="12" s="1"/>
  <c r="O540" i="12"/>
  <c r="P540" i="12" s="1"/>
  <c r="O541" i="12"/>
  <c r="P541" i="12" s="1"/>
  <c r="O542" i="12"/>
  <c r="P542" i="12" s="1"/>
  <c r="O543" i="12"/>
  <c r="P543" i="12" s="1"/>
  <c r="O544" i="12"/>
  <c r="O545" i="12"/>
  <c r="P545" i="12" s="1"/>
  <c r="O546" i="12"/>
  <c r="P546" i="12" s="1"/>
  <c r="O547" i="12"/>
  <c r="P547" i="12" s="1"/>
  <c r="O548" i="12"/>
  <c r="O549" i="12"/>
  <c r="O550" i="12"/>
  <c r="O551" i="12"/>
  <c r="P551" i="12" s="1"/>
  <c r="O552" i="12"/>
  <c r="P552" i="12" s="1"/>
  <c r="O553" i="12"/>
  <c r="P553" i="12" s="1"/>
  <c r="O554" i="12"/>
  <c r="P554" i="12" s="1"/>
  <c r="O555" i="12"/>
  <c r="P555" i="12" s="1"/>
  <c r="O556" i="12"/>
  <c r="P556" i="12" s="1"/>
  <c r="O557" i="12"/>
  <c r="O558" i="12"/>
  <c r="O559" i="12"/>
  <c r="O560" i="12"/>
  <c r="P560" i="12" s="1"/>
  <c r="O561" i="12"/>
  <c r="O562" i="12"/>
  <c r="O563" i="12"/>
  <c r="P563" i="12" s="1"/>
  <c r="O564" i="12"/>
  <c r="O565" i="12"/>
  <c r="O566" i="12"/>
  <c r="P566" i="12" s="1"/>
  <c r="O567" i="12"/>
  <c r="O568" i="12"/>
  <c r="O569" i="12"/>
  <c r="O570" i="12"/>
  <c r="O571" i="12"/>
  <c r="O572" i="12"/>
  <c r="P572" i="12" s="1"/>
  <c r="O573" i="12"/>
  <c r="P573" i="12" s="1"/>
  <c r="O574" i="12"/>
  <c r="P574" i="12" s="1"/>
  <c r="O575" i="12"/>
  <c r="P575" i="12" s="1"/>
  <c r="O576" i="12"/>
  <c r="P576" i="12" s="1"/>
  <c r="O577" i="12"/>
  <c r="O578" i="12"/>
  <c r="O579" i="12"/>
  <c r="O580" i="12"/>
  <c r="O581" i="12"/>
  <c r="O582" i="12"/>
  <c r="O583" i="12"/>
  <c r="O584" i="12"/>
  <c r="P584" i="12" s="1"/>
  <c r="O585" i="12"/>
  <c r="O586" i="12"/>
  <c r="P586" i="12" s="1"/>
  <c r="O587" i="12"/>
  <c r="P587" i="12" s="1"/>
  <c r="O588" i="12"/>
  <c r="P588" i="12" s="1"/>
  <c r="O589" i="12"/>
  <c r="P589" i="12" s="1"/>
  <c r="O590" i="12"/>
  <c r="P590" i="12" s="1"/>
  <c r="O591" i="12"/>
  <c r="O592" i="12"/>
  <c r="P592" i="12" s="1"/>
  <c r="O593" i="12"/>
  <c r="P593" i="12" s="1"/>
  <c r="O594" i="12"/>
  <c r="P594" i="12" s="1"/>
  <c r="O595" i="12"/>
  <c r="O596" i="12"/>
  <c r="O597" i="12"/>
  <c r="O598" i="12"/>
  <c r="P598" i="12" s="1"/>
  <c r="O599" i="12"/>
  <c r="P599" i="12" s="1"/>
  <c r="O600" i="12"/>
  <c r="P600" i="12" s="1"/>
  <c r="O601" i="12"/>
  <c r="P601" i="12" s="1"/>
  <c r="O602" i="12"/>
  <c r="P602" i="12" s="1"/>
  <c r="O603" i="12"/>
  <c r="P603" i="12" s="1"/>
  <c r="O604" i="12"/>
  <c r="O605" i="12"/>
  <c r="O606" i="12"/>
  <c r="O607" i="12"/>
  <c r="P607" i="12" s="1"/>
  <c r="O608" i="12"/>
  <c r="O609" i="12"/>
  <c r="O610" i="12"/>
  <c r="P610" i="12" s="1"/>
  <c r="O611" i="12"/>
  <c r="O612" i="12"/>
  <c r="O613" i="12"/>
  <c r="P613" i="12" s="1"/>
  <c r="O614" i="12"/>
  <c r="O615" i="12"/>
  <c r="O616" i="12"/>
  <c r="O617" i="12"/>
  <c r="O618" i="12"/>
  <c r="O619" i="12"/>
  <c r="P619" i="12" s="1"/>
  <c r="O620" i="12"/>
  <c r="P620" i="12" s="1"/>
  <c r="O621" i="12"/>
  <c r="P621" i="12" s="1"/>
  <c r="O622" i="12"/>
  <c r="P622" i="12" s="1"/>
  <c r="O623" i="12"/>
  <c r="P623" i="12" s="1"/>
  <c r="O624" i="12"/>
  <c r="O625" i="12"/>
  <c r="O626" i="12"/>
  <c r="O627" i="12"/>
  <c r="O628" i="12"/>
  <c r="O629" i="12"/>
  <c r="O630" i="12"/>
  <c r="O631" i="12"/>
  <c r="P631" i="12" s="1"/>
  <c r="O632" i="12"/>
  <c r="O633" i="12"/>
  <c r="P633" i="12" s="1"/>
  <c r="O634" i="12"/>
  <c r="P634" i="12" s="1"/>
  <c r="O635" i="12"/>
  <c r="P635" i="12" s="1"/>
  <c r="O636" i="12"/>
  <c r="P636" i="12" s="1"/>
  <c r="O637" i="12"/>
  <c r="P637" i="12" s="1"/>
  <c r="O638" i="12"/>
  <c r="O639" i="12"/>
  <c r="P639" i="12" s="1"/>
  <c r="O640" i="12"/>
  <c r="P640" i="12" s="1"/>
  <c r="O641" i="12"/>
  <c r="P641" i="12" s="1"/>
  <c r="O642" i="12"/>
  <c r="O643" i="12"/>
  <c r="O644" i="12"/>
  <c r="O645" i="12"/>
  <c r="P645" i="12" s="1"/>
  <c r="O646" i="12"/>
  <c r="P646" i="12" s="1"/>
  <c r="O647" i="12"/>
  <c r="P647" i="12" s="1"/>
  <c r="O648" i="12"/>
  <c r="P648" i="12" s="1"/>
  <c r="O649" i="12"/>
  <c r="P649" i="12" s="1"/>
  <c r="O650" i="12"/>
  <c r="P650" i="12" s="1"/>
  <c r="O651" i="12"/>
  <c r="O652" i="12"/>
  <c r="O653" i="12"/>
  <c r="O654" i="12"/>
  <c r="P654" i="12" s="1"/>
  <c r="O655" i="12"/>
  <c r="O656" i="12"/>
  <c r="O657" i="12"/>
  <c r="P657" i="12" s="1"/>
  <c r="O658" i="12"/>
  <c r="O659" i="12"/>
  <c r="O660" i="12"/>
  <c r="P660" i="12" s="1"/>
  <c r="O661" i="12"/>
  <c r="O662" i="12"/>
  <c r="O663" i="12"/>
  <c r="O664" i="12"/>
  <c r="O665" i="12"/>
  <c r="O666" i="12"/>
  <c r="P666" i="12" s="1"/>
  <c r="O667" i="12"/>
  <c r="P667" i="12" s="1"/>
  <c r="O668" i="12"/>
  <c r="P668" i="12" s="1"/>
  <c r="O669" i="12"/>
  <c r="P669" i="12" s="1"/>
  <c r="O670" i="12"/>
  <c r="P670" i="12" s="1"/>
  <c r="O671" i="12"/>
  <c r="O672" i="12"/>
  <c r="O673" i="12"/>
  <c r="O674" i="12"/>
  <c r="O675" i="12"/>
  <c r="O676" i="12"/>
  <c r="O677" i="12"/>
  <c r="O678" i="12"/>
  <c r="P678" i="12" s="1"/>
  <c r="O679" i="12"/>
  <c r="O680" i="12"/>
  <c r="P680" i="12" s="1"/>
  <c r="O681" i="12"/>
  <c r="P681" i="12" s="1"/>
  <c r="O682" i="12"/>
  <c r="P682" i="12" s="1"/>
  <c r="O683" i="12"/>
  <c r="P683" i="12" s="1"/>
  <c r="O684" i="12"/>
  <c r="P684" i="12" s="1"/>
  <c r="O685" i="12"/>
  <c r="O686" i="12"/>
  <c r="P686" i="12" s="1"/>
  <c r="O687" i="12"/>
  <c r="P687" i="12" s="1"/>
  <c r="O688" i="12"/>
  <c r="P688" i="12" s="1"/>
  <c r="O689" i="12"/>
  <c r="O690" i="12"/>
  <c r="O691" i="12"/>
  <c r="O692" i="12"/>
  <c r="P692" i="12" s="1"/>
  <c r="O693" i="12"/>
  <c r="P693" i="12" s="1"/>
  <c r="O694" i="12"/>
  <c r="P694" i="12" s="1"/>
  <c r="O695" i="12"/>
  <c r="P695" i="12" s="1"/>
  <c r="O696" i="12"/>
  <c r="P696" i="12" s="1"/>
  <c r="O697" i="12"/>
  <c r="P697" i="12" s="1"/>
  <c r="O698" i="12"/>
  <c r="O699" i="12"/>
  <c r="O700" i="12"/>
  <c r="O701" i="12"/>
  <c r="P701" i="12" s="1"/>
  <c r="O702" i="12"/>
  <c r="O703" i="12"/>
  <c r="O704" i="12"/>
  <c r="P704" i="12" s="1"/>
  <c r="O705" i="12"/>
  <c r="O706" i="12"/>
  <c r="O707" i="12"/>
  <c r="P707" i="12" s="1"/>
  <c r="O708" i="12"/>
  <c r="O709" i="12"/>
  <c r="O710" i="12"/>
  <c r="O711" i="12"/>
  <c r="O712" i="12"/>
  <c r="O713" i="12"/>
  <c r="P713" i="12" s="1"/>
  <c r="O714" i="12"/>
  <c r="P714" i="12" s="1"/>
  <c r="O715" i="12"/>
  <c r="P715" i="12" s="1"/>
  <c r="O716" i="12"/>
  <c r="P716" i="12" s="1"/>
  <c r="O717" i="12"/>
  <c r="P717" i="12" s="1"/>
  <c r="O718" i="12"/>
  <c r="O719" i="12"/>
  <c r="O720" i="12"/>
  <c r="O721" i="12"/>
  <c r="O722" i="12"/>
  <c r="O723" i="12"/>
  <c r="O724" i="12"/>
  <c r="O725" i="12"/>
  <c r="P725" i="12" s="1"/>
  <c r="O726" i="12"/>
  <c r="O727" i="12"/>
  <c r="P727" i="12" s="1"/>
  <c r="O728" i="12"/>
  <c r="P728" i="12" s="1"/>
  <c r="O729" i="12"/>
  <c r="P729" i="12" s="1"/>
  <c r="O730" i="12"/>
  <c r="P730" i="12" s="1"/>
  <c r="O731" i="12"/>
  <c r="P731" i="12" s="1"/>
  <c r="O732" i="12"/>
  <c r="O733" i="12"/>
  <c r="P733" i="12" s="1"/>
  <c r="O734" i="12"/>
  <c r="P734" i="12" s="1"/>
  <c r="O735" i="12"/>
  <c r="P735" i="12" s="1"/>
  <c r="O736" i="12"/>
  <c r="O737" i="12"/>
  <c r="O738" i="12"/>
  <c r="O739" i="12"/>
  <c r="P739" i="12" s="1"/>
  <c r="O740" i="12"/>
  <c r="P740" i="12" s="1"/>
  <c r="O741" i="12"/>
  <c r="P741" i="12" s="1"/>
  <c r="O742" i="12"/>
  <c r="P742" i="12" s="1"/>
  <c r="O743" i="12"/>
  <c r="P743" i="12" s="1"/>
  <c r="O744" i="12"/>
  <c r="P744" i="12" s="1"/>
  <c r="O745" i="12"/>
  <c r="O746" i="12"/>
  <c r="O747" i="12"/>
  <c r="O748" i="12"/>
  <c r="P748" i="12" s="1"/>
  <c r="O749" i="12"/>
  <c r="O750" i="12"/>
  <c r="O751" i="12"/>
  <c r="P751" i="12" s="1"/>
  <c r="O752" i="12"/>
  <c r="O753" i="12"/>
  <c r="O754" i="12"/>
  <c r="P754" i="12" s="1"/>
  <c r="O755" i="12"/>
  <c r="O756" i="12"/>
  <c r="O757" i="12"/>
  <c r="O758" i="12"/>
  <c r="O759" i="12"/>
  <c r="O760" i="12"/>
  <c r="P760" i="12" s="1"/>
  <c r="O761" i="12"/>
  <c r="P761" i="12" s="1"/>
  <c r="O762" i="12"/>
  <c r="P762" i="12" s="1"/>
  <c r="O763" i="12"/>
  <c r="P763" i="12" s="1"/>
  <c r="O764" i="12"/>
  <c r="P764" i="12" s="1"/>
  <c r="O765" i="12"/>
  <c r="O766" i="12"/>
  <c r="O767" i="12"/>
  <c r="O768" i="12"/>
  <c r="O769" i="12"/>
  <c r="O770" i="12"/>
  <c r="O771" i="12"/>
  <c r="O772" i="12"/>
  <c r="P772" i="12" s="1"/>
  <c r="O773" i="12"/>
  <c r="O774" i="12"/>
  <c r="P774" i="12" s="1"/>
  <c r="O775" i="12"/>
  <c r="P775" i="12" s="1"/>
  <c r="O776" i="12"/>
  <c r="P776" i="12" s="1"/>
  <c r="O777" i="12"/>
  <c r="P777" i="12" s="1"/>
  <c r="O778" i="12"/>
  <c r="P778" i="12" s="1"/>
  <c r="O779" i="12"/>
  <c r="O780" i="12"/>
  <c r="P780" i="12" s="1"/>
  <c r="O781" i="12"/>
  <c r="P781" i="12" s="1"/>
  <c r="O782" i="12"/>
  <c r="P782" i="12" s="1"/>
  <c r="O783" i="12"/>
  <c r="O784" i="12"/>
  <c r="O785" i="12"/>
  <c r="O786" i="12"/>
  <c r="P786" i="12" s="1"/>
  <c r="O787" i="12"/>
  <c r="P787" i="12" s="1"/>
  <c r="O788" i="12"/>
  <c r="P788" i="12" s="1"/>
  <c r="O789" i="12"/>
  <c r="P789" i="12" s="1"/>
  <c r="O790" i="12"/>
  <c r="P790" i="12" s="1"/>
  <c r="O791" i="12"/>
  <c r="P791" i="12" s="1"/>
  <c r="O792" i="12"/>
  <c r="O793" i="12"/>
  <c r="O794" i="12"/>
  <c r="O795" i="12"/>
  <c r="P795" i="12" s="1"/>
  <c r="O796" i="12"/>
  <c r="O797" i="12"/>
  <c r="O798" i="12"/>
  <c r="P798" i="12" s="1"/>
  <c r="O799" i="12"/>
  <c r="O800" i="12"/>
  <c r="O801" i="12"/>
  <c r="P801" i="12" s="1"/>
  <c r="O802" i="12"/>
  <c r="O803" i="12"/>
  <c r="O804" i="12"/>
  <c r="O805" i="12"/>
  <c r="O806" i="12"/>
  <c r="O807" i="12"/>
  <c r="P807" i="12" s="1"/>
  <c r="O808" i="12"/>
  <c r="P808" i="12" s="1"/>
  <c r="O809" i="12"/>
  <c r="P809" i="12" s="1"/>
  <c r="O810" i="12"/>
  <c r="P810" i="12" s="1"/>
  <c r="O811" i="12"/>
  <c r="P811" i="12" s="1"/>
  <c r="O812" i="12"/>
  <c r="O813" i="12"/>
  <c r="O814" i="12"/>
  <c r="O815" i="12"/>
  <c r="O816" i="12"/>
  <c r="O817" i="12"/>
  <c r="O818" i="12"/>
  <c r="O819" i="12"/>
  <c r="P819" i="12" s="1"/>
  <c r="O820" i="12"/>
  <c r="O821" i="12"/>
  <c r="P821" i="12" s="1"/>
  <c r="O822" i="12"/>
  <c r="P822" i="12" s="1"/>
  <c r="O823" i="12"/>
  <c r="P823" i="12" s="1"/>
  <c r="O824" i="12"/>
  <c r="P824" i="12" s="1"/>
  <c r="O825" i="12"/>
  <c r="P825" i="12" s="1"/>
  <c r="O826" i="12"/>
  <c r="O827" i="12"/>
  <c r="P827" i="12" s="1"/>
  <c r="O828" i="12"/>
  <c r="P828" i="12" s="1"/>
  <c r="O829" i="12"/>
  <c r="P829" i="12" s="1"/>
  <c r="O830" i="12"/>
  <c r="O831" i="12"/>
  <c r="O832" i="12"/>
  <c r="O833" i="12"/>
  <c r="P833" i="12" s="1"/>
  <c r="O834" i="12"/>
  <c r="P834" i="12" s="1"/>
  <c r="O835" i="12"/>
  <c r="P835" i="12" s="1"/>
  <c r="O836" i="12"/>
  <c r="P836" i="12" s="1"/>
  <c r="O837" i="12"/>
  <c r="P837" i="12" s="1"/>
  <c r="O838" i="12"/>
  <c r="P838" i="12" s="1"/>
  <c r="O839" i="12"/>
  <c r="O840" i="12"/>
  <c r="O841" i="12"/>
  <c r="O842" i="12"/>
  <c r="P842" i="12" s="1"/>
  <c r="O843" i="12"/>
  <c r="O844" i="12"/>
  <c r="O845" i="12"/>
  <c r="P845" i="12" s="1"/>
  <c r="O846" i="12"/>
  <c r="O847" i="12"/>
  <c r="O848" i="12"/>
  <c r="P848" i="12" s="1"/>
  <c r="O849" i="12"/>
  <c r="O850" i="12"/>
  <c r="O851" i="12"/>
  <c r="O852" i="12"/>
  <c r="O853" i="12"/>
  <c r="O854" i="12"/>
  <c r="P854" i="12" s="1"/>
  <c r="O855" i="12"/>
  <c r="P855" i="12" s="1"/>
  <c r="O856" i="12"/>
  <c r="P856" i="12" s="1"/>
  <c r="O857" i="12"/>
  <c r="P857" i="12" s="1"/>
  <c r="O858" i="12"/>
  <c r="P858" i="12" s="1"/>
  <c r="O859" i="12"/>
  <c r="O860" i="12"/>
  <c r="O861" i="12"/>
  <c r="O862" i="12"/>
  <c r="O863" i="12"/>
  <c r="O864" i="12"/>
  <c r="O865" i="12"/>
  <c r="O866" i="12"/>
  <c r="P866" i="12" s="1"/>
  <c r="O867" i="12"/>
  <c r="O868" i="12"/>
  <c r="P868" i="12" s="1"/>
  <c r="O869" i="12"/>
  <c r="P869" i="12" s="1"/>
  <c r="O870" i="12"/>
  <c r="P870" i="12" s="1"/>
  <c r="O871" i="12"/>
  <c r="P871" i="12" s="1"/>
  <c r="O872" i="12"/>
  <c r="P872" i="12" s="1"/>
  <c r="O873" i="12"/>
  <c r="O874" i="12"/>
  <c r="P874" i="12" s="1"/>
  <c r="O875" i="12"/>
  <c r="P875" i="12" s="1"/>
  <c r="O876" i="12"/>
  <c r="P876" i="12" s="1"/>
  <c r="O877" i="12"/>
  <c r="O878" i="12"/>
  <c r="O879" i="12"/>
  <c r="O880" i="12"/>
  <c r="P880" i="12" s="1"/>
  <c r="O881" i="12"/>
  <c r="P881" i="12" s="1"/>
  <c r="O882" i="12"/>
  <c r="P882" i="12" s="1"/>
  <c r="O883" i="12"/>
  <c r="P883" i="12" s="1"/>
  <c r="O884" i="12"/>
  <c r="P884" i="12" s="1"/>
  <c r="O885" i="12"/>
  <c r="P885" i="12" s="1"/>
  <c r="O886" i="12"/>
  <c r="O887" i="12"/>
  <c r="O888" i="12"/>
  <c r="O889" i="12"/>
  <c r="P889" i="12" s="1"/>
  <c r="O890" i="12"/>
  <c r="O891" i="12"/>
  <c r="O892" i="12"/>
  <c r="P892" i="12" s="1"/>
  <c r="O893" i="12"/>
  <c r="O894" i="12"/>
  <c r="O895" i="12"/>
  <c r="P895" i="12" s="1"/>
  <c r="O896" i="12"/>
  <c r="O897" i="12"/>
  <c r="O898" i="12"/>
  <c r="O899" i="12"/>
  <c r="O900" i="12"/>
  <c r="O901" i="12"/>
  <c r="P901" i="12" s="1"/>
  <c r="O902" i="12"/>
  <c r="P902" i="12" s="1"/>
  <c r="O903" i="12"/>
  <c r="P903" i="12" s="1"/>
  <c r="O904" i="12"/>
  <c r="P904" i="12" s="1"/>
  <c r="O905" i="12"/>
  <c r="P905" i="12" s="1"/>
  <c r="O906" i="12"/>
  <c r="O907" i="12"/>
  <c r="O908" i="12"/>
  <c r="O909" i="12"/>
  <c r="O910" i="12"/>
  <c r="O911" i="12"/>
  <c r="O912" i="12"/>
  <c r="O913" i="12"/>
  <c r="P913" i="12" s="1"/>
  <c r="O914" i="12"/>
  <c r="O915" i="12"/>
  <c r="P915" i="12" s="1"/>
  <c r="O916" i="12"/>
  <c r="P916" i="12" s="1"/>
  <c r="O917" i="12"/>
  <c r="P917" i="12" s="1"/>
  <c r="O918" i="12"/>
  <c r="P918" i="12" s="1"/>
  <c r="O919" i="12"/>
  <c r="P919" i="12" s="1"/>
  <c r="O920" i="12"/>
  <c r="O921" i="12"/>
  <c r="P921" i="12" s="1"/>
  <c r="O922" i="12"/>
  <c r="P922" i="12" s="1"/>
  <c r="O923" i="12"/>
  <c r="P923" i="12" s="1"/>
  <c r="O924" i="12"/>
  <c r="O925" i="12"/>
  <c r="O926" i="12"/>
  <c r="O927" i="12"/>
  <c r="P927" i="12" s="1"/>
  <c r="O928" i="12"/>
  <c r="P928" i="12" s="1"/>
  <c r="O929" i="12"/>
  <c r="P929" i="12" s="1"/>
  <c r="O930" i="12"/>
  <c r="P930" i="12" s="1"/>
  <c r="O931" i="12"/>
  <c r="P931" i="12" s="1"/>
  <c r="O932" i="12"/>
  <c r="P932" i="12" s="1"/>
  <c r="O933" i="12"/>
  <c r="O934" i="12"/>
  <c r="O935" i="12"/>
  <c r="O936" i="12"/>
  <c r="P936" i="12" s="1"/>
  <c r="O937" i="12"/>
  <c r="O938" i="12"/>
  <c r="O939" i="12"/>
  <c r="P939" i="12" s="1"/>
  <c r="O940" i="12"/>
  <c r="O941" i="12"/>
  <c r="O942" i="12"/>
  <c r="P942" i="12" s="1"/>
  <c r="O943" i="12"/>
  <c r="O944" i="12"/>
  <c r="O945" i="12"/>
  <c r="O946" i="12"/>
  <c r="O947" i="12"/>
  <c r="O948" i="12"/>
  <c r="P948" i="12" s="1"/>
  <c r="O949" i="12"/>
  <c r="P949" i="12" s="1"/>
  <c r="O950" i="12"/>
  <c r="P950" i="12" s="1"/>
  <c r="O951" i="12"/>
  <c r="P951" i="12" s="1"/>
  <c r="O952" i="12"/>
  <c r="P952" i="12" s="1"/>
  <c r="O953" i="12"/>
  <c r="O954" i="12"/>
  <c r="O955" i="12"/>
  <c r="O956" i="12"/>
  <c r="O957" i="12"/>
  <c r="O958" i="12"/>
  <c r="O959" i="12"/>
  <c r="O960" i="12"/>
  <c r="P960" i="12" s="1"/>
  <c r="O961" i="12"/>
  <c r="O962" i="12"/>
  <c r="P962" i="12" s="1"/>
  <c r="O963" i="12"/>
  <c r="P963" i="12" s="1"/>
  <c r="O964" i="12"/>
  <c r="P964" i="12" s="1"/>
  <c r="O965" i="12"/>
  <c r="P965" i="12" s="1"/>
  <c r="O966" i="12"/>
  <c r="P966" i="12" s="1"/>
  <c r="O967" i="12"/>
  <c r="O968" i="12"/>
  <c r="P968" i="12" s="1"/>
  <c r="O969" i="12"/>
  <c r="P969" i="12" s="1"/>
  <c r="O970" i="12"/>
  <c r="P970" i="12" s="1"/>
  <c r="O971" i="12"/>
  <c r="O972" i="12"/>
  <c r="O973" i="12"/>
  <c r="O974" i="12"/>
  <c r="P974" i="12" s="1"/>
  <c r="O975" i="12"/>
  <c r="P975" i="12" s="1"/>
  <c r="O976" i="12"/>
  <c r="P976" i="12" s="1"/>
  <c r="O977" i="12"/>
  <c r="P977" i="12" s="1"/>
  <c r="O978" i="12"/>
  <c r="P978" i="12" s="1"/>
  <c r="O979" i="12"/>
  <c r="P979" i="12" s="1"/>
  <c r="O980" i="12"/>
  <c r="O981" i="12"/>
  <c r="O982" i="12"/>
  <c r="O983" i="12"/>
  <c r="P983" i="12" s="1"/>
  <c r="O984" i="12"/>
  <c r="O985" i="12"/>
  <c r="O986" i="12"/>
  <c r="P986" i="12" s="1"/>
  <c r="O987" i="12"/>
  <c r="O988" i="12"/>
  <c r="O989" i="12"/>
  <c r="P989" i="12" s="1"/>
  <c r="O990" i="12"/>
  <c r="O991" i="12"/>
  <c r="O992" i="12"/>
  <c r="O993" i="12"/>
  <c r="O994" i="12"/>
  <c r="O995" i="12"/>
  <c r="P995" i="12" s="1"/>
  <c r="O996" i="12"/>
  <c r="P996" i="12" s="1"/>
  <c r="O997" i="12"/>
  <c r="P997" i="12" s="1"/>
  <c r="O998" i="12"/>
  <c r="P998" i="12" s="1"/>
  <c r="O999" i="12"/>
  <c r="P999" i="12" s="1"/>
  <c r="O1000" i="12"/>
  <c r="O1001" i="12"/>
  <c r="O1002" i="12"/>
  <c r="O1003" i="12"/>
  <c r="O1004" i="12"/>
  <c r="O1005" i="12"/>
  <c r="O1006" i="12"/>
  <c r="O1007" i="12"/>
  <c r="P1007" i="12" s="1"/>
  <c r="O1008" i="12"/>
  <c r="O1009" i="12"/>
  <c r="P1009" i="12" s="1"/>
  <c r="O1010" i="12"/>
  <c r="P1010" i="12" s="1"/>
  <c r="O1011" i="12"/>
  <c r="P1011" i="12" s="1"/>
  <c r="O1012" i="12"/>
  <c r="P1012" i="12" s="1"/>
  <c r="O1013" i="12"/>
  <c r="P1013" i="12" s="1"/>
  <c r="O1014" i="12"/>
  <c r="O1015" i="12"/>
  <c r="P1015" i="12" s="1"/>
  <c r="O1016" i="12"/>
  <c r="P1016" i="12" s="1"/>
  <c r="O1017" i="12"/>
  <c r="P1017" i="12" s="1"/>
  <c r="O1018" i="12"/>
  <c r="O1019" i="12"/>
  <c r="O1020" i="12"/>
  <c r="O1021" i="12"/>
  <c r="P1021" i="12" s="1"/>
  <c r="O1022" i="12"/>
  <c r="P1022" i="12" s="1"/>
  <c r="O1023" i="12"/>
  <c r="P1023" i="12" s="1"/>
  <c r="O1024" i="12"/>
  <c r="P1024" i="12" s="1"/>
  <c r="O1025" i="12"/>
  <c r="P1025" i="12" s="1"/>
  <c r="O1026" i="12"/>
  <c r="P1026" i="12" s="1"/>
  <c r="O1027" i="12"/>
  <c r="O1028" i="12"/>
  <c r="O1029" i="12"/>
  <c r="O1030" i="12"/>
  <c r="P1030" i="12" s="1"/>
  <c r="O1031" i="12"/>
  <c r="O1032" i="12"/>
  <c r="O1033" i="12"/>
  <c r="P1033" i="12" s="1"/>
  <c r="O1034" i="12"/>
  <c r="O1035" i="12"/>
  <c r="O1036" i="12"/>
  <c r="P1036" i="12" s="1"/>
  <c r="O1037" i="12"/>
  <c r="O1038" i="12"/>
  <c r="O1039" i="12"/>
  <c r="O1040" i="12"/>
  <c r="O1041" i="12"/>
  <c r="O1042" i="12"/>
  <c r="P1042" i="12" s="1"/>
  <c r="O1043" i="12"/>
  <c r="P1043" i="12" s="1"/>
  <c r="O1044" i="12"/>
  <c r="P1044" i="12" s="1"/>
  <c r="O1045" i="12"/>
  <c r="P1045" i="12" s="1"/>
  <c r="O1046" i="12"/>
  <c r="P1046" i="12" s="1"/>
  <c r="O1047" i="12"/>
  <c r="O1048" i="12"/>
  <c r="O1049" i="12"/>
  <c r="O1050" i="12"/>
  <c r="O1051" i="12"/>
  <c r="O1052" i="12"/>
  <c r="O1053" i="12"/>
  <c r="O1054" i="12"/>
  <c r="P1054" i="12" s="1"/>
  <c r="O1055" i="12"/>
  <c r="O1056" i="12"/>
  <c r="P1056" i="12" s="1"/>
  <c r="O1057" i="12"/>
  <c r="P1057" i="12" s="1"/>
  <c r="O1058" i="12"/>
  <c r="O1059" i="12"/>
  <c r="P1059" i="12" s="1"/>
  <c r="O1060" i="12"/>
  <c r="P1060" i="12" s="1"/>
  <c r="O1061" i="12"/>
  <c r="P1061" i="12" s="1"/>
  <c r="O1062" i="12"/>
  <c r="O1063" i="12"/>
  <c r="O1064" i="12"/>
  <c r="O1065" i="12"/>
  <c r="P1065" i="12" s="1"/>
  <c r="O1066" i="12"/>
  <c r="P1066" i="12" s="1"/>
  <c r="O1067" i="12"/>
  <c r="P1067" i="12" s="1"/>
  <c r="O1068" i="12"/>
  <c r="P1068" i="12" s="1"/>
  <c r="O1069" i="12"/>
  <c r="P1069" i="12" s="1"/>
  <c r="O1070" i="12"/>
  <c r="P1070" i="12" s="1"/>
  <c r="O1071" i="12"/>
  <c r="O1072" i="12"/>
  <c r="O1073" i="12"/>
  <c r="O1074" i="12"/>
  <c r="P1074" i="12" s="1"/>
  <c r="O1075" i="12"/>
  <c r="O1076" i="12"/>
  <c r="O1077" i="12"/>
  <c r="P1077" i="12" s="1"/>
  <c r="O1078" i="12"/>
  <c r="O1079" i="12"/>
  <c r="O1080" i="12"/>
  <c r="P1080" i="12" s="1"/>
  <c r="O1081" i="12"/>
  <c r="O1082" i="12"/>
  <c r="O1083" i="12"/>
  <c r="O1084" i="12"/>
  <c r="O1085" i="12"/>
  <c r="O1086" i="12"/>
  <c r="P1086" i="12" s="1"/>
  <c r="O1087" i="12"/>
  <c r="P1087" i="12" s="1"/>
  <c r="O1088" i="12"/>
  <c r="P1088" i="12" s="1"/>
  <c r="O1089" i="12"/>
  <c r="P1089" i="12" s="1"/>
  <c r="O1090" i="12"/>
  <c r="P1090" i="12" s="1"/>
  <c r="O1091" i="12"/>
  <c r="O1092" i="12"/>
  <c r="O1093" i="12"/>
  <c r="O1094" i="12"/>
  <c r="O1095" i="12"/>
  <c r="O1096" i="12"/>
  <c r="O1097" i="12"/>
  <c r="O1098" i="12"/>
  <c r="P1098" i="12" s="1"/>
  <c r="O1099" i="12"/>
  <c r="O1100" i="12"/>
  <c r="P1100" i="12" s="1"/>
  <c r="O1101" i="12"/>
  <c r="P1101" i="12" s="1"/>
  <c r="O1102" i="12"/>
  <c r="O1103" i="12"/>
  <c r="P1103" i="12" s="1"/>
  <c r="O1104" i="12"/>
  <c r="P1104" i="12" s="1"/>
  <c r="O1105" i="12"/>
  <c r="P1105" i="12" s="1"/>
  <c r="O1106" i="12"/>
  <c r="O1107" i="12"/>
  <c r="O1108" i="12"/>
  <c r="O1109" i="12"/>
  <c r="P1109" i="12" s="1"/>
  <c r="O1110" i="12"/>
  <c r="P1110" i="12" s="1"/>
  <c r="O1111" i="12"/>
  <c r="P1111" i="12" s="1"/>
  <c r="O1112" i="12"/>
  <c r="P1112" i="12" s="1"/>
  <c r="O1113" i="12"/>
  <c r="P1113" i="12" s="1"/>
  <c r="O1114" i="12"/>
  <c r="P1114" i="12" s="1"/>
  <c r="O1115" i="12"/>
  <c r="O1116" i="12"/>
  <c r="O1117" i="12"/>
  <c r="O1118" i="12"/>
  <c r="P1118" i="12" s="1"/>
  <c r="O1119" i="12"/>
  <c r="O1120" i="12"/>
  <c r="O1121" i="12"/>
  <c r="P1121" i="12" s="1"/>
  <c r="O1122" i="12"/>
  <c r="O1123" i="12"/>
  <c r="O1124" i="12"/>
  <c r="P1124" i="12" s="1"/>
  <c r="O1125" i="12"/>
  <c r="O1126" i="12"/>
  <c r="O1127" i="12"/>
  <c r="O1128" i="12"/>
  <c r="O1129" i="12"/>
  <c r="O1130" i="12"/>
  <c r="P1130" i="12" s="1"/>
  <c r="O1131" i="12"/>
  <c r="P1131" i="12" s="1"/>
  <c r="O1132" i="12"/>
  <c r="P1132" i="12" s="1"/>
  <c r="O1133" i="12"/>
  <c r="P1133" i="12" s="1"/>
  <c r="O1134" i="12"/>
  <c r="P1134" i="12" s="1"/>
  <c r="O1135" i="12"/>
  <c r="O1136" i="12"/>
  <c r="O1137" i="12"/>
  <c r="O1138" i="12"/>
  <c r="O1139" i="12"/>
  <c r="O1140" i="12"/>
  <c r="O1141" i="12"/>
  <c r="O1142" i="12"/>
  <c r="P1142" i="12" s="1"/>
  <c r="O1143" i="12"/>
  <c r="O1144" i="12"/>
  <c r="P1144" i="12" s="1"/>
  <c r="O1145" i="12"/>
  <c r="P1145" i="12" s="1"/>
  <c r="O1146" i="12"/>
  <c r="O1147" i="12"/>
  <c r="P1147" i="12" s="1"/>
  <c r="O1148" i="12"/>
  <c r="P1148" i="12" s="1"/>
  <c r="O1149" i="12"/>
  <c r="P1149" i="12" s="1"/>
  <c r="O1150" i="12"/>
  <c r="O1151" i="12"/>
  <c r="O1152" i="12"/>
  <c r="O1153" i="12"/>
  <c r="P1153" i="12" s="1"/>
  <c r="O1154" i="12"/>
  <c r="P1154" i="12" s="1"/>
  <c r="O1155" i="12"/>
  <c r="P1155" i="12" s="1"/>
  <c r="O1156" i="12"/>
  <c r="P1156" i="12" s="1"/>
  <c r="O1157" i="12"/>
  <c r="P1157" i="12" s="1"/>
  <c r="O1158" i="12"/>
  <c r="P1158" i="12" s="1"/>
  <c r="O1159" i="12"/>
  <c r="O1160" i="12"/>
  <c r="O1161" i="12"/>
  <c r="O1162" i="12"/>
  <c r="P1162" i="12" s="1"/>
  <c r="O1163" i="12"/>
  <c r="O1164" i="12"/>
  <c r="O1165" i="12"/>
  <c r="P1165" i="12" s="1"/>
  <c r="O1166" i="12"/>
  <c r="O1167" i="12"/>
  <c r="O1168" i="12"/>
  <c r="P1168" i="12" s="1"/>
  <c r="O1169" i="12"/>
  <c r="O1170" i="12"/>
  <c r="O1171" i="12"/>
  <c r="O1172" i="12"/>
  <c r="O1173" i="12"/>
  <c r="O1174" i="12"/>
  <c r="P1174" i="12" s="1"/>
  <c r="O1175" i="12"/>
  <c r="P1175" i="12" s="1"/>
  <c r="O1176" i="12"/>
  <c r="P1176" i="12" s="1"/>
  <c r="O1177" i="12"/>
  <c r="P1177" i="12" s="1"/>
  <c r="O1178" i="12"/>
  <c r="P1178" i="12" s="1"/>
  <c r="O1179" i="12"/>
  <c r="O1180" i="12"/>
  <c r="O1181" i="12"/>
  <c r="O1182" i="12"/>
  <c r="O1183" i="12"/>
  <c r="O1184" i="12"/>
  <c r="O1185" i="12"/>
  <c r="O1186" i="12"/>
  <c r="P1186" i="12" s="1"/>
  <c r="O1187" i="12"/>
  <c r="O1188" i="12"/>
  <c r="P1188" i="12" s="1"/>
  <c r="O1189" i="12"/>
  <c r="P1189" i="12" s="1"/>
  <c r="O1190" i="12"/>
  <c r="O1191" i="12"/>
  <c r="P1191" i="12" s="1"/>
  <c r="O1192" i="12"/>
  <c r="P1192" i="12" s="1"/>
  <c r="O1193" i="12"/>
  <c r="P1193" i="12" s="1"/>
  <c r="O1194" i="12"/>
  <c r="O1195" i="12"/>
  <c r="O1196" i="12"/>
  <c r="O1197" i="12"/>
  <c r="P1197" i="12" s="1"/>
  <c r="O1198" i="12"/>
  <c r="P1198" i="12" s="1"/>
  <c r="O1199" i="12"/>
  <c r="P1199" i="12" s="1"/>
  <c r="O1200" i="12"/>
  <c r="P1200" i="12" s="1"/>
  <c r="O1201" i="12"/>
  <c r="P1201" i="12" s="1"/>
  <c r="O1202" i="12"/>
  <c r="P1202" i="12" s="1"/>
  <c r="O1203" i="12"/>
  <c r="O1204" i="12"/>
  <c r="O1205" i="12"/>
  <c r="O1206" i="12"/>
  <c r="P1206" i="12" s="1"/>
  <c r="O1207" i="12"/>
  <c r="O1208" i="12"/>
  <c r="O1209" i="12"/>
  <c r="P1209" i="12" s="1"/>
  <c r="O1210" i="12"/>
  <c r="O1211" i="12"/>
  <c r="O1212" i="12"/>
  <c r="P1212" i="12" s="1"/>
  <c r="O1213" i="12"/>
  <c r="O1214" i="12"/>
  <c r="O1215" i="12"/>
  <c r="O1216" i="12"/>
  <c r="O1217" i="12"/>
  <c r="O1218" i="12"/>
  <c r="P1218" i="12" s="1"/>
  <c r="O1219" i="12"/>
  <c r="P1219" i="12" s="1"/>
  <c r="O1220" i="12"/>
  <c r="P1220" i="12" s="1"/>
  <c r="O1221" i="12"/>
  <c r="P1221" i="12" s="1"/>
  <c r="O1222" i="12"/>
  <c r="P1222" i="12" s="1"/>
  <c r="O1223" i="12"/>
  <c r="O1224" i="12"/>
  <c r="O1225" i="12"/>
  <c r="O1226" i="12"/>
  <c r="O1227" i="12"/>
  <c r="O1228" i="12"/>
  <c r="O1229" i="12"/>
  <c r="O1230" i="12"/>
  <c r="P1230" i="12" s="1"/>
  <c r="O1231" i="12"/>
  <c r="O1232" i="12"/>
  <c r="P1232" i="12" s="1"/>
  <c r="O1233" i="12"/>
  <c r="P1233" i="12" s="1"/>
  <c r="O1234" i="12"/>
  <c r="O1235" i="12"/>
  <c r="P1235" i="12" s="1"/>
  <c r="O1236" i="12"/>
  <c r="P1236" i="12" s="1"/>
  <c r="O1237" i="12"/>
  <c r="P1237" i="12" s="1"/>
  <c r="O1238" i="12"/>
  <c r="O1239" i="12"/>
  <c r="O1240" i="12"/>
  <c r="O1241" i="12"/>
  <c r="P1241" i="12" s="1"/>
  <c r="O1242" i="12"/>
  <c r="P1242" i="12" s="1"/>
  <c r="O1243" i="12"/>
  <c r="P1243" i="12" s="1"/>
  <c r="O1244" i="12"/>
  <c r="P1244" i="12" s="1"/>
  <c r="O1245" i="12"/>
  <c r="P1245" i="12" s="1"/>
  <c r="O1246" i="12"/>
  <c r="P1246" i="12" s="1"/>
  <c r="O1247" i="12"/>
  <c r="O1248" i="12"/>
  <c r="O1249" i="12"/>
  <c r="O1250" i="12"/>
  <c r="P1250" i="12" s="1"/>
  <c r="O1251" i="12"/>
  <c r="O1252" i="12"/>
  <c r="O1253" i="12"/>
  <c r="P1253" i="12" s="1"/>
  <c r="O1254" i="12"/>
  <c r="O1255" i="12"/>
  <c r="O1256" i="12"/>
  <c r="P1256" i="12" s="1"/>
  <c r="O1257" i="12"/>
  <c r="O1258" i="12"/>
  <c r="O1259" i="12"/>
  <c r="O1260" i="12"/>
  <c r="O1261" i="12"/>
  <c r="O1262" i="12"/>
  <c r="P1262" i="12" s="1"/>
  <c r="O1263" i="12"/>
  <c r="P1263" i="12" s="1"/>
  <c r="O1264" i="12"/>
  <c r="P1264" i="12" s="1"/>
  <c r="O1265" i="12"/>
  <c r="P1265" i="12" s="1"/>
  <c r="O1266" i="12"/>
  <c r="P1266" i="12" s="1"/>
  <c r="O1267" i="12"/>
  <c r="P1267" i="12" s="1"/>
  <c r="O1268" i="12"/>
  <c r="P1268" i="12" s="1"/>
  <c r="O1269" i="12"/>
  <c r="P1269" i="12" s="1"/>
  <c r="O1270" i="12"/>
  <c r="P1270" i="12" s="1"/>
  <c r="O1271" i="12"/>
  <c r="P1271" i="12" s="1"/>
  <c r="O1272" i="12"/>
  <c r="P1272" i="12" s="1"/>
  <c r="O1273" i="12"/>
  <c r="P1273" i="12" s="1"/>
  <c r="O1274" i="12"/>
  <c r="P1274" i="12" s="1"/>
  <c r="O1275" i="12"/>
  <c r="P1275" i="12" s="1"/>
  <c r="O1276" i="12"/>
  <c r="P1276" i="12" s="1"/>
  <c r="O1277" i="12"/>
  <c r="P1277" i="12" s="1"/>
  <c r="O1278" i="12"/>
  <c r="P1278" i="12" s="1"/>
  <c r="O1279" i="12"/>
  <c r="P1279" i="12" s="1"/>
  <c r="O1280" i="12"/>
  <c r="P1280" i="12" s="1"/>
  <c r="O1281" i="12"/>
  <c r="P1281" i="12" s="1"/>
  <c r="O1282" i="12"/>
  <c r="P1282" i="12" s="1"/>
  <c r="O1283" i="12"/>
  <c r="P1283" i="12" s="1"/>
  <c r="O1284" i="12"/>
  <c r="P1284" i="12" s="1"/>
  <c r="O1285" i="12"/>
  <c r="P1285" i="12" s="1"/>
  <c r="O1286" i="12"/>
  <c r="P1286" i="12" s="1"/>
  <c r="O1287" i="12"/>
  <c r="P1287" i="12" s="1"/>
  <c r="O1288" i="12"/>
  <c r="P1288" i="12" s="1"/>
  <c r="O1289" i="12"/>
  <c r="P1289" i="12" s="1"/>
  <c r="O1290" i="12"/>
  <c r="P1290" i="12" s="1"/>
  <c r="O1291" i="12"/>
  <c r="P1291" i="12" s="1"/>
  <c r="O1292" i="12"/>
  <c r="P1292" i="12" s="1"/>
  <c r="O1293" i="12"/>
  <c r="P1293" i="12" s="1"/>
  <c r="O1294" i="12"/>
  <c r="P1294" i="12" s="1"/>
  <c r="O1295" i="12"/>
  <c r="P1295" i="12" s="1"/>
  <c r="O1296" i="12"/>
  <c r="P1296" i="12" s="1"/>
  <c r="O1297" i="12"/>
  <c r="P1297" i="12" s="1"/>
  <c r="O1298" i="12"/>
  <c r="P1298" i="12" s="1"/>
  <c r="O1299" i="12"/>
  <c r="P1299" i="12" s="1"/>
  <c r="O1300" i="12"/>
  <c r="P1300" i="12" s="1"/>
  <c r="O1301" i="12"/>
  <c r="P1301" i="12" s="1"/>
  <c r="O1302" i="12"/>
  <c r="P1302" i="12" s="1"/>
  <c r="O1303" i="12"/>
  <c r="P1303" i="12" s="1"/>
  <c r="O1304" i="12"/>
  <c r="P1304" i="12" s="1"/>
  <c r="O1305" i="12"/>
  <c r="P1305" i="12" s="1"/>
  <c r="O1306" i="12"/>
  <c r="P1306" i="12" s="1"/>
  <c r="O1307" i="12"/>
  <c r="P1307" i="12" s="1"/>
  <c r="O1308" i="12"/>
  <c r="P1308" i="12" s="1"/>
  <c r="O1309" i="12"/>
  <c r="P1309" i="12" s="1"/>
  <c r="O1310" i="12"/>
  <c r="P1310" i="12" s="1"/>
  <c r="O1311" i="12"/>
  <c r="P1311" i="12" s="1"/>
  <c r="O1312" i="12"/>
  <c r="P1312" i="12" s="1"/>
  <c r="O1313" i="12"/>
  <c r="P1313" i="12" s="1"/>
  <c r="O1314" i="12"/>
  <c r="P1314" i="12" s="1"/>
  <c r="O1315" i="12"/>
  <c r="P1315" i="12" s="1"/>
  <c r="O1316" i="12"/>
  <c r="P1316" i="12" s="1"/>
  <c r="O1317" i="12"/>
  <c r="P1317" i="12" s="1"/>
  <c r="O1318" i="12"/>
  <c r="P1318" i="12" s="1"/>
  <c r="O1319" i="12"/>
  <c r="P1319" i="12" s="1"/>
  <c r="O1320" i="12"/>
  <c r="P1320" i="12" s="1"/>
  <c r="O1321" i="12"/>
  <c r="P1321" i="12" s="1"/>
  <c r="O1322" i="12"/>
  <c r="P1322" i="12" s="1"/>
  <c r="O1323" i="12"/>
  <c r="P1323" i="12" s="1"/>
  <c r="O1324" i="12"/>
  <c r="P1324" i="12" s="1"/>
  <c r="O1325" i="12"/>
  <c r="P1325" i="12" s="1"/>
  <c r="O1326" i="12"/>
  <c r="P1326" i="12" s="1"/>
  <c r="O1327" i="12"/>
  <c r="P1327" i="12" s="1"/>
  <c r="O1328" i="12"/>
  <c r="P1328" i="12" s="1"/>
  <c r="O1329" i="12"/>
  <c r="P1329" i="12" s="1"/>
  <c r="O1330" i="12"/>
  <c r="P1330" i="12" s="1"/>
  <c r="O1331" i="12"/>
  <c r="P1331" i="12" s="1"/>
  <c r="O1332" i="12"/>
  <c r="P1332" i="12" s="1"/>
  <c r="O1333" i="12"/>
  <c r="P1333" i="12" s="1"/>
  <c r="O1334" i="12"/>
  <c r="P1334" i="12" s="1"/>
  <c r="O1335" i="12"/>
  <c r="P1335" i="12" s="1"/>
  <c r="O1336" i="12"/>
  <c r="P1336" i="12" s="1"/>
  <c r="O1337" i="12"/>
  <c r="P1337" i="12" s="1"/>
  <c r="O1338" i="12"/>
  <c r="P1338" i="12" s="1"/>
  <c r="O1339" i="12"/>
  <c r="P1339" i="12" s="1"/>
  <c r="O1340" i="12"/>
  <c r="P1340" i="12" s="1"/>
  <c r="O1341" i="12"/>
  <c r="P1341" i="12" s="1"/>
  <c r="O1342" i="12"/>
  <c r="P1342" i="12" s="1"/>
  <c r="O1343" i="12"/>
  <c r="P1343" i="12" s="1"/>
  <c r="O1344" i="12"/>
  <c r="P1344" i="12" s="1"/>
  <c r="O1345" i="12"/>
  <c r="P1345" i="12" s="1"/>
  <c r="O1346" i="12"/>
  <c r="P1346" i="12" s="1"/>
  <c r="O1347" i="12"/>
  <c r="P1347" i="12" s="1"/>
  <c r="O1348" i="12"/>
  <c r="P1348" i="12" s="1"/>
  <c r="O1349" i="12"/>
  <c r="P1349" i="12" s="1"/>
  <c r="O1350" i="12"/>
  <c r="P1350" i="12" s="1"/>
  <c r="O1351" i="12"/>
  <c r="P1351" i="12" s="1"/>
  <c r="O1352" i="12"/>
  <c r="P1352" i="12" s="1"/>
  <c r="O1353" i="12"/>
  <c r="P1353" i="12" s="1"/>
  <c r="O1354" i="12"/>
  <c r="P1354" i="12" s="1"/>
  <c r="O1355" i="12"/>
  <c r="P1355" i="12" s="1"/>
  <c r="O1356" i="12"/>
  <c r="P1356" i="12" s="1"/>
  <c r="O1357" i="12"/>
  <c r="P1357" i="12" s="1"/>
  <c r="O1358" i="12"/>
  <c r="P1358" i="12" s="1"/>
  <c r="O1359" i="12"/>
  <c r="P1359" i="12" s="1"/>
  <c r="O1360" i="12"/>
  <c r="P1360" i="12" s="1"/>
  <c r="O1361" i="12"/>
  <c r="P1361" i="12" s="1"/>
  <c r="O1362" i="12"/>
  <c r="P1362" i="12" s="1"/>
  <c r="O1363" i="12"/>
  <c r="P1363" i="12" s="1"/>
  <c r="O1364" i="12"/>
  <c r="P1364" i="12" s="1"/>
  <c r="O1365" i="12"/>
  <c r="P1365" i="12" s="1"/>
  <c r="O1366" i="12"/>
  <c r="P1366" i="12" s="1"/>
  <c r="O1367" i="12"/>
  <c r="P1367" i="12" s="1"/>
  <c r="O1368" i="12"/>
  <c r="P1368" i="12" s="1"/>
  <c r="O1369" i="12"/>
  <c r="P1369" i="12" s="1"/>
  <c r="O1370" i="12"/>
  <c r="P1370" i="12" s="1"/>
  <c r="O1371" i="12"/>
  <c r="P1371" i="12" s="1"/>
  <c r="O1372" i="12"/>
  <c r="P1372" i="12" s="1"/>
  <c r="O1373" i="12"/>
  <c r="P1373" i="12" s="1"/>
  <c r="O1374" i="12"/>
  <c r="P1374" i="12" s="1"/>
  <c r="O5" i="12"/>
  <c r="O10" i="1"/>
  <c r="P10" i="1" s="1"/>
  <c r="O11" i="1"/>
  <c r="O12" i="1"/>
  <c r="O13" i="1"/>
  <c r="O14" i="1"/>
  <c r="P14" i="1" s="1"/>
  <c r="O15" i="1"/>
  <c r="O16" i="1"/>
  <c r="O17" i="1"/>
  <c r="P17" i="1" s="1"/>
  <c r="O18" i="1"/>
  <c r="P18" i="1" s="1"/>
  <c r="O19" i="1"/>
  <c r="O20" i="1"/>
  <c r="O21" i="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P38" i="1" s="1"/>
  <c r="O39" i="1"/>
  <c r="P39" i="1" s="1"/>
  <c r="O40" i="1"/>
  <c r="P40" i="1" s="1"/>
  <c r="O41" i="1"/>
  <c r="O42" i="1"/>
  <c r="O43" i="1"/>
  <c r="O44" i="1"/>
  <c r="P44" i="1" s="1"/>
  <c r="O45" i="1"/>
  <c r="O46" i="1"/>
  <c r="O47" i="1"/>
  <c r="P47" i="1" s="1"/>
  <c r="O48" i="1"/>
  <c r="P48" i="1" s="1"/>
  <c r="O49" i="1"/>
  <c r="P49" i="1" s="1"/>
  <c r="O50" i="1"/>
  <c r="P50" i="1" s="1"/>
  <c r="O51" i="1"/>
  <c r="O52" i="1"/>
  <c r="O53" i="1"/>
  <c r="O54" i="1"/>
  <c r="O55" i="1"/>
  <c r="O56" i="1"/>
  <c r="P56" i="1" s="1"/>
  <c r="O57" i="1"/>
  <c r="P57" i="1" s="1"/>
  <c r="O58" i="1"/>
  <c r="P58" i="1" s="1"/>
  <c r="O59" i="1"/>
  <c r="P59" i="1" s="1"/>
  <c r="O60" i="1"/>
  <c r="P60" i="1" s="1"/>
  <c r="O61" i="1"/>
  <c r="P61" i="1" s="1"/>
  <c r="O62" i="1"/>
  <c r="O63" i="1"/>
  <c r="O64" i="1"/>
  <c r="O65" i="1"/>
  <c r="O66" i="1"/>
  <c r="O67" i="1"/>
  <c r="O68" i="1"/>
  <c r="O69" i="1"/>
  <c r="O70" i="1"/>
  <c r="O71" i="1"/>
  <c r="P71" i="1" s="1"/>
  <c r="O72" i="1"/>
  <c r="P72" i="1" s="1"/>
  <c r="O73" i="1"/>
  <c r="P73" i="1" s="1"/>
  <c r="O74" i="1"/>
  <c r="P74" i="1" s="1"/>
  <c r="O75" i="1"/>
  <c r="P75" i="1" s="1"/>
  <c r="O76" i="1"/>
  <c r="P76" i="1" s="1"/>
  <c r="O77" i="1"/>
  <c r="P77" i="1" s="1"/>
  <c r="O78" i="1"/>
  <c r="P78" i="1" s="1"/>
  <c r="O79" i="1"/>
  <c r="O80" i="1"/>
  <c r="O81" i="1"/>
  <c r="O82" i="1"/>
  <c r="P82" i="1" s="1"/>
  <c r="O83" i="1"/>
  <c r="P83" i="1" s="1"/>
  <c r="O84" i="1"/>
  <c r="P84" i="1" s="1"/>
  <c r="O85" i="1"/>
  <c r="P85" i="1" s="1"/>
  <c r="O86" i="1"/>
  <c r="P86" i="1" s="1"/>
  <c r="O87" i="1"/>
  <c r="P87" i="1" s="1"/>
  <c r="O88" i="1"/>
  <c r="O89" i="1"/>
  <c r="O90" i="1"/>
  <c r="O91" i="1"/>
  <c r="P91" i="1" s="1"/>
  <c r="O92" i="1"/>
  <c r="O93" i="1"/>
  <c r="O94" i="1"/>
  <c r="P94" i="1" s="1"/>
  <c r="O95" i="1"/>
  <c r="O96" i="1"/>
  <c r="O97" i="1"/>
  <c r="P97" i="1" s="1"/>
  <c r="O98" i="1"/>
  <c r="O99" i="1"/>
  <c r="O100" i="1"/>
  <c r="O101" i="1"/>
  <c r="O102" i="1"/>
  <c r="O103" i="1"/>
  <c r="P103" i="1" s="1"/>
  <c r="O104" i="1"/>
  <c r="P104" i="1" s="1"/>
  <c r="O105" i="1"/>
  <c r="P105" i="1" s="1"/>
  <c r="O106" i="1"/>
  <c r="P106" i="1" s="1"/>
  <c r="O107" i="1"/>
  <c r="P107" i="1" s="1"/>
  <c r="O108" i="1"/>
  <c r="O109" i="1"/>
  <c r="O110" i="1"/>
  <c r="O111" i="1"/>
  <c r="O112" i="1"/>
  <c r="O113" i="1"/>
  <c r="O114" i="1"/>
  <c r="O115" i="1"/>
  <c r="O116" i="1"/>
  <c r="O117" i="1"/>
  <c r="P117" i="1" s="1"/>
  <c r="O118" i="1"/>
  <c r="P118" i="1" s="1"/>
  <c r="O119" i="1"/>
  <c r="P119" i="1" s="1"/>
  <c r="O120" i="1"/>
  <c r="P120" i="1" s="1"/>
  <c r="O121" i="1"/>
  <c r="P121" i="1" s="1"/>
  <c r="O122" i="1"/>
  <c r="P122" i="1" s="1"/>
  <c r="O123" i="1"/>
  <c r="P123" i="1" s="1"/>
  <c r="O124" i="1"/>
  <c r="P124" i="1" s="1"/>
  <c r="O125" i="1"/>
  <c r="P125" i="1" s="1"/>
  <c r="O126" i="1"/>
  <c r="O127" i="1"/>
  <c r="O128" i="1"/>
  <c r="O129" i="1"/>
  <c r="P129" i="1" s="1"/>
  <c r="O130" i="1"/>
  <c r="P130" i="1" s="1"/>
  <c r="O131" i="1"/>
  <c r="P131" i="1" s="1"/>
  <c r="O132" i="1"/>
  <c r="P132" i="1" s="1"/>
  <c r="O133" i="1"/>
  <c r="P133" i="1" s="1"/>
  <c r="O134" i="1"/>
  <c r="P134" i="1" s="1"/>
  <c r="O135" i="1"/>
  <c r="O136" i="1"/>
  <c r="O137" i="1"/>
  <c r="O138" i="1"/>
  <c r="P138" i="1" s="1"/>
  <c r="O139" i="1"/>
  <c r="O140" i="1"/>
  <c r="O141" i="1"/>
  <c r="P141" i="1" s="1"/>
  <c r="O142" i="1"/>
  <c r="O143" i="1"/>
  <c r="O144" i="1"/>
  <c r="P144" i="1" s="1"/>
  <c r="O145" i="1"/>
  <c r="O146" i="1"/>
  <c r="O147" i="1"/>
  <c r="O148" i="1"/>
  <c r="O149" i="1"/>
  <c r="O150" i="1"/>
  <c r="P150" i="1" s="1"/>
  <c r="O151" i="1"/>
  <c r="P151" i="1" s="1"/>
  <c r="O152" i="1"/>
  <c r="P152" i="1" s="1"/>
  <c r="O153" i="1"/>
  <c r="P153" i="1" s="1"/>
  <c r="O154" i="1"/>
  <c r="P154" i="1" s="1"/>
  <c r="O155" i="1"/>
  <c r="O156" i="1"/>
  <c r="O157" i="1"/>
  <c r="O158" i="1"/>
  <c r="O159" i="1"/>
  <c r="O160" i="1"/>
  <c r="O161" i="1"/>
  <c r="O162" i="1"/>
  <c r="O163" i="1"/>
  <c r="O164" i="1"/>
  <c r="P164" i="1" s="1"/>
  <c r="O165" i="1"/>
  <c r="P165" i="1" s="1"/>
  <c r="O166" i="1"/>
  <c r="P166" i="1" s="1"/>
  <c r="O167" i="1"/>
  <c r="P167" i="1" s="1"/>
  <c r="O168" i="1"/>
  <c r="P168" i="1" s="1"/>
  <c r="O169" i="1"/>
  <c r="P169" i="1" s="1"/>
  <c r="O170" i="1"/>
  <c r="P170" i="1" s="1"/>
  <c r="O171" i="1"/>
  <c r="P171" i="1" s="1"/>
  <c r="O172" i="1"/>
  <c r="P172" i="1" s="1"/>
  <c r="O173" i="1"/>
  <c r="O174" i="1"/>
  <c r="O175" i="1"/>
  <c r="O176" i="1"/>
  <c r="P176" i="1" s="1"/>
  <c r="O177" i="1"/>
  <c r="P177" i="1" s="1"/>
  <c r="O178" i="1"/>
  <c r="P178" i="1" s="1"/>
  <c r="O179" i="1"/>
  <c r="P179" i="1" s="1"/>
  <c r="O180" i="1"/>
  <c r="P180" i="1" s="1"/>
  <c r="O181" i="1"/>
  <c r="P181" i="1" s="1"/>
  <c r="O182" i="1"/>
  <c r="O183" i="1"/>
  <c r="O184" i="1"/>
  <c r="O185" i="1"/>
  <c r="P185" i="1" s="1"/>
  <c r="O186" i="1"/>
  <c r="O187" i="1"/>
  <c r="O188" i="1"/>
  <c r="P188" i="1" s="1"/>
  <c r="O189" i="1"/>
  <c r="O190" i="1"/>
  <c r="O191" i="1"/>
  <c r="P191" i="1" s="1"/>
  <c r="O192" i="1"/>
  <c r="O193" i="1"/>
  <c r="O194" i="1"/>
  <c r="O195" i="1"/>
  <c r="O196" i="1"/>
  <c r="O197" i="1"/>
  <c r="P197" i="1" s="1"/>
  <c r="O198" i="1"/>
  <c r="P198" i="1" s="1"/>
  <c r="O199" i="1"/>
  <c r="P199" i="1" s="1"/>
  <c r="O200" i="1"/>
  <c r="P200" i="1" s="1"/>
  <c r="O201" i="1"/>
  <c r="P201" i="1" s="1"/>
  <c r="O202" i="1"/>
  <c r="O203" i="1"/>
  <c r="O204" i="1"/>
  <c r="O205" i="1"/>
  <c r="O206" i="1"/>
  <c r="O207" i="1"/>
  <c r="O208" i="1"/>
  <c r="O209" i="1"/>
  <c r="O210" i="1"/>
  <c r="O211" i="1"/>
  <c r="P211" i="1" s="1"/>
  <c r="O212" i="1"/>
  <c r="P212" i="1" s="1"/>
  <c r="O213" i="1"/>
  <c r="P213" i="1" s="1"/>
  <c r="O214" i="1"/>
  <c r="P214" i="1" s="1"/>
  <c r="O215" i="1"/>
  <c r="P215" i="1" s="1"/>
  <c r="O216" i="1"/>
  <c r="P216" i="1" s="1"/>
  <c r="O217" i="1"/>
  <c r="P217" i="1" s="1"/>
  <c r="O218" i="1"/>
  <c r="P218" i="1" s="1"/>
  <c r="O219" i="1"/>
  <c r="P219" i="1" s="1"/>
  <c r="O220" i="1"/>
  <c r="O221" i="1"/>
  <c r="O222" i="1"/>
  <c r="O223" i="1"/>
  <c r="P223" i="1" s="1"/>
  <c r="O224" i="1"/>
  <c r="P224" i="1" s="1"/>
  <c r="O225" i="1"/>
  <c r="P225" i="1" s="1"/>
  <c r="O226" i="1"/>
  <c r="P226" i="1" s="1"/>
  <c r="O227" i="1"/>
  <c r="P227" i="1" s="1"/>
  <c r="O228" i="1"/>
  <c r="P228" i="1" s="1"/>
  <c r="O229" i="1"/>
  <c r="O230" i="1"/>
  <c r="O231" i="1"/>
  <c r="O232" i="1"/>
  <c r="P232" i="1" s="1"/>
  <c r="O233" i="1"/>
  <c r="O234" i="1"/>
  <c r="O235" i="1"/>
  <c r="P235" i="1" s="1"/>
  <c r="O236" i="1"/>
  <c r="O237" i="1"/>
  <c r="O238" i="1"/>
  <c r="P238" i="1" s="1"/>
  <c r="O239" i="1"/>
  <c r="O240" i="1"/>
  <c r="O241" i="1"/>
  <c r="O242" i="1"/>
  <c r="O243" i="1"/>
  <c r="O244" i="1"/>
  <c r="P244" i="1" s="1"/>
  <c r="O245" i="1"/>
  <c r="P245" i="1" s="1"/>
  <c r="O246" i="1"/>
  <c r="P246" i="1" s="1"/>
  <c r="O247" i="1"/>
  <c r="P247" i="1" s="1"/>
  <c r="O248" i="1"/>
  <c r="P248" i="1" s="1"/>
  <c r="O249" i="1"/>
  <c r="O250" i="1"/>
  <c r="O251" i="1"/>
  <c r="O252" i="1"/>
  <c r="O253" i="1"/>
  <c r="O254" i="1"/>
  <c r="O255" i="1"/>
  <c r="O256" i="1"/>
  <c r="O257" i="1"/>
  <c r="O258" i="1"/>
  <c r="P258" i="1" s="1"/>
  <c r="O259" i="1"/>
  <c r="P259" i="1" s="1"/>
  <c r="O260" i="1"/>
  <c r="P260" i="1" s="1"/>
  <c r="O261" i="1"/>
  <c r="P261" i="1" s="1"/>
  <c r="O262" i="1"/>
  <c r="P262" i="1" s="1"/>
  <c r="O263" i="1"/>
  <c r="P263" i="1" s="1"/>
  <c r="O264" i="1"/>
  <c r="P264" i="1" s="1"/>
  <c r="O265" i="1"/>
  <c r="P265" i="1" s="1"/>
  <c r="O266" i="1"/>
  <c r="P266" i="1" s="1"/>
  <c r="O267" i="1"/>
  <c r="O268" i="1"/>
  <c r="O269" i="1"/>
  <c r="O270" i="1"/>
  <c r="P270" i="1" s="1"/>
  <c r="O271" i="1"/>
  <c r="P271" i="1" s="1"/>
  <c r="O272" i="1"/>
  <c r="P272" i="1" s="1"/>
  <c r="O273" i="1"/>
  <c r="P273" i="1" s="1"/>
  <c r="O274" i="1"/>
  <c r="P274" i="1" s="1"/>
  <c r="O275" i="1"/>
  <c r="P275" i="1" s="1"/>
  <c r="O276" i="1"/>
  <c r="O277" i="1"/>
  <c r="O278" i="1"/>
  <c r="O279" i="1"/>
  <c r="P279" i="1" s="1"/>
  <c r="O280" i="1"/>
  <c r="O281" i="1"/>
  <c r="O282" i="1"/>
  <c r="P282" i="1" s="1"/>
  <c r="O283" i="1"/>
  <c r="O284" i="1"/>
  <c r="O285" i="1"/>
  <c r="P285" i="1" s="1"/>
  <c r="O286" i="1"/>
  <c r="O287" i="1"/>
  <c r="O288" i="1"/>
  <c r="O289" i="1"/>
  <c r="O290" i="1"/>
  <c r="O291" i="1"/>
  <c r="P291" i="1" s="1"/>
  <c r="O292" i="1"/>
  <c r="P292" i="1" s="1"/>
  <c r="O293" i="1"/>
  <c r="P293" i="1" s="1"/>
  <c r="O294" i="1"/>
  <c r="P294" i="1" s="1"/>
  <c r="O295" i="1"/>
  <c r="P295" i="1" s="1"/>
  <c r="O296" i="1"/>
  <c r="O297" i="1"/>
  <c r="O298" i="1"/>
  <c r="O299" i="1"/>
  <c r="O300" i="1"/>
  <c r="O301" i="1"/>
  <c r="O302" i="1"/>
  <c r="O303" i="1"/>
  <c r="O304" i="1"/>
  <c r="O305" i="1"/>
  <c r="P305" i="1" s="1"/>
  <c r="O306" i="1"/>
  <c r="P306" i="1" s="1"/>
  <c r="O307" i="1"/>
  <c r="P307" i="1" s="1"/>
  <c r="O308" i="1"/>
  <c r="P308" i="1" s="1"/>
  <c r="O309" i="1"/>
  <c r="P309" i="1" s="1"/>
  <c r="O310" i="1"/>
  <c r="P310" i="1" s="1"/>
  <c r="O311" i="1"/>
  <c r="P311" i="1" s="1"/>
  <c r="O312" i="1"/>
  <c r="P312" i="1" s="1"/>
  <c r="O313" i="1"/>
  <c r="P313" i="1" s="1"/>
  <c r="O314" i="1"/>
  <c r="O315" i="1"/>
  <c r="O316" i="1"/>
  <c r="O317" i="1"/>
  <c r="P317" i="1" s="1"/>
  <c r="O318" i="1"/>
  <c r="P318" i="1" s="1"/>
  <c r="O319" i="1"/>
  <c r="P319" i="1" s="1"/>
  <c r="O320" i="1"/>
  <c r="P320" i="1" s="1"/>
  <c r="O321" i="1"/>
  <c r="P321" i="1" s="1"/>
  <c r="O322" i="1"/>
  <c r="P322" i="1" s="1"/>
  <c r="O323" i="1"/>
  <c r="O324" i="1"/>
  <c r="O325" i="1"/>
  <c r="O326" i="1"/>
  <c r="P326" i="1" s="1"/>
  <c r="O327" i="1"/>
  <c r="O328" i="1"/>
  <c r="O329" i="1"/>
  <c r="P329" i="1" s="1"/>
  <c r="O330" i="1"/>
  <c r="O331" i="1"/>
  <c r="O332" i="1"/>
  <c r="P332" i="1" s="1"/>
  <c r="O333" i="1"/>
  <c r="O334" i="1"/>
  <c r="O335" i="1"/>
  <c r="O336" i="1"/>
  <c r="O337" i="1"/>
  <c r="O338" i="1"/>
  <c r="P338" i="1" s="1"/>
  <c r="O339" i="1"/>
  <c r="P339" i="1" s="1"/>
  <c r="O340" i="1"/>
  <c r="P340" i="1" s="1"/>
  <c r="O341" i="1"/>
  <c r="P341" i="1" s="1"/>
  <c r="O342" i="1"/>
  <c r="P342" i="1" s="1"/>
  <c r="O343" i="1"/>
  <c r="O344" i="1"/>
  <c r="O345" i="1"/>
  <c r="O346" i="1"/>
  <c r="O347" i="1"/>
  <c r="O348" i="1"/>
  <c r="O349" i="1"/>
  <c r="O350" i="1"/>
  <c r="O351" i="1"/>
  <c r="O352" i="1"/>
  <c r="P352" i="1" s="1"/>
  <c r="O353" i="1"/>
  <c r="P353" i="1" s="1"/>
  <c r="O354" i="1"/>
  <c r="P354" i="1" s="1"/>
  <c r="O355" i="1"/>
  <c r="P355" i="1" s="1"/>
  <c r="O356" i="1"/>
  <c r="P356" i="1" s="1"/>
  <c r="O357" i="1"/>
  <c r="P357" i="1" s="1"/>
  <c r="O358" i="1"/>
  <c r="P358" i="1" s="1"/>
  <c r="O359" i="1"/>
  <c r="P359" i="1" s="1"/>
  <c r="O360" i="1"/>
  <c r="P360" i="1" s="1"/>
  <c r="O361" i="1"/>
  <c r="O362" i="1"/>
  <c r="O363" i="1"/>
  <c r="O364" i="1"/>
  <c r="P364" i="1" s="1"/>
  <c r="O365" i="1"/>
  <c r="P365" i="1" s="1"/>
  <c r="O366" i="1"/>
  <c r="P366" i="1" s="1"/>
  <c r="O367" i="1"/>
  <c r="P367" i="1" s="1"/>
  <c r="O368" i="1"/>
  <c r="P368" i="1" s="1"/>
  <c r="O369" i="1"/>
  <c r="P369" i="1" s="1"/>
  <c r="O370" i="1"/>
  <c r="O371" i="1"/>
  <c r="O372" i="1"/>
  <c r="O373" i="1"/>
  <c r="P373" i="1" s="1"/>
  <c r="O374" i="1"/>
  <c r="O375" i="1"/>
  <c r="O376" i="1"/>
  <c r="P376" i="1" s="1"/>
  <c r="O377" i="1"/>
  <c r="O378" i="1"/>
  <c r="O379" i="1"/>
  <c r="P379" i="1" s="1"/>
  <c r="O380" i="1"/>
  <c r="O381" i="1"/>
  <c r="O382" i="1"/>
  <c r="O383" i="1"/>
  <c r="O384" i="1"/>
  <c r="O385" i="1"/>
  <c r="P385" i="1" s="1"/>
  <c r="O386" i="1"/>
  <c r="P386" i="1" s="1"/>
  <c r="O387" i="1"/>
  <c r="P387" i="1" s="1"/>
  <c r="O388" i="1"/>
  <c r="P388" i="1" s="1"/>
  <c r="O389" i="1"/>
  <c r="P389" i="1" s="1"/>
  <c r="O390" i="1"/>
  <c r="O391" i="1"/>
  <c r="O392" i="1"/>
  <c r="O393" i="1"/>
  <c r="O394" i="1"/>
  <c r="O395" i="1"/>
  <c r="O396" i="1"/>
  <c r="O397" i="1"/>
  <c r="O398" i="1"/>
  <c r="O399" i="1"/>
  <c r="P399" i="1" s="1"/>
  <c r="O400" i="1"/>
  <c r="P400" i="1" s="1"/>
  <c r="O401" i="1"/>
  <c r="P401" i="1" s="1"/>
  <c r="O402" i="1"/>
  <c r="P402" i="1" s="1"/>
  <c r="O403" i="1"/>
  <c r="P403" i="1" s="1"/>
  <c r="O404" i="1"/>
  <c r="P404" i="1" s="1"/>
  <c r="O405" i="1"/>
  <c r="P405" i="1" s="1"/>
  <c r="O406" i="1"/>
  <c r="P406" i="1" s="1"/>
  <c r="O407" i="1"/>
  <c r="P407" i="1" s="1"/>
  <c r="O408" i="1"/>
  <c r="O409" i="1"/>
  <c r="O410" i="1"/>
  <c r="O411" i="1"/>
  <c r="P411" i="1" s="1"/>
  <c r="O412" i="1"/>
  <c r="P412" i="1" s="1"/>
  <c r="O413" i="1"/>
  <c r="P413" i="1" s="1"/>
  <c r="O414" i="1"/>
  <c r="P414" i="1" s="1"/>
  <c r="O415" i="1"/>
  <c r="P415" i="1" s="1"/>
  <c r="O416" i="1"/>
  <c r="P416" i="1" s="1"/>
  <c r="O417" i="1"/>
  <c r="O418" i="1"/>
  <c r="O419" i="1"/>
  <c r="O420" i="1"/>
  <c r="P420" i="1" s="1"/>
  <c r="O421" i="1"/>
  <c r="O422" i="1"/>
  <c r="O423" i="1"/>
  <c r="P423" i="1" s="1"/>
  <c r="O424" i="1"/>
  <c r="O425" i="1"/>
  <c r="O426" i="1"/>
  <c r="P426" i="1" s="1"/>
  <c r="O427" i="1"/>
  <c r="O428" i="1"/>
  <c r="O429" i="1"/>
  <c r="O430" i="1"/>
  <c r="O431" i="1"/>
  <c r="O432" i="1"/>
  <c r="P432" i="1" s="1"/>
  <c r="O433" i="1"/>
  <c r="P433" i="1" s="1"/>
  <c r="O434" i="1"/>
  <c r="P434" i="1" s="1"/>
  <c r="O435" i="1"/>
  <c r="P435" i="1" s="1"/>
  <c r="O436" i="1"/>
  <c r="P436" i="1" s="1"/>
  <c r="O437" i="1"/>
  <c r="O438" i="1"/>
  <c r="O439" i="1"/>
  <c r="O440" i="1"/>
  <c r="O441" i="1"/>
  <c r="O442" i="1"/>
  <c r="O443" i="1"/>
  <c r="O444" i="1"/>
  <c r="O445" i="1"/>
  <c r="O446" i="1"/>
  <c r="P446" i="1" s="1"/>
  <c r="O447" i="1"/>
  <c r="P447" i="1" s="1"/>
  <c r="O448" i="1"/>
  <c r="P448" i="1" s="1"/>
  <c r="O449" i="1"/>
  <c r="P449" i="1" s="1"/>
  <c r="O450" i="1"/>
  <c r="P450" i="1" s="1"/>
  <c r="O451" i="1"/>
  <c r="P451" i="1" s="1"/>
  <c r="O452" i="1"/>
  <c r="P452" i="1" s="1"/>
  <c r="O453" i="1"/>
  <c r="P453" i="1" s="1"/>
  <c r="O454" i="1"/>
  <c r="P454" i="1" s="1"/>
  <c r="O455" i="1"/>
  <c r="O456" i="1"/>
  <c r="O457" i="1"/>
  <c r="O458" i="1"/>
  <c r="P458" i="1" s="1"/>
  <c r="O459" i="1"/>
  <c r="P459" i="1" s="1"/>
  <c r="O460" i="1"/>
  <c r="P460" i="1" s="1"/>
  <c r="O461" i="1"/>
  <c r="P461" i="1" s="1"/>
  <c r="O462" i="1"/>
  <c r="P462" i="1" s="1"/>
  <c r="O463" i="1"/>
  <c r="P463" i="1" s="1"/>
  <c r="O464" i="1"/>
  <c r="O465" i="1"/>
  <c r="O466" i="1"/>
  <c r="O467" i="1"/>
  <c r="P467" i="1" s="1"/>
  <c r="O468" i="1"/>
  <c r="O469" i="1"/>
  <c r="O470" i="1"/>
  <c r="P470" i="1" s="1"/>
  <c r="O471" i="1"/>
  <c r="O472" i="1"/>
  <c r="O473" i="1"/>
  <c r="P473" i="1" s="1"/>
  <c r="O474" i="1"/>
  <c r="O475" i="1"/>
  <c r="O476" i="1"/>
  <c r="O477" i="1"/>
  <c r="O478" i="1"/>
  <c r="O479" i="1"/>
  <c r="P479" i="1" s="1"/>
  <c r="O480" i="1"/>
  <c r="P480" i="1" s="1"/>
  <c r="O481" i="1"/>
  <c r="P481" i="1" s="1"/>
  <c r="O482" i="1"/>
  <c r="P482" i="1" s="1"/>
  <c r="O483" i="1"/>
  <c r="P483" i="1" s="1"/>
  <c r="O484" i="1"/>
  <c r="O485" i="1"/>
  <c r="O486" i="1"/>
  <c r="O487" i="1"/>
  <c r="O488" i="1"/>
  <c r="O489" i="1"/>
  <c r="O490" i="1"/>
  <c r="O491" i="1"/>
  <c r="O492" i="1"/>
  <c r="O493" i="1"/>
  <c r="P493" i="1" s="1"/>
  <c r="O494" i="1"/>
  <c r="P494" i="1" s="1"/>
  <c r="O495" i="1"/>
  <c r="P495" i="1" s="1"/>
  <c r="O496" i="1"/>
  <c r="P496" i="1" s="1"/>
  <c r="O497" i="1"/>
  <c r="P497" i="1" s="1"/>
  <c r="O498" i="1"/>
  <c r="P498" i="1" s="1"/>
  <c r="O499" i="1"/>
  <c r="P499" i="1" s="1"/>
  <c r="O500" i="1"/>
  <c r="P500" i="1" s="1"/>
  <c r="O501" i="1"/>
  <c r="P501" i="1" s="1"/>
  <c r="O502" i="1"/>
  <c r="O503" i="1"/>
  <c r="O504" i="1"/>
  <c r="O505" i="1"/>
  <c r="P505" i="1" s="1"/>
  <c r="O506" i="1"/>
  <c r="P506" i="1" s="1"/>
  <c r="O507" i="1"/>
  <c r="P507" i="1" s="1"/>
  <c r="O508" i="1"/>
  <c r="P508" i="1" s="1"/>
  <c r="O509" i="1"/>
  <c r="P509" i="1" s="1"/>
  <c r="O510" i="1"/>
  <c r="P510" i="1" s="1"/>
  <c r="O511" i="1"/>
  <c r="O512" i="1"/>
  <c r="O513" i="1"/>
  <c r="O514" i="1"/>
  <c r="P514" i="1" s="1"/>
  <c r="O515" i="1"/>
  <c r="O516" i="1"/>
  <c r="O517" i="1"/>
  <c r="P517" i="1" s="1"/>
  <c r="O518" i="1"/>
  <c r="O519" i="1"/>
  <c r="O520" i="1"/>
  <c r="P520" i="1" s="1"/>
  <c r="O521" i="1"/>
  <c r="O522" i="1"/>
  <c r="O523" i="1"/>
  <c r="O524" i="1"/>
  <c r="O525" i="1"/>
  <c r="O526" i="1"/>
  <c r="P526" i="1" s="1"/>
  <c r="O527" i="1"/>
  <c r="P527" i="1" s="1"/>
  <c r="O528" i="1"/>
  <c r="P528" i="1" s="1"/>
  <c r="O529" i="1"/>
  <c r="P529" i="1" s="1"/>
  <c r="O530" i="1"/>
  <c r="P530" i="1" s="1"/>
  <c r="O531" i="1"/>
  <c r="O532" i="1"/>
  <c r="O533" i="1"/>
  <c r="O534" i="1"/>
  <c r="O535" i="1"/>
  <c r="O536" i="1"/>
  <c r="O537" i="1"/>
  <c r="O538" i="1"/>
  <c r="O539" i="1"/>
  <c r="O540" i="1"/>
  <c r="P540" i="1" s="1"/>
  <c r="O541" i="1"/>
  <c r="P541" i="1" s="1"/>
  <c r="O542" i="1"/>
  <c r="P542" i="1" s="1"/>
  <c r="O543" i="1"/>
  <c r="P543" i="1" s="1"/>
  <c r="O544" i="1"/>
  <c r="P544" i="1" s="1"/>
  <c r="O545" i="1"/>
  <c r="P545" i="1" s="1"/>
  <c r="O546" i="1"/>
  <c r="P546" i="1" s="1"/>
  <c r="O547" i="1"/>
  <c r="P547" i="1" s="1"/>
  <c r="O548" i="1"/>
  <c r="P548" i="1" s="1"/>
  <c r="O549" i="1"/>
  <c r="O550" i="1"/>
  <c r="O551" i="1"/>
  <c r="O552" i="1"/>
  <c r="P552" i="1" s="1"/>
  <c r="O553" i="1"/>
  <c r="P553" i="1" s="1"/>
  <c r="O554" i="1"/>
  <c r="P554" i="1" s="1"/>
  <c r="O555" i="1"/>
  <c r="P555" i="1" s="1"/>
  <c r="O556" i="1"/>
  <c r="P556" i="1" s="1"/>
  <c r="O557" i="1"/>
  <c r="P557" i="1" s="1"/>
  <c r="O558" i="1"/>
  <c r="O559" i="1"/>
  <c r="O560" i="1"/>
  <c r="O561" i="1"/>
  <c r="P561" i="1" s="1"/>
  <c r="O562" i="1"/>
  <c r="O563" i="1"/>
  <c r="O564" i="1"/>
  <c r="P564" i="1" s="1"/>
  <c r="O565" i="1"/>
  <c r="O566" i="1"/>
  <c r="O567" i="1"/>
  <c r="P567" i="1" s="1"/>
  <c r="O568" i="1"/>
  <c r="O569" i="1"/>
  <c r="O570" i="1"/>
  <c r="O571" i="1"/>
  <c r="O572" i="1"/>
  <c r="O573" i="1"/>
  <c r="P573" i="1" s="1"/>
  <c r="O574" i="1"/>
  <c r="P574" i="1" s="1"/>
  <c r="O575" i="1"/>
  <c r="P575" i="1" s="1"/>
  <c r="O576" i="1"/>
  <c r="P576" i="1" s="1"/>
  <c r="O577" i="1"/>
  <c r="P577" i="1" s="1"/>
  <c r="O578" i="1"/>
  <c r="O579" i="1"/>
  <c r="O580" i="1"/>
  <c r="O581" i="1"/>
  <c r="O582" i="1"/>
  <c r="O583" i="1"/>
  <c r="O584" i="1"/>
  <c r="O585" i="1"/>
  <c r="O586" i="1"/>
  <c r="O587" i="1"/>
  <c r="P587" i="1" s="1"/>
  <c r="O588" i="1"/>
  <c r="P588" i="1" s="1"/>
  <c r="O589" i="1"/>
  <c r="P589" i="1" s="1"/>
  <c r="O590" i="1"/>
  <c r="P590" i="1" s="1"/>
  <c r="O591" i="1"/>
  <c r="P591" i="1" s="1"/>
  <c r="O592" i="1"/>
  <c r="P592" i="1" s="1"/>
  <c r="O593" i="1"/>
  <c r="P593" i="1" s="1"/>
  <c r="O594" i="1"/>
  <c r="P594" i="1" s="1"/>
  <c r="O595" i="1"/>
  <c r="P595" i="1" s="1"/>
  <c r="O596" i="1"/>
  <c r="O597" i="1"/>
  <c r="O598" i="1"/>
  <c r="O599" i="1"/>
  <c r="P599" i="1" s="1"/>
  <c r="O600" i="1"/>
  <c r="P600" i="1" s="1"/>
  <c r="O601" i="1"/>
  <c r="P601" i="1" s="1"/>
  <c r="O602" i="1"/>
  <c r="P602" i="1" s="1"/>
  <c r="O603" i="1"/>
  <c r="P603" i="1" s="1"/>
  <c r="O604" i="1"/>
  <c r="P604" i="1" s="1"/>
  <c r="O605" i="1"/>
  <c r="O606" i="1"/>
  <c r="O607" i="1"/>
  <c r="O608" i="1"/>
  <c r="P608" i="1" s="1"/>
  <c r="O609" i="1"/>
  <c r="O610" i="1"/>
  <c r="O611" i="1"/>
  <c r="P611" i="1" s="1"/>
  <c r="O612" i="1"/>
  <c r="O613" i="1"/>
  <c r="O614" i="1"/>
  <c r="P614" i="1" s="1"/>
  <c r="O615" i="1"/>
  <c r="O616" i="1"/>
  <c r="O617" i="1"/>
  <c r="O618" i="1"/>
  <c r="O619" i="1"/>
  <c r="O620" i="1"/>
  <c r="P620" i="1" s="1"/>
  <c r="O621" i="1"/>
  <c r="P621" i="1" s="1"/>
  <c r="O622" i="1"/>
  <c r="P622" i="1" s="1"/>
  <c r="O623" i="1"/>
  <c r="P623" i="1" s="1"/>
  <c r="O624" i="1"/>
  <c r="P624" i="1" s="1"/>
  <c r="O625" i="1"/>
  <c r="O626" i="1"/>
  <c r="O627" i="1"/>
  <c r="O628" i="1"/>
  <c r="O629" i="1"/>
  <c r="O630" i="1"/>
  <c r="O631" i="1"/>
  <c r="O632" i="1"/>
  <c r="O633" i="1"/>
  <c r="O634" i="1"/>
  <c r="P634" i="1" s="1"/>
  <c r="O635" i="1"/>
  <c r="P635" i="1" s="1"/>
  <c r="O636" i="1"/>
  <c r="P636" i="1" s="1"/>
  <c r="O637" i="1"/>
  <c r="P637" i="1" s="1"/>
  <c r="O638" i="1"/>
  <c r="P638" i="1" s="1"/>
  <c r="O639" i="1"/>
  <c r="P639" i="1" s="1"/>
  <c r="O640" i="1"/>
  <c r="P640" i="1" s="1"/>
  <c r="O641" i="1"/>
  <c r="P641" i="1" s="1"/>
  <c r="O642" i="1"/>
  <c r="P642" i="1" s="1"/>
  <c r="O643" i="1"/>
  <c r="O644" i="1"/>
  <c r="O645" i="1"/>
  <c r="O646" i="1"/>
  <c r="P646" i="1" s="1"/>
  <c r="O647" i="1"/>
  <c r="P647" i="1" s="1"/>
  <c r="O648" i="1"/>
  <c r="P648" i="1" s="1"/>
  <c r="O649" i="1"/>
  <c r="P649" i="1" s="1"/>
  <c r="O650" i="1"/>
  <c r="P650" i="1" s="1"/>
  <c r="O651" i="1"/>
  <c r="P651" i="1" s="1"/>
  <c r="O652" i="1"/>
  <c r="O653" i="1"/>
  <c r="O654" i="1"/>
  <c r="O655" i="1"/>
  <c r="P655" i="1" s="1"/>
  <c r="O656" i="1"/>
  <c r="O657" i="1"/>
  <c r="O658" i="1"/>
  <c r="P658" i="1" s="1"/>
  <c r="O659" i="1"/>
  <c r="O660" i="1"/>
  <c r="O661" i="1"/>
  <c r="P661" i="1" s="1"/>
  <c r="O662" i="1"/>
  <c r="O663" i="1"/>
  <c r="O664" i="1"/>
  <c r="O665" i="1"/>
  <c r="O666" i="1"/>
  <c r="O667" i="1"/>
  <c r="P667" i="1" s="1"/>
  <c r="O668" i="1"/>
  <c r="P668" i="1" s="1"/>
  <c r="O669" i="1"/>
  <c r="P669" i="1" s="1"/>
  <c r="O670" i="1"/>
  <c r="P670" i="1" s="1"/>
  <c r="O671" i="1"/>
  <c r="P671" i="1" s="1"/>
  <c r="O672" i="1"/>
  <c r="O673" i="1"/>
  <c r="O674" i="1"/>
  <c r="O675" i="1"/>
  <c r="O676" i="1"/>
  <c r="O677" i="1"/>
  <c r="O678" i="1"/>
  <c r="O679" i="1"/>
  <c r="O680" i="1"/>
  <c r="O681" i="1"/>
  <c r="P681" i="1" s="1"/>
  <c r="O682" i="1"/>
  <c r="P682" i="1" s="1"/>
  <c r="O683" i="1"/>
  <c r="P683" i="1" s="1"/>
  <c r="O684" i="1"/>
  <c r="P684" i="1" s="1"/>
  <c r="O685" i="1"/>
  <c r="P685" i="1" s="1"/>
  <c r="O686" i="1"/>
  <c r="P686" i="1" s="1"/>
  <c r="O687" i="1"/>
  <c r="P687" i="1" s="1"/>
  <c r="O688" i="1"/>
  <c r="P688" i="1" s="1"/>
  <c r="O689" i="1"/>
  <c r="P689" i="1" s="1"/>
  <c r="O690" i="1"/>
  <c r="O691" i="1"/>
  <c r="O692" i="1"/>
  <c r="O693" i="1"/>
  <c r="P693" i="1" s="1"/>
  <c r="O694" i="1"/>
  <c r="P694" i="1" s="1"/>
  <c r="O695" i="1"/>
  <c r="P695" i="1" s="1"/>
  <c r="O696" i="1"/>
  <c r="P696" i="1" s="1"/>
  <c r="O697" i="1"/>
  <c r="P697" i="1" s="1"/>
  <c r="O698" i="1"/>
  <c r="P698" i="1" s="1"/>
  <c r="O699" i="1"/>
  <c r="O700" i="1"/>
  <c r="O701" i="1"/>
  <c r="O702" i="1"/>
  <c r="P702" i="1" s="1"/>
  <c r="O703" i="1"/>
  <c r="O704" i="1"/>
  <c r="O705" i="1"/>
  <c r="P705" i="1" s="1"/>
  <c r="O706" i="1"/>
  <c r="O707" i="1"/>
  <c r="O708" i="1"/>
  <c r="P708" i="1" s="1"/>
  <c r="O709" i="1"/>
  <c r="O710" i="1"/>
  <c r="O711" i="1"/>
  <c r="O712" i="1"/>
  <c r="O713" i="1"/>
  <c r="O714" i="1"/>
  <c r="P714" i="1" s="1"/>
  <c r="O715" i="1"/>
  <c r="P715" i="1" s="1"/>
  <c r="O716" i="1"/>
  <c r="P716" i="1" s="1"/>
  <c r="O717" i="1"/>
  <c r="P717" i="1" s="1"/>
  <c r="O718" i="1"/>
  <c r="P718" i="1" s="1"/>
  <c r="O719" i="1"/>
  <c r="O720" i="1"/>
  <c r="O721" i="1"/>
  <c r="O722" i="1"/>
  <c r="O723" i="1"/>
  <c r="O724" i="1"/>
  <c r="O725" i="1"/>
  <c r="O726" i="1"/>
  <c r="O727" i="1"/>
  <c r="O728" i="1"/>
  <c r="P728" i="1" s="1"/>
  <c r="O729" i="1"/>
  <c r="P729" i="1" s="1"/>
  <c r="O730" i="1"/>
  <c r="P730" i="1" s="1"/>
  <c r="O731" i="1"/>
  <c r="P731" i="1" s="1"/>
  <c r="O732" i="1"/>
  <c r="P732" i="1" s="1"/>
  <c r="O733" i="1"/>
  <c r="P733" i="1" s="1"/>
  <c r="O734" i="1"/>
  <c r="P734" i="1" s="1"/>
  <c r="O735" i="1"/>
  <c r="P735" i="1" s="1"/>
  <c r="O736" i="1"/>
  <c r="P736" i="1" s="1"/>
  <c r="O737" i="1"/>
  <c r="O738" i="1"/>
  <c r="O739" i="1"/>
  <c r="O740" i="1"/>
  <c r="P740" i="1" s="1"/>
  <c r="O741" i="1"/>
  <c r="P741" i="1" s="1"/>
  <c r="O742" i="1"/>
  <c r="P742" i="1" s="1"/>
  <c r="O743" i="1"/>
  <c r="P743" i="1" s="1"/>
  <c r="O744" i="1"/>
  <c r="P744" i="1" s="1"/>
  <c r="O745" i="1"/>
  <c r="P745" i="1" s="1"/>
  <c r="O746" i="1"/>
  <c r="O747" i="1"/>
  <c r="O748" i="1"/>
  <c r="O749" i="1"/>
  <c r="P749" i="1" s="1"/>
  <c r="O750" i="1"/>
  <c r="O751" i="1"/>
  <c r="O752" i="1"/>
  <c r="P752" i="1" s="1"/>
  <c r="O753" i="1"/>
  <c r="O754" i="1"/>
  <c r="O755" i="1"/>
  <c r="P755" i="1" s="1"/>
  <c r="O756" i="1"/>
  <c r="O757" i="1"/>
  <c r="O758" i="1"/>
  <c r="O759" i="1"/>
  <c r="O760" i="1"/>
  <c r="O761" i="1"/>
  <c r="P761" i="1" s="1"/>
  <c r="O762" i="1"/>
  <c r="P762" i="1" s="1"/>
  <c r="O763" i="1"/>
  <c r="P763" i="1" s="1"/>
  <c r="O764" i="1"/>
  <c r="P764" i="1" s="1"/>
  <c r="O765" i="1"/>
  <c r="P765" i="1" s="1"/>
  <c r="O766" i="1"/>
  <c r="O767" i="1"/>
  <c r="O768" i="1"/>
  <c r="O769" i="1"/>
  <c r="O770" i="1"/>
  <c r="O771" i="1"/>
  <c r="O772" i="1"/>
  <c r="O773" i="1"/>
  <c r="O774" i="1"/>
  <c r="O775" i="1"/>
  <c r="P775" i="1" s="1"/>
  <c r="O776" i="1"/>
  <c r="P776" i="1" s="1"/>
  <c r="O777" i="1"/>
  <c r="P777" i="1" s="1"/>
  <c r="O778" i="1"/>
  <c r="P778" i="1" s="1"/>
  <c r="O779" i="1"/>
  <c r="P779" i="1" s="1"/>
  <c r="O780" i="1"/>
  <c r="P780" i="1" s="1"/>
  <c r="O781" i="1"/>
  <c r="P781" i="1" s="1"/>
  <c r="O782" i="1"/>
  <c r="P782" i="1" s="1"/>
  <c r="O783" i="1"/>
  <c r="P783" i="1" s="1"/>
  <c r="O784" i="1"/>
  <c r="O785" i="1"/>
  <c r="O786" i="1"/>
  <c r="O787" i="1"/>
  <c r="P787" i="1" s="1"/>
  <c r="O788" i="1"/>
  <c r="P788" i="1" s="1"/>
  <c r="O789" i="1"/>
  <c r="P789" i="1" s="1"/>
  <c r="O790" i="1"/>
  <c r="P790" i="1" s="1"/>
  <c r="O791" i="1"/>
  <c r="P791" i="1" s="1"/>
  <c r="O792" i="1"/>
  <c r="P792" i="1" s="1"/>
  <c r="O793" i="1"/>
  <c r="O794" i="1"/>
  <c r="O795" i="1"/>
  <c r="O796" i="1"/>
  <c r="P796" i="1" s="1"/>
  <c r="O797" i="1"/>
  <c r="O798" i="1"/>
  <c r="O799" i="1"/>
  <c r="P799" i="1" s="1"/>
  <c r="O800" i="1"/>
  <c r="O801" i="1"/>
  <c r="O802" i="1"/>
  <c r="P802" i="1" s="1"/>
  <c r="O803" i="1"/>
  <c r="O804" i="1"/>
  <c r="O805" i="1"/>
  <c r="O806" i="1"/>
  <c r="O807" i="1"/>
  <c r="O808" i="1"/>
  <c r="P808" i="1" s="1"/>
  <c r="O809" i="1"/>
  <c r="P809" i="1" s="1"/>
  <c r="O810" i="1"/>
  <c r="P810" i="1" s="1"/>
  <c r="O811" i="1"/>
  <c r="P811" i="1" s="1"/>
  <c r="O812" i="1"/>
  <c r="P812" i="1" s="1"/>
  <c r="O813" i="1"/>
  <c r="O814" i="1"/>
  <c r="O815" i="1"/>
  <c r="O816" i="1"/>
  <c r="O817" i="1"/>
  <c r="O818" i="1"/>
  <c r="O819" i="1"/>
  <c r="O820" i="1"/>
  <c r="O821" i="1"/>
  <c r="O822" i="1"/>
  <c r="P822" i="1" s="1"/>
  <c r="O823" i="1"/>
  <c r="P823" i="1" s="1"/>
  <c r="O824" i="1"/>
  <c r="P824" i="1" s="1"/>
  <c r="O825" i="1"/>
  <c r="P825" i="1" s="1"/>
  <c r="O826" i="1"/>
  <c r="P826" i="1" s="1"/>
  <c r="O827" i="1"/>
  <c r="P827" i="1" s="1"/>
  <c r="O828" i="1"/>
  <c r="P828" i="1" s="1"/>
  <c r="O829" i="1"/>
  <c r="P829" i="1" s="1"/>
  <c r="O830" i="1"/>
  <c r="P830" i="1" s="1"/>
  <c r="O831" i="1"/>
  <c r="O832" i="1"/>
  <c r="O833" i="1"/>
  <c r="O834" i="1"/>
  <c r="P834" i="1" s="1"/>
  <c r="O835" i="1"/>
  <c r="P835" i="1" s="1"/>
  <c r="O836" i="1"/>
  <c r="P836" i="1" s="1"/>
  <c r="O837" i="1"/>
  <c r="P837" i="1" s="1"/>
  <c r="O838" i="1"/>
  <c r="P838" i="1" s="1"/>
  <c r="O839" i="1"/>
  <c r="P839" i="1" s="1"/>
  <c r="O840" i="1"/>
  <c r="O841" i="1"/>
  <c r="O842" i="1"/>
  <c r="O843" i="1"/>
  <c r="P843" i="1" s="1"/>
  <c r="O844" i="1"/>
  <c r="O845" i="1"/>
  <c r="O846" i="1"/>
  <c r="P846" i="1" s="1"/>
  <c r="O847" i="1"/>
  <c r="O848" i="1"/>
  <c r="O849" i="1"/>
  <c r="P849" i="1" s="1"/>
  <c r="O850" i="1"/>
  <c r="O851" i="1"/>
  <c r="O852" i="1"/>
  <c r="O853" i="1"/>
  <c r="O854" i="1"/>
  <c r="O855" i="1"/>
  <c r="P855" i="1" s="1"/>
  <c r="O856" i="1"/>
  <c r="P856" i="1" s="1"/>
  <c r="O857" i="1"/>
  <c r="P857" i="1" s="1"/>
  <c r="O858" i="1"/>
  <c r="P858" i="1" s="1"/>
  <c r="O859" i="1"/>
  <c r="P859" i="1" s="1"/>
  <c r="O860" i="1"/>
  <c r="O861" i="1"/>
  <c r="O862" i="1"/>
  <c r="O863" i="1"/>
  <c r="O864" i="1"/>
  <c r="O865" i="1"/>
  <c r="O866" i="1"/>
  <c r="O867" i="1"/>
  <c r="O868" i="1"/>
  <c r="O869" i="1"/>
  <c r="P869" i="1" s="1"/>
  <c r="O870" i="1"/>
  <c r="P870" i="1" s="1"/>
  <c r="O871" i="1"/>
  <c r="P871" i="1" s="1"/>
  <c r="O872" i="1"/>
  <c r="P872" i="1" s="1"/>
  <c r="O873" i="1"/>
  <c r="P873" i="1" s="1"/>
  <c r="O874" i="1"/>
  <c r="P874" i="1" s="1"/>
  <c r="O875" i="1"/>
  <c r="P875" i="1" s="1"/>
  <c r="O876" i="1"/>
  <c r="P876" i="1" s="1"/>
  <c r="O877" i="1"/>
  <c r="P877" i="1" s="1"/>
  <c r="O878" i="1"/>
  <c r="O879" i="1"/>
  <c r="O880" i="1"/>
  <c r="O881" i="1"/>
  <c r="P881" i="1" s="1"/>
  <c r="O882" i="1"/>
  <c r="P882" i="1" s="1"/>
  <c r="O883" i="1"/>
  <c r="P883" i="1" s="1"/>
  <c r="O884" i="1"/>
  <c r="P884" i="1" s="1"/>
  <c r="O885" i="1"/>
  <c r="P885" i="1" s="1"/>
  <c r="O886" i="1"/>
  <c r="P886" i="1" s="1"/>
  <c r="O887" i="1"/>
  <c r="O888" i="1"/>
  <c r="O889" i="1"/>
  <c r="O890" i="1"/>
  <c r="P890" i="1" s="1"/>
  <c r="O891" i="1"/>
  <c r="O892" i="1"/>
  <c r="O893" i="1"/>
  <c r="P893" i="1" s="1"/>
  <c r="O894" i="1"/>
  <c r="O895" i="1"/>
  <c r="O896" i="1"/>
  <c r="P896" i="1" s="1"/>
  <c r="O897" i="1"/>
  <c r="O898" i="1"/>
  <c r="O899" i="1"/>
  <c r="O900" i="1"/>
  <c r="O901" i="1"/>
  <c r="O902" i="1"/>
  <c r="P902" i="1" s="1"/>
  <c r="O903" i="1"/>
  <c r="P903" i="1" s="1"/>
  <c r="O904" i="1"/>
  <c r="P904" i="1" s="1"/>
  <c r="O905" i="1"/>
  <c r="P905" i="1" s="1"/>
  <c r="O906" i="1"/>
  <c r="P906" i="1" s="1"/>
  <c r="O907" i="1"/>
  <c r="O908" i="1"/>
  <c r="O909" i="1"/>
  <c r="O910" i="1"/>
  <c r="O911" i="1"/>
  <c r="O912" i="1"/>
  <c r="O913" i="1"/>
  <c r="O914" i="1"/>
  <c r="O915" i="1"/>
  <c r="O916" i="1"/>
  <c r="P916" i="1" s="1"/>
  <c r="O917" i="1"/>
  <c r="P917" i="1" s="1"/>
  <c r="O918" i="1"/>
  <c r="P918" i="1" s="1"/>
  <c r="O919" i="1"/>
  <c r="P919" i="1" s="1"/>
  <c r="O920" i="1"/>
  <c r="P920" i="1" s="1"/>
  <c r="O921" i="1"/>
  <c r="P921" i="1" s="1"/>
  <c r="O922" i="1"/>
  <c r="P922" i="1" s="1"/>
  <c r="O923" i="1"/>
  <c r="P923" i="1" s="1"/>
  <c r="O924" i="1"/>
  <c r="P924" i="1" s="1"/>
  <c r="O925" i="1"/>
  <c r="P925" i="1" s="1"/>
  <c r="O926" i="1"/>
  <c r="O927" i="1"/>
  <c r="O928" i="1"/>
  <c r="P928" i="1" s="1"/>
  <c r="O929" i="1"/>
  <c r="P929" i="1" s="1"/>
  <c r="O930" i="1"/>
  <c r="P930" i="1" s="1"/>
  <c r="O931" i="1"/>
  <c r="P931" i="1" s="1"/>
  <c r="O932" i="1"/>
  <c r="P932" i="1" s="1"/>
  <c r="O933" i="1"/>
  <c r="P933" i="1" s="1"/>
  <c r="O934" i="1"/>
  <c r="O935" i="1"/>
  <c r="O936" i="1"/>
  <c r="O937" i="1"/>
  <c r="P937" i="1" s="1"/>
  <c r="O938" i="1"/>
  <c r="O939" i="1"/>
  <c r="O940" i="1"/>
  <c r="P940" i="1" s="1"/>
  <c r="O941" i="1"/>
  <c r="O942" i="1"/>
  <c r="O943" i="1"/>
  <c r="P943" i="1" s="1"/>
  <c r="O944" i="1"/>
  <c r="O945" i="1"/>
  <c r="O946" i="1"/>
  <c r="O947" i="1"/>
  <c r="O948" i="1"/>
  <c r="O949" i="1"/>
  <c r="P949" i="1" s="1"/>
  <c r="O950" i="1"/>
  <c r="P950" i="1" s="1"/>
  <c r="O951" i="1"/>
  <c r="P951" i="1" s="1"/>
  <c r="O952" i="1"/>
  <c r="P952" i="1" s="1"/>
  <c r="O953" i="1"/>
  <c r="P953" i="1" s="1"/>
  <c r="O954" i="1"/>
  <c r="O955" i="1"/>
  <c r="O956" i="1"/>
  <c r="O957" i="1"/>
  <c r="O958" i="1"/>
  <c r="O959" i="1"/>
  <c r="O960" i="1"/>
  <c r="O961" i="1"/>
  <c r="O962" i="1"/>
  <c r="O963" i="1"/>
  <c r="P963" i="1" s="1"/>
  <c r="O964" i="1"/>
  <c r="P964" i="1" s="1"/>
  <c r="O965" i="1"/>
  <c r="P965" i="1" s="1"/>
  <c r="O966" i="1"/>
  <c r="P966" i="1" s="1"/>
  <c r="O967" i="1"/>
  <c r="P967" i="1" s="1"/>
  <c r="O968" i="1"/>
  <c r="P968" i="1" s="1"/>
  <c r="O969" i="1"/>
  <c r="P969" i="1" s="1"/>
  <c r="O970" i="1"/>
  <c r="P970" i="1" s="1"/>
  <c r="O971" i="1"/>
  <c r="P971" i="1" s="1"/>
  <c r="O972" i="1"/>
  <c r="O973" i="1"/>
  <c r="O974" i="1"/>
  <c r="O975" i="1"/>
  <c r="P975" i="1" s="1"/>
  <c r="O976" i="1"/>
  <c r="P976" i="1" s="1"/>
  <c r="O977" i="1"/>
  <c r="P977" i="1" s="1"/>
  <c r="O978" i="1"/>
  <c r="P978" i="1" s="1"/>
  <c r="O979" i="1"/>
  <c r="P979" i="1" s="1"/>
  <c r="O980" i="1"/>
  <c r="P980" i="1" s="1"/>
  <c r="O981" i="1"/>
  <c r="O982" i="1"/>
  <c r="O983" i="1"/>
  <c r="O984" i="1"/>
  <c r="P984" i="1" s="1"/>
  <c r="O985" i="1"/>
  <c r="O986" i="1"/>
  <c r="O987" i="1"/>
  <c r="P987" i="1" s="1"/>
  <c r="O988" i="1"/>
  <c r="O989" i="1"/>
  <c r="O990" i="1"/>
  <c r="P990" i="1" s="1"/>
  <c r="O991" i="1"/>
  <c r="O992" i="1"/>
  <c r="O993" i="1"/>
  <c r="O994" i="1"/>
  <c r="O995" i="1"/>
  <c r="O996" i="1"/>
  <c r="P996" i="1" s="1"/>
  <c r="O997" i="1"/>
  <c r="P997" i="1" s="1"/>
  <c r="O998" i="1"/>
  <c r="P998" i="1" s="1"/>
  <c r="O999" i="1"/>
  <c r="P999" i="1" s="1"/>
  <c r="O1000" i="1"/>
  <c r="P1000" i="1" s="1"/>
  <c r="O1001" i="1"/>
  <c r="O1002" i="1"/>
  <c r="O1003" i="1"/>
  <c r="O1004" i="1"/>
  <c r="O1005" i="1"/>
  <c r="O1006" i="1"/>
  <c r="O1007" i="1"/>
  <c r="O1008" i="1"/>
  <c r="O1009" i="1"/>
  <c r="O1010" i="1"/>
  <c r="P1010" i="1" s="1"/>
  <c r="O1011" i="1"/>
  <c r="P1011" i="1" s="1"/>
  <c r="O1012" i="1"/>
  <c r="P1012" i="1" s="1"/>
  <c r="O1013" i="1"/>
  <c r="P1013" i="1" s="1"/>
  <c r="O1014" i="1"/>
  <c r="P1014" i="1" s="1"/>
  <c r="O1015" i="1"/>
  <c r="P1015" i="1" s="1"/>
  <c r="O1016" i="1"/>
  <c r="P1016" i="1" s="1"/>
  <c r="O1017" i="1"/>
  <c r="P1017" i="1" s="1"/>
  <c r="O1018" i="1"/>
  <c r="P1018" i="1" s="1"/>
  <c r="O1019" i="1"/>
  <c r="O1020" i="1"/>
  <c r="O1021" i="1"/>
  <c r="O1022" i="1"/>
  <c r="P1022" i="1" s="1"/>
  <c r="O1023" i="1"/>
  <c r="P1023" i="1" s="1"/>
  <c r="O1024" i="1"/>
  <c r="P1024" i="1" s="1"/>
  <c r="O1025" i="1"/>
  <c r="P1025" i="1" s="1"/>
  <c r="O1026" i="1"/>
  <c r="P1026" i="1" s="1"/>
  <c r="O1027" i="1"/>
  <c r="P1027" i="1" s="1"/>
  <c r="O1028" i="1"/>
  <c r="O1029" i="1"/>
  <c r="O1030" i="1"/>
  <c r="O1031" i="1"/>
  <c r="P1031" i="1" s="1"/>
  <c r="O1032" i="1"/>
  <c r="O1033" i="1"/>
  <c r="O1034" i="1"/>
  <c r="P1034" i="1" s="1"/>
  <c r="O1035" i="1"/>
  <c r="O1036" i="1"/>
  <c r="O1037" i="1"/>
  <c r="P1037" i="1" s="1"/>
  <c r="O1038" i="1"/>
  <c r="O1039" i="1"/>
  <c r="O1040" i="1"/>
  <c r="O1041" i="1"/>
  <c r="O1042" i="1"/>
  <c r="O1043" i="1"/>
  <c r="P1043" i="1" s="1"/>
  <c r="O1044" i="1"/>
  <c r="P1044" i="1" s="1"/>
  <c r="O1045" i="1"/>
  <c r="P1045" i="1" s="1"/>
  <c r="O1046" i="1"/>
  <c r="P1046" i="1" s="1"/>
  <c r="O1047" i="1"/>
  <c r="P1047" i="1" s="1"/>
  <c r="O1048" i="1"/>
  <c r="P1048" i="1" s="1"/>
  <c r="O1049" i="1"/>
  <c r="O1050" i="1"/>
  <c r="O1051" i="1"/>
  <c r="O1052" i="1"/>
  <c r="O1053" i="1"/>
  <c r="O1054" i="1"/>
  <c r="O1055" i="1"/>
  <c r="O1056" i="1"/>
  <c r="O1057" i="1"/>
  <c r="O1058" i="1"/>
  <c r="P1058" i="1" s="1"/>
  <c r="O1059" i="1"/>
  <c r="P1059" i="1" s="1"/>
  <c r="O1060" i="1"/>
  <c r="P1060" i="1" s="1"/>
  <c r="O1061" i="1"/>
  <c r="P1061" i="1" s="1"/>
  <c r="O1062" i="1"/>
  <c r="P1062" i="1" s="1"/>
  <c r="O1063" i="1"/>
  <c r="P1063" i="1" s="1"/>
  <c r="O1064" i="1"/>
  <c r="P1064" i="1" s="1"/>
  <c r="O1065" i="1"/>
  <c r="O1066" i="1"/>
  <c r="O1067" i="1"/>
  <c r="P1067" i="1" s="1"/>
  <c r="O1068" i="1"/>
  <c r="P1068" i="1" s="1"/>
  <c r="O1069" i="1"/>
  <c r="P1069" i="1" s="1"/>
  <c r="O1070" i="1"/>
  <c r="P1070" i="1" s="1"/>
  <c r="O1071" i="1"/>
  <c r="P1071" i="1" s="1"/>
  <c r="O1072" i="1"/>
  <c r="O1073" i="1"/>
  <c r="O1074" i="1"/>
  <c r="O1075" i="1"/>
  <c r="P1075" i="1" s="1"/>
  <c r="O1076" i="1"/>
  <c r="O1077" i="1"/>
  <c r="O1078" i="1"/>
  <c r="P1078" i="1" s="1"/>
  <c r="O1079" i="1"/>
  <c r="O1080" i="1"/>
  <c r="P1080" i="1" s="1"/>
  <c r="O1081" i="1"/>
  <c r="P1081" i="1" s="1"/>
  <c r="O1082" i="1"/>
  <c r="O1083" i="1"/>
  <c r="P1083" i="1" s="1"/>
  <c r="O1084" i="1"/>
  <c r="O1085" i="1"/>
  <c r="O1086" i="1"/>
  <c r="O1087" i="1"/>
  <c r="P1087" i="1" s="1"/>
  <c r="O1088" i="1"/>
  <c r="P1088" i="1" s="1"/>
  <c r="O1089" i="1"/>
  <c r="P1089" i="1" s="1"/>
  <c r="O1090" i="1"/>
  <c r="P1090" i="1" s="1"/>
  <c r="O1091" i="1"/>
  <c r="P1091" i="1" s="1"/>
  <c r="O1092" i="1"/>
  <c r="P1092" i="1" s="1"/>
  <c r="O1093" i="1"/>
  <c r="P1093" i="1" s="1"/>
  <c r="O1094" i="1"/>
  <c r="P1094" i="1" s="1"/>
  <c r="O1095" i="1"/>
  <c r="P1095" i="1" s="1"/>
  <c r="O1096" i="1"/>
  <c r="P1096" i="1" s="1"/>
  <c r="O1097" i="1"/>
  <c r="P1097" i="1" s="1"/>
  <c r="O1098" i="1"/>
  <c r="P1098" i="1" s="1"/>
  <c r="O1099" i="1"/>
  <c r="P1099" i="1" s="1"/>
  <c r="O1100" i="1"/>
  <c r="P1100" i="1" s="1"/>
  <c r="O1101" i="1"/>
  <c r="O1102" i="1"/>
  <c r="P1102" i="1" s="1"/>
  <c r="O1103" i="1"/>
  <c r="P1103" i="1" s="1"/>
  <c r="O1104" i="1"/>
  <c r="P1104" i="1" s="1"/>
  <c r="O1105" i="1"/>
  <c r="P1105" i="1" s="1"/>
  <c r="O1106" i="1"/>
  <c r="P1106" i="1" s="1"/>
  <c r="O1107" i="1"/>
  <c r="O1108" i="1"/>
  <c r="O1109" i="1"/>
  <c r="O1110" i="1"/>
  <c r="O1111" i="1"/>
  <c r="O1112" i="1"/>
  <c r="O1113" i="1"/>
  <c r="O1114" i="1"/>
  <c r="O1115" i="1"/>
  <c r="O1116" i="1"/>
  <c r="P1116" i="1" s="1"/>
  <c r="O1117" i="1"/>
  <c r="O1118" i="1"/>
  <c r="O1119" i="1"/>
  <c r="O1120" i="1"/>
  <c r="P1120" i="1" s="1"/>
  <c r="O1121" i="1"/>
  <c r="P1121" i="1" s="1"/>
  <c r="O1122" i="1"/>
  <c r="P1122" i="1" s="1"/>
  <c r="O1123" i="1"/>
  <c r="P1123" i="1" s="1"/>
  <c r="O1124" i="1"/>
  <c r="P1124" i="1" s="1"/>
  <c r="O1125" i="1"/>
  <c r="P1125" i="1" s="1"/>
  <c r="O1126" i="1"/>
  <c r="P1126" i="1" s="1"/>
  <c r="O1127" i="1"/>
  <c r="O1128" i="1"/>
  <c r="O1129" i="1"/>
  <c r="O1130" i="1"/>
  <c r="P1130" i="1" s="1"/>
  <c r="O1131" i="1"/>
  <c r="P1131" i="1" s="1"/>
  <c r="O1132" i="1"/>
  <c r="O1133" i="1"/>
  <c r="P1133" i="1" s="1"/>
  <c r="O1134" i="1"/>
  <c r="O1135" i="1"/>
  <c r="P1135" i="1" s="1"/>
  <c r="O1136" i="1"/>
  <c r="P1136" i="1" s="1"/>
  <c r="O1137" i="1"/>
  <c r="O1138" i="1"/>
  <c r="O1139" i="1"/>
  <c r="O1140" i="1"/>
  <c r="O1141" i="1"/>
  <c r="O1142" i="1"/>
  <c r="P1142" i="1" s="1"/>
  <c r="O1143" i="1"/>
  <c r="P1143" i="1" s="1"/>
  <c r="O1144" i="1"/>
  <c r="P1144" i="1" s="1"/>
  <c r="O1145" i="1"/>
  <c r="O1146" i="1"/>
  <c r="P1146" i="1" s="1"/>
  <c r="O1147" i="1"/>
  <c r="P1147" i="1" s="1"/>
  <c r="O1148" i="1"/>
  <c r="P1148" i="1" s="1"/>
  <c r="O1149" i="1"/>
  <c r="P1149" i="1" s="1"/>
  <c r="O1150" i="1"/>
  <c r="P1150" i="1" s="1"/>
  <c r="O1151" i="1"/>
  <c r="P1151" i="1" s="1"/>
  <c r="O1152" i="1"/>
  <c r="P1152" i="1" s="1"/>
  <c r="O1153" i="1"/>
  <c r="P1153" i="1" s="1"/>
  <c r="O1154" i="1"/>
  <c r="P1154" i="1" s="1"/>
  <c r="O1155" i="1"/>
  <c r="P1155" i="1" s="1"/>
  <c r="O1156" i="1"/>
  <c r="P1156" i="1" s="1"/>
  <c r="O1157" i="1"/>
  <c r="P1157" i="1" s="1"/>
  <c r="O1158" i="1"/>
  <c r="P1158" i="1" s="1"/>
  <c r="O1159" i="1"/>
  <c r="P1159" i="1" s="1"/>
  <c r="O1160" i="1"/>
  <c r="P1160" i="1" s="1"/>
  <c r="O1161" i="1"/>
  <c r="P1161" i="1" s="1"/>
  <c r="O1162" i="1"/>
  <c r="P1162" i="1" s="1"/>
  <c r="O1163" i="1"/>
  <c r="P1163" i="1" s="1"/>
  <c r="O1164" i="1"/>
  <c r="P1164" i="1" s="1"/>
  <c r="O1165" i="1"/>
  <c r="P1165" i="1" s="1"/>
  <c r="O1166" i="1"/>
  <c r="P1166" i="1" s="1"/>
  <c r="O1167" i="1"/>
  <c r="P1167" i="1" s="1"/>
  <c r="O9" i="1"/>
  <c r="H94" i="10" l="1"/>
  <c r="N11" i="10"/>
  <c r="H11" i="10"/>
  <c r="R6" i="10"/>
  <c r="R38" i="10"/>
  <c r="R74" i="10"/>
  <c r="R35" i="10"/>
  <c r="R23" i="10"/>
  <c r="R11" i="10"/>
  <c r="R46" i="10"/>
  <c r="R73" i="10"/>
  <c r="R94" i="10"/>
  <c r="R27" i="10"/>
  <c r="R83" i="10"/>
  <c r="R76" i="10"/>
  <c r="R51" i="10"/>
  <c r="R75" i="10"/>
  <c r="R71" i="10"/>
  <c r="R80" i="10"/>
  <c r="R31" i="10"/>
  <c r="R70" i="10"/>
  <c r="R91" i="10"/>
  <c r="R67" i="10"/>
  <c r="R54" i="10"/>
  <c r="R89" i="10"/>
  <c r="R40" i="10"/>
  <c r="R28" i="10"/>
  <c r="R87" i="10"/>
  <c r="R88" i="10"/>
  <c r="R60" i="10"/>
  <c r="R63" i="10"/>
  <c r="R30" i="10"/>
  <c r="R64" i="10"/>
  <c r="R44" i="10"/>
  <c r="R79" i="10"/>
  <c r="R43" i="10"/>
  <c r="R57" i="10"/>
  <c r="R41" i="10"/>
  <c r="R62" i="10"/>
  <c r="R36" i="10"/>
  <c r="R78" i="10"/>
  <c r="R56" i="10"/>
  <c r="R10" i="10"/>
  <c r="R42" i="10"/>
  <c r="R52" i="10"/>
  <c r="R93" i="10"/>
  <c r="R59" i="10"/>
  <c r="R86" i="10"/>
  <c r="R13" i="10"/>
  <c r="R92" i="10"/>
  <c r="R85" i="10"/>
  <c r="R69" i="10"/>
  <c r="R61" i="10"/>
  <c r="R45" i="10"/>
  <c r="R37" i="10"/>
  <c r="R29" i="10"/>
  <c r="R77" i="10"/>
  <c r="R53" i="10"/>
  <c r="E1101" i="1" l="1"/>
  <c r="Q1145" i="1"/>
  <c r="Q1143" i="1"/>
  <c r="Q1131" i="1"/>
  <c r="E1132" i="1"/>
  <c r="P1132" i="1" s="1"/>
  <c r="Q1132" i="1"/>
  <c r="E750" i="1"/>
  <c r="P750" i="1" s="1"/>
  <c r="Q103" i="1"/>
  <c r="Q150" i="1"/>
  <c r="Q197" i="1"/>
  <c r="Q244" i="1"/>
  <c r="Q291" i="1"/>
  <c r="Q338" i="1"/>
  <c r="Q385" i="1"/>
  <c r="Q479" i="1"/>
  <c r="Q573" i="1"/>
  <c r="Q620" i="1"/>
  <c r="Q667" i="1"/>
  <c r="Q714" i="1"/>
  <c r="Q761" i="1"/>
  <c r="Q808" i="1"/>
  <c r="Q855" i="1"/>
  <c r="Q902" i="1"/>
  <c r="Q949" i="1"/>
  <c r="Q996" i="1"/>
  <c r="Q1043" i="1"/>
  <c r="Q91" i="1"/>
  <c r="Q420" i="1"/>
  <c r="Q279" i="1"/>
  <c r="E1234" i="12"/>
  <c r="P1234" i="12" s="1"/>
  <c r="E1146" i="12"/>
  <c r="P1146" i="12" s="1"/>
  <c r="E1190" i="12"/>
  <c r="P1190" i="12" s="1"/>
  <c r="E1102" i="12"/>
  <c r="P1102" i="12" s="1"/>
  <c r="E1058" i="12"/>
  <c r="P1058" i="12" s="1"/>
  <c r="E1014" i="12"/>
  <c r="P1014" i="12" s="1"/>
  <c r="E967" i="12"/>
  <c r="P967" i="12" s="1"/>
  <c r="E920" i="12"/>
  <c r="P920" i="12" s="1"/>
  <c r="E873" i="12"/>
  <c r="P873" i="12" s="1"/>
  <c r="E826" i="12"/>
  <c r="P826" i="12" s="1"/>
  <c r="E779" i="12"/>
  <c r="P779" i="12" s="1"/>
  <c r="E732" i="12"/>
  <c r="P732" i="12" s="1"/>
  <c r="E685" i="12"/>
  <c r="P685" i="12" s="1"/>
  <c r="E638" i="12"/>
  <c r="P638" i="12" s="1"/>
  <c r="E591" i="12"/>
  <c r="P591" i="12" s="1"/>
  <c r="E497" i="12"/>
  <c r="P497" i="12" s="1"/>
  <c r="E450" i="12"/>
  <c r="P450" i="12" s="1"/>
  <c r="E403" i="12"/>
  <c r="P403" i="12" s="1"/>
  <c r="E356" i="12"/>
  <c r="P356" i="12" s="1"/>
  <c r="E309" i="12"/>
  <c r="P309" i="12" s="1"/>
  <c r="E262" i="12"/>
  <c r="P262" i="12" s="1"/>
  <c r="E214" i="12"/>
  <c r="P214" i="12" s="1"/>
  <c r="E167" i="12"/>
  <c r="P167" i="12" s="1"/>
  <c r="E120" i="12"/>
  <c r="P120" i="12" s="1"/>
  <c r="E29" i="12"/>
  <c r="Q69" i="10"/>
  <c r="O6" i="1"/>
  <c r="O7" i="1"/>
  <c r="O8" i="1"/>
  <c r="O5" i="1"/>
  <c r="P58" i="10" l="1"/>
  <c r="R58" i="10" s="1"/>
  <c r="P1101" i="1"/>
  <c r="P29" i="12"/>
  <c r="P55" i="10"/>
  <c r="P1145" i="1"/>
  <c r="H69" i="10"/>
  <c r="R55" i="10" l="1"/>
  <c r="Q89" i="10"/>
  <c r="Q80" i="10"/>
  <c r="Q1152" i="1"/>
  <c r="Q83" i="10" l="1"/>
  <c r="Q87" i="10"/>
  <c r="Q82" i="10"/>
  <c r="Q84" i="10"/>
  <c r="Q88" i="10"/>
  <c r="Q81" i="10"/>
  <c r="Q86" i="10"/>
  <c r="Q85" i="10"/>
  <c r="H84" i="10"/>
  <c r="H85" i="10"/>
  <c r="H86" i="10"/>
  <c r="H88" i="10"/>
  <c r="H82" i="10"/>
  <c r="H80" i="10"/>
  <c r="H81" i="10"/>
  <c r="H87" i="10"/>
  <c r="H83" i="10"/>
  <c r="H89" i="10"/>
  <c r="Q32" i="10"/>
  <c r="Q33" i="10"/>
  <c r="Q34" i="10"/>
  <c r="Q35" i="10"/>
  <c r="Q92" i="10" l="1"/>
  <c r="H92" i="10" l="1"/>
  <c r="Q63" i="10" l="1"/>
  <c r="E238" i="12"/>
  <c r="P238" i="12" s="1"/>
  <c r="H63" i="10" l="1"/>
  <c r="J1023" i="1" l="1"/>
  <c r="J976" i="1"/>
  <c r="J929" i="1"/>
  <c r="J882" i="1"/>
  <c r="J835" i="1"/>
  <c r="J788" i="1"/>
  <c r="J741" i="1"/>
  <c r="J694" i="1"/>
  <c r="J647" i="1"/>
  <c r="J600" i="1"/>
  <c r="J553" i="1"/>
  <c r="J506" i="1"/>
  <c r="J459" i="1"/>
  <c r="J412" i="1"/>
  <c r="J365" i="1"/>
  <c r="J318" i="1"/>
  <c r="J271" i="1"/>
  <c r="J224" i="1"/>
  <c r="J177" i="1"/>
  <c r="J130" i="1"/>
  <c r="J975" i="12"/>
  <c r="J928" i="12"/>
  <c r="J646" i="12"/>
  <c r="J599" i="12"/>
  <c r="J552" i="12"/>
  <c r="J505" i="12"/>
  <c r="J224" i="12"/>
  <c r="J222" i="12"/>
  <c r="J128" i="12"/>
  <c r="J1242" i="12"/>
  <c r="J1154" i="12"/>
  <c r="J1110" i="12"/>
  <c r="J1066" i="12"/>
  <c r="J1022" i="12"/>
  <c r="J881" i="12"/>
  <c r="J834" i="12"/>
  <c r="J740" i="12"/>
  <c r="J693" i="12"/>
  <c r="J458" i="12"/>
  <c r="J411" i="12"/>
  <c r="J364" i="12"/>
  <c r="J317" i="12"/>
  <c r="J270" i="12"/>
  <c r="J175" i="12"/>
  <c r="J921" i="12"/>
  <c r="J592" i="12"/>
  <c r="J545" i="12"/>
  <c r="J215" i="12"/>
  <c r="J121" i="12"/>
  <c r="J1130" i="12" l="1"/>
  <c r="Q921" i="1" l="1"/>
  <c r="Q639" i="1"/>
  <c r="Q638" i="1"/>
  <c r="Q56" i="10" l="1"/>
  <c r="Q57" i="10"/>
  <c r="H56" i="10" l="1"/>
  <c r="H57" i="10"/>
  <c r="Q1061" i="1" l="1"/>
  <c r="Q1060" i="1"/>
  <c r="E1009" i="1"/>
  <c r="P1009" i="1" s="1"/>
  <c r="E1008" i="1"/>
  <c r="P1008" i="1" s="1"/>
  <c r="E1006" i="1"/>
  <c r="P1006" i="1" s="1"/>
  <c r="E962" i="1"/>
  <c r="P962" i="1" s="1"/>
  <c r="E961" i="1"/>
  <c r="P961" i="1" s="1"/>
  <c r="E959" i="1"/>
  <c r="P959" i="1" s="1"/>
  <c r="E915" i="1"/>
  <c r="P915" i="1" s="1"/>
  <c r="E914" i="1"/>
  <c r="P914" i="1" s="1"/>
  <c r="E912" i="1"/>
  <c r="P912" i="1" s="1"/>
  <c r="E868" i="1"/>
  <c r="P868" i="1" s="1"/>
  <c r="E867" i="1"/>
  <c r="P867" i="1" s="1"/>
  <c r="E865" i="1"/>
  <c r="P865" i="1" s="1"/>
  <c r="E821" i="1"/>
  <c r="P821" i="1" s="1"/>
  <c r="E820" i="1"/>
  <c r="P820" i="1" s="1"/>
  <c r="E818" i="1"/>
  <c r="P818" i="1" s="1"/>
  <c r="E774" i="1"/>
  <c r="P774" i="1" s="1"/>
  <c r="E773" i="1"/>
  <c r="P773" i="1" s="1"/>
  <c r="E771" i="1"/>
  <c r="P771" i="1" s="1"/>
  <c r="E727" i="1"/>
  <c r="P727" i="1" s="1"/>
  <c r="E726" i="1"/>
  <c r="P726" i="1" s="1"/>
  <c r="E724" i="1"/>
  <c r="P724" i="1" s="1"/>
  <c r="E680" i="1"/>
  <c r="P680" i="1" s="1"/>
  <c r="E679" i="1"/>
  <c r="P679" i="1" s="1"/>
  <c r="E677" i="1"/>
  <c r="P677" i="1" s="1"/>
  <c r="E633" i="1"/>
  <c r="P633" i="1" s="1"/>
  <c r="E632" i="1"/>
  <c r="P632" i="1" s="1"/>
  <c r="E630" i="1"/>
  <c r="P630" i="1" s="1"/>
  <c r="E586" i="1"/>
  <c r="P586" i="1" s="1"/>
  <c r="E585" i="1"/>
  <c r="P585" i="1" s="1"/>
  <c r="E583" i="1"/>
  <c r="P583" i="1" s="1"/>
  <c r="E539" i="1"/>
  <c r="P539" i="1" s="1"/>
  <c r="E538" i="1"/>
  <c r="P538" i="1" s="1"/>
  <c r="E536" i="1"/>
  <c r="P536" i="1" s="1"/>
  <c r="E492" i="1"/>
  <c r="P492" i="1" s="1"/>
  <c r="E491" i="1"/>
  <c r="P491" i="1" s="1"/>
  <c r="E489" i="1"/>
  <c r="P489" i="1" s="1"/>
  <c r="E445" i="1"/>
  <c r="P445" i="1" s="1"/>
  <c r="E444" i="1"/>
  <c r="P444" i="1" s="1"/>
  <c r="E442" i="1"/>
  <c r="P442" i="1" s="1"/>
  <c r="E398" i="1"/>
  <c r="P398" i="1" s="1"/>
  <c r="E397" i="1"/>
  <c r="P397" i="1" s="1"/>
  <c r="E395" i="1"/>
  <c r="P395" i="1" s="1"/>
  <c r="E351" i="1"/>
  <c r="P351" i="1" s="1"/>
  <c r="E350" i="1"/>
  <c r="P350" i="1" s="1"/>
  <c r="E348" i="1"/>
  <c r="P348" i="1" s="1"/>
  <c r="E304" i="1"/>
  <c r="P304" i="1" s="1"/>
  <c r="E303" i="1"/>
  <c r="P303" i="1" s="1"/>
  <c r="E301" i="1"/>
  <c r="P301" i="1" s="1"/>
  <c r="E257" i="1"/>
  <c r="P257" i="1" s="1"/>
  <c r="E256" i="1"/>
  <c r="P256" i="1" s="1"/>
  <c r="E254" i="1"/>
  <c r="P254" i="1" s="1"/>
  <c r="E210" i="1"/>
  <c r="P210" i="1" s="1"/>
  <c r="E209" i="1"/>
  <c r="P209" i="1" s="1"/>
  <c r="E207" i="1"/>
  <c r="P207" i="1" s="1"/>
  <c r="E163" i="1"/>
  <c r="P163" i="1" s="1"/>
  <c r="E162" i="1"/>
  <c r="P162" i="1" s="1"/>
  <c r="E160" i="1"/>
  <c r="P160" i="1" s="1"/>
  <c r="E115" i="1"/>
  <c r="P115" i="1" s="1"/>
  <c r="E113" i="1"/>
  <c r="P113" i="1" s="1"/>
  <c r="E69" i="1"/>
  <c r="P69" i="1" s="1"/>
  <c r="E67" i="1"/>
  <c r="Q120" i="1"/>
  <c r="Q119" i="1"/>
  <c r="Q1013" i="1"/>
  <c r="Q1012" i="1"/>
  <c r="Q966" i="1"/>
  <c r="Q965" i="1"/>
  <c r="Q919" i="1"/>
  <c r="Q918" i="1"/>
  <c r="Q872" i="1"/>
  <c r="Q871" i="1"/>
  <c r="Q825" i="1"/>
  <c r="Q824" i="1"/>
  <c r="Q778" i="1"/>
  <c r="Q777" i="1"/>
  <c r="Q731" i="1"/>
  <c r="Q730" i="1"/>
  <c r="Q684" i="1"/>
  <c r="Q683" i="1"/>
  <c r="Q637" i="1"/>
  <c r="Q636" i="1"/>
  <c r="Q590" i="1"/>
  <c r="Q589" i="1"/>
  <c r="Q543" i="1"/>
  <c r="Q542" i="1"/>
  <c r="Q496" i="1"/>
  <c r="Q495" i="1"/>
  <c r="Q449" i="1"/>
  <c r="Q448" i="1"/>
  <c r="Q402" i="1"/>
  <c r="Q401" i="1"/>
  <c r="Q355" i="1"/>
  <c r="Q354" i="1"/>
  <c r="Q308" i="1"/>
  <c r="Q307" i="1"/>
  <c r="Q261" i="1"/>
  <c r="Q260" i="1"/>
  <c r="Q214" i="1"/>
  <c r="Q213" i="1"/>
  <c r="Q167" i="1"/>
  <c r="Q169" i="1"/>
  <c r="H248" i="1"/>
  <c r="E255" i="1" s="1"/>
  <c r="P255" i="1" s="1"/>
  <c r="G248" i="1"/>
  <c r="H201" i="1"/>
  <c r="E208" i="1" s="1"/>
  <c r="P208" i="1" s="1"/>
  <c r="G201" i="1"/>
  <c r="H154" i="1"/>
  <c r="E161" i="1" s="1"/>
  <c r="P161" i="1" s="1"/>
  <c r="G154" i="1"/>
  <c r="H107" i="1"/>
  <c r="G107" i="1"/>
  <c r="E116" i="1"/>
  <c r="P116" i="1" s="1"/>
  <c r="E1231" i="12"/>
  <c r="P1231" i="12" s="1"/>
  <c r="E1228" i="12"/>
  <c r="P1228" i="12" s="1"/>
  <c r="E1187" i="12"/>
  <c r="P1187" i="12" s="1"/>
  <c r="E1184" i="12"/>
  <c r="P1184" i="12" s="1"/>
  <c r="E1143" i="12"/>
  <c r="P1143" i="12" s="1"/>
  <c r="E1099" i="12"/>
  <c r="P1099" i="12" s="1"/>
  <c r="E1096" i="12"/>
  <c r="P1096" i="12" s="1"/>
  <c r="E1055" i="12"/>
  <c r="P1055" i="12" s="1"/>
  <c r="E1052" i="12"/>
  <c r="P1052" i="12" s="1"/>
  <c r="E1008" i="12"/>
  <c r="P1008" i="12" s="1"/>
  <c r="E1005" i="12"/>
  <c r="P1005" i="12" s="1"/>
  <c r="E961" i="12"/>
  <c r="P961" i="12" s="1"/>
  <c r="E958" i="12"/>
  <c r="P958" i="12" s="1"/>
  <c r="E914" i="12"/>
  <c r="P914" i="12" s="1"/>
  <c r="E911" i="12"/>
  <c r="P911" i="12" s="1"/>
  <c r="E867" i="12"/>
  <c r="P867" i="12" s="1"/>
  <c r="E864" i="12"/>
  <c r="P864" i="12" s="1"/>
  <c r="E820" i="12"/>
  <c r="P820" i="12" s="1"/>
  <c r="E817" i="12"/>
  <c r="P817" i="12" s="1"/>
  <c r="E773" i="12"/>
  <c r="P773" i="12" s="1"/>
  <c r="E770" i="12"/>
  <c r="P770" i="12" s="1"/>
  <c r="E726" i="12"/>
  <c r="P726" i="12" s="1"/>
  <c r="E723" i="12"/>
  <c r="P723" i="12" s="1"/>
  <c r="E679" i="12"/>
  <c r="P679" i="12" s="1"/>
  <c r="E676" i="12"/>
  <c r="P676" i="12" s="1"/>
  <c r="E632" i="12"/>
  <c r="P632" i="12" s="1"/>
  <c r="E585" i="12"/>
  <c r="P585" i="12" s="1"/>
  <c r="E538" i="12"/>
  <c r="P538" i="12" s="1"/>
  <c r="E491" i="12"/>
  <c r="P491" i="12" s="1"/>
  <c r="E488" i="12"/>
  <c r="P488" i="12" s="1"/>
  <c r="E444" i="12"/>
  <c r="P444" i="12" s="1"/>
  <c r="E441" i="12"/>
  <c r="P441" i="12" s="1"/>
  <c r="E397" i="12"/>
  <c r="P397" i="12" s="1"/>
  <c r="E394" i="12"/>
  <c r="P394" i="12" s="1"/>
  <c r="E350" i="12"/>
  <c r="P350" i="12" s="1"/>
  <c r="E303" i="12"/>
  <c r="P303" i="12" s="1"/>
  <c r="E256" i="12"/>
  <c r="P256" i="12" s="1"/>
  <c r="E208" i="12"/>
  <c r="P208" i="12" s="1"/>
  <c r="E205" i="12"/>
  <c r="P205" i="12" s="1"/>
  <c r="E161" i="12"/>
  <c r="P161" i="12" s="1"/>
  <c r="E158" i="12"/>
  <c r="P158" i="12" s="1"/>
  <c r="E111" i="12"/>
  <c r="P111" i="12" s="1"/>
  <c r="E14" i="12"/>
  <c r="E114" i="12"/>
  <c r="P114" i="12" s="1"/>
  <c r="E19" i="12"/>
  <c r="E89" i="1"/>
  <c r="P89" i="1" s="1"/>
  <c r="Q93" i="10"/>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61" i="1"/>
  <c r="Q62" i="1"/>
  <c r="Q63" i="1"/>
  <c r="Q64" i="1"/>
  <c r="Q65" i="1"/>
  <c r="Q66" i="1"/>
  <c r="Q67" i="1"/>
  <c r="Q68" i="1"/>
  <c r="Q69" i="1"/>
  <c r="Q70" i="1"/>
  <c r="Q71" i="1"/>
  <c r="Q72" i="1"/>
  <c r="Q73" i="1"/>
  <c r="Q74" i="1"/>
  <c r="Q75" i="1"/>
  <c r="Q76" i="1"/>
  <c r="Q77" i="1"/>
  <c r="Q78" i="1"/>
  <c r="Q79" i="1"/>
  <c r="Q80" i="1"/>
  <c r="Q81" i="1"/>
  <c r="Q82" i="1"/>
  <c r="Q86" i="1"/>
  <c r="Q87" i="1"/>
  <c r="Q88" i="1"/>
  <c r="Q89" i="1"/>
  <c r="Q90" i="1"/>
  <c r="Q92" i="1"/>
  <c r="Q93" i="1"/>
  <c r="Q94" i="1"/>
  <c r="Q95" i="1"/>
  <c r="Q96" i="1"/>
  <c r="Q97" i="1"/>
  <c r="Q98" i="1"/>
  <c r="Q99" i="1"/>
  <c r="Q100" i="1"/>
  <c r="Q101" i="1"/>
  <c r="Q102" i="1"/>
  <c r="Q104" i="1"/>
  <c r="Q105" i="1"/>
  <c r="Q106" i="1"/>
  <c r="Q107" i="1"/>
  <c r="Q108" i="1"/>
  <c r="Q109" i="1"/>
  <c r="Q110" i="1"/>
  <c r="Q111" i="1"/>
  <c r="Q112" i="1"/>
  <c r="Q113" i="1"/>
  <c r="Q114" i="1"/>
  <c r="Q115" i="1"/>
  <c r="Q116" i="1"/>
  <c r="Q117" i="1"/>
  <c r="Q118"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1" i="1"/>
  <c r="Q152" i="1"/>
  <c r="Q153" i="1"/>
  <c r="Q154" i="1"/>
  <c r="Q155" i="1"/>
  <c r="Q156" i="1"/>
  <c r="Q157" i="1"/>
  <c r="Q158" i="1"/>
  <c r="Q159" i="1"/>
  <c r="Q160" i="1"/>
  <c r="Q161" i="1"/>
  <c r="Q162" i="1"/>
  <c r="Q163" i="1"/>
  <c r="Q164" i="1"/>
  <c r="Q165" i="1"/>
  <c r="Q166" i="1"/>
  <c r="Q168"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8" i="1"/>
  <c r="Q199" i="1"/>
  <c r="Q200" i="1"/>
  <c r="Q201" i="1"/>
  <c r="Q202" i="1"/>
  <c r="Q203" i="1"/>
  <c r="Q204" i="1"/>
  <c r="Q205" i="1"/>
  <c r="Q206" i="1"/>
  <c r="Q207" i="1"/>
  <c r="Q208" i="1"/>
  <c r="Q209" i="1"/>
  <c r="Q210" i="1"/>
  <c r="Q211" i="1"/>
  <c r="Q212"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5" i="1"/>
  <c r="Q246" i="1"/>
  <c r="Q247" i="1"/>
  <c r="Q248" i="1"/>
  <c r="Q249" i="1"/>
  <c r="Q250" i="1"/>
  <c r="Q251" i="1"/>
  <c r="Q252" i="1"/>
  <c r="Q253" i="1"/>
  <c r="Q254" i="1"/>
  <c r="Q255" i="1"/>
  <c r="Q256" i="1"/>
  <c r="Q257" i="1"/>
  <c r="Q258" i="1"/>
  <c r="Q259" i="1"/>
  <c r="Q262" i="1"/>
  <c r="Q263" i="1"/>
  <c r="Q264" i="1"/>
  <c r="Q265" i="1"/>
  <c r="Q266" i="1"/>
  <c r="Q267" i="1"/>
  <c r="Q268" i="1"/>
  <c r="Q269" i="1"/>
  <c r="Q270" i="1"/>
  <c r="Q271" i="1"/>
  <c r="Q272" i="1"/>
  <c r="Q273" i="1"/>
  <c r="Q274" i="1"/>
  <c r="Q275" i="1"/>
  <c r="Q276" i="1"/>
  <c r="Q277" i="1"/>
  <c r="Q278" i="1"/>
  <c r="Q280" i="1"/>
  <c r="Q281" i="1"/>
  <c r="Q282" i="1"/>
  <c r="Q283" i="1"/>
  <c r="Q284" i="1"/>
  <c r="Q285" i="1"/>
  <c r="Q286" i="1"/>
  <c r="Q287" i="1"/>
  <c r="Q288" i="1"/>
  <c r="Q289" i="1"/>
  <c r="Q290" i="1"/>
  <c r="Q292" i="1"/>
  <c r="Q293" i="1"/>
  <c r="Q294" i="1"/>
  <c r="Q295" i="1"/>
  <c r="Q296" i="1"/>
  <c r="Q297" i="1"/>
  <c r="Q298" i="1"/>
  <c r="Q299" i="1"/>
  <c r="Q300" i="1"/>
  <c r="Q301" i="1"/>
  <c r="Q302" i="1"/>
  <c r="Q303" i="1"/>
  <c r="Q304" i="1"/>
  <c r="Q305" i="1"/>
  <c r="Q306"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9" i="1"/>
  <c r="Q340" i="1"/>
  <c r="Q341" i="1"/>
  <c r="Q342" i="1"/>
  <c r="Q343" i="1"/>
  <c r="Q344" i="1"/>
  <c r="Q345" i="1"/>
  <c r="Q346" i="1"/>
  <c r="Q347" i="1"/>
  <c r="Q348" i="1"/>
  <c r="Q349" i="1"/>
  <c r="Q350" i="1"/>
  <c r="Q351" i="1"/>
  <c r="Q352" i="1"/>
  <c r="Q353"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6" i="1"/>
  <c r="Q387" i="1"/>
  <c r="Q388" i="1"/>
  <c r="Q389" i="1"/>
  <c r="Q390" i="1"/>
  <c r="Q391" i="1"/>
  <c r="Q392" i="1"/>
  <c r="Q393" i="1"/>
  <c r="Q394" i="1"/>
  <c r="Q395" i="1"/>
  <c r="Q396" i="1"/>
  <c r="Q397" i="1"/>
  <c r="Q398" i="1"/>
  <c r="Q399" i="1"/>
  <c r="Q400" i="1"/>
  <c r="Q403" i="1"/>
  <c r="Q404" i="1"/>
  <c r="Q405" i="1"/>
  <c r="Q406" i="1"/>
  <c r="Q407" i="1"/>
  <c r="Q408" i="1"/>
  <c r="Q409" i="1"/>
  <c r="Q410" i="1"/>
  <c r="Q411" i="1"/>
  <c r="Q412" i="1"/>
  <c r="Q413" i="1"/>
  <c r="Q414" i="1"/>
  <c r="Q415" i="1"/>
  <c r="Q416" i="1"/>
  <c r="Q417" i="1"/>
  <c r="Q418" i="1"/>
  <c r="Q419"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80" i="1"/>
  <c r="Q481" i="1"/>
  <c r="Q482" i="1"/>
  <c r="Q483" i="1"/>
  <c r="Q484" i="1"/>
  <c r="Q485" i="1"/>
  <c r="Q486" i="1"/>
  <c r="Q487" i="1"/>
  <c r="Q488" i="1"/>
  <c r="Q489" i="1"/>
  <c r="Q490" i="1"/>
  <c r="Q491" i="1"/>
  <c r="Q492" i="1"/>
  <c r="Q493" i="1"/>
  <c r="Q494"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4" i="1"/>
  <c r="Q575" i="1"/>
  <c r="Q576" i="1"/>
  <c r="Q577" i="1"/>
  <c r="Q578" i="1"/>
  <c r="Q579" i="1"/>
  <c r="Q580" i="1"/>
  <c r="Q581" i="1"/>
  <c r="Q582" i="1"/>
  <c r="Q583" i="1"/>
  <c r="Q584" i="1"/>
  <c r="Q585" i="1"/>
  <c r="Q586" i="1"/>
  <c r="Q587" i="1"/>
  <c r="Q588"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1" i="1"/>
  <c r="Q622" i="1"/>
  <c r="Q623" i="1"/>
  <c r="Q624" i="1"/>
  <c r="Q625" i="1"/>
  <c r="Q626" i="1"/>
  <c r="Q627" i="1"/>
  <c r="Q628" i="1"/>
  <c r="Q629" i="1"/>
  <c r="Q630" i="1"/>
  <c r="Q631" i="1"/>
  <c r="Q632" i="1"/>
  <c r="Q633" i="1"/>
  <c r="Q634" i="1"/>
  <c r="Q635"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8" i="1"/>
  <c r="Q669" i="1"/>
  <c r="Q670" i="1"/>
  <c r="Q671" i="1"/>
  <c r="Q672" i="1"/>
  <c r="Q673" i="1"/>
  <c r="Q674" i="1"/>
  <c r="Q675" i="1"/>
  <c r="Q676" i="1"/>
  <c r="Q677" i="1"/>
  <c r="Q678" i="1"/>
  <c r="Q679" i="1"/>
  <c r="Q680" i="1"/>
  <c r="Q681" i="1"/>
  <c r="Q682"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5" i="1"/>
  <c r="Q716" i="1"/>
  <c r="Q717" i="1"/>
  <c r="Q718" i="1"/>
  <c r="Q719" i="1"/>
  <c r="Q720" i="1"/>
  <c r="Q721" i="1"/>
  <c r="Q722" i="1"/>
  <c r="Q723" i="1"/>
  <c r="Q724" i="1"/>
  <c r="Q725" i="1"/>
  <c r="Q726" i="1"/>
  <c r="Q727" i="1"/>
  <c r="Q728" i="1"/>
  <c r="Q729"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2" i="1"/>
  <c r="Q763" i="1"/>
  <c r="Q764" i="1"/>
  <c r="Q765" i="1"/>
  <c r="Q766" i="1"/>
  <c r="Q767" i="1"/>
  <c r="Q768" i="1"/>
  <c r="Q769" i="1"/>
  <c r="Q770" i="1"/>
  <c r="Q771" i="1"/>
  <c r="Q772" i="1"/>
  <c r="Q773" i="1"/>
  <c r="Q774" i="1"/>
  <c r="Q775" i="1"/>
  <c r="Q776"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9" i="1"/>
  <c r="Q810" i="1"/>
  <c r="Q811" i="1"/>
  <c r="Q812" i="1"/>
  <c r="Q813" i="1"/>
  <c r="Q814" i="1"/>
  <c r="Q815" i="1"/>
  <c r="Q816" i="1"/>
  <c r="Q817" i="1"/>
  <c r="Q818" i="1"/>
  <c r="Q819" i="1"/>
  <c r="Q820" i="1"/>
  <c r="Q821" i="1"/>
  <c r="Q822" i="1"/>
  <c r="Q823"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6" i="1"/>
  <c r="Q857" i="1"/>
  <c r="Q858" i="1"/>
  <c r="Q859" i="1"/>
  <c r="Q860" i="1"/>
  <c r="Q861" i="1"/>
  <c r="Q862" i="1"/>
  <c r="Q863" i="1"/>
  <c r="Q864" i="1"/>
  <c r="Q865" i="1"/>
  <c r="Q866" i="1"/>
  <c r="Q867" i="1"/>
  <c r="Q868" i="1"/>
  <c r="Q869" i="1"/>
  <c r="Q870"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3" i="1"/>
  <c r="Q904" i="1"/>
  <c r="Q905" i="1"/>
  <c r="Q906" i="1"/>
  <c r="Q907" i="1"/>
  <c r="Q908" i="1"/>
  <c r="Q909" i="1"/>
  <c r="Q910" i="1"/>
  <c r="Q911" i="1"/>
  <c r="Q912" i="1"/>
  <c r="Q913" i="1"/>
  <c r="Q914" i="1"/>
  <c r="Q915" i="1"/>
  <c r="Q916" i="1"/>
  <c r="Q917" i="1"/>
  <c r="Q920"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50" i="1"/>
  <c r="Q951" i="1"/>
  <c r="Q952" i="1"/>
  <c r="Q953" i="1"/>
  <c r="Q954" i="1"/>
  <c r="Q955" i="1"/>
  <c r="Q956" i="1"/>
  <c r="Q957" i="1"/>
  <c r="Q958" i="1"/>
  <c r="Q959" i="1"/>
  <c r="Q960" i="1"/>
  <c r="Q961" i="1"/>
  <c r="Q962" i="1"/>
  <c r="Q963" i="1"/>
  <c r="Q964"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7" i="1"/>
  <c r="Q998" i="1"/>
  <c r="Q999" i="1"/>
  <c r="Q1000" i="1"/>
  <c r="Q1001" i="1"/>
  <c r="Q1002" i="1"/>
  <c r="Q1003" i="1"/>
  <c r="Q1004" i="1"/>
  <c r="Q1005" i="1"/>
  <c r="Q1006" i="1"/>
  <c r="Q1007" i="1"/>
  <c r="Q1008" i="1"/>
  <c r="Q1009" i="1"/>
  <c r="Q1010" i="1"/>
  <c r="Q1011"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4" i="1"/>
  <c r="Q1045" i="1"/>
  <c r="Q1046" i="1"/>
  <c r="Q1047" i="1"/>
  <c r="Q1048" i="1"/>
  <c r="Q1049" i="1"/>
  <c r="Q1050" i="1"/>
  <c r="Q1051" i="1"/>
  <c r="Q1052" i="1"/>
  <c r="Q1053" i="1"/>
  <c r="Q1054" i="1"/>
  <c r="Q1055" i="1"/>
  <c r="Q1056" i="1"/>
  <c r="Q1057" i="1"/>
  <c r="Q1058" i="1"/>
  <c r="Q1059"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3" i="1"/>
  <c r="Q1134" i="1"/>
  <c r="Q1135" i="1"/>
  <c r="Q1136" i="1"/>
  <c r="Q1137" i="1"/>
  <c r="Q1138" i="1"/>
  <c r="Q1139" i="1"/>
  <c r="Q1140" i="1"/>
  <c r="Q1141" i="1"/>
  <c r="Q1142" i="1"/>
  <c r="Q1144" i="1"/>
  <c r="Q1105" i="1"/>
  <c r="Q1146" i="1"/>
  <c r="Q1147" i="1"/>
  <c r="Q1148" i="1"/>
  <c r="Q1149" i="1"/>
  <c r="Q1150" i="1"/>
  <c r="Q1151" i="1"/>
  <c r="Q1166" i="1"/>
  <c r="Q1167" i="1"/>
  <c r="Q28" i="10"/>
  <c r="Q29" i="10"/>
  <c r="J1124" i="1"/>
  <c r="J1122" i="1"/>
  <c r="J1121" i="1"/>
  <c r="J1102" i="1"/>
  <c r="J1100" i="1"/>
  <c r="J1099" i="1"/>
  <c r="J1098" i="1"/>
  <c r="J1097" i="1"/>
  <c r="J1093" i="1"/>
  <c r="J1090" i="1"/>
  <c r="J1064" i="1"/>
  <c r="J1059" i="1"/>
  <c r="J1046" i="1"/>
  <c r="J1017" i="1"/>
  <c r="J1016" i="1"/>
  <c r="J1011" i="1"/>
  <c r="J999" i="1"/>
  <c r="J970" i="1"/>
  <c r="J969" i="1"/>
  <c r="J964" i="1"/>
  <c r="J952" i="1"/>
  <c r="J925" i="1"/>
  <c r="J923" i="1"/>
  <c r="J922" i="1"/>
  <c r="J917" i="1"/>
  <c r="J905" i="1"/>
  <c r="J876" i="1"/>
  <c r="J875" i="1"/>
  <c r="J870" i="1"/>
  <c r="J858" i="1"/>
  <c r="J829" i="1"/>
  <c r="J828" i="1"/>
  <c r="J823" i="1"/>
  <c r="J811" i="1"/>
  <c r="J782" i="1"/>
  <c r="J781" i="1"/>
  <c r="J776" i="1"/>
  <c r="J764" i="1"/>
  <c r="J735" i="1"/>
  <c r="J734" i="1"/>
  <c r="J729" i="1"/>
  <c r="J717" i="1"/>
  <c r="J688" i="1"/>
  <c r="J687" i="1"/>
  <c r="J682" i="1"/>
  <c r="J670" i="1"/>
  <c r="J641" i="1"/>
  <c r="J640" i="1"/>
  <c r="J635" i="1"/>
  <c r="J623" i="1"/>
  <c r="J594" i="1"/>
  <c r="J593" i="1"/>
  <c r="J588" i="1"/>
  <c r="J576" i="1"/>
  <c r="J547" i="1"/>
  <c r="J546" i="1"/>
  <c r="J541" i="1"/>
  <c r="J529" i="1"/>
  <c r="J500" i="1"/>
  <c r="J499" i="1"/>
  <c r="J494" i="1"/>
  <c r="J482" i="1"/>
  <c r="J453" i="1"/>
  <c r="J452" i="1"/>
  <c r="J447" i="1"/>
  <c r="J435" i="1"/>
  <c r="J406" i="1"/>
  <c r="J405" i="1"/>
  <c r="J400" i="1"/>
  <c r="J388" i="1"/>
  <c r="J359" i="1"/>
  <c r="J358" i="1"/>
  <c r="J353" i="1"/>
  <c r="J341" i="1"/>
  <c r="J312" i="1"/>
  <c r="J311" i="1"/>
  <c r="J306" i="1"/>
  <c r="J294" i="1"/>
  <c r="J265" i="1"/>
  <c r="J264" i="1"/>
  <c r="J259" i="1"/>
  <c r="J247" i="1"/>
  <c r="J218" i="1"/>
  <c r="J217" i="1"/>
  <c r="J212" i="1"/>
  <c r="J200" i="1"/>
  <c r="J171" i="1"/>
  <c r="J170" i="1"/>
  <c r="J165" i="1"/>
  <c r="J153" i="1"/>
  <c r="J76" i="1"/>
  <c r="J72" i="1"/>
  <c r="J132" i="1"/>
  <c r="J124" i="1"/>
  <c r="J123" i="1"/>
  <c r="J118" i="1"/>
  <c r="J106" i="1"/>
  <c r="J1218" i="12"/>
  <c r="J1174" i="12"/>
  <c r="J1086" i="12"/>
  <c r="J1042" i="12"/>
  <c r="J995" i="12"/>
  <c r="J948" i="12"/>
  <c r="J901" i="12"/>
  <c r="J854" i="12"/>
  <c r="J807" i="12"/>
  <c r="J760" i="12"/>
  <c r="J713" i="12"/>
  <c r="J666" i="12"/>
  <c r="J619" i="12"/>
  <c r="J572" i="12"/>
  <c r="J525" i="12"/>
  <c r="J478" i="12"/>
  <c r="J431" i="12"/>
  <c r="J405" i="12"/>
  <c r="J404" i="12"/>
  <c r="J402" i="12"/>
  <c r="J387" i="12"/>
  <c r="J264" i="12"/>
  <c r="J263" i="12"/>
  <c r="J261" i="12"/>
  <c r="J216" i="12"/>
  <c r="J213" i="12"/>
  <c r="J198" i="12"/>
  <c r="J358" i="12"/>
  <c r="J357" i="12"/>
  <c r="J355" i="12"/>
  <c r="J340" i="12"/>
  <c r="J311" i="12"/>
  <c r="J310" i="12"/>
  <c r="J308" i="12"/>
  <c r="J293" i="12"/>
  <c r="J246" i="12"/>
  <c r="J169" i="12"/>
  <c r="J168" i="12"/>
  <c r="J166" i="12"/>
  <c r="J119" i="12"/>
  <c r="J104" i="12"/>
  <c r="J34" i="12"/>
  <c r="J33" i="12"/>
  <c r="J32" i="12"/>
  <c r="J30" i="12"/>
  <c r="J28" i="12"/>
  <c r="J23" i="12"/>
  <c r="P67" i="1" l="1"/>
  <c r="P14" i="12"/>
  <c r="P19" i="12"/>
  <c r="E21" i="12"/>
  <c r="E20" i="12"/>
  <c r="H93" i="10"/>
  <c r="P20" i="12" l="1"/>
  <c r="P21" i="12"/>
  <c r="E1140" i="12"/>
  <c r="P1140" i="12" s="1"/>
  <c r="E629" i="12"/>
  <c r="P629" i="12" s="1"/>
  <c r="E582" i="12"/>
  <c r="P582" i="12" s="1"/>
  <c r="E544" i="12"/>
  <c r="E347" i="12"/>
  <c r="P347" i="12" s="1"/>
  <c r="E300" i="12"/>
  <c r="P300" i="12" s="1"/>
  <c r="E1114" i="1" a="1"/>
  <c r="E1114" i="1" s="1"/>
  <c r="P1114" i="1" s="1"/>
  <c r="M75" i="10" l="1"/>
  <c r="N75" i="10" s="1"/>
  <c r="E535" i="12"/>
  <c r="P535" i="12" s="1"/>
  <c r="P544" i="12"/>
  <c r="E253" i="12"/>
  <c r="Q94" i="10"/>
  <c r="Q91" i="10"/>
  <c r="H91" i="10"/>
  <c r="E17" i="12"/>
  <c r="P5" i="12"/>
  <c r="E13" i="12"/>
  <c r="E1138" i="1"/>
  <c r="P1138" i="1" s="1"/>
  <c r="E1112" i="1"/>
  <c r="P1112" i="1" s="1"/>
  <c r="E1111" i="1"/>
  <c r="P1111" i="1" s="1"/>
  <c r="E1115" i="1"/>
  <c r="P1115" i="1" s="1"/>
  <c r="E1085" i="1"/>
  <c r="P1085" i="1" s="1"/>
  <c r="E1056" i="1"/>
  <c r="P1056" i="1" s="1"/>
  <c r="E1054" i="1"/>
  <c r="E1057" i="1"/>
  <c r="P1057" i="1" s="1"/>
  <c r="E1053" i="1"/>
  <c r="P1053" i="1" s="1"/>
  <c r="H1306" i="12"/>
  <c r="G1306" i="12"/>
  <c r="E1257" i="12"/>
  <c r="P1257" i="12" s="1"/>
  <c r="E1251" i="12"/>
  <c r="E1248" i="12"/>
  <c r="E1238" i="12"/>
  <c r="E1227" i="12"/>
  <c r="P1227" i="12" s="1"/>
  <c r="H1222" i="12"/>
  <c r="G1222" i="12"/>
  <c r="E1213" i="12"/>
  <c r="P1213" i="12" s="1"/>
  <c r="E1207" i="12"/>
  <c r="E1204" i="12"/>
  <c r="P1204" i="12" s="1"/>
  <c r="E1194" i="12"/>
  <c r="E1183" i="12"/>
  <c r="P1183" i="12" s="1"/>
  <c r="H1178" i="12"/>
  <c r="G1178" i="12"/>
  <c r="E1169" i="12"/>
  <c r="P1169" i="12" s="1"/>
  <c r="E1163" i="12"/>
  <c r="E1160" i="12"/>
  <c r="E1150" i="12"/>
  <c r="E1139" i="12"/>
  <c r="H1134" i="12"/>
  <c r="E1141" i="12" s="1"/>
  <c r="P1141" i="12" s="1"/>
  <c r="G1134" i="12"/>
  <c r="E1125" i="12"/>
  <c r="P1125" i="12" s="1"/>
  <c r="E1119" i="12"/>
  <c r="E1116" i="12"/>
  <c r="E1106" i="12"/>
  <c r="E1095" i="12"/>
  <c r="P1095" i="12" s="1"/>
  <c r="H1090" i="12"/>
  <c r="G1090" i="12"/>
  <c r="E1081" i="12"/>
  <c r="P1081" i="12" s="1"/>
  <c r="E1075" i="12"/>
  <c r="P1075" i="12" s="1"/>
  <c r="E1072" i="12"/>
  <c r="E1062" i="12"/>
  <c r="E1051" i="12"/>
  <c r="P1051" i="12" s="1"/>
  <c r="H1046" i="12"/>
  <c r="G1046" i="12"/>
  <c r="E1049" i="12" s="1"/>
  <c r="E1037" i="12"/>
  <c r="P1037" i="12" s="1"/>
  <c r="E1031" i="12"/>
  <c r="E1028" i="12"/>
  <c r="E1018" i="12"/>
  <c r="E1004" i="12"/>
  <c r="P1004" i="12" s="1"/>
  <c r="H999" i="12"/>
  <c r="G999" i="12"/>
  <c r="E1002" i="12" s="1"/>
  <c r="E990" i="12"/>
  <c r="P990" i="12" s="1"/>
  <c r="E984" i="12"/>
  <c r="E981" i="12"/>
  <c r="P981" i="12" s="1"/>
  <c r="E971" i="12"/>
  <c r="P971" i="12" s="1"/>
  <c r="E957" i="12"/>
  <c r="P957" i="12" s="1"/>
  <c r="H952" i="12"/>
  <c r="G952" i="12"/>
  <c r="E955" i="12" s="1"/>
  <c r="P955" i="12" s="1"/>
  <c r="E943" i="12"/>
  <c r="P943" i="12" s="1"/>
  <c r="E937" i="12"/>
  <c r="P937" i="12" s="1"/>
  <c r="E934" i="12"/>
  <c r="E924" i="12"/>
  <c r="E910" i="12"/>
  <c r="P910" i="12" s="1"/>
  <c r="H905" i="12"/>
  <c r="G905" i="12"/>
  <c r="E908" i="12" s="1"/>
  <c r="P908" i="12" s="1"/>
  <c r="E896" i="12"/>
  <c r="P896" i="12" s="1"/>
  <c r="E890" i="12"/>
  <c r="E887" i="12"/>
  <c r="P887" i="12" s="1"/>
  <c r="E877" i="12"/>
  <c r="H858" i="12"/>
  <c r="G858" i="12"/>
  <c r="E861" i="12" s="1"/>
  <c r="P861" i="12" s="1"/>
  <c r="E863" i="12"/>
  <c r="P863" i="12" s="1"/>
  <c r="E849" i="12"/>
  <c r="P849" i="12" s="1"/>
  <c r="E843" i="12"/>
  <c r="E840" i="12"/>
  <c r="P840" i="12" s="1"/>
  <c r="E830" i="12"/>
  <c r="E816" i="12"/>
  <c r="P816" i="12" s="1"/>
  <c r="H811" i="12"/>
  <c r="G811" i="12"/>
  <c r="E814" i="12" s="1"/>
  <c r="P814" i="12" s="1"/>
  <c r="E802" i="12"/>
  <c r="P802" i="12" s="1"/>
  <c r="E796" i="12"/>
  <c r="P796" i="12" s="1"/>
  <c r="E793" i="12"/>
  <c r="E783" i="12"/>
  <c r="E769" i="12"/>
  <c r="P769" i="12" s="1"/>
  <c r="H764" i="12"/>
  <c r="G764" i="12"/>
  <c r="E767" i="12" s="1"/>
  <c r="P767" i="12" s="1"/>
  <c r="E755" i="12"/>
  <c r="P755" i="12" s="1"/>
  <c r="E749" i="12"/>
  <c r="E746" i="12"/>
  <c r="E736" i="12"/>
  <c r="E722" i="12"/>
  <c r="P722" i="12" s="1"/>
  <c r="H717" i="12"/>
  <c r="G717" i="12"/>
  <c r="E720" i="12" s="1"/>
  <c r="P720" i="12" s="1"/>
  <c r="E708" i="12"/>
  <c r="P708" i="12" s="1"/>
  <c r="E702" i="12"/>
  <c r="P702" i="12" s="1"/>
  <c r="E699" i="12"/>
  <c r="P699" i="12" s="1"/>
  <c r="E689" i="12"/>
  <c r="H670" i="12"/>
  <c r="E675" i="12"/>
  <c r="P675" i="12" s="1"/>
  <c r="E661" i="12"/>
  <c r="P661" i="12" s="1"/>
  <c r="E655" i="12"/>
  <c r="P655" i="12" s="1"/>
  <c r="E652" i="12"/>
  <c r="E642" i="12"/>
  <c r="E628" i="12"/>
  <c r="P628" i="12" s="1"/>
  <c r="H623" i="12"/>
  <c r="G623" i="12"/>
  <c r="E626" i="12" s="1"/>
  <c r="E614" i="12"/>
  <c r="P614" i="12" s="1"/>
  <c r="E608" i="12"/>
  <c r="E605" i="12"/>
  <c r="P605" i="12" s="1"/>
  <c r="E595" i="12"/>
  <c r="P595" i="12" s="1"/>
  <c r="E581" i="12"/>
  <c r="P581" i="12" s="1"/>
  <c r="H576" i="12"/>
  <c r="G576" i="12"/>
  <c r="E579" i="12" s="1"/>
  <c r="P579" i="12" s="1"/>
  <c r="E567" i="12"/>
  <c r="P567" i="12" s="1"/>
  <c r="E561" i="12"/>
  <c r="P561" i="12" s="1"/>
  <c r="E558" i="12"/>
  <c r="E548" i="12"/>
  <c r="E534" i="12"/>
  <c r="P534" i="12" s="1"/>
  <c r="H529" i="12"/>
  <c r="G529" i="12"/>
  <c r="E532" i="12" s="1"/>
  <c r="P532" i="12" s="1"/>
  <c r="E520" i="12"/>
  <c r="P520" i="12" s="1"/>
  <c r="E514" i="12"/>
  <c r="E511" i="12"/>
  <c r="E501" i="12"/>
  <c r="P501" i="12" s="1"/>
  <c r="E487" i="12"/>
  <c r="P487" i="12" s="1"/>
  <c r="H482" i="12"/>
  <c r="G482" i="12"/>
  <c r="E485" i="12" s="1"/>
  <c r="P485" i="12" s="1"/>
  <c r="E473" i="12"/>
  <c r="P473" i="12" s="1"/>
  <c r="E467" i="12"/>
  <c r="E464" i="12"/>
  <c r="P464" i="12" s="1"/>
  <c r="E454" i="12"/>
  <c r="H435" i="12"/>
  <c r="G435" i="12"/>
  <c r="E438" i="12" s="1"/>
  <c r="E440" i="12"/>
  <c r="P440" i="12" s="1"/>
  <c r="E426" i="12"/>
  <c r="P426" i="12" s="1"/>
  <c r="E420" i="12"/>
  <c r="E417" i="12"/>
  <c r="P417" i="12" s="1"/>
  <c r="E407" i="12"/>
  <c r="P407" i="12" s="1"/>
  <c r="H388" i="12"/>
  <c r="G388" i="12"/>
  <c r="E391" i="12" s="1"/>
  <c r="E393" i="12"/>
  <c r="P393" i="12" s="1"/>
  <c r="E379" i="12"/>
  <c r="P379" i="12" s="1"/>
  <c r="E373" i="12"/>
  <c r="E370" i="12"/>
  <c r="P370" i="12" s="1"/>
  <c r="E360" i="12"/>
  <c r="P360" i="12" s="1"/>
  <c r="H341" i="12"/>
  <c r="G341" i="12"/>
  <c r="E344" i="12" s="1"/>
  <c r="E346" i="12"/>
  <c r="P346" i="12" s="1"/>
  <c r="E332" i="12"/>
  <c r="P332" i="12" s="1"/>
  <c r="E326" i="12"/>
  <c r="E323" i="12"/>
  <c r="P323" i="12" s="1"/>
  <c r="E313" i="12"/>
  <c r="P313" i="12" s="1"/>
  <c r="E299" i="12"/>
  <c r="P299" i="12" s="1"/>
  <c r="H294" i="12"/>
  <c r="G294" i="12"/>
  <c r="E297" i="12" s="1"/>
  <c r="E285" i="12"/>
  <c r="P285" i="12" s="1"/>
  <c r="E279" i="12"/>
  <c r="E276" i="12"/>
  <c r="P276" i="12" s="1"/>
  <c r="E266" i="12"/>
  <c r="P266" i="12" s="1"/>
  <c r="E252" i="12"/>
  <c r="P252" i="12" s="1"/>
  <c r="H247" i="12"/>
  <c r="E254" i="12" s="1"/>
  <c r="P254" i="12" s="1"/>
  <c r="G247" i="12"/>
  <c r="E250" i="12" s="1"/>
  <c r="E232" i="12"/>
  <c r="E229" i="12"/>
  <c r="P229" i="12" s="1"/>
  <c r="E218" i="12"/>
  <c r="P218" i="12" s="1"/>
  <c r="H199" i="12"/>
  <c r="E204" i="12"/>
  <c r="P204" i="12" s="1"/>
  <c r="E190" i="12"/>
  <c r="P190" i="12" s="1"/>
  <c r="E184" i="12"/>
  <c r="E181" i="12"/>
  <c r="E171" i="12"/>
  <c r="P171" i="12" s="1"/>
  <c r="E157" i="12"/>
  <c r="P157" i="12" s="1"/>
  <c r="H152" i="12"/>
  <c r="G152" i="12"/>
  <c r="E155" i="12" s="1"/>
  <c r="P155" i="12" s="1"/>
  <c r="E143" i="12"/>
  <c r="P143" i="12" s="1"/>
  <c r="E137" i="12"/>
  <c r="E134" i="12"/>
  <c r="P134" i="12" s="1"/>
  <c r="E124" i="12"/>
  <c r="E110" i="12"/>
  <c r="P110" i="12" s="1"/>
  <c r="H105" i="12"/>
  <c r="E112" i="12" s="1"/>
  <c r="P112" i="12" s="1"/>
  <c r="G105" i="12"/>
  <c r="E108" i="12" s="1"/>
  <c r="P108" i="12" s="1"/>
  <c r="E51" i="12"/>
  <c r="E45" i="12"/>
  <c r="E42" i="12"/>
  <c r="H8" i="12"/>
  <c r="E15" i="12" s="1"/>
  <c r="E1134" i="1"/>
  <c r="P1134" i="1" s="1"/>
  <c r="E374" i="1"/>
  <c r="P374" i="1" s="1"/>
  <c r="E1038" i="1"/>
  <c r="P1038" i="1" s="1"/>
  <c r="E1032" i="1"/>
  <c r="P1032" i="1" s="1"/>
  <c r="E1029" i="1"/>
  <c r="P1029" i="1" s="1"/>
  <c r="E1019" i="1"/>
  <c r="P1019" i="1" s="1"/>
  <c r="E1005" i="1"/>
  <c r="P1005" i="1" s="1"/>
  <c r="E991" i="1"/>
  <c r="P991" i="1" s="1"/>
  <c r="E985" i="1"/>
  <c r="P985" i="1" s="1"/>
  <c r="E982" i="1"/>
  <c r="P982" i="1" s="1"/>
  <c r="E972" i="1"/>
  <c r="P972" i="1" s="1"/>
  <c r="E958" i="1"/>
  <c r="P958" i="1" s="1"/>
  <c r="E944" i="1"/>
  <c r="P944" i="1" s="1"/>
  <c r="E938" i="1"/>
  <c r="P938" i="1" s="1"/>
  <c r="E935" i="1"/>
  <c r="P935" i="1" s="1"/>
  <c r="E948" i="1"/>
  <c r="P948" i="1" s="1"/>
  <c r="E911" i="1"/>
  <c r="P911" i="1" s="1"/>
  <c r="E897" i="1"/>
  <c r="P897" i="1" s="1"/>
  <c r="E891" i="1"/>
  <c r="P891" i="1" s="1"/>
  <c r="E888" i="1"/>
  <c r="P888" i="1" s="1"/>
  <c r="E878" i="1"/>
  <c r="P878" i="1" s="1"/>
  <c r="E850" i="1"/>
  <c r="P850" i="1" s="1"/>
  <c r="E844" i="1"/>
  <c r="P844" i="1" s="1"/>
  <c r="E841" i="1"/>
  <c r="P841" i="1" s="1"/>
  <c r="E831" i="1"/>
  <c r="P831" i="1" s="1"/>
  <c r="E817" i="1"/>
  <c r="P817" i="1" s="1"/>
  <c r="E803" i="1"/>
  <c r="P803" i="1" s="1"/>
  <c r="E797" i="1"/>
  <c r="P797" i="1" s="1"/>
  <c r="E794" i="1"/>
  <c r="P794" i="1" s="1"/>
  <c r="E784" i="1"/>
  <c r="P784" i="1" s="1"/>
  <c r="E770" i="1"/>
  <c r="P770" i="1" s="1"/>
  <c r="E756" i="1"/>
  <c r="P756" i="1" s="1"/>
  <c r="E747" i="1"/>
  <c r="P747" i="1" s="1"/>
  <c r="E737" i="1"/>
  <c r="P737" i="1" s="1"/>
  <c r="E723" i="1"/>
  <c r="P723" i="1" s="1"/>
  <c r="E709" i="1"/>
  <c r="P709" i="1" s="1"/>
  <c r="E703" i="1"/>
  <c r="P703" i="1" s="1"/>
  <c r="E700" i="1"/>
  <c r="P700" i="1" s="1"/>
  <c r="E690" i="1"/>
  <c r="P690" i="1" s="1"/>
  <c r="E662" i="1"/>
  <c r="P662" i="1" s="1"/>
  <c r="E656" i="1"/>
  <c r="P656" i="1" s="1"/>
  <c r="E653" i="1"/>
  <c r="P653" i="1" s="1"/>
  <c r="E643" i="1"/>
  <c r="P643" i="1" s="1"/>
  <c r="E629" i="1"/>
  <c r="P629" i="1" s="1"/>
  <c r="E615" i="1"/>
  <c r="P615" i="1" s="1"/>
  <c r="E609" i="1"/>
  <c r="P609" i="1" s="1"/>
  <c r="E606" i="1"/>
  <c r="P606" i="1" s="1"/>
  <c r="E596" i="1"/>
  <c r="P596" i="1" s="1"/>
  <c r="E582" i="1"/>
  <c r="P582" i="1" s="1"/>
  <c r="E568" i="1"/>
  <c r="P568" i="1" s="1"/>
  <c r="E562" i="1"/>
  <c r="P562" i="1" s="1"/>
  <c r="E559" i="1"/>
  <c r="P559" i="1" s="1"/>
  <c r="E549" i="1"/>
  <c r="P549" i="1" s="1"/>
  <c r="E535" i="1"/>
  <c r="P535" i="1" s="1"/>
  <c r="E521" i="1"/>
  <c r="P521" i="1" s="1"/>
  <c r="E515" i="1"/>
  <c r="P515" i="1" s="1"/>
  <c r="E512" i="1"/>
  <c r="P512" i="1" s="1"/>
  <c r="E502" i="1"/>
  <c r="P502" i="1" s="1"/>
  <c r="E488" i="1"/>
  <c r="P488" i="1" s="1"/>
  <c r="E474" i="1"/>
  <c r="P474" i="1" s="1"/>
  <c r="E468" i="1"/>
  <c r="P468" i="1" s="1"/>
  <c r="E465" i="1"/>
  <c r="P465" i="1" s="1"/>
  <c r="E455" i="1"/>
  <c r="P455" i="1" s="1"/>
  <c r="E427" i="1"/>
  <c r="P427" i="1" s="1"/>
  <c r="E421" i="1"/>
  <c r="P421" i="1" s="1"/>
  <c r="E418" i="1"/>
  <c r="P418" i="1" s="1"/>
  <c r="E408" i="1"/>
  <c r="P408" i="1" s="1"/>
  <c r="E380" i="1"/>
  <c r="P380" i="1" s="1"/>
  <c r="E371" i="1"/>
  <c r="P371" i="1" s="1"/>
  <c r="E361" i="1"/>
  <c r="P361" i="1" s="1"/>
  <c r="E333" i="1"/>
  <c r="P333" i="1" s="1"/>
  <c r="E327" i="1"/>
  <c r="P327" i="1" s="1"/>
  <c r="E324" i="1"/>
  <c r="P324" i="1" s="1"/>
  <c r="E314" i="1"/>
  <c r="P314" i="1" s="1"/>
  <c r="E300" i="1"/>
  <c r="P300" i="1" s="1"/>
  <c r="E286" i="1"/>
  <c r="P286" i="1" s="1"/>
  <c r="E280" i="1"/>
  <c r="P280" i="1" s="1"/>
  <c r="E277" i="1"/>
  <c r="P277" i="1" s="1"/>
  <c r="E267" i="1"/>
  <c r="P267" i="1" s="1"/>
  <c r="E253" i="1"/>
  <c r="P253" i="1" s="1"/>
  <c r="E239" i="1"/>
  <c r="P239" i="1" s="1"/>
  <c r="E233" i="1"/>
  <c r="P233" i="1" s="1"/>
  <c r="E230" i="1"/>
  <c r="P230" i="1" s="1"/>
  <c r="E220" i="1"/>
  <c r="P220" i="1" s="1"/>
  <c r="E192" i="1"/>
  <c r="P192" i="1" s="1"/>
  <c r="E186" i="1"/>
  <c r="P186" i="1" s="1"/>
  <c r="E183" i="1"/>
  <c r="P183" i="1" s="1"/>
  <c r="E173" i="1"/>
  <c r="P173" i="1" s="1"/>
  <c r="E159" i="1"/>
  <c r="P159" i="1" s="1"/>
  <c r="E126" i="1"/>
  <c r="P126" i="1" s="1"/>
  <c r="E145" i="1"/>
  <c r="P145" i="1" s="1"/>
  <c r="E112" i="1"/>
  <c r="P112" i="1" s="1"/>
  <c r="E110" i="1"/>
  <c r="P110" i="1" s="1"/>
  <c r="E66" i="1"/>
  <c r="P66" i="1" s="1"/>
  <c r="E70" i="1"/>
  <c r="E15" i="1"/>
  <c r="E16" i="1" a="1"/>
  <c r="E16" i="1" s="1"/>
  <c r="E51" i="1"/>
  <c r="P19" i="10" l="1"/>
  <c r="R19" i="10" s="1"/>
  <c r="P16" i="1"/>
  <c r="P51" i="1"/>
  <c r="P15" i="1"/>
  <c r="P20" i="10"/>
  <c r="R20" i="10" s="1"/>
  <c r="P70" i="1"/>
  <c r="P1054" i="1"/>
  <c r="P22" i="10"/>
  <c r="R22" i="10" s="1"/>
  <c r="P124" i="12"/>
  <c r="M24" i="10"/>
  <c r="N24" i="10" s="1"/>
  <c r="M21" i="10"/>
  <c r="N21" i="10" s="1"/>
  <c r="P17" i="12"/>
  <c r="M20" i="10"/>
  <c r="N20" i="10" s="1"/>
  <c r="P15" i="12"/>
  <c r="P42" i="12"/>
  <c r="M4" i="10"/>
  <c r="P45" i="12"/>
  <c r="M8" i="10"/>
  <c r="M22" i="10"/>
  <c r="N22" i="10" s="1"/>
  <c r="P51" i="12"/>
  <c r="M39" i="10"/>
  <c r="N39" i="10" s="1"/>
  <c r="E296" i="12"/>
  <c r="P296" i="12" s="1"/>
  <c r="P297" i="12"/>
  <c r="E343" i="12"/>
  <c r="P343" i="12" s="1"/>
  <c r="P344" i="12"/>
  <c r="E455" i="12"/>
  <c r="P455" i="12" s="1"/>
  <c r="P454" i="12"/>
  <c r="E512" i="12"/>
  <c r="P512" i="12" s="1"/>
  <c r="P511" i="12"/>
  <c r="E785" i="12"/>
  <c r="P785" i="12" s="1"/>
  <c r="P783" i="12"/>
  <c r="E891" i="12"/>
  <c r="P891" i="12" s="1"/>
  <c r="P890" i="12"/>
  <c r="E1001" i="12"/>
  <c r="P1001" i="12" s="1"/>
  <c r="P1002" i="12"/>
  <c r="E1151" i="12"/>
  <c r="P1151" i="12" s="1"/>
  <c r="P1150" i="12"/>
  <c r="E1254" i="12"/>
  <c r="P1254" i="12" s="1"/>
  <c r="P1251" i="12"/>
  <c r="E182" i="12"/>
  <c r="P182" i="12" s="1"/>
  <c r="P181" i="12"/>
  <c r="E249" i="12"/>
  <c r="P249" i="12" s="1"/>
  <c r="P250" i="12"/>
  <c r="E517" i="12"/>
  <c r="P517" i="12" s="1"/>
  <c r="P514" i="12"/>
  <c r="E625" i="12"/>
  <c r="P625" i="12" s="1"/>
  <c r="P626" i="12"/>
  <c r="E759" i="12"/>
  <c r="P759" i="12" s="1"/>
  <c r="P736" i="12"/>
  <c r="E794" i="12"/>
  <c r="P794" i="12" s="1"/>
  <c r="P793" i="12"/>
  <c r="E844" i="12"/>
  <c r="P844" i="12" s="1"/>
  <c r="P843" i="12"/>
  <c r="E1129" i="12"/>
  <c r="P1129" i="12" s="1"/>
  <c r="P1106" i="12"/>
  <c r="E1159" i="12"/>
  <c r="P1159" i="12" s="1"/>
  <c r="P1160" i="12"/>
  <c r="E1208" i="12"/>
  <c r="P1208" i="12" s="1"/>
  <c r="P1207" i="12"/>
  <c r="E187" i="12"/>
  <c r="P187" i="12" s="1"/>
  <c r="P184" i="12"/>
  <c r="E690" i="12"/>
  <c r="P690" i="12" s="1"/>
  <c r="P689" i="12"/>
  <c r="E1063" i="12"/>
  <c r="P1063" i="12" s="1"/>
  <c r="P1062" i="12"/>
  <c r="E1117" i="12"/>
  <c r="P1117" i="12" s="1"/>
  <c r="P1116" i="12"/>
  <c r="E1166" i="12"/>
  <c r="P1166" i="12" s="1"/>
  <c r="P1163" i="12"/>
  <c r="E140" i="12"/>
  <c r="E141" i="12" s="1"/>
  <c r="P141" i="12" s="1"/>
  <c r="P137" i="12"/>
  <c r="E423" i="12"/>
  <c r="P423" i="12" s="1"/>
  <c r="P420" i="12"/>
  <c r="E752" i="12"/>
  <c r="P752" i="12" s="1"/>
  <c r="P749" i="12"/>
  <c r="E1041" i="12"/>
  <c r="P1041" i="12" s="1"/>
  <c r="P1018" i="12"/>
  <c r="E1071" i="12"/>
  <c r="P1071" i="12" s="1"/>
  <c r="P1072" i="12"/>
  <c r="E1120" i="12"/>
  <c r="P1120" i="12" s="1"/>
  <c r="P1119" i="12"/>
  <c r="E233" i="12"/>
  <c r="P233" i="12" s="1"/>
  <c r="P232" i="12"/>
  <c r="E470" i="12"/>
  <c r="P470" i="12" s="1"/>
  <c r="P467" i="12"/>
  <c r="E643" i="12"/>
  <c r="P643" i="12" s="1"/>
  <c r="P642" i="12"/>
  <c r="E1027" i="12"/>
  <c r="P1027" i="12" s="1"/>
  <c r="P1028" i="12"/>
  <c r="E329" i="12"/>
  <c r="P329" i="12" s="1"/>
  <c r="P326" i="12"/>
  <c r="E653" i="12"/>
  <c r="P653" i="12" s="1"/>
  <c r="P652" i="12"/>
  <c r="E925" i="12"/>
  <c r="P925" i="12" s="1"/>
  <c r="P924" i="12"/>
  <c r="E1032" i="12"/>
  <c r="P1032" i="12" s="1"/>
  <c r="P1031" i="12"/>
  <c r="E53" i="12"/>
  <c r="P13" i="12"/>
  <c r="P253" i="12"/>
  <c r="E280" i="12"/>
  <c r="P280" i="12" s="1"/>
  <c r="P279" i="12"/>
  <c r="E437" i="12"/>
  <c r="P437" i="12" s="1"/>
  <c r="P438" i="12"/>
  <c r="E571" i="12"/>
  <c r="P571" i="12" s="1"/>
  <c r="P548" i="12"/>
  <c r="E900" i="12"/>
  <c r="P900" i="12" s="1"/>
  <c r="P877" i="12"/>
  <c r="E935" i="12"/>
  <c r="P935" i="12" s="1"/>
  <c r="P934" i="12"/>
  <c r="E985" i="12"/>
  <c r="P985" i="12" s="1"/>
  <c r="P984" i="12"/>
  <c r="E1261" i="12"/>
  <c r="P1261" i="12" s="1"/>
  <c r="P1238" i="12"/>
  <c r="E747" i="12"/>
  <c r="P747" i="12" s="1"/>
  <c r="P746" i="12"/>
  <c r="E376" i="12"/>
  <c r="P376" i="12" s="1"/>
  <c r="P373" i="12"/>
  <c r="E390" i="12"/>
  <c r="P390" i="12" s="1"/>
  <c r="P391" i="12"/>
  <c r="E559" i="12"/>
  <c r="P559" i="12" s="1"/>
  <c r="P558" i="12"/>
  <c r="E609" i="12"/>
  <c r="P609" i="12" s="1"/>
  <c r="P608" i="12"/>
  <c r="E853" i="12"/>
  <c r="P853" i="12" s="1"/>
  <c r="P830" i="12"/>
  <c r="E1048" i="12"/>
  <c r="P1048" i="12" s="1"/>
  <c r="P1049" i="12"/>
  <c r="E1171" i="12"/>
  <c r="P1171" i="12" s="1"/>
  <c r="P1139" i="12"/>
  <c r="E1217" i="12"/>
  <c r="P1217" i="12" s="1"/>
  <c r="P1194" i="12"/>
  <c r="E1247" i="12"/>
  <c r="P1247" i="12" s="1"/>
  <c r="P1248" i="12"/>
  <c r="E1139" i="1"/>
  <c r="E564" i="12"/>
  <c r="E48" i="12"/>
  <c r="E41" i="12"/>
  <c r="E795" i="1"/>
  <c r="P795" i="1" s="1"/>
  <c r="E798" i="1"/>
  <c r="P798" i="1" s="1"/>
  <c r="E840" i="1"/>
  <c r="P840" i="1" s="1"/>
  <c r="E701" i="1"/>
  <c r="P701" i="1" s="1"/>
  <c r="E654" i="1"/>
  <c r="P654" i="1" s="1"/>
  <c r="E511" i="1"/>
  <c r="P511" i="1" s="1"/>
  <c r="E182" i="1"/>
  <c r="P182" i="1" s="1"/>
  <c r="E560" i="1"/>
  <c r="P560" i="1" s="1"/>
  <c r="E1030" i="1"/>
  <c r="P1030" i="1" s="1"/>
  <c r="E229" i="1"/>
  <c r="P229" i="1" s="1"/>
  <c r="E887" i="1"/>
  <c r="P887" i="1" s="1"/>
  <c r="E1033" i="1"/>
  <c r="P1033" i="1" s="1"/>
  <c r="E370" i="1"/>
  <c r="P370" i="1" s="1"/>
  <c r="E657" i="1"/>
  <c r="P657" i="1" s="1"/>
  <c r="E983" i="1"/>
  <c r="P983" i="1" s="1"/>
  <c r="E419" i="1"/>
  <c r="P419" i="1" s="1"/>
  <c r="E751" i="1"/>
  <c r="P751" i="1" s="1"/>
  <c r="E607" i="1"/>
  <c r="P607" i="1" s="1"/>
  <c r="E939" i="1"/>
  <c r="P939" i="1" s="1"/>
  <c r="E325" i="1"/>
  <c r="P325" i="1" s="1"/>
  <c r="E746" i="1"/>
  <c r="P746" i="1" s="1"/>
  <c r="E276" i="1"/>
  <c r="P276" i="1" s="1"/>
  <c r="E466" i="1"/>
  <c r="P466" i="1" s="1"/>
  <c r="E936" i="1"/>
  <c r="P936" i="1" s="1"/>
  <c r="E114" i="1"/>
  <c r="P114" i="1" s="1"/>
  <c r="E348" i="12"/>
  <c r="P348" i="12" s="1"/>
  <c r="E442" i="12"/>
  <c r="P442" i="12" s="1"/>
  <c r="E865" i="12"/>
  <c r="P865" i="12" s="1"/>
  <c r="E1006" i="12"/>
  <c r="P1006" i="12" s="1"/>
  <c r="E771" i="12"/>
  <c r="P771" i="12" s="1"/>
  <c r="E677" i="12"/>
  <c r="P677" i="12" s="1"/>
  <c r="E912" i="12"/>
  <c r="E301" i="12"/>
  <c r="P301" i="12" s="1"/>
  <c r="E489" i="12"/>
  <c r="P489" i="12" s="1"/>
  <c r="E583" i="12"/>
  <c r="P583" i="12" s="1"/>
  <c r="E395" i="12"/>
  <c r="P395" i="12" s="1"/>
  <c r="E818" i="12"/>
  <c r="P818" i="12" s="1"/>
  <c r="E1053" i="12"/>
  <c r="P1053" i="12" s="1"/>
  <c r="E1185" i="12"/>
  <c r="P1185" i="12" s="1"/>
  <c r="E206" i="12"/>
  <c r="P206" i="12" s="1"/>
  <c r="E724" i="12"/>
  <c r="P724" i="12" s="1"/>
  <c r="E959" i="12"/>
  <c r="P959" i="12" s="1"/>
  <c r="E536" i="12"/>
  <c r="P536" i="12" s="1"/>
  <c r="E1229" i="12"/>
  <c r="P1229" i="12" s="1"/>
  <c r="E159" i="12"/>
  <c r="P159" i="12" s="1"/>
  <c r="E630" i="12"/>
  <c r="P630" i="12" s="1"/>
  <c r="E1097" i="12"/>
  <c r="P1097" i="12" s="1"/>
  <c r="E230" i="12"/>
  <c r="P230" i="12" s="1"/>
  <c r="E228" i="12"/>
  <c r="P228" i="12" s="1"/>
  <c r="E518" i="12"/>
  <c r="P518" i="12" s="1"/>
  <c r="E570" i="1"/>
  <c r="P570" i="1" s="1"/>
  <c r="E457" i="1"/>
  <c r="P457" i="1" s="1"/>
  <c r="J455" i="1"/>
  <c r="E504" i="1"/>
  <c r="P504" i="1" s="1"/>
  <c r="J502" i="1"/>
  <c r="E572" i="1"/>
  <c r="P572" i="1" s="1"/>
  <c r="J549" i="1"/>
  <c r="E619" i="1"/>
  <c r="P619" i="1" s="1"/>
  <c r="J596" i="1"/>
  <c r="E644" i="1"/>
  <c r="P644" i="1" s="1"/>
  <c r="J643" i="1"/>
  <c r="E692" i="1"/>
  <c r="P692" i="1" s="1"/>
  <c r="J690" i="1"/>
  <c r="E738" i="1"/>
  <c r="P738" i="1" s="1"/>
  <c r="J737" i="1"/>
  <c r="E785" i="1"/>
  <c r="P785" i="1" s="1"/>
  <c r="J784" i="1"/>
  <c r="E854" i="1"/>
  <c r="P854" i="1" s="1"/>
  <c r="J831" i="1"/>
  <c r="E410" i="1"/>
  <c r="P410" i="1" s="1"/>
  <c r="J408" i="1"/>
  <c r="E222" i="1"/>
  <c r="P222" i="1" s="1"/>
  <c r="J220" i="1"/>
  <c r="E269" i="1"/>
  <c r="P269" i="1" s="1"/>
  <c r="J267" i="1"/>
  <c r="E316" i="1"/>
  <c r="P316" i="1" s="1"/>
  <c r="J314" i="1"/>
  <c r="E384" i="1"/>
  <c r="P384" i="1" s="1"/>
  <c r="J361" i="1"/>
  <c r="E196" i="1"/>
  <c r="P196" i="1" s="1"/>
  <c r="J173" i="1"/>
  <c r="E879" i="1"/>
  <c r="P879" i="1" s="1"/>
  <c r="J878" i="1"/>
  <c r="E973" i="1"/>
  <c r="P973" i="1" s="1"/>
  <c r="J972" i="1"/>
  <c r="E1020" i="1"/>
  <c r="P1020" i="1" s="1"/>
  <c r="J1019" i="1"/>
  <c r="E149" i="1"/>
  <c r="P149" i="1" s="1"/>
  <c r="J126" i="1"/>
  <c r="E242" i="12"/>
  <c r="P242" i="12" s="1"/>
  <c r="J218" i="12"/>
  <c r="E314" i="12"/>
  <c r="P314" i="12" s="1"/>
  <c r="J313" i="12"/>
  <c r="E408" i="12"/>
  <c r="P408" i="12" s="1"/>
  <c r="J407" i="12"/>
  <c r="E194" i="12"/>
  <c r="P194" i="12" s="1"/>
  <c r="J171" i="12"/>
  <c r="J266" i="12"/>
  <c r="E361" i="12"/>
  <c r="P361" i="12" s="1"/>
  <c r="J360" i="12"/>
  <c r="J19" i="12"/>
  <c r="E147" i="12"/>
  <c r="P147" i="12" s="1"/>
  <c r="J124" i="12"/>
  <c r="E1240" i="12"/>
  <c r="P1240" i="12" s="1"/>
  <c r="E275" i="12"/>
  <c r="P275" i="12" s="1"/>
  <c r="E1115" i="12"/>
  <c r="P1115" i="12" s="1"/>
  <c r="E804" i="12"/>
  <c r="P804" i="12" s="1"/>
  <c r="E604" i="12"/>
  <c r="P604" i="12" s="1"/>
  <c r="E698" i="12"/>
  <c r="P698" i="12" s="1"/>
  <c r="E235" i="12"/>
  <c r="P235" i="12" s="1"/>
  <c r="E510" i="12"/>
  <c r="P510" i="12" s="1"/>
  <c r="E1181" i="12"/>
  <c r="P1181" i="12" s="1"/>
  <c r="E1239" i="12"/>
  <c r="P1239" i="12" s="1"/>
  <c r="E842" i="1"/>
  <c r="P842" i="1" s="1"/>
  <c r="E889" i="1"/>
  <c r="P889" i="1" s="1"/>
  <c r="E981" i="1"/>
  <c r="P981" i="1" s="1"/>
  <c r="E362" i="1"/>
  <c r="P362" i="1" s="1"/>
  <c r="E422" i="1"/>
  <c r="P422" i="1" s="1"/>
  <c r="E805" i="1"/>
  <c r="P805" i="1" s="1"/>
  <c r="E409" i="1"/>
  <c r="P409" i="1" s="1"/>
  <c r="E1137" i="12"/>
  <c r="E1195" i="12"/>
  <c r="P1195" i="12" s="1"/>
  <c r="E1225" i="12"/>
  <c r="E465" i="12"/>
  <c r="P465" i="12" s="1"/>
  <c r="E133" i="12"/>
  <c r="P133" i="12" s="1"/>
  <c r="E185" i="12"/>
  <c r="P185" i="12" s="1"/>
  <c r="E277" i="12"/>
  <c r="P277" i="12" s="1"/>
  <c r="E700" i="12"/>
  <c r="P700" i="12" s="1"/>
  <c r="E282" i="12"/>
  <c r="P282" i="12" s="1"/>
  <c r="Q53" i="10"/>
  <c r="Q79" i="10"/>
  <c r="Q75" i="10"/>
  <c r="Q66" i="10"/>
  <c r="Q60" i="10"/>
  <c r="Q13" i="10"/>
  <c r="H13" i="10"/>
  <c r="Q78" i="10"/>
  <c r="Q70" i="10"/>
  <c r="Q64" i="10"/>
  <c r="Q58" i="10"/>
  <c r="Q52" i="10"/>
  <c r="Q44" i="10"/>
  <c r="Q27" i="10"/>
  <c r="Q6" i="10"/>
  <c r="Q45" i="10"/>
  <c r="Q41" i="10"/>
  <c r="Q36" i="10"/>
  <c r="Q40" i="10"/>
  <c r="Q77" i="10"/>
  <c r="Q68" i="10"/>
  <c r="Q62" i="10"/>
  <c r="Q55" i="10"/>
  <c r="Q51" i="10"/>
  <c r="Q43" i="10"/>
  <c r="Q38" i="10"/>
  <c r="Q23" i="10"/>
  <c r="Q65" i="10"/>
  <c r="Q10" i="10"/>
  <c r="Q74" i="10"/>
  <c r="Q90" i="10"/>
  <c r="Q76" i="10"/>
  <c r="Q73" i="10"/>
  <c r="Q67" i="10"/>
  <c r="Q61" i="10"/>
  <c r="Q54" i="10"/>
  <c r="Q46" i="10"/>
  <c r="Q42" i="10"/>
  <c r="Q37" i="10"/>
  <c r="Q11" i="10"/>
  <c r="E363" i="1"/>
  <c r="P363" i="1" s="1"/>
  <c r="E417" i="1"/>
  <c r="P417" i="1" s="1"/>
  <c r="E431" i="1"/>
  <c r="P431" i="1" s="1"/>
  <c r="E645" i="1"/>
  <c r="P645" i="1" s="1"/>
  <c r="E464" i="1"/>
  <c r="P464" i="1" s="1"/>
  <c r="E478" i="1"/>
  <c r="P478" i="1" s="1"/>
  <c r="E523" i="1"/>
  <c r="P523" i="1" s="1"/>
  <c r="E652" i="1"/>
  <c r="P652" i="1" s="1"/>
  <c r="E1084" i="1"/>
  <c r="P1084" i="1" s="1"/>
  <c r="E525" i="1"/>
  <c r="P525" i="1" s="1"/>
  <c r="E135" i="12"/>
  <c r="P135" i="12" s="1"/>
  <c r="E324" i="12"/>
  <c r="P324" i="12" s="1"/>
  <c r="E371" i="12"/>
  <c r="P371" i="12" s="1"/>
  <c r="E569" i="12"/>
  <c r="E792" i="12"/>
  <c r="P792" i="12" s="1"/>
  <c r="E878" i="12"/>
  <c r="P878" i="12" s="1"/>
  <c r="E982" i="12"/>
  <c r="P982" i="12" s="1"/>
  <c r="E1122" i="12"/>
  <c r="P1122" i="12" s="1"/>
  <c r="E1210" i="12"/>
  <c r="P1210" i="12" s="1"/>
  <c r="G8" i="12"/>
  <c r="E11" i="12" s="1"/>
  <c r="E418" i="12"/>
  <c r="P418" i="12" s="1"/>
  <c r="E606" i="12"/>
  <c r="P606" i="12" s="1"/>
  <c r="E611" i="12"/>
  <c r="P611" i="12" s="1"/>
  <c r="E651" i="12"/>
  <c r="P651" i="12" s="1"/>
  <c r="E745" i="12"/>
  <c r="P745" i="12" s="1"/>
  <c r="E879" i="12"/>
  <c r="P879" i="12" s="1"/>
  <c r="E933" i="12"/>
  <c r="P933" i="12" s="1"/>
  <c r="E1034" i="12"/>
  <c r="P1034" i="12" s="1"/>
  <c r="E1203" i="12"/>
  <c r="P1203" i="12" s="1"/>
  <c r="E145" i="12"/>
  <c r="E287" i="12"/>
  <c r="P287" i="12" s="1"/>
  <c r="E616" i="12"/>
  <c r="E334" i="12"/>
  <c r="P334" i="12" s="1"/>
  <c r="E738" i="12"/>
  <c r="P738" i="12" s="1"/>
  <c r="E926" i="12"/>
  <c r="P926" i="12" s="1"/>
  <c r="E938" i="12"/>
  <c r="P938" i="12" s="1"/>
  <c r="E947" i="12"/>
  <c r="P947" i="12" s="1"/>
  <c r="E1076" i="12"/>
  <c r="P1076" i="12" s="1"/>
  <c r="E1205" i="12"/>
  <c r="P1205" i="12" s="1"/>
  <c r="E739" i="1"/>
  <c r="P739" i="1" s="1"/>
  <c r="E760" i="1"/>
  <c r="P760" i="1" s="1"/>
  <c r="E1215" i="12"/>
  <c r="P1215" i="12" s="1"/>
  <c r="E1127" i="12"/>
  <c r="P1127" i="12" s="1"/>
  <c r="E1093" i="12"/>
  <c r="E1039" i="12"/>
  <c r="E992" i="12"/>
  <c r="P992" i="12" s="1"/>
  <c r="E898" i="12"/>
  <c r="E851" i="12"/>
  <c r="P851" i="12" s="1"/>
  <c r="E710" i="12"/>
  <c r="P710" i="12" s="1"/>
  <c r="E757" i="12"/>
  <c r="E663" i="12"/>
  <c r="P663" i="12" s="1"/>
  <c r="E522" i="12"/>
  <c r="E1252" i="12"/>
  <c r="P1252" i="12" s="1"/>
  <c r="E1164" i="12"/>
  <c r="P1164" i="12" s="1"/>
  <c r="E1029" i="12"/>
  <c r="P1029" i="12" s="1"/>
  <c r="E987" i="12"/>
  <c r="P987" i="12" s="1"/>
  <c r="E1152" i="12"/>
  <c r="P1152" i="12" s="1"/>
  <c r="E1173" i="12"/>
  <c r="P1173" i="12" s="1"/>
  <c r="E1107" i="12"/>
  <c r="P1107" i="12" s="1"/>
  <c r="E1064" i="12"/>
  <c r="P1064" i="12" s="1"/>
  <c r="E1085" i="12"/>
  <c r="P1085" i="12" s="1"/>
  <c r="E831" i="12"/>
  <c r="P831" i="12" s="1"/>
  <c r="E832" i="12"/>
  <c r="P832" i="12" s="1"/>
  <c r="E806" i="12"/>
  <c r="P806" i="12" s="1"/>
  <c r="E784" i="12"/>
  <c r="P784" i="12" s="1"/>
  <c r="E737" i="12"/>
  <c r="P737" i="12" s="1"/>
  <c r="E502" i="12"/>
  <c r="P502" i="12" s="1"/>
  <c r="E503" i="12"/>
  <c r="P503" i="12" s="1"/>
  <c r="E524" i="12"/>
  <c r="P524" i="12" s="1"/>
  <c r="E267" i="12"/>
  <c r="P267" i="12" s="1"/>
  <c r="E220" i="12"/>
  <c r="P220" i="12" s="1"/>
  <c r="E192" i="12"/>
  <c r="E138" i="12"/>
  <c r="P138" i="12" s="1"/>
  <c r="E513" i="1"/>
  <c r="P513" i="1" s="1"/>
  <c r="E666" i="1"/>
  <c r="P666" i="1" s="1"/>
  <c r="E713" i="1"/>
  <c r="P713" i="1" s="1"/>
  <c r="E995" i="1"/>
  <c r="P995" i="1" s="1"/>
  <c r="E605" i="1"/>
  <c r="P605" i="1" s="1"/>
  <c r="E691" i="1"/>
  <c r="P691" i="1" s="1"/>
  <c r="E748" i="1"/>
  <c r="P748" i="1" s="1"/>
  <c r="E845" i="1"/>
  <c r="P845" i="1" s="1"/>
  <c r="E892" i="1"/>
  <c r="P892" i="1" s="1"/>
  <c r="E699" i="1"/>
  <c r="P699" i="1" s="1"/>
  <c r="E786" i="1"/>
  <c r="P786" i="1" s="1"/>
  <c r="E974" i="1"/>
  <c r="P974" i="1" s="1"/>
  <c r="E1042" i="1"/>
  <c r="P1042" i="1" s="1"/>
  <c r="E901" i="1"/>
  <c r="P901" i="1" s="1"/>
  <c r="E880" i="1"/>
  <c r="P880" i="1" s="1"/>
  <c r="E503" i="1"/>
  <c r="P503" i="1" s="1"/>
  <c r="E833" i="1"/>
  <c r="P833" i="1" s="1"/>
  <c r="E372" i="1"/>
  <c r="P372" i="1" s="1"/>
  <c r="E704" i="1"/>
  <c r="P704" i="1" s="1"/>
  <c r="E807" i="1"/>
  <c r="P807" i="1" s="1"/>
  <c r="E1021" i="1"/>
  <c r="P1021" i="1" s="1"/>
  <c r="E240" i="12"/>
  <c r="P240" i="12" s="1"/>
  <c r="E484" i="12"/>
  <c r="P484" i="12" s="1"/>
  <c r="E248" i="12"/>
  <c r="E428" i="12"/>
  <c r="P428" i="12" s="1"/>
  <c r="E106" i="12"/>
  <c r="E107" i="12"/>
  <c r="P107" i="12" s="1"/>
  <c r="E381" i="12"/>
  <c r="P381" i="12" s="1"/>
  <c r="E154" i="12"/>
  <c r="P154" i="12" s="1"/>
  <c r="E475" i="12"/>
  <c r="P475" i="12" s="1"/>
  <c r="E55" i="12"/>
  <c r="E172" i="12"/>
  <c r="P172" i="12" s="1"/>
  <c r="E219" i="12"/>
  <c r="P219" i="12" s="1"/>
  <c r="E315" i="12"/>
  <c r="P315" i="12" s="1"/>
  <c r="E322" i="12"/>
  <c r="P322" i="12" s="1"/>
  <c r="E362" i="12"/>
  <c r="P362" i="12" s="1"/>
  <c r="E369" i="12"/>
  <c r="P369" i="12" s="1"/>
  <c r="E409" i="12"/>
  <c r="P409" i="12" s="1"/>
  <c r="E416" i="12"/>
  <c r="P416" i="12" s="1"/>
  <c r="E456" i="12"/>
  <c r="P456" i="12" s="1"/>
  <c r="E463" i="12"/>
  <c r="P463" i="12" s="1"/>
  <c r="E515" i="12"/>
  <c r="P515" i="12" s="1"/>
  <c r="E618" i="12"/>
  <c r="P618" i="12" s="1"/>
  <c r="E597" i="12"/>
  <c r="P597" i="12" s="1"/>
  <c r="E46" i="12"/>
  <c r="E125" i="12"/>
  <c r="E268" i="12"/>
  <c r="P268" i="12" s="1"/>
  <c r="E327" i="12"/>
  <c r="P327" i="12" s="1"/>
  <c r="E336" i="12"/>
  <c r="P336" i="12" s="1"/>
  <c r="E374" i="12"/>
  <c r="P374" i="12" s="1"/>
  <c r="E383" i="12"/>
  <c r="P383" i="12" s="1"/>
  <c r="E421" i="12"/>
  <c r="P421" i="12" s="1"/>
  <c r="E430" i="12"/>
  <c r="P430" i="12" s="1"/>
  <c r="E468" i="12"/>
  <c r="P468" i="12" s="1"/>
  <c r="E477" i="12"/>
  <c r="P477" i="12" s="1"/>
  <c r="E596" i="12"/>
  <c r="P596" i="12" s="1"/>
  <c r="E886" i="12"/>
  <c r="P886" i="12" s="1"/>
  <c r="E888" i="12"/>
  <c r="P888" i="12" s="1"/>
  <c r="E994" i="12"/>
  <c r="P994" i="12" s="1"/>
  <c r="E973" i="12"/>
  <c r="P973" i="12" s="1"/>
  <c r="E972" i="12"/>
  <c r="P972" i="12" s="1"/>
  <c r="J20" i="12"/>
  <c r="E173" i="12"/>
  <c r="E180" i="12"/>
  <c r="P180" i="12" s="1"/>
  <c r="G199" i="12"/>
  <c r="E202" i="12" s="1"/>
  <c r="P202" i="12" s="1"/>
  <c r="E289" i="12"/>
  <c r="P289" i="12" s="1"/>
  <c r="E719" i="12"/>
  <c r="P719" i="12" s="1"/>
  <c r="E799" i="12"/>
  <c r="P799" i="12" s="1"/>
  <c r="E531" i="12"/>
  <c r="P531" i="12" s="1"/>
  <c r="E658" i="12"/>
  <c r="P658" i="12" s="1"/>
  <c r="E656" i="12"/>
  <c r="P656" i="12" s="1"/>
  <c r="E797" i="12"/>
  <c r="P797" i="12" s="1"/>
  <c r="E860" i="12"/>
  <c r="P860" i="12" s="1"/>
  <c r="E578" i="12"/>
  <c r="P578" i="12" s="1"/>
  <c r="E766" i="12"/>
  <c r="P766" i="12" s="1"/>
  <c r="E839" i="12"/>
  <c r="P839" i="12" s="1"/>
  <c r="E841" i="12"/>
  <c r="P841" i="12" s="1"/>
  <c r="E945" i="12"/>
  <c r="P945" i="12" s="1"/>
  <c r="E907" i="12"/>
  <c r="P907" i="12" s="1"/>
  <c r="E954" i="12"/>
  <c r="P954" i="12" s="1"/>
  <c r="E705" i="12"/>
  <c r="P705" i="12" s="1"/>
  <c r="E703" i="12"/>
  <c r="P703" i="12" s="1"/>
  <c r="E549" i="12"/>
  <c r="P549" i="12" s="1"/>
  <c r="E644" i="12"/>
  <c r="P644" i="12" s="1"/>
  <c r="G670" i="12"/>
  <c r="E673" i="12" s="1"/>
  <c r="P673" i="12" s="1"/>
  <c r="E691" i="12"/>
  <c r="P691" i="12" s="1"/>
  <c r="E750" i="12"/>
  <c r="P750" i="12" s="1"/>
  <c r="E940" i="12"/>
  <c r="P940" i="12" s="1"/>
  <c r="E1019" i="12"/>
  <c r="P1019" i="12" s="1"/>
  <c r="E665" i="12"/>
  <c r="P665" i="12" s="1"/>
  <c r="E712" i="12"/>
  <c r="P712" i="12" s="1"/>
  <c r="E846" i="12"/>
  <c r="P846" i="12" s="1"/>
  <c r="E893" i="12"/>
  <c r="P893" i="12" s="1"/>
  <c r="E550" i="12"/>
  <c r="P550" i="12" s="1"/>
  <c r="E557" i="12"/>
  <c r="P557" i="12" s="1"/>
  <c r="E1020" i="12"/>
  <c r="P1020" i="12" s="1"/>
  <c r="E1073" i="12"/>
  <c r="P1073" i="12" s="1"/>
  <c r="E1078" i="12"/>
  <c r="P1078" i="12" s="1"/>
  <c r="E1108" i="12"/>
  <c r="P1108" i="12" s="1"/>
  <c r="E1161" i="12"/>
  <c r="P1161" i="12" s="1"/>
  <c r="E1196" i="12"/>
  <c r="P1196" i="12" s="1"/>
  <c r="E1249" i="12"/>
  <c r="P1249" i="12" s="1"/>
  <c r="E562" i="12"/>
  <c r="P562" i="12" s="1"/>
  <c r="E980" i="12"/>
  <c r="P980" i="12" s="1"/>
  <c r="E1259" i="12"/>
  <c r="P1259" i="12" s="1"/>
  <c r="E986" i="1"/>
  <c r="P986" i="1" s="1"/>
  <c r="E946" i="1"/>
  <c r="P946" i="1" s="1"/>
  <c r="E852" i="1"/>
  <c r="P852" i="1" s="1"/>
  <c r="E758" i="1"/>
  <c r="P758" i="1" s="1"/>
  <c r="E664" i="1"/>
  <c r="P664" i="1" s="1"/>
  <c r="E610" i="1"/>
  <c r="P610" i="1" s="1"/>
  <c r="E617" i="1"/>
  <c r="P617" i="1" s="1"/>
  <c r="E563" i="1"/>
  <c r="P563" i="1" s="1"/>
  <c r="E516" i="1"/>
  <c r="P516" i="1" s="1"/>
  <c r="E469" i="1"/>
  <c r="P469" i="1" s="1"/>
  <c r="E375" i="1"/>
  <c r="P375" i="1" s="1"/>
  <c r="E1028" i="1"/>
  <c r="P1028" i="1" s="1"/>
  <c r="E1040" i="1"/>
  <c r="P1040" i="1" s="1"/>
  <c r="E993" i="1"/>
  <c r="P993" i="1" s="1"/>
  <c r="E926" i="1"/>
  <c r="P926" i="1" s="1"/>
  <c r="E927" i="1"/>
  <c r="P927" i="1" s="1"/>
  <c r="E934" i="1"/>
  <c r="P934" i="1" s="1"/>
  <c r="E832" i="1"/>
  <c r="P832" i="1" s="1"/>
  <c r="E793" i="1"/>
  <c r="P793" i="1" s="1"/>
  <c r="E597" i="1"/>
  <c r="P597" i="1" s="1"/>
  <c r="E598" i="1"/>
  <c r="P598" i="1" s="1"/>
  <c r="E550" i="1"/>
  <c r="P550" i="1" s="1"/>
  <c r="E551" i="1"/>
  <c r="P551" i="1" s="1"/>
  <c r="E558" i="1"/>
  <c r="P558" i="1" s="1"/>
  <c r="E456" i="1"/>
  <c r="P456" i="1" s="1"/>
  <c r="E187" i="1"/>
  <c r="P187" i="1" s="1"/>
  <c r="E278" i="1"/>
  <c r="P278" i="1" s="1"/>
  <c r="E290" i="1"/>
  <c r="P290" i="1" s="1"/>
  <c r="E184" i="1"/>
  <c r="P184" i="1" s="1"/>
  <c r="E268" i="1"/>
  <c r="P268" i="1" s="1"/>
  <c r="E337" i="1"/>
  <c r="P337" i="1" s="1"/>
  <c r="E315" i="1"/>
  <c r="P315" i="1" s="1"/>
  <c r="E100" i="1"/>
  <c r="P100" i="1" s="1"/>
  <c r="E323" i="1"/>
  <c r="P323" i="1" s="1"/>
  <c r="E328" i="1"/>
  <c r="P328" i="1" s="1"/>
  <c r="E335" i="1"/>
  <c r="P335" i="1" s="1"/>
  <c r="E281" i="1"/>
  <c r="P281" i="1" s="1"/>
  <c r="E231" i="1"/>
  <c r="P231" i="1" s="1"/>
  <c r="E288" i="1"/>
  <c r="P288" i="1" s="1"/>
  <c r="E243" i="1"/>
  <c r="P243" i="1" s="1"/>
  <c r="E221" i="1"/>
  <c r="P221" i="1" s="1"/>
  <c r="E234" i="1"/>
  <c r="P234" i="1" s="1"/>
  <c r="E174" i="1"/>
  <c r="P174" i="1" s="1"/>
  <c r="E147" i="1"/>
  <c r="P147" i="1" s="1"/>
  <c r="E175" i="1"/>
  <c r="P175" i="1" s="1"/>
  <c r="E194" i="1"/>
  <c r="P194" i="1" s="1"/>
  <c r="E109" i="1"/>
  <c r="P109" i="1" s="1"/>
  <c r="E1117" i="1"/>
  <c r="P1117" i="1" s="1"/>
  <c r="E79" i="1"/>
  <c r="P79" i="1" s="1"/>
  <c r="E45" i="1"/>
  <c r="E19" i="1"/>
  <c r="G8" i="1"/>
  <c r="H8" i="1"/>
  <c r="E13" i="1" a="1"/>
  <c r="E13" i="1" s="1"/>
  <c r="E42" i="1"/>
  <c r="E471" i="12" l="1"/>
  <c r="P471" i="12" s="1"/>
  <c r="N8" i="10"/>
  <c r="N4" i="10"/>
  <c r="E753" i="12"/>
  <c r="E756" i="12" s="1"/>
  <c r="P756" i="12" s="1"/>
  <c r="P24" i="10"/>
  <c r="R24" i="10" s="1"/>
  <c r="P19" i="1"/>
  <c r="E1140" i="1"/>
  <c r="P1140" i="1" s="1"/>
  <c r="P1139" i="1"/>
  <c r="P45" i="1"/>
  <c r="E424" i="12"/>
  <c r="P424" i="12" s="1"/>
  <c r="P13" i="1"/>
  <c r="P42" i="1"/>
  <c r="E188" i="12"/>
  <c r="P188" i="12" s="1"/>
  <c r="P140" i="12"/>
  <c r="P173" i="12"/>
  <c r="M26" i="10"/>
  <c r="N26" i="10" s="1"/>
  <c r="M3" i="10"/>
  <c r="M17" i="10"/>
  <c r="N17" i="10" s="1"/>
  <c r="M12" i="10"/>
  <c r="P125" i="12"/>
  <c r="M25" i="10"/>
  <c r="N25" i="10" s="1"/>
  <c r="P46" i="12"/>
  <c r="M9" i="10"/>
  <c r="E1167" i="12"/>
  <c r="P1167" i="12" s="1"/>
  <c r="P55" i="12"/>
  <c r="M50" i="10"/>
  <c r="N50" i="10" s="1"/>
  <c r="E1083" i="12"/>
  <c r="P1083" i="12" s="1"/>
  <c r="P11" i="12"/>
  <c r="M16" i="10"/>
  <c r="N16" i="10" s="1"/>
  <c r="E377" i="12"/>
  <c r="P377" i="12" s="1"/>
  <c r="E899" i="12"/>
  <c r="P899" i="12" s="1"/>
  <c r="P898" i="12"/>
  <c r="E758" i="12"/>
  <c r="P758" i="12" s="1"/>
  <c r="P757" i="12"/>
  <c r="E906" i="12"/>
  <c r="P906" i="12" s="1"/>
  <c r="P912" i="12"/>
  <c r="J248" i="12"/>
  <c r="P248" i="12"/>
  <c r="P48" i="12"/>
  <c r="E193" i="12"/>
  <c r="P193" i="12" s="1"/>
  <c r="P192" i="12"/>
  <c r="E1255" i="12"/>
  <c r="P1255" i="12" s="1"/>
  <c r="E1172" i="12"/>
  <c r="P1172" i="12" s="1"/>
  <c r="E54" i="12"/>
  <c r="P53" i="12"/>
  <c r="E1224" i="12"/>
  <c r="P1224" i="12" s="1"/>
  <c r="P1225" i="12"/>
  <c r="E523" i="12"/>
  <c r="P523" i="12" s="1"/>
  <c r="P522" i="12"/>
  <c r="E1136" i="12"/>
  <c r="P1136" i="12" s="1"/>
  <c r="P1137" i="12"/>
  <c r="E330" i="12"/>
  <c r="P330" i="12" s="1"/>
  <c r="E43" i="12"/>
  <c r="P41" i="12"/>
  <c r="E565" i="12"/>
  <c r="P564" i="12"/>
  <c r="E1040" i="12"/>
  <c r="P1040" i="12" s="1"/>
  <c r="P1039" i="12"/>
  <c r="E146" i="12"/>
  <c r="P146" i="12" s="1"/>
  <c r="P145" i="12"/>
  <c r="E570" i="12"/>
  <c r="P570" i="12" s="1"/>
  <c r="P569" i="12"/>
  <c r="J106" i="12"/>
  <c r="P106" i="12"/>
  <c r="E1092" i="12"/>
  <c r="P1092" i="12" s="1"/>
  <c r="P1093" i="12"/>
  <c r="E617" i="12"/>
  <c r="P617" i="12" s="1"/>
  <c r="P616" i="12"/>
  <c r="E659" i="1"/>
  <c r="P659" i="1" s="1"/>
  <c r="E283" i="1"/>
  <c r="E518" i="1"/>
  <c r="E330" i="1"/>
  <c r="E847" i="1"/>
  <c r="E800" i="1"/>
  <c r="P800" i="1" s="1"/>
  <c r="E894" i="1"/>
  <c r="E941" i="1"/>
  <c r="P941" i="1" s="1"/>
  <c r="E565" i="1"/>
  <c r="E471" i="1"/>
  <c r="E706" i="1"/>
  <c r="E612" i="1"/>
  <c r="E988" i="1"/>
  <c r="E753" i="1"/>
  <c r="E377" i="1"/>
  <c r="E236" i="1"/>
  <c r="E189" i="1"/>
  <c r="E424" i="1"/>
  <c r="E1035" i="1"/>
  <c r="P1035" i="1" s="1"/>
  <c r="E52" i="12"/>
  <c r="E1216" i="12"/>
  <c r="P1216" i="12" s="1"/>
  <c r="E1128" i="12"/>
  <c r="P1128" i="12" s="1"/>
  <c r="E1260" i="12"/>
  <c r="P1260" i="12" s="1"/>
  <c r="E483" i="12"/>
  <c r="P483" i="12" s="1"/>
  <c r="E342" i="12"/>
  <c r="E9" i="12"/>
  <c r="E12" i="12" s="1"/>
  <c r="J692" i="1"/>
  <c r="J316" i="1"/>
  <c r="J927" i="1"/>
  <c r="J363" i="1"/>
  <c r="E148" i="1"/>
  <c r="P148" i="1" s="1"/>
  <c r="J410" i="1"/>
  <c r="J974" i="1"/>
  <c r="J457" i="1"/>
  <c r="E618" i="1"/>
  <c r="P618" i="1" s="1"/>
  <c r="J269" i="1"/>
  <c r="J833" i="1"/>
  <c r="E759" i="1"/>
  <c r="P759" i="1" s="1"/>
  <c r="J79" i="1"/>
  <c r="E1041" i="1"/>
  <c r="P1041" i="1" s="1"/>
  <c r="J504" i="1"/>
  <c r="E853" i="1"/>
  <c r="P853" i="1" s="1"/>
  <c r="E947" i="1"/>
  <c r="P947" i="1" s="1"/>
  <c r="J645" i="1"/>
  <c r="E806" i="1"/>
  <c r="P806" i="1" s="1"/>
  <c r="E101" i="1"/>
  <c r="P101" i="1" s="1"/>
  <c r="E665" i="1"/>
  <c r="P665" i="1" s="1"/>
  <c r="E195" i="1"/>
  <c r="P195" i="1" s="1"/>
  <c r="J175" i="1"/>
  <c r="E994" i="1"/>
  <c r="P994" i="1" s="1"/>
  <c r="J1117" i="1"/>
  <c r="E524" i="1"/>
  <c r="P524" i="1" s="1"/>
  <c r="J1021" i="1"/>
  <c r="J739" i="1"/>
  <c r="J222" i="1"/>
  <c r="J880" i="1"/>
  <c r="J786" i="1"/>
  <c r="E571" i="1"/>
  <c r="P571" i="1" s="1"/>
  <c r="E289" i="1"/>
  <c r="P289" i="1" s="1"/>
  <c r="J551" i="1"/>
  <c r="E336" i="1"/>
  <c r="P336" i="1" s="1"/>
  <c r="J598" i="1"/>
  <c r="E108" i="1"/>
  <c r="E530" i="12"/>
  <c r="E295" i="12"/>
  <c r="E1000" i="12"/>
  <c r="E153" i="12"/>
  <c r="E953" i="12"/>
  <c r="P953" i="12" s="1"/>
  <c r="E436" i="12"/>
  <c r="E859" i="12"/>
  <c r="E718" i="12"/>
  <c r="P718" i="12" s="1"/>
  <c r="E765" i="12"/>
  <c r="E624" i="12"/>
  <c r="P624" i="12" s="1"/>
  <c r="E1047" i="12"/>
  <c r="P1047" i="12" s="1"/>
  <c r="E577" i="12"/>
  <c r="E812" i="12"/>
  <c r="E389" i="12"/>
  <c r="E521" i="12"/>
  <c r="P521" i="12" s="1"/>
  <c r="E1123" i="12"/>
  <c r="E1079" i="12"/>
  <c r="P1079" i="12" s="1"/>
  <c r="E659" i="12"/>
  <c r="P659" i="12" s="1"/>
  <c r="E800" i="12"/>
  <c r="E988" i="12"/>
  <c r="P988" i="12" s="1"/>
  <c r="E612" i="12"/>
  <c r="E474" i="12"/>
  <c r="P474" i="12" s="1"/>
  <c r="E894" i="12"/>
  <c r="P894" i="12" s="1"/>
  <c r="E941" i="12"/>
  <c r="E283" i="12"/>
  <c r="E236" i="12"/>
  <c r="E144" i="12"/>
  <c r="P144" i="12" s="1"/>
  <c r="E847" i="12"/>
  <c r="P847" i="12" s="1"/>
  <c r="E1035" i="12"/>
  <c r="P1035" i="12" s="1"/>
  <c r="E706" i="12"/>
  <c r="P706" i="12" s="1"/>
  <c r="E1211" i="12"/>
  <c r="P1211" i="12" s="1"/>
  <c r="E993" i="12"/>
  <c r="P993" i="12" s="1"/>
  <c r="E1223" i="12"/>
  <c r="P1223" i="12" s="1"/>
  <c r="E805" i="12"/>
  <c r="P805" i="12" s="1"/>
  <c r="J268" i="12"/>
  <c r="J409" i="12"/>
  <c r="J315" i="12"/>
  <c r="J362" i="12"/>
  <c r="J173" i="12"/>
  <c r="J220" i="12"/>
  <c r="E1179" i="12"/>
  <c r="J126" i="12"/>
  <c r="E1180" i="12"/>
  <c r="P1180" i="12" s="1"/>
  <c r="E288" i="12"/>
  <c r="P288" i="12" s="1"/>
  <c r="E852" i="12"/>
  <c r="P852" i="12" s="1"/>
  <c r="E1135" i="12"/>
  <c r="E1091" i="12"/>
  <c r="P1091" i="12" s="1"/>
  <c r="H66" i="10"/>
  <c r="H41" i="10"/>
  <c r="H54" i="10"/>
  <c r="H76" i="10"/>
  <c r="H65" i="10"/>
  <c r="H51" i="10"/>
  <c r="H44" i="10"/>
  <c r="H70" i="10"/>
  <c r="H53" i="10"/>
  <c r="N98" i="10"/>
  <c r="H61" i="10"/>
  <c r="H90" i="10"/>
  <c r="H10" i="10"/>
  <c r="H23" i="10"/>
  <c r="H55" i="10"/>
  <c r="H77" i="10"/>
  <c r="H45" i="10"/>
  <c r="H52" i="10"/>
  <c r="H78" i="10"/>
  <c r="E711" i="12"/>
  <c r="P711" i="12" s="1"/>
  <c r="H42" i="10"/>
  <c r="H67" i="10"/>
  <c r="H74" i="10"/>
  <c r="H62" i="10"/>
  <c r="H40" i="10"/>
  <c r="H6" i="10"/>
  <c r="H58" i="10"/>
  <c r="H75" i="10"/>
  <c r="H46" i="10"/>
  <c r="H73" i="10"/>
  <c r="H43" i="10"/>
  <c r="H68" i="10"/>
  <c r="H27" i="10"/>
  <c r="H64" i="10"/>
  <c r="H60" i="10"/>
  <c r="H79" i="10"/>
  <c r="Q30" i="10"/>
  <c r="Q31" i="10"/>
  <c r="Q20" i="10"/>
  <c r="H20" i="10"/>
  <c r="E335" i="12"/>
  <c r="P335" i="12" s="1"/>
  <c r="E664" i="12"/>
  <c r="P664" i="12" s="1"/>
  <c r="E671" i="12"/>
  <c r="P671" i="12" s="1"/>
  <c r="E672" i="12"/>
  <c r="P672" i="12" s="1"/>
  <c r="E946" i="12"/>
  <c r="P946" i="12" s="1"/>
  <c r="E201" i="12"/>
  <c r="P201" i="12" s="1"/>
  <c r="E200" i="12"/>
  <c r="E429" i="12"/>
  <c r="P429" i="12" s="1"/>
  <c r="E241" i="12"/>
  <c r="P241" i="12" s="1"/>
  <c r="E476" i="12"/>
  <c r="P476" i="12" s="1"/>
  <c r="E109" i="12"/>
  <c r="P109" i="12" s="1"/>
  <c r="E251" i="12"/>
  <c r="P251" i="12" s="1"/>
  <c r="E382" i="12"/>
  <c r="P382" i="12" s="1"/>
  <c r="E11" i="1"/>
  <c r="E41" i="1"/>
  <c r="E46" i="1"/>
  <c r="E55" i="1"/>
  <c r="E21" i="1"/>
  <c r="E20" i="1"/>
  <c r="E54" i="1"/>
  <c r="E53" i="1"/>
  <c r="H1048" i="1"/>
  <c r="E1055" i="1" s="1"/>
  <c r="P1055" i="1" s="1"/>
  <c r="G1048" i="1"/>
  <c r="E1051" i="1" s="1"/>
  <c r="P1051" i="1" s="1"/>
  <c r="H1000" i="1"/>
  <c r="E1007" i="1" s="1"/>
  <c r="P1007" i="1" s="1"/>
  <c r="H953" i="1"/>
  <c r="E960" i="1" s="1"/>
  <c r="P960" i="1" s="1"/>
  <c r="H906" i="1"/>
  <c r="E913" i="1" s="1"/>
  <c r="P913" i="1" s="1"/>
  <c r="H859" i="1"/>
  <c r="E866" i="1" s="1"/>
  <c r="P866" i="1" s="1"/>
  <c r="E864" i="1"/>
  <c r="P864" i="1" s="1"/>
  <c r="H812" i="1"/>
  <c r="E819" i="1" s="1"/>
  <c r="P819" i="1" s="1"/>
  <c r="H765" i="1"/>
  <c r="E772" i="1" s="1"/>
  <c r="P772" i="1" s="1"/>
  <c r="H718" i="1"/>
  <c r="E725" i="1" s="1"/>
  <c r="P725" i="1" s="1"/>
  <c r="H671" i="1"/>
  <c r="E678" i="1" s="1"/>
  <c r="P678" i="1" s="1"/>
  <c r="E676" i="1"/>
  <c r="H624" i="1"/>
  <c r="E631" i="1" s="1"/>
  <c r="P631" i="1" s="1"/>
  <c r="H577" i="1"/>
  <c r="E584" i="1" s="1"/>
  <c r="P584" i="1" s="1"/>
  <c r="H530" i="1"/>
  <c r="E537" i="1" s="1"/>
  <c r="P537" i="1" s="1"/>
  <c r="H483" i="1"/>
  <c r="E490" i="1" s="1"/>
  <c r="P490" i="1" s="1"/>
  <c r="H436" i="1"/>
  <c r="E443" i="1" s="1"/>
  <c r="P443" i="1" s="1"/>
  <c r="E441" i="1"/>
  <c r="P441" i="1" s="1"/>
  <c r="H389" i="1"/>
  <c r="E396" i="1" s="1"/>
  <c r="P396" i="1" s="1"/>
  <c r="E394" i="1"/>
  <c r="P394" i="1" s="1"/>
  <c r="H342" i="1"/>
  <c r="E349" i="1" s="1"/>
  <c r="P349" i="1" s="1"/>
  <c r="E347" i="1"/>
  <c r="P347" i="1" s="1"/>
  <c r="H295" i="1"/>
  <c r="E302" i="1" s="1"/>
  <c r="P302" i="1" s="1"/>
  <c r="E206" i="1"/>
  <c r="P206" i="1" s="1"/>
  <c r="P8" i="1"/>
  <c r="J101" i="12" l="1"/>
  <c r="E191" i="12"/>
  <c r="P191" i="12" s="1"/>
  <c r="P753" i="12"/>
  <c r="E427" i="12"/>
  <c r="P427" i="12" s="1"/>
  <c r="N12" i="10"/>
  <c r="N9" i="10"/>
  <c r="N3" i="10"/>
  <c r="E1084" i="12"/>
  <c r="P1084" i="12" s="1"/>
  <c r="M48" i="10"/>
  <c r="N48" i="10" s="1"/>
  <c r="P21" i="10"/>
  <c r="R21" i="10" s="1"/>
  <c r="P41" i="1"/>
  <c r="E111" i="1"/>
  <c r="P111" i="1" s="1"/>
  <c r="P108" i="1"/>
  <c r="E378" i="1"/>
  <c r="P378" i="1" s="1"/>
  <c r="P377" i="1"/>
  <c r="E895" i="1"/>
  <c r="P895" i="1" s="1"/>
  <c r="P894" i="1"/>
  <c r="P11" i="1"/>
  <c r="E754" i="1"/>
  <c r="P754" i="1" s="1"/>
  <c r="P753" i="1"/>
  <c r="E711" i="1"/>
  <c r="P711" i="1" s="1"/>
  <c r="P676" i="1"/>
  <c r="E190" i="1"/>
  <c r="P190" i="1" s="1"/>
  <c r="P189" i="1"/>
  <c r="P53" i="1"/>
  <c r="P54" i="1"/>
  <c r="E613" i="1"/>
  <c r="P613" i="1" s="1"/>
  <c r="P612" i="1"/>
  <c r="E331" i="1"/>
  <c r="P331" i="1" s="1"/>
  <c r="P330" i="1"/>
  <c r="P55" i="1"/>
  <c r="E848" i="1"/>
  <c r="P848" i="1" s="1"/>
  <c r="P847" i="1"/>
  <c r="P20" i="1"/>
  <c r="E519" i="1"/>
  <c r="P519" i="1" s="1"/>
  <c r="P518" i="1"/>
  <c r="E566" i="1"/>
  <c r="P566" i="1" s="1"/>
  <c r="P565" i="1"/>
  <c r="E989" i="1"/>
  <c r="P989" i="1" s="1"/>
  <c r="P988" i="1"/>
  <c r="E707" i="1"/>
  <c r="P707" i="1" s="1"/>
  <c r="P706" i="1"/>
  <c r="P21" i="1"/>
  <c r="E425" i="1"/>
  <c r="P425" i="1" s="1"/>
  <c r="P424" i="1"/>
  <c r="E472" i="1"/>
  <c r="P472" i="1" s="1"/>
  <c r="P471" i="1"/>
  <c r="E284" i="1"/>
  <c r="P284" i="1" s="1"/>
  <c r="P283" i="1"/>
  <c r="P46" i="1"/>
  <c r="E237" i="1"/>
  <c r="P237" i="1" s="1"/>
  <c r="P236" i="1"/>
  <c r="E486" i="12"/>
  <c r="P486" i="12" s="1"/>
  <c r="E380" i="12"/>
  <c r="P380" i="12" s="1"/>
  <c r="P54" i="12"/>
  <c r="M49" i="10"/>
  <c r="N49" i="10" s="1"/>
  <c r="M7" i="10"/>
  <c r="P52" i="12"/>
  <c r="E909" i="12"/>
  <c r="P909" i="12" s="1"/>
  <c r="E333" i="12"/>
  <c r="P333" i="12" s="1"/>
  <c r="M14" i="10"/>
  <c r="N14" i="10" s="1"/>
  <c r="P43" i="12"/>
  <c r="M5" i="10"/>
  <c r="P12" i="12"/>
  <c r="J200" i="12"/>
  <c r="J195" i="12" s="1"/>
  <c r="P200" i="12"/>
  <c r="E1138" i="12"/>
  <c r="P1138" i="12" s="1"/>
  <c r="P1135" i="12"/>
  <c r="E944" i="12"/>
  <c r="P944" i="12" s="1"/>
  <c r="P941" i="12"/>
  <c r="J295" i="12"/>
  <c r="J290" i="12" s="1"/>
  <c r="P295" i="12"/>
  <c r="J9" i="12"/>
  <c r="J3" i="12" s="1"/>
  <c r="P9" i="12"/>
  <c r="P565" i="12"/>
  <c r="E568" i="12"/>
  <c r="P568" i="12" s="1"/>
  <c r="E1182" i="12"/>
  <c r="P1182" i="12" s="1"/>
  <c r="P1179" i="12"/>
  <c r="E1126" i="12"/>
  <c r="P1126" i="12" s="1"/>
  <c r="P1123" i="12"/>
  <c r="E768" i="12"/>
  <c r="P768" i="12" s="1"/>
  <c r="P765" i="12"/>
  <c r="E533" i="12"/>
  <c r="P533" i="12" s="1"/>
  <c r="P530" i="12"/>
  <c r="J342" i="12"/>
  <c r="J337" i="12" s="1"/>
  <c r="P342" i="12"/>
  <c r="E286" i="12"/>
  <c r="P286" i="12" s="1"/>
  <c r="P283" i="12"/>
  <c r="E1003" i="12"/>
  <c r="P1003" i="12" s="1"/>
  <c r="P1000" i="12"/>
  <c r="E239" i="12"/>
  <c r="P239" i="12" s="1"/>
  <c r="P236" i="12"/>
  <c r="E803" i="12"/>
  <c r="P803" i="12" s="1"/>
  <c r="P800" i="12"/>
  <c r="E580" i="12"/>
  <c r="P580" i="12" s="1"/>
  <c r="P577" i="12"/>
  <c r="J153" i="12"/>
  <c r="J148" i="12" s="1"/>
  <c r="P153" i="12"/>
  <c r="E862" i="12"/>
  <c r="P862" i="12" s="1"/>
  <c r="P859" i="12"/>
  <c r="J243" i="12"/>
  <c r="E615" i="12"/>
  <c r="P615" i="12" s="1"/>
  <c r="P612" i="12"/>
  <c r="J389" i="12"/>
  <c r="J384" i="12" s="1"/>
  <c r="P389" i="12"/>
  <c r="E439" i="12"/>
  <c r="P439" i="12" s="1"/>
  <c r="P436" i="12"/>
  <c r="E813" i="12"/>
  <c r="P813" i="12" s="1"/>
  <c r="P812" i="12"/>
  <c r="E942" i="1"/>
  <c r="E801" i="1"/>
  <c r="P801" i="1" s="1"/>
  <c r="E1036" i="1"/>
  <c r="E660" i="1"/>
  <c r="P660" i="1" s="1"/>
  <c r="E10" i="12"/>
  <c r="E345" i="12"/>
  <c r="P345" i="12" s="1"/>
  <c r="E956" i="12"/>
  <c r="P956" i="12" s="1"/>
  <c r="E298" i="12"/>
  <c r="P298" i="12" s="1"/>
  <c r="E156" i="12"/>
  <c r="P156" i="12" s="1"/>
  <c r="E899" i="1"/>
  <c r="P899" i="1" s="1"/>
  <c r="E992" i="1"/>
  <c r="P992" i="1" s="1"/>
  <c r="J108" i="1"/>
  <c r="E382" i="1"/>
  <c r="P382" i="1" s="1"/>
  <c r="E429" i="1"/>
  <c r="P429" i="1" s="1"/>
  <c r="E476" i="1"/>
  <c r="P476" i="1" s="1"/>
  <c r="E240" i="1"/>
  <c r="P240" i="1" s="1"/>
  <c r="E9" i="1"/>
  <c r="E1050" i="12"/>
  <c r="P1050" i="12" s="1"/>
  <c r="E721" i="12"/>
  <c r="P721" i="12" s="1"/>
  <c r="E627" i="12"/>
  <c r="P627" i="12" s="1"/>
  <c r="N97" i="10"/>
  <c r="E392" i="12"/>
  <c r="P392" i="12" s="1"/>
  <c r="E815" i="12"/>
  <c r="P815" i="12" s="1"/>
  <c r="E991" i="12"/>
  <c r="P991" i="12" s="1"/>
  <c r="E662" i="12"/>
  <c r="P662" i="12" s="1"/>
  <c r="E709" i="12"/>
  <c r="P709" i="12" s="1"/>
  <c r="E1226" i="12"/>
  <c r="P1226" i="12" s="1"/>
  <c r="E1094" i="12"/>
  <c r="P1094" i="12" s="1"/>
  <c r="E241" i="1"/>
  <c r="P241" i="1" s="1"/>
  <c r="Q24" i="10"/>
  <c r="H24" i="10"/>
  <c r="E1214" i="12"/>
  <c r="P1214" i="12" s="1"/>
  <c r="E1038" i="12"/>
  <c r="P1038" i="12" s="1"/>
  <c r="E1170" i="12"/>
  <c r="P1170" i="12" s="1"/>
  <c r="E850" i="12"/>
  <c r="P850" i="12" s="1"/>
  <c r="E1082" i="12"/>
  <c r="P1082" i="12" s="1"/>
  <c r="E203" i="12"/>
  <c r="P203" i="12" s="1"/>
  <c r="E897" i="12"/>
  <c r="P897" i="12" s="1"/>
  <c r="E1258" i="12"/>
  <c r="P1258" i="12" s="1"/>
  <c r="E674" i="12"/>
  <c r="P674" i="12" s="1"/>
  <c r="G765" i="1"/>
  <c r="E43" i="1"/>
  <c r="E52" i="1"/>
  <c r="G577" i="1"/>
  <c r="G436" i="1"/>
  <c r="E439" i="1" s="1"/>
  <c r="P439" i="1" s="1"/>
  <c r="G671" i="1"/>
  <c r="E674" i="1" s="1"/>
  <c r="P674" i="1" s="1"/>
  <c r="E204" i="1"/>
  <c r="P204" i="1" s="1"/>
  <c r="G906" i="1"/>
  <c r="E909" i="1" s="1"/>
  <c r="P909" i="1" s="1"/>
  <c r="G342" i="1"/>
  <c r="E345" i="1" s="1"/>
  <c r="P345" i="1" s="1"/>
  <c r="G483" i="1"/>
  <c r="E486" i="1" s="1"/>
  <c r="P486" i="1" s="1"/>
  <c r="G718" i="1"/>
  <c r="E721" i="1" s="1"/>
  <c r="P721" i="1" s="1"/>
  <c r="G812" i="1"/>
  <c r="E815" i="1" s="1"/>
  <c r="P815" i="1" s="1"/>
  <c r="E251" i="1"/>
  <c r="P251" i="1" s="1"/>
  <c r="G953" i="1"/>
  <c r="E956" i="1" s="1"/>
  <c r="P956" i="1" s="1"/>
  <c r="G389" i="1"/>
  <c r="E392" i="1" s="1"/>
  <c r="P392" i="1" s="1"/>
  <c r="G624" i="1"/>
  <c r="E627" i="1" s="1"/>
  <c r="P627" i="1" s="1"/>
  <c r="E157" i="1"/>
  <c r="P157" i="1" s="1"/>
  <c r="G530" i="1"/>
  <c r="E533" i="1" s="1"/>
  <c r="P533" i="1" s="1"/>
  <c r="G859" i="1"/>
  <c r="E862" i="1" s="1"/>
  <c r="P862" i="1" s="1"/>
  <c r="G295" i="1"/>
  <c r="E298" i="1" s="1"/>
  <c r="P298" i="1" s="1"/>
  <c r="G1000" i="1"/>
  <c r="E1003" i="1" s="1"/>
  <c r="P1003" i="1" s="1"/>
  <c r="E804" i="1" l="1"/>
  <c r="P804" i="1" s="1"/>
  <c r="E334" i="1"/>
  <c r="P334" i="1" s="1"/>
  <c r="E616" i="1"/>
  <c r="P616" i="1" s="1"/>
  <c r="E898" i="1"/>
  <c r="P898" i="1" s="1"/>
  <c r="E193" i="1"/>
  <c r="P193" i="1" s="1"/>
  <c r="E522" i="1"/>
  <c r="P522" i="1" s="1"/>
  <c r="E569" i="1"/>
  <c r="P569" i="1" s="1"/>
  <c r="E475" i="1"/>
  <c r="P475" i="1" s="1"/>
  <c r="E381" i="1"/>
  <c r="P381" i="1" s="1"/>
  <c r="E287" i="1"/>
  <c r="P287" i="1" s="1"/>
  <c r="N7" i="10"/>
  <c r="N5" i="10"/>
  <c r="E428" i="1"/>
  <c r="P428" i="1" s="1"/>
  <c r="E851" i="1"/>
  <c r="P851" i="1" s="1"/>
  <c r="E757" i="1"/>
  <c r="P757" i="1" s="1"/>
  <c r="E710" i="1"/>
  <c r="P710" i="1" s="1"/>
  <c r="P48" i="10"/>
  <c r="R48" i="10" s="1"/>
  <c r="E945" i="1"/>
  <c r="P945" i="1" s="1"/>
  <c r="P942" i="1"/>
  <c r="P43" i="1"/>
  <c r="E12" i="1"/>
  <c r="P52" i="1"/>
  <c r="E1039" i="1"/>
  <c r="P1039" i="1" s="1"/>
  <c r="P1036" i="1"/>
  <c r="E663" i="1"/>
  <c r="P663" i="1" s="1"/>
  <c r="P10" i="12"/>
  <c r="P1376" i="12" s="1"/>
  <c r="M15" i="10"/>
  <c r="N15" i="10" s="1"/>
  <c r="M47" i="10"/>
  <c r="N47" i="10" s="1"/>
  <c r="M18" i="10"/>
  <c r="N18" i="10" s="1"/>
  <c r="E900" i="1"/>
  <c r="P900" i="1" s="1"/>
  <c r="E242" i="1"/>
  <c r="E477" i="1"/>
  <c r="P477" i="1" s="1"/>
  <c r="E383" i="1"/>
  <c r="P383" i="1" s="1"/>
  <c r="E430" i="1"/>
  <c r="P430" i="1" s="1"/>
  <c r="E712" i="1"/>
  <c r="P712" i="1" s="1"/>
  <c r="E1379" i="12"/>
  <c r="E344" i="1"/>
  <c r="P344" i="1" s="1"/>
  <c r="E343" i="1"/>
  <c r="P343" i="1" s="1"/>
  <c r="E861" i="1"/>
  <c r="P861" i="1" s="1"/>
  <c r="E860" i="1"/>
  <c r="P860" i="1" s="1"/>
  <c r="E391" i="1"/>
  <c r="P391" i="1" s="1"/>
  <c r="E390" i="1"/>
  <c r="P390" i="1" s="1"/>
  <c r="E673" i="1"/>
  <c r="P673" i="1" s="1"/>
  <c r="E672" i="1"/>
  <c r="P672" i="1" s="1"/>
  <c r="E438" i="1"/>
  <c r="P438" i="1" s="1"/>
  <c r="E437" i="1"/>
  <c r="P437" i="1" s="1"/>
  <c r="E1001" i="1"/>
  <c r="P1001" i="1" s="1"/>
  <c r="E1002" i="1"/>
  <c r="P1002" i="1" s="1"/>
  <c r="E954" i="1"/>
  <c r="P954" i="1" s="1"/>
  <c r="E955" i="1"/>
  <c r="P955" i="1" s="1"/>
  <c r="E908" i="1"/>
  <c r="P908" i="1" s="1"/>
  <c r="E907" i="1"/>
  <c r="P907" i="1" s="1"/>
  <c r="E814" i="1"/>
  <c r="P814" i="1" s="1"/>
  <c r="E813" i="1"/>
  <c r="P813" i="1" s="1"/>
  <c r="E768" i="1"/>
  <c r="P768" i="1" s="1"/>
  <c r="E720" i="1"/>
  <c r="P720" i="1" s="1"/>
  <c r="E719" i="1"/>
  <c r="P719" i="1" s="1"/>
  <c r="E626" i="1"/>
  <c r="P626" i="1" s="1"/>
  <c r="E625" i="1"/>
  <c r="P625" i="1" s="1"/>
  <c r="E580" i="1"/>
  <c r="P580" i="1" s="1"/>
  <c r="E532" i="1"/>
  <c r="P532" i="1" s="1"/>
  <c r="E531" i="1"/>
  <c r="P531" i="1" s="1"/>
  <c r="E485" i="1"/>
  <c r="P485" i="1" s="1"/>
  <c r="E484" i="1"/>
  <c r="P484" i="1" s="1"/>
  <c r="E297" i="1"/>
  <c r="P297" i="1" s="1"/>
  <c r="E296" i="1"/>
  <c r="P296" i="1" s="1"/>
  <c r="E250" i="1"/>
  <c r="P250" i="1" s="1"/>
  <c r="E249" i="1"/>
  <c r="P249" i="1" s="1"/>
  <c r="E203" i="1"/>
  <c r="P203" i="1" s="1"/>
  <c r="E202" i="1"/>
  <c r="P202" i="1" s="1"/>
  <c r="E156" i="1"/>
  <c r="P156" i="1" s="1"/>
  <c r="E155" i="1"/>
  <c r="P155" i="1" s="1"/>
  <c r="E1049" i="1"/>
  <c r="P1049" i="1" s="1"/>
  <c r="H61" i="1"/>
  <c r="E68" i="1" s="1"/>
  <c r="E102" i="1"/>
  <c r="E98" i="1"/>
  <c r="E92" i="1"/>
  <c r="E81" i="1"/>
  <c r="E80" i="1"/>
  <c r="N96" i="10" l="1"/>
  <c r="P92" i="1"/>
  <c r="P98" i="1"/>
  <c r="P102" i="1"/>
  <c r="P80" i="1"/>
  <c r="P81" i="1"/>
  <c r="P242" i="1"/>
  <c r="P49" i="10"/>
  <c r="R49" i="10" s="1"/>
  <c r="P12" i="1"/>
  <c r="P68" i="1"/>
  <c r="J1049" i="1"/>
  <c r="J155" i="1"/>
  <c r="J150" i="1" s="1"/>
  <c r="J81" i="1"/>
  <c r="N102" i="10"/>
  <c r="E440" i="1"/>
  <c r="P440" i="1" s="1"/>
  <c r="J437" i="1"/>
  <c r="J432" i="1" s="1"/>
  <c r="E346" i="1"/>
  <c r="P346" i="1" s="1"/>
  <c r="J343" i="1"/>
  <c r="J338" i="1" s="1"/>
  <c r="E910" i="1"/>
  <c r="P910" i="1" s="1"/>
  <c r="J907" i="1"/>
  <c r="E628" i="1"/>
  <c r="P628" i="1" s="1"/>
  <c r="J625" i="1"/>
  <c r="J620" i="1" s="1"/>
  <c r="E675" i="1"/>
  <c r="P675" i="1" s="1"/>
  <c r="J672" i="1"/>
  <c r="J667" i="1" s="1"/>
  <c r="E534" i="1"/>
  <c r="P534" i="1" s="1"/>
  <c r="J531" i="1"/>
  <c r="J526" i="1" s="1"/>
  <c r="E722" i="1"/>
  <c r="P722" i="1" s="1"/>
  <c r="J719" i="1"/>
  <c r="J714" i="1" s="1"/>
  <c r="E957" i="1"/>
  <c r="P957" i="1" s="1"/>
  <c r="J954" i="1"/>
  <c r="J949" i="1" s="1"/>
  <c r="E393" i="1"/>
  <c r="P393" i="1" s="1"/>
  <c r="J390" i="1"/>
  <c r="J385" i="1" s="1"/>
  <c r="E205" i="1"/>
  <c r="P205" i="1" s="1"/>
  <c r="J202" i="1"/>
  <c r="J197" i="1" s="1"/>
  <c r="E252" i="1"/>
  <c r="P252" i="1" s="1"/>
  <c r="J249" i="1"/>
  <c r="J244" i="1" s="1"/>
  <c r="E487" i="1"/>
  <c r="P487" i="1" s="1"/>
  <c r="J484" i="1"/>
  <c r="J479" i="1" s="1"/>
  <c r="E816" i="1"/>
  <c r="P816" i="1" s="1"/>
  <c r="J813" i="1"/>
  <c r="J808" i="1" s="1"/>
  <c r="E299" i="1"/>
  <c r="P299" i="1" s="1"/>
  <c r="J296" i="1"/>
  <c r="J291" i="1" s="1"/>
  <c r="E1004" i="1"/>
  <c r="P1004" i="1" s="1"/>
  <c r="J1001" i="1"/>
  <c r="J996" i="1" s="1"/>
  <c r="E863" i="1"/>
  <c r="P863" i="1" s="1"/>
  <c r="J860" i="1"/>
  <c r="J855" i="1" s="1"/>
  <c r="E1052" i="1"/>
  <c r="P1052" i="1" s="1"/>
  <c r="E1050" i="1"/>
  <c r="P1050" i="1" s="1"/>
  <c r="E767" i="1"/>
  <c r="P767" i="1" s="1"/>
  <c r="E766" i="1"/>
  <c r="P766" i="1" s="1"/>
  <c r="E578" i="1"/>
  <c r="P578" i="1" s="1"/>
  <c r="E579" i="1"/>
  <c r="P579" i="1" s="1"/>
  <c r="E158" i="1"/>
  <c r="P158" i="1" s="1"/>
  <c r="G61" i="1"/>
  <c r="E64" i="1" s="1"/>
  <c r="E90" i="1"/>
  <c r="E88" i="1"/>
  <c r="E93" i="1"/>
  <c r="P93" i="1" l="1"/>
  <c r="P88" i="1"/>
  <c r="P90" i="1"/>
  <c r="P64" i="1"/>
  <c r="E95" i="1"/>
  <c r="J902" i="1"/>
  <c r="J578" i="1"/>
  <c r="J573" i="1" s="1"/>
  <c r="E62" i="1"/>
  <c r="E769" i="1"/>
  <c r="P769" i="1" s="1"/>
  <c r="J766" i="1"/>
  <c r="J761" i="1" s="1"/>
  <c r="E581" i="1"/>
  <c r="P581" i="1" s="1"/>
  <c r="P62" i="1" l="1"/>
  <c r="E96" i="1"/>
  <c r="P96" i="1" s="1"/>
  <c r="P95" i="1"/>
  <c r="Q72" i="10"/>
  <c r="H72" i="10"/>
  <c r="E65" i="1"/>
  <c r="J62" i="1"/>
  <c r="J56" i="1" s="1"/>
  <c r="E63" i="1"/>
  <c r="E99" i="1"/>
  <c r="E1086" i="1"/>
  <c r="E1082" i="1"/>
  <c r="E1076" i="1"/>
  <c r="P1076" i="1" s="1"/>
  <c r="E1073" i="1"/>
  <c r="P1073" i="1" s="1"/>
  <c r="E1066" i="1"/>
  <c r="P1066" i="1" s="1"/>
  <c r="E1065" i="1"/>
  <c r="P1065" i="1" s="1"/>
  <c r="E1141" i="1"/>
  <c r="P1141" i="1" s="1"/>
  <c r="E1137" i="1"/>
  <c r="P1137" i="1" s="1"/>
  <c r="E1128" i="1"/>
  <c r="P1128" i="1" s="1"/>
  <c r="E1119" i="1"/>
  <c r="P1119" i="1" s="1"/>
  <c r="E1118" i="1"/>
  <c r="P1118" i="1" s="1"/>
  <c r="E136" i="1"/>
  <c r="E139" i="1"/>
  <c r="P65" i="1" l="1"/>
  <c r="P136" i="1"/>
  <c r="P4" i="10"/>
  <c r="P1082" i="1"/>
  <c r="P39" i="10"/>
  <c r="R39" i="10" s="1"/>
  <c r="P139" i="1"/>
  <c r="P8" i="10"/>
  <c r="P1086" i="1"/>
  <c r="P50" i="10"/>
  <c r="R50" i="10" s="1"/>
  <c r="P99" i="1"/>
  <c r="P63" i="1"/>
  <c r="J1119" i="1"/>
  <c r="J1066" i="1"/>
  <c r="J1043" i="1" s="1"/>
  <c r="E1079" i="1"/>
  <c r="G1092" i="1"/>
  <c r="G1106" i="1"/>
  <c r="E1109" i="1" s="1"/>
  <c r="H1106" i="1"/>
  <c r="E1113" i="1" s="1"/>
  <c r="H1092" i="1"/>
  <c r="E135" i="1"/>
  <c r="E1072" i="1"/>
  <c r="P1072" i="1" s="1"/>
  <c r="E1129" i="1"/>
  <c r="P1129" i="1" s="1"/>
  <c r="E1074" i="1"/>
  <c r="P1074" i="1" s="1"/>
  <c r="E1127" i="1"/>
  <c r="P1127" i="1" s="1"/>
  <c r="E1077" i="1"/>
  <c r="P1077" i="1" s="1"/>
  <c r="E137" i="1"/>
  <c r="E127" i="1"/>
  <c r="E128" i="1"/>
  <c r="E140" i="1"/>
  <c r="R8" i="10" l="1"/>
  <c r="H8" i="10"/>
  <c r="R4" i="10"/>
  <c r="P12" i="10"/>
  <c r="P1079" i="1"/>
  <c r="P140" i="1"/>
  <c r="P9" i="10"/>
  <c r="P127" i="1"/>
  <c r="P25" i="10"/>
  <c r="R25" i="10" s="1"/>
  <c r="P137" i="1"/>
  <c r="P5" i="10"/>
  <c r="P1113" i="1"/>
  <c r="P17" i="10"/>
  <c r="R17" i="10" s="1"/>
  <c r="P1109" i="1"/>
  <c r="P16" i="10"/>
  <c r="R16" i="10" s="1"/>
  <c r="P128" i="1"/>
  <c r="P26" i="10"/>
  <c r="R26" i="10" s="1"/>
  <c r="P135" i="1"/>
  <c r="P3" i="10"/>
  <c r="E142" i="1"/>
  <c r="J128" i="1"/>
  <c r="J103" i="1" s="1"/>
  <c r="Q39" i="10"/>
  <c r="H39" i="10"/>
  <c r="Q4" i="10"/>
  <c r="Q8" i="10"/>
  <c r="E1107" i="1"/>
  <c r="R9" i="10" l="1"/>
  <c r="H9" i="10"/>
  <c r="R12" i="10"/>
  <c r="H12" i="10"/>
  <c r="R3" i="10"/>
  <c r="R5" i="10"/>
  <c r="P1107" i="1"/>
  <c r="P14" i="10"/>
  <c r="R14" i="10" s="1"/>
  <c r="E143" i="1"/>
  <c r="P143" i="1" s="1"/>
  <c r="P142" i="1"/>
  <c r="P7" i="10"/>
  <c r="E1108" i="1"/>
  <c r="Q97" i="10"/>
  <c r="E1110" i="1"/>
  <c r="J1107" i="1"/>
  <c r="J1087" i="1" s="1"/>
  <c r="Q12" i="10"/>
  <c r="Q21" i="10"/>
  <c r="H21" i="10"/>
  <c r="Q19" i="10"/>
  <c r="H19" i="10"/>
  <c r="Q3" i="10"/>
  <c r="Q17" i="10"/>
  <c r="H17" i="10"/>
  <c r="Q16" i="10"/>
  <c r="H16" i="10"/>
  <c r="Q5" i="10"/>
  <c r="Q9" i="10"/>
  <c r="N100" i="10"/>
  <c r="P9" i="1"/>
  <c r="E146" i="1" l="1"/>
  <c r="P146" i="1" s="1"/>
  <c r="R7" i="10"/>
  <c r="H7" i="10"/>
  <c r="P1108" i="1"/>
  <c r="P15" i="10"/>
  <c r="R15" i="10" s="1"/>
  <c r="P1110" i="1"/>
  <c r="P18" i="10"/>
  <c r="R18" i="10" s="1"/>
  <c r="P47" i="10"/>
  <c r="R47" i="10" s="1"/>
  <c r="Q48" i="10"/>
  <c r="H48" i="10"/>
  <c r="Q26" i="10"/>
  <c r="H26" i="10"/>
  <c r="Q25" i="10"/>
  <c r="H25" i="10"/>
  <c r="Q7" i="10"/>
  <c r="Q50" i="10"/>
  <c r="H50" i="10"/>
  <c r="Q14" i="10"/>
  <c r="H14" i="10"/>
  <c r="Q49" i="10"/>
  <c r="H49" i="10"/>
  <c r="R100" i="10" l="1"/>
  <c r="Q47" i="10"/>
  <c r="H47" i="10"/>
  <c r="Q18" i="10"/>
  <c r="H18" i="10"/>
  <c r="Q15" i="10" l="1"/>
  <c r="H15" i="10"/>
  <c r="P1169" i="1" l="1"/>
  <c r="Q59" i="10"/>
  <c r="H59" i="10"/>
  <c r="Q71" i="10"/>
  <c r="H71" i="10"/>
  <c r="Q98" i="10" l="1"/>
  <c r="Q22" i="10"/>
  <c r="Q96" i="10" s="1"/>
  <c r="H22" i="10"/>
  <c r="Q100" i="1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<sst xmlns="http://schemas.openxmlformats.org/spreadsheetml/2006/main" count="11745" uniqueCount="345">
  <si>
    <t>set</t>
  </si>
  <si>
    <t>ODF</t>
  </si>
  <si>
    <t>EPX-1U-PNL-ENC</t>
  </si>
  <si>
    <t>Cái</t>
  </si>
  <si>
    <t>CN</t>
  </si>
  <si>
    <t>8 tuần</t>
  </si>
  <si>
    <t>Commscope</t>
  </si>
  <si>
    <t>CommScope® 48 Fibers Slicing Tray Kit</t>
  </si>
  <si>
    <t>EK5809-001</t>
  </si>
  <si>
    <t>CommScope® 1000-type Adapter Plate 12 LC/UPC Duplex SM, Blue</t>
  </si>
  <si>
    <t>EM2454-001</t>
  </si>
  <si>
    <t>ADAPTER PLATE BLANK ASSY</t>
  </si>
  <si>
    <t>2105081-2</t>
  </si>
  <si>
    <t>LC TO LC 0.9mm SM LSZH 2M</t>
  </si>
  <si>
    <t>sợi</t>
  </si>
  <si>
    <t>Sợi</t>
  </si>
  <si>
    <t>2105028-3</t>
  </si>
  <si>
    <t>COMMSCOPE/ AMP Fiber Optic Cable Assembly, Duplex LC, OS2, 3m</t>
  </si>
  <si>
    <t>Patch panel</t>
  </si>
  <si>
    <t>CPP-SDDM-SL-1U-24: CommScope® SL DDM Patch Panel, STP, 1U, 24 port, Straight, Unload</t>
  </si>
  <si>
    <t>VRMH01-1F</t>
  </si>
  <si>
    <t>Horizontal Cable Management 1U, Finger Duct, Black</t>
  </si>
  <si>
    <t>Vietrack</t>
  </si>
  <si>
    <t>2153449-2</t>
  </si>
  <si>
    <t>NetConnect® SLX Jack, Category 6A, S/FTP, without Dust Cover, Black</t>
  </si>
  <si>
    <t>MX</t>
  </si>
  <si>
    <t>Switch PoE  24 Port</t>
  </si>
  <si>
    <t>UPS 10KVA - backup 15 min</t>
  </si>
  <si>
    <t>schneider APC</t>
  </si>
  <si>
    <t>SRT192RMBP2</t>
  </si>
  <si>
    <t>External battery lưu điện 15 phút 8kw</t>
  </si>
  <si>
    <t>Accessory: Fan, socket outlet; Patch cord, Pigtail….</t>
  </si>
  <si>
    <t xml:space="preserve">Oulet </t>
  </si>
  <si>
    <t>272368-1</t>
  </si>
  <si>
    <t>COMMSCOPE/ AMP US Style Low Profile Faceplate, 1-Port Shuttered, w/Label &amp; Icon, Almond</t>
  </si>
  <si>
    <t>Thái Lan</t>
  </si>
  <si>
    <t>Đế sâu 60mm cho jack Cat6A FTP</t>
  </si>
  <si>
    <t>VN</t>
  </si>
  <si>
    <t>2153449-1</t>
  </si>
  <si>
    <t>NetConnect® SLX Jack, Category 6A, S/FTP, without Dust Cover, Almond</t>
  </si>
  <si>
    <t>Đấu nối cho Camera-wifi-và các thiết bị gắn trần</t>
  </si>
  <si>
    <t>5-1933433-3</t>
  </si>
  <si>
    <t xml:space="preserve"> KIT,8P,MP,.310 ,CAT6/6A,SHIELDED, 100PC </t>
  </si>
  <si>
    <t>1933943-2</t>
  </si>
  <si>
    <t>BOOT, HOODED, 0.310 GRAY</t>
  </si>
  <si>
    <t>dây nhảy</t>
  </si>
  <si>
    <t>NPC6ASZDB-WT003M</t>
  </si>
  <si>
    <t>NetConnect® Patch cord, Category 6A, 4pair, Stranded S/FTP, LSZH, White, 3 m</t>
  </si>
  <si>
    <t>NPC6ASZDB-WT002M</t>
  </si>
  <si>
    <t>NetConnect® Patch cord, Category 6A, 4pair, Stranded S/FTP, LSZH, White, 2 m</t>
  </si>
  <si>
    <t>Labor fee: Installation, T&amp;C</t>
  </si>
  <si>
    <t>bộ</t>
  </si>
  <si>
    <t>THICONG12</t>
  </si>
  <si>
    <t>Phí test report cáp mạng cat 6</t>
  </si>
  <si>
    <t>node</t>
  </si>
  <si>
    <t>Fluke</t>
  </si>
  <si>
    <t>THICONG10</t>
  </si>
  <si>
    <t>Phí thi công test report cáp quang
chưa bao gồm chi phi Thang, dàn giáo, xe nâng nếu có</t>
  </si>
  <si>
    <t>THICONG09</t>
  </si>
  <si>
    <t>Phí thi công hàn cáp quang
chưa bao gồm chi phi Thang, dàn giáo, xe nâng nếu có</t>
  </si>
  <si>
    <t>đầu</t>
  </si>
  <si>
    <t>NSP</t>
  </si>
  <si>
    <t>THICONG11</t>
  </si>
  <si>
    <t>Phí thi công đấu nối cáp đồng cat 6, patch panel, lắp tủ rack, cắm dây nhảy,bó cáp,làm gọn cáp
chưa bao gồm chi phi Thang, dàn giáo, xe nâng nếu có</t>
  </si>
  <si>
    <t>cái</t>
  </si>
  <si>
    <t>IDF 01.1</t>
  </si>
  <si>
    <t>CCTV</t>
  </si>
  <si>
    <t>IP AMPLIFIER (240W)</t>
  </si>
  <si>
    <t>Pulic Address</t>
  </si>
  <si>
    <t>Equipment by PA Supplier</t>
  </si>
  <si>
    <t>Network Module</t>
  </si>
  <si>
    <t>UPS 3kVA - backup 15 min</t>
  </si>
  <si>
    <t>Card SNMP cho ups 3kva</t>
  </si>
  <si>
    <t>IDF 01.2</t>
  </si>
  <si>
    <t>IDF 01.3</t>
  </si>
  <si>
    <t>IDF 01.4</t>
  </si>
  <si>
    <t>IDF 01.5</t>
  </si>
  <si>
    <t>IDF 02</t>
  </si>
  <si>
    <t>IDF 03</t>
  </si>
  <si>
    <t>IDF 04</t>
  </si>
  <si>
    <t>IDF 05</t>
  </si>
  <si>
    <t>IDF 06</t>
  </si>
  <si>
    <t>IDF 07</t>
  </si>
  <si>
    <t>IDF 08</t>
  </si>
  <si>
    <t>IDF 09</t>
  </si>
  <si>
    <t>IDF 10</t>
  </si>
  <si>
    <t>IDF 11</t>
  </si>
  <si>
    <t>IDF 12</t>
  </si>
  <si>
    <t>IDF 13</t>
  </si>
  <si>
    <t>IDF 14</t>
  </si>
  <si>
    <t>IDF 15</t>
  </si>
  <si>
    <t>IDF 16</t>
  </si>
  <si>
    <t>IDF 1.16</t>
  </si>
  <si>
    <t>IDF 1.17</t>
  </si>
  <si>
    <t>IDF 1.18</t>
  </si>
  <si>
    <t>IDF 1.19</t>
  </si>
  <si>
    <t>IDF 1.20</t>
  </si>
  <si>
    <t>Server Switch</t>
  </si>
  <si>
    <t>Out Of Scope, By Owner</t>
  </si>
  <si>
    <t>Storage</t>
  </si>
  <si>
    <t>Router 1/Fire Wall 1</t>
  </si>
  <si>
    <t>Router 2/Fire Wall 2</t>
  </si>
  <si>
    <t>Core Switch 24 P</t>
  </si>
  <si>
    <t>Wifi access point</t>
  </si>
  <si>
    <t>no.</t>
  </si>
  <si>
    <t xml:space="preserve">Wifi access point </t>
  </si>
  <si>
    <t>T&amp;C &amp; setup</t>
  </si>
  <si>
    <t>lot</t>
  </si>
  <si>
    <t>Single LAN socket outlet wall mouted</t>
  </si>
  <si>
    <t>Lan Point</t>
  </si>
  <si>
    <t>Crimp Tool 8P, Sentinel 900020</t>
  </si>
  <si>
    <t>brother/brandy</t>
  </si>
  <si>
    <t>cuộn</t>
  </si>
  <si>
    <t>asia</t>
  </si>
  <si>
    <t>gói</t>
  </si>
  <si>
    <t>ER8822</t>
  </si>
  <si>
    <t>Easy Rack 800mm/48U/1200mm with Roof, Side panel,castors,feet and 4 Brackets, No Bottom, black</t>
  </si>
  <si>
    <t>VRP124-MCB32</t>
  </si>
  <si>
    <t>Rack Power Distribution Unit, 24 Universal Outlets, 32A, 250V, MCB</t>
  </si>
  <si>
    <t>ER7VCM48</t>
  </si>
  <si>
    <t>Vertical Cable Manager,48U for 800mm W racks</t>
  </si>
  <si>
    <t>cabinet</t>
  </si>
  <si>
    <t xml:space="preserve">VRP106-MCB16 </t>
  </si>
  <si>
    <t>Rack Power Distribution Unit, 6 Universal Outlets, 16A, 250V, MCB</t>
  </si>
  <si>
    <t>CABINET</t>
  </si>
  <si>
    <t>PN</t>
  </si>
  <si>
    <t>MÔ TẢ</t>
  </si>
  <si>
    <t>Xuất xứ</t>
  </si>
  <si>
    <t>đặt hàng</t>
  </si>
  <si>
    <t>NHÀ SX</t>
  </si>
  <si>
    <t>ĐVT</t>
  </si>
  <si>
    <t>UPS</t>
  </si>
  <si>
    <t>tủ Rack</t>
  </si>
  <si>
    <t>IDF SECURITY ROOM</t>
  </si>
  <si>
    <t>IDF 1 SECURITY ROOM</t>
  </si>
  <si>
    <t>OS6860N-U28</t>
  </si>
  <si>
    <t>OmniSwitch OS6860N-U28
Thiết bị chuyển mạch Alcatel-Lucent OmniSwitch OS6860N-U28: Fixed-configuration chassis in a 1U form factor with 24x100/1000 Base-X SFP ports, 4x 1G/10G SFP+ ports, four SFP28 (1G/10G/25G) ports and 2 x 100G QSFP28 Virtual Chassis link ports. All ports are MACSec capable. The bundle includes one system AC power supply, country-specific power cord, user manuals, access card, hardware for mounting in a 19” rack and a micro-USB-to-USB console adapter 
2x Alcatel-Lucent Cable OS6860-CBL-100 1m
OS6865 20 Gigabit direct attached copper cable (1m, QSFP+).</t>
  </si>
  <si>
    <t>SFP-GIG-LX</t>
  </si>
  <si>
    <t>Module quang SFP-GIG-LX 1000Base-LX 1310nm 20km - Alcatel-Lucent</t>
  </si>
  <si>
    <t>SFP-GIG-SX</t>
  </si>
  <si>
    <t>1000Base-SX Gigabit Ethernet optical transceiver SFP MSA). Supports multimode fiber over 850nm wavelength nominal) with an LC connector. Typical reach of 300m on 62.5/125 m MMF or 550m on 50/125 m M</t>
  </si>
  <si>
    <t>SFP-10G-LR</t>
  </si>
  <si>
    <t>10 Gigabit optical transceiver SFP+). Supports monomode fiber over 1310nm wavelength nominal) with an LC connector. Typical reach of 10Km</t>
  </si>
  <si>
    <t>Asia</t>
  </si>
  <si>
    <t>Alcatel Lucent</t>
  </si>
  <si>
    <t>Switch POE 24 Ports for CCTV</t>
  </si>
  <si>
    <t>Network Audio Interface Unit</t>
  </si>
  <si>
    <t>IP-1000CI TOA (32 ports)</t>
  </si>
  <si>
    <t>IP -GATEWAY</t>
  </si>
  <si>
    <t>Storage sever 1~6</t>
  </si>
  <si>
    <t>6 Months ( 180 Days ), Equipment by Equipment by CCTV Supplier</t>
  </si>
  <si>
    <t>6-8 tuần</t>
  </si>
  <si>
    <t>OS6360-PH24</t>
  </si>
  <si>
    <t xml:space="preserve">OmniSwitch OS6360-PH24
Alcatel-Lucent OmniSwitch OS6360-PH24 Stackable Switch :
Fixed 1RU chassis 24 RJ-45 PoE 10/100/1G BaseT, 2 1G* RJ45/SFP combo, 2 SFP+ (1G/10G) uplink or VFL ports. 380W
power budget. *10G license upgradeable. </t>
  </si>
  <si>
    <t>HPE Aruba</t>
  </si>
  <si>
    <t>JL662A</t>
  </si>
  <si>
    <t>J9283D</t>
  </si>
  <si>
    <t>HPE Aruba Networking 10G SFP+ to SFP+ 3m Direct Attach Copper Cable</t>
  </si>
  <si>
    <t>JM538A</t>
  </si>
  <si>
    <t>Bộ</t>
  </si>
  <si>
    <t>SUNTORY PEPSI LONG AN PROJECT - ME WORKS</t>
  </si>
  <si>
    <t>STT</t>
  </si>
  <si>
    <t>ITEMS</t>
  </si>
  <si>
    <t>UNIT</t>
  </si>
  <si>
    <t>Qty</t>
  </si>
  <si>
    <t>Used for</t>
  </si>
  <si>
    <t>Power Consumption</t>
  </si>
  <si>
    <t>REMARK</t>
  </si>
  <si>
    <t>HPE Aruba Networking EC-S-P 8x RJ45 10/100/1000 4x SFP+ 1/10G SD-WAN Gateway
INCLUDED: 
* Power Cord - Europe localization
* Aruba 3Y FC NBD Exch EC-S-P SVC [for JM538A]
* HPE Aruba Networking EC-S-P AC Power Supply Unit</t>
  </si>
  <si>
    <t>JM535A</t>
  </si>
  <si>
    <t>HPE Aruba Networking EC-SFP-SR Multi Mode SFP+</t>
  </si>
  <si>
    <t>R0Z21A</t>
  </si>
  <si>
    <t>HPE Aruba Networking 25G SFP28 to SFP28 15m Active Optical Cable</t>
  </si>
  <si>
    <t>IP PABX</t>
  </si>
  <si>
    <t>OXO Connect Large 150W</t>
  </si>
  <si>
    <t>OXO Connect/Office S (AA31) 
Alcatel-Lucent OXO Connect Large - 150W - Delivered in spare parts from ALE stock 1
* Voice boards (AA35) 
APA8-HU Analog trunk access board for 8 trunk lines 2
CLIDSP APA daughtercard for local management of CLI signals 2
VoIP32 daughterboard - 32 VoIP channels 1
* Data infrastructure (AA36) 
Generic power cord 1
* OXO Connect software licenses(CC31)
Software license for 1 enhanced SIP device 299
1 additional IP trunk software license 16
Voice mail, 2 additional ports software license 3
Personalized Automated Attendant‚ Audiotext and Fax modem switch software license 1
1 Universal Telephony License for new OXO Connect systems. SoftwareAssurance mandatory. 300
OXO Connect R6 software Suite for OXO Connect Compact, Small, Medium and Large. Not compatible with Compact C25 and Evolution. 1
* Software Assurance SMB (GG15) 
OXO Connect software assurance for 3 years. Promotion. 300</t>
  </si>
  <si>
    <t>France</t>
  </si>
  <si>
    <t>R7J27A</t>
  </si>
  <si>
    <t>R4H17A</t>
  </si>
  <si>
    <t>DATA Active Equipment T&amp;C &amp; setup</t>
  </si>
  <si>
    <t>CCTV Active Equipment T&amp;C &amp; setup</t>
  </si>
  <si>
    <t>datasetup</t>
  </si>
  <si>
    <t>CCTVLansetup</t>
  </si>
  <si>
    <t xml:space="preserve">HPE Aruba Networking EC-S-P 8x RJ45 10/100/1000 4x SFP+ 1/10G SD-WAN Gateway
INCLUDED: 
* Power Cord - Europe localization
* Aruba 3Y FC NBD Exch EC-S-P SVC [for JM538A]
* HPE Aruba Networking EC-S-P AC Power Supply Unit
BUNDLE SOFTWARE:
* HPE Aruba Networking EdgeConnect BW 500 3-year Subscription E-STU
* HPE Aruba Networking EdgeConnect BW 500 High Availability 3-year Subscription E-STU
* HPE Aruba Networking EdgeConnect AS Standard 3-year Subscription E-STU
* HPE Aruba Networking EdgeConnect AS Standard High Availability 3-year Subscription E-STU
</t>
  </si>
  <si>
    <t>thiết bị</t>
  </si>
  <si>
    <t>COO</t>
  </si>
  <si>
    <t>Delivery time</t>
  </si>
  <si>
    <t>Brand Name</t>
  </si>
  <si>
    <t>UOM</t>
  </si>
  <si>
    <t>Price</t>
  </si>
  <si>
    <t>sum</t>
  </si>
  <si>
    <t>SL Mới</t>
  </si>
  <si>
    <t>VRS48-8120</t>
  </si>
  <si>
    <t>Tel+data</t>
  </si>
  <si>
    <t>2105061-3</t>
  </si>
  <si>
    <t>LC TO LC 1.8mm OM4 DPX LSZH AND OFNR 3M</t>
  </si>
  <si>
    <t>2105084-2</t>
  </si>
  <si>
    <t>LC TO LC 0.9mm OM4 LSZH 2M</t>
  </si>
  <si>
    <t>EK5808-001</t>
  </si>
  <si>
    <t>ADAPTER PLATE ASSY 12 LC DUP AQUA</t>
  </si>
  <si>
    <t>Core switch</t>
  </si>
  <si>
    <t>VRV20-680</t>
  </si>
  <si>
    <t>VRV20-680 : Tủ chứa máy chủ dòng V, 20U, 600mm x 800mm, màu đen</t>
  </si>
  <si>
    <t>4 tuần</t>
  </si>
  <si>
    <t>Security Core Switch 24 port</t>
  </si>
  <si>
    <t>VietRack</t>
  </si>
  <si>
    <t>Switch POE 24 Ports for DATA</t>
  </si>
  <si>
    <t>,</t>
  </si>
  <si>
    <t>core SM</t>
  </si>
  <si>
    <t>core MM</t>
  </si>
  <si>
    <t>Rack Unit</t>
  </si>
  <si>
    <t>IDF 1 SECURITY ROOM DATA</t>
  </si>
  <si>
    <t>S2P31A</t>
  </si>
  <si>
    <t>HPE Aruba Networking 10G SFP+ LC LR 10km SMF C-class Transceiver</t>
  </si>
  <si>
    <t>S2P34A</t>
  </si>
  <si>
    <t>HPE Aruba Networking 25G SFP28 LC LR 10km SMF C-class Transceiver</t>
  </si>
  <si>
    <t>S2P30A</t>
  </si>
  <si>
    <t>HPE Aruba Networking 10G SFP+ LC SR 400m OM4 MMF C-class Transceiver</t>
  </si>
  <si>
    <t>R6P67A</t>
  </si>
  <si>
    <t>HPE Aruba Networking AP-POE-ATSR 1-Port Smart Rate 802.3at 30W Midspan Injector Hewlett Packard Enterprise</t>
  </si>
  <si>
    <t>J8177D</t>
  </si>
  <si>
    <t>HPE Aruba Networking 1G SFP RJ45 T 100m Cat5e Transceiver</t>
  </si>
  <si>
    <t>IP AMPLIFIER 480W)</t>
  </si>
  <si>
    <t>IP AMPLIFIER (480W)</t>
  </si>
  <si>
    <t>SRV6KIL - APC Easy UPS On-Line, 6kVA/6kW, Tower, 230V</t>
  </si>
  <si>
    <t>AP9544</t>
  </si>
  <si>
    <t>VRW15-160</t>
  </si>
  <si>
    <t>VRW15-160 : Tủ chứa thiết bị gắn tường, 15U, 600mm x 600mm, màu đen</t>
  </si>
  <si>
    <t>JL679A</t>
  </si>
  <si>
    <t>SRT10KRMXLI</t>
  </si>
  <si>
    <t>APC Smart UPS SRT10KRMXLIT-IEC UPS Battery Set (Replacement)</t>
  </si>
  <si>
    <t>VRV36-680</t>
  </si>
  <si>
    <t>VRV36-680 : Tủ chứa máy chủ dòng V, 36U, 600mm x 800mm, màu đen</t>
  </si>
  <si>
    <t>SURT1000RMXLI</t>
  </si>
  <si>
    <t>APC Smart-UPS RT 1000VA, 230V, rackmount, 2U, 6x IEC 60320 &amp; 2x IEC Jumpers outlets</t>
  </si>
  <si>
    <t>SRT2200RMXLI</t>
  </si>
  <si>
    <t>APC Smart-UPS On-Line, 2200VA, Rackmount 2U, 230V, 8x C13+2x C19 IEC outlets, SmartSlot, Extended runtime, W/ rail kit</t>
  </si>
  <si>
    <t>SRT3000RMXLI</t>
  </si>
  <si>
    <t>APC Smart-UPS On-Line, 3kVA, Rackmount 2U, 230V, 8x C13+2x C19 IEC outlets, SmartSlot, Extended runtime, W/ rail kit</t>
  </si>
  <si>
    <t>SRT96RMBP</t>
  </si>
  <si>
    <t>External battery lưu điện 20 phút 2700w</t>
  </si>
  <si>
    <t>APC Smart-UPS On-Line, 5kVA, Rackmount 2U, 230V, 8x C13+2x C19 IEC outlets, SmartSlot, Extended runtime, W/ rail kit</t>
  </si>
  <si>
    <t>4 TUẦN</t>
  </si>
  <si>
    <t>CW5249-000</t>
  </si>
  <si>
    <t>CW5249-000 : Hộp đấu nối sợi quang COWO, 4 LC/UPC, H115 x W80 x D24.5 mm, gắn tường</t>
  </si>
  <si>
    <t>có sẳn</t>
  </si>
  <si>
    <t>CommScope</t>
  </si>
  <si>
    <t>CZ9340-000</t>
  </si>
  <si>
    <t>CZ9340-000 : Khớp nối sợi quang, SM, LC-LC đôi, màu xanh dương</t>
  </si>
  <si>
    <t>FFWLCSC42-JXM003</t>
  </si>
  <si>
    <t>FFWLCSC42-JXM003 : Cáp đấu nối sợi quang, TeraSPEED, 1.6mm, LSZH, OS2, LC-SC đôi, 3m</t>
  </si>
  <si>
    <t>8-10 tuần</t>
  </si>
  <si>
    <t>2105028-3 : Cáp đấu nối sợi quang, 1.8mm, LSZH&amp;OFNR, OS2, LC-LC đôi, 3m</t>
  </si>
  <si>
    <t>PoE Adapter</t>
  </si>
  <si>
    <t>PoE Adapter 30w</t>
  </si>
  <si>
    <t>MC210CS</t>
  </si>
  <si>
    <t>MC210CS : Bộ chuyển đổi quang điện, SM, 100Base-FX, SC</t>
  </si>
  <si>
    <t>NPC06UVDB-BL002F</t>
  </si>
  <si>
    <t>NPC06UVDB-BL002F : Cáp đấu nối, U/UTP, Cat.6, CM (PVC), màu xanh dương, 0.6m</t>
  </si>
  <si>
    <t>nút</t>
  </si>
  <si>
    <t>Đầu</t>
  </si>
  <si>
    <t>POE box extender</t>
  </si>
  <si>
    <t>Outlet, can combie to socket</t>
  </si>
  <si>
    <t>đế</t>
  </si>
  <si>
    <t>Modular Jack, RJ45, Cat6A Shielded</t>
  </si>
  <si>
    <t>Patch cord</t>
  </si>
  <si>
    <t>Cos mạng</t>
  </si>
  <si>
    <t>Miếng nhưa cover cos mạng</t>
  </si>
  <si>
    <t>Kiềm Bấm</t>
  </si>
  <si>
    <t>Fiber Optic Splice Tray Kit</t>
  </si>
  <si>
    <t>1000-Type Adapter Pack with 12 LC duplex SM adapters</t>
  </si>
  <si>
    <t>???</t>
  </si>
  <si>
    <t>blank, black</t>
  </si>
  <si>
    <t>Fiber Patch cord</t>
  </si>
  <si>
    <t>Patch Panel</t>
  </si>
  <si>
    <t>thanh ngang</t>
  </si>
  <si>
    <t>UPS Tower</t>
  </si>
  <si>
    <t>UPS IDF 1.3</t>
  </si>
  <si>
    <t>rackmount</t>
  </si>
  <si>
    <t>Bộ nguồn rời POE</t>
  </si>
  <si>
    <t>module quang từ IDF 01 to Main IT rack</t>
  </si>
  <si>
    <t>Ok</t>
  </si>
  <si>
    <t>đấu router</t>
  </si>
  <si>
    <t>Kết nối tới server switch</t>
  </si>
  <si>
    <t>ok</t>
  </si>
  <si>
    <t>IDF 1.3</t>
  </si>
  <si>
    <t>Số lượng 4</t>
  </si>
  <si>
    <t>Cho rack main CCTV</t>
  </si>
  <si>
    <t>rack main CCTV và IDF 01, số lượng 2</t>
  </si>
  <si>
    <t>Số lượng 40</t>
  </si>
  <si>
    <t>Không có</t>
  </si>
  <si>
    <t>module quang SSF, số lượng không khướp, hỗ trợ kiểm tra bảng tính</t>
  </si>
  <si>
    <t>module quang MMF, số lượng không khướp, hỗ trợ kiểm tra bảng tính</t>
  </si>
  <si>
    <t>wifi outdoor</t>
  </si>
  <si>
    <t>Đã bao gồm card modbus chưa: đã bao gồm tích hợp sẳn</t>
  </si>
  <si>
    <t>IDF Main Data Rack 2-48U for Router..</t>
  </si>
  <si>
    <t>iDF Main  Data Rack 1-48U for Server</t>
  </si>
  <si>
    <t>IDF Main  Data Rack 1-48U for Server</t>
  </si>
  <si>
    <t>Tủ cho các wifi xa hơn 90m, kéo cáp quang
tại sao có 13 nguồn POE
cáp quang đến cần bộ chuyển đôi quang điện chển sang tín hiệu điện, tin hiệu điện này qua POE ADAPTET để có thể cấp nguồn POE cho thiết bị</t>
  </si>
  <si>
    <t>module quang cho các AS cùng IDF, 2 switch, phải 8 module mới đủ??? =&gt; theo SL thì IDF2 chỉ có 1 S tại mỗi tủ
DATA:  1 Sw: 2SFP đến 2 sw core, + 1 SFP đến IDF 3
CCTV : 1 Sw 1 SFP
Mục này là dây kết nối :
4 tại IDF 1 SECURITY ROOM
2 tại IDF Main Data Rack 2-48U for Router..
 Cáp DAC này chỉ để kết nối từ Access SW đến Core SW ở cùng tủ(2 sw cần 4 sợi), ngoài ra thêm 2 sợi để link giữa 2 con FW/Router để chạy HA</t>
  </si>
  <si>
    <t>Cái này kết nối ở đâu???
IDF Main Data Rack 2-48U for Router..
 Dùng để link từ FW/Router xuống core switch, mỗi con 2 cổng, 2 con 4 cổng</t>
  </si>
  <si>
    <t>Chỉ có 37 cái, 30 cái 24P, 7 cái 10P
 Điều chỉnh theo thực tế</t>
  </si>
  <si>
    <t>Chưa rõ
 Module gắn vào Core SW CCTV để kết nối về hệ Core SW của Data(2 sợi nên cần 2 module)</t>
  </si>
  <si>
    <t>OS6360-P10</t>
  </si>
  <si>
    <t>OS6360-P10  Fixed 1RU ½ rack chassis 8 RJ-45 PoE 10/100/1G BaseT, 2 10/100/1G BaseT, 2 SFP ports. 120W power budget, fanless</t>
  </si>
  <si>
    <t>VRS42-8120 : Tủ chứa máy chủ dòng S, 42U, 800mm x 1200mm, màu đen</t>
  </si>
  <si>
    <t>Phí test report cáp mạng cat 6A</t>
  </si>
  <si>
    <t>Phí thi công đấu nối cáp đồng cat 6A, patch panel, lắp tủ rack, cắm dây nhảy,bó cáp,làm gọn cáp
chưa bao gồm chi phi Thang, dàn giáo, xe nâng nếu có</t>
  </si>
  <si>
    <r>
      <rPr>
        <b/>
        <sz val="11"/>
        <rFont val="Aptos Display"/>
        <family val="1"/>
        <scheme val="major"/>
      </rPr>
      <t xml:space="preserve">HPE Aruba Networking EC-S-P 8x RJ45 10/100/1000 4x SFP+ 1/10G SD-WAN Gateway
INCLUDED: 
* Power Cord - Europe localization
* Aruba 3Y FC NBD Exch EC-S-P SVC [for JM538A]
* HPE Aruba Networking EC-S-P AC Power Supply Unit
BUNDLE SOFTWARE:
* </t>
    </r>
    <r>
      <rPr>
        <sz val="11"/>
        <rFont val="Aptos Display"/>
        <family val="1"/>
        <scheme val="major"/>
      </rPr>
      <t xml:space="preserve">HPE Aruba Networking EdgeConnect BW 500 3-year Subscription E-STU
* HPE Aruba Networking EdgeConnect BW 500 High Availability 3-year Subscription E-STU
* HPE Aruba Networking EdgeConnect AS Standard 3-year Subscription E-STU
* HPE Aruba Networking EdgeConnect AS Standard High Availability 3-year Subscription E-STU
</t>
    </r>
  </si>
  <si>
    <r>
      <rPr>
        <b/>
        <sz val="11"/>
        <rFont val="Aptos Display"/>
        <family val="1"/>
        <scheme val="major"/>
      </rPr>
      <t xml:space="preserve">Thiết bị Router gồm 2 phần cứng để chạy HA HPE Aruba Networking EC-S-P 8x RJ45 10/100/1000 4x SFP+ 1/10G SD-WAN Gateway
INCLUDED: 
* Power Cord - Europe localization
* Aruba 3Y FC NBD Exch EC-S-P SVC [for JM538A]
* HPE Aruba Networking EC-S-P AC Power Supply Unit
BUNDLE SOFTWARE:
* </t>
    </r>
    <r>
      <rPr>
        <sz val="11"/>
        <rFont val="Aptos Display"/>
        <family val="1"/>
        <scheme val="major"/>
      </rPr>
      <t xml:space="preserve">HPE Aruba Networking EdgeConnect BW 500 3-year Subscription E-STU
* HPE Aruba Networking EdgeConnect BW 500 High Availability 3-year Subscription E-STU
* HPE Aruba Networking EdgeConnect AS Standard 3-year Subscription E-STU
* HPE Aruba Networking EdgeConnect AS Standard High Availability 3-year Subscription E-STU
</t>
    </r>
  </si>
  <si>
    <t>VRH09G155</t>
  </si>
  <si>
    <t>VRH09G155: Tủ chứa thiết bị ngoài trời, 9U, 600mm x 550mm, màu xám trắng</t>
  </si>
  <si>
    <t>SRV1KIL-E</t>
  </si>
  <si>
    <t>SRV3KIL-E</t>
  </si>
  <si>
    <t>SRV2KIL-E</t>
  </si>
  <si>
    <t>SRV1KIL-E - APC Easy UPS On-Line, 1000VA/800W, Tower</t>
  </si>
  <si>
    <t>SRV2KIL-E - APC Easy UPS On-Line, 2000VA/1600W, Tower</t>
  </si>
  <si>
    <t xml:space="preserve">SRV3KIL-E - APC Easy UPS On-Line, 3kVA/2400W, Tower </t>
  </si>
  <si>
    <t>SRT5KRMXLI</t>
  </si>
  <si>
    <t>12-14 tuần</t>
  </si>
  <si>
    <t>OmniSwitch OS6860N-U28
Thiết bị chuyển mạch Alcatel-Lucent OmniSwitch OS6860N-U28: Fixed-configuration chassis in a 1U form factor with 24x100/1000 Base-X SFP ports, 4x 1G/10G SFP+ ports, four SFP28 (1G/10G/25G) ports and 2 x 100G QSFP28 Virtual Chassis link ports. All ports are MACSec capable. The bundle includes one system AC power supply, country-specific power cord, user manuals, access card, hardware for mounting in a 19” rack and a micro-USB-to-USB console adapter 
Alcatel-Lucent Cable OS6860-CBL-100 1m
OS6865 20 Gigabit direct attached copper cable (1m, QSFP+)</t>
  </si>
  <si>
    <t>Module quang này gắn ở đâu???-&gt; Main Data Rack 2-48U for Router..--&gt; Phần này do hôm trước có 1 file CĐT đưa qua, module này sẽ thêm port đồng cho Core SW để kết nối với các hệ khác dùng port đồng, ví dụ tổng đài, có thể giảm bớt dựa trên số lượng thiết bị cần kết nối đồng, nhờ team Shinryo thống kê các hệ khác có port đồng kết nối vào để quản lý không nhé !</t>
  </si>
  <si>
    <t>JL658A</t>
  </si>
  <si>
    <r>
      <t xml:space="preserve">HPE Aruba Networking CX 6300M 24p SFP+ LRM support and 2p 50G and 2p 25G MACSec Switch
</t>
    </r>
    <r>
      <rPr>
        <sz val="11"/>
        <color rgb="FFFF0000"/>
        <rFont val="Times New Roman"/>
        <family val="1"/>
      </rPr>
      <t>HR4C2E :Aruba 3Y FC NBD Exch 6300M 24SFP SVC  [for JL658A]</t>
    </r>
    <r>
      <rPr>
        <sz val="11"/>
        <rFont val="Times New Roman"/>
        <family val="1"/>
      </rPr>
      <t xml:space="preserve">
HPE Aruba Networking X371 12VDC 250W 100-240VAC Power Supply qty 2
HPE Aruba Networking Central Switch Class-3 Foundation 3-year Subscription E-STU
</t>
    </r>
  </si>
  <si>
    <t>JL679A	HPE Aruba Networking CX 6100 12G Class4 PoE 2G/2SFP+ 139W Switch
JL679A      ABB	  INCLUDED: Power Cord - Europe localization
HV2L8E	Aruba 3Y FC NBD Exch 6100 12G CL4 SVC  [for JL679A]
Q9Y69AAE	HPE Aruba Networking Central Switch Class-1 Foundation 3-year Subscription E-STU</t>
  </si>
  <si>
    <t xml:space="preserve">JL662A	HPE Aruba Networking CX 6300M 24-port 1GbE Class4 PoE and 4-port SFP56 Switch
HR5H6E	Aruba 3Y FC NBD Exch 6300M 24 PoE SVC  [for JL662A]
JL086A	HPE Aruba Networking X372 54VDC 680W 100-240VAC Power Supply
JL086A      ABB	  INCLUDED: Power Cord - Europe localization
Q9Y79AAE	HPE Aruba Networking Central Switch Class-3 Foundation 3-year Subscription E-STU
</t>
  </si>
  <si>
    <t>HPE Aruba Networking AP-635 (RW) Tri-radio 2x2 802.11ax Wi-Fi 6E Internal Antennas Campus AP
R7J27A	HPE Aruba Networking AP-635 (RW) Tri-radio 2x2 802.11ax Wi-Fi 6E Internal Antennas Campus AP
H29YFE	Aruba 3Y FC NBD Exch AP-635 SVC  [for R7J27A]
R3J18A	HPE Aruba Networking AP-MNT-D Campus AP mount bracket kit (individual) type D: solid surface
Q9Y59AAE	HPE Aruba Networking Central AP Foundation 3-year Subscription E-STU</t>
  </si>
  <si>
    <t>R4H17A	HPE Aruba Networking AP-575 (RW) 802.11ax 2x2/4x4 Dual Radio Integrated Omni Antennas Outdoor AP
HM1B6E	Aruba 3Y FC NBD Exch AP-575 SVC  [for R4H17A]
JW053A	HPE Aruba Networking AP-270-MNT-V2 Outdoor AP Short Arm Pole/Wall Mounting Bracket
Q9Y59AAE	HPE Aruba Networking Central AP Foundation 3-year Subscription E-STU</t>
  </si>
  <si>
    <t>R0M46A</t>
  </si>
  <si>
    <t>HPE Aruba Networking 50G SFP56 to SFP56 0.65m Direct Attach Copper Cable</t>
  </si>
  <si>
    <t>NSP-USMB</t>
  </si>
  <si>
    <t xml:space="preserve">Phí  Lắp đặt UPS    </t>
  </si>
  <si>
    <t>SRV-UPSINST</t>
  </si>
  <si>
    <t>Vật tư  nhãn siêu dẻo</t>
  </si>
  <si>
    <t>THICONG13</t>
  </si>
  <si>
    <t>Vật tư dây  rút, velcro</t>
  </si>
  <si>
    <t>THICONG16</t>
  </si>
  <si>
    <t>VRB03G410</t>
  </si>
  <si>
    <t>VRB03G410: Hộp đa phương tiện căn hộ</t>
  </si>
  <si>
    <t>Công  lắp tủ</t>
  </si>
  <si>
    <t>SRV-VRINST</t>
  </si>
  <si>
    <t xml:space="preserve">VRMV48-1F </t>
  </si>
  <si>
    <t>VRMV48-1F  : Thanh quản lý cáp dọc, 48U, dạng đơn, màu đen</t>
  </si>
  <si>
    <t>VRV15-660</t>
  </si>
  <si>
    <t>VRV15-660 : Tủ chứa máy chủ dòng V, 15U, 600mm x 600mm, màu đen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</si>
</sst>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 &quot;₫&quot;_-;\-* #,##0.00\ &quot;₫&quot;_-;_-* &quot;-&quot;??\ &quot;₫&quot;_-;_-@_-"/>
    <numFmt numFmtId="166" formatCode="_-* #,##0.00_-;\-* #,##0.00_-;_-* &quot;-&quot;??_-;_-@_-"/>
    <numFmt numFmtId="167" formatCode="#,##0;\(#,##0\);\ "/>
    <numFmt numFmtId="168" formatCode="_-* #,##0_-;\-* #,##0_-;_-* &quot;-&quot;??_-;_-@_-"/>
    <numFmt numFmtId="169" formatCode="_(* #,##0_);_(* \(#,##0\);_(* &quot;-&quot;??_);_(@_)"/>
    <numFmt numFmtId="170" formatCode="_-* #,##0.00\ _₫_-;\-* #,##0.00\ _₫_-;_-* &quot;-&quot;??\ _₫_-;_-@_-"/>
    <numFmt numFmtId="171" formatCode="#,##0.000"/>
    <numFmt numFmtId="172" formatCode="#,##0\ &quot;F&quot;;\-#,##0\ &quot;F&quot;"/>
    <numFmt numFmtId="173" formatCode="&quot;\&quot;#,##0;[Red]&quot;\&quot;&quot;\&quot;\-#,##0"/>
    <numFmt numFmtId="174" formatCode="0.000000000"/>
    <numFmt numFmtId="175" formatCode="0.000%"/>
    <numFmt numFmtId="176" formatCode="0.0%"/>
    <numFmt numFmtId="177" formatCode="_ * #,##0_ ;_ * \-#,##0_ ;_ * &quot;-&quot;_ ;_ @_ "/>
    <numFmt numFmtId="178" formatCode="0.0000%"/>
    <numFmt numFmtId="179" formatCode="_ * #,##0.00_ ;_ * \-#,##0.00_ ;_ * &quot;-&quot;??_ ;_ @_ "/>
    <numFmt numFmtId="180" formatCode="#,##0.0_);\(#,##0.0\)"/>
    <numFmt numFmtId="181" formatCode="_(* #,##0.0000_);_(* \(#,##0.0000\);_(* &quot;-&quot;??_);_(@_)"/>
    <numFmt numFmtId="182" formatCode="0.0%;[Red]\(0.0%\)"/>
    <numFmt numFmtId="183" formatCode="_ * #,##0.00_)&quot;£&quot;_ ;_ * \(#,##0.00\)&quot;£&quot;_ ;_ * &quot;-&quot;??_)&quot;£&quot;_ ;_ @_ "/>
    <numFmt numFmtId="184" formatCode="_-&quot;$&quot;* #,##0.00_-;\-&quot;$&quot;* #,##0.00_-;_-&quot;$&quot;* &quot;-&quot;??_-;_-@_-"/>
    <numFmt numFmtId="185" formatCode="0.0%;\(0.0%\)"/>
    <numFmt numFmtId="186" formatCode="#,##0;\(#,##0\)"/>
    <numFmt numFmtId="187" formatCode="\$#,##0\ ;\(\$#,##0\)"/>
    <numFmt numFmtId="188" formatCode="\t0.00%"/>
    <numFmt numFmtId="189" formatCode="0.000"/>
    <numFmt numFmtId="190" formatCode="_-* #,##0\ _D_M_-;\-* #,##0\ _D_M_-;_-* &quot;-&quot;\ _D_M_-;_-@_-"/>
    <numFmt numFmtId="191" formatCode="_-* #,##0.00\ _D_M_-;\-* #,##0.00\ _D_M_-;_-* &quot;-&quot;??\ _D_M_-;_-@_-"/>
    <numFmt numFmtId="192" formatCode="\t#\ ??/??"/>
    <numFmt numFmtId="193" formatCode="#."/>
    <numFmt numFmtId="194" formatCode="#,###"/>
    <numFmt numFmtId="195" formatCode="#,##0\ &quot;$&quot;_);[Red]\(#,##0\ &quot;$&quot;\)"/>
    <numFmt numFmtId="196" formatCode="&quot;$&quot;###,0&quot;.&quot;00_);[Red]\(&quot;$&quot;###,0&quot;.&quot;00\)"/>
    <numFmt numFmtId="197" formatCode="&quot;\&quot;#,##0;[Red]\-&quot;\&quot;#,##0"/>
    <numFmt numFmtId="198" formatCode="&quot;\&quot;#,##0.00;\-&quot;\&quot;#,##0.00"/>
    <numFmt numFmtId="199" formatCode="0.00_)"/>
    <numFmt numFmtId="200" formatCode="#,##0.000_);\(#,##0.000\)"/>
    <numFmt numFmtId="201" formatCode="_-* #,##0.0\ _F_-;\-* #,##0.0\ _F_-;_-* &quot;-&quot;??\ _F_-;_-@_-"/>
    <numFmt numFmtId="202" formatCode="#,##0\ &quot;F&quot;;[Red]\-#,##0\ &quot;F&quot;"/>
    <numFmt numFmtId="203" formatCode="_-* #,##0\ _F_-;\-* #,##0\ _F_-;_-* &quot;-&quot;\ _F_-;_-@_-"/>
    <numFmt numFmtId="204" formatCode="#,###,###.00"/>
    <numFmt numFmtId="205" formatCode="#,###,###,###.00"/>
    <numFmt numFmtId="206" formatCode="&quot;$&quot;#,##0;\-&quot;$&quot;#,##0"/>
    <numFmt numFmtId="207" formatCode="_-* #,##0\ &quot;DM&quot;_-;\-* #,##0\ &quot;DM&quot;_-;_-* &quot;-&quot;\ &quot;DM&quot;_-;_-@_-"/>
    <numFmt numFmtId="208" formatCode="_-* #,##0.00\ &quot;DM&quot;_-;\-* #,##0.00\ &quot;DM&quot;_-;_-* &quot;-&quot;??\ &quot;DM&quot;_-;_-@_-"/>
    <numFmt numFmtId="209" formatCode="_ &quot;\&quot;* #,##0_ ;_ &quot;\&quot;* &quot;\&quot;\!\-#,##0_ ;_ &quot;\&quot;* &quot;-&quot;_ ;_ @_ "/>
    <numFmt numFmtId="210" formatCode="_ &quot;\&quot;* #,##0.00_ ;_ &quot;\&quot;* &quot;\&quot;\!\-#,##0.00_ ;_ &quot;\&quot;* &quot;-&quot;??_ ;_ @_ "/>
    <numFmt numFmtId="211" formatCode="_-&quot;$&quot;* #,##0_-;\-&quot;$&quot;* #,##0_-;_-&quot;$&quot;* &quot;-&quot;_-;_-@_-"/>
  </numFmts>
  <fonts count="102">
    <font>
      <sz val="11"/>
      <color theme="1"/>
      <name val="Aptos Narrow"/>
      <family val="2"/>
      <charset val="163"/>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charset val="163"/>
      <scheme val="minor"/>
    </font>
    <font>
      <sz val="11"/>
      <name val="Times New Roman"/>
      <family val="1"/>
    </font>
    <font>
      <sz val="10"/>
      <name val="Arial"/>
      <family val="2"/>
    </font>
    <font>
      <sz val="11"/>
      <color theme="1"/>
      <name val="Arial"/>
      <family val="2"/>
    </font>
    <font>
      <b/>
      <sz val="11"/>
      <name val="Arial"/>
      <family val="2"/>
    </font>
    <font>
      <sz val="8"/>
      <name val="Arial"/>
      <family val="2"/>
    </font>
    <font>
      <sz val="10"/>
      <color theme="1"/>
      <name val="Arial"/>
      <family val="2"/>
    </font>
    <font>
      <sz val="10"/>
      <name val="Times New Roman"/>
      <family val="1"/>
    </font>
    <font>
      <sz val="12"/>
      <name val="Times New Roman"/>
      <family val="1"/>
    </font>
    <font>
      <u/>
      <sz val="10"/>
      <color indexed="12"/>
      <name val="Arial"/>
      <family val="2"/>
    </font>
    <font>
      <sz val="10"/>
      <name val="VNI-Times"/>
    </font>
    <font>
      <sz val="10"/>
      <name val="Verdana"/>
      <family val="2"/>
    </font>
    <font>
      <sz val="8.25"/>
      <name val="Microsoft Sans Serif"/>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VnTime"/>
      <family val="2"/>
    </font>
    <font>
      <sz val="14"/>
      <name val=".VnTime"/>
      <family val="2"/>
    </font>
    <font>
      <sz val="14"/>
      <name val="??"/>
      <family val="3"/>
    </font>
    <font>
      <sz val="12"/>
      <name val="????"/>
      <charset val="136"/>
    </font>
    <font>
      <sz val="11"/>
      <name val="??"/>
      <family val="3"/>
      <charset val="129"/>
    </font>
    <font>
      <sz val="10"/>
      <name val="???"/>
      <family val="3"/>
    </font>
    <font>
      <sz val="10"/>
      <name val="Helv"/>
      <family val="2"/>
    </font>
    <font>
      <b/>
      <u/>
      <sz val="14"/>
      <color indexed="8"/>
      <name val=".VnBook-AntiquaH"/>
      <family val="2"/>
    </font>
    <font>
      <sz val="12"/>
      <name val="¹ÙÅÁÃ¼"/>
      <charset val="129"/>
    </font>
    <font>
      <i/>
      <sz val="12"/>
      <color indexed="8"/>
      <name val=".VnBook-AntiquaH"/>
      <family val="2"/>
    </font>
    <font>
      <b/>
      <sz val="12"/>
      <color indexed="8"/>
      <name val=".VnBook-Antiqua"/>
      <family val="2"/>
    </font>
    <font>
      <i/>
      <sz val="12"/>
      <color indexed="8"/>
      <name val=".VnBook-Antiqua"/>
      <family val="2"/>
    </font>
    <font>
      <sz val="10"/>
      <name val=".VnTime"/>
      <family val="2"/>
    </font>
    <font>
      <sz val="12"/>
      <name val="¹UAAA¼"/>
      <family val="3"/>
      <charset val="129"/>
    </font>
    <font>
      <sz val="11"/>
      <name val="µ¸¿ò"/>
      <charset val="129"/>
    </font>
    <font>
      <sz val="12"/>
      <name val="µ¸¿òÃ¼"/>
      <family val="3"/>
      <charset val="129"/>
    </font>
    <font>
      <sz val="10"/>
      <name val="Helv"/>
    </font>
    <font>
      <b/>
      <sz val="10"/>
      <name val="Helv"/>
    </font>
    <font>
      <sz val="10"/>
      <color indexed="8"/>
      <name val="Arial"/>
      <family val="2"/>
    </font>
    <font>
      <sz val="8.5"/>
      <name val="Dutoan TCVN1993"/>
      <family val="2"/>
    </font>
    <font>
      <b/>
      <sz val="10"/>
      <name val="Tahoma"/>
      <family val="2"/>
    </font>
    <font>
      <b/>
      <sz val="12"/>
      <name val="Arial"/>
      <family val="2"/>
    </font>
    <font>
      <b/>
      <sz val="1"/>
      <color indexed="8"/>
      <name val="Courier"/>
      <family val="3"/>
    </font>
    <font>
      <sz val="10"/>
      <color indexed="8"/>
      <name val="MS Sans Serif"/>
      <family val="2"/>
    </font>
    <font>
      <sz val="10"/>
      <name val="MS Sans Serif"/>
      <family val="2"/>
    </font>
    <font>
      <b/>
      <sz val="11"/>
      <name val="Helv"/>
    </font>
    <font>
      <sz val="10"/>
      <name val=".VnAvant"/>
      <family val="2"/>
    </font>
    <font>
      <sz val="12"/>
      <name val="Arial"/>
      <family val="2"/>
    </font>
    <font>
      <sz val="7"/>
      <name val="Small Fonts"/>
      <family val="2"/>
    </font>
    <font>
      <b/>
      <i/>
      <sz val="16"/>
      <name val="Helv"/>
    </font>
    <font>
      <sz val="11"/>
      <name val="–¾’©"/>
      <family val="1"/>
      <charset val="128"/>
    </font>
    <font>
      <sz val="13"/>
      <name val=".VnTime"/>
      <family val="2"/>
    </font>
    <font>
      <sz val="12"/>
      <name val="Helv"/>
    </font>
    <font>
      <b/>
      <sz val="10"/>
      <name val="MS Sans Serif"/>
      <family val="2"/>
    </font>
    <font>
      <sz val="11"/>
      <color indexed="32"/>
      <name val="VNI-Times"/>
    </font>
    <font>
      <b/>
      <sz val="12"/>
      <name val=".VnTime"/>
      <family val="2"/>
    </font>
    <font>
      <b/>
      <sz val="10"/>
      <name val=".VnTime"/>
      <family val="2"/>
    </font>
    <font>
      <sz val="9"/>
      <name val=".VnTime"/>
      <family val="2"/>
    </font>
    <font>
      <sz val="10"/>
      <name val=" "/>
      <family val="1"/>
      <charset val="136"/>
    </font>
    <font>
      <sz val="14"/>
      <name val="뼻뮝"/>
      <family val="3"/>
    </font>
    <font>
      <sz val="12"/>
      <name val="바탕체"/>
      <family val="3"/>
    </font>
    <font>
      <sz val="12"/>
      <name val="뼻뮝"/>
      <family val="3"/>
    </font>
    <font>
      <sz val="12"/>
      <name val="바탕체"/>
      <family val="1"/>
      <charset val="129"/>
    </font>
    <font>
      <sz val="12"/>
      <name val="바탕체"/>
      <family val="3"/>
      <charset val="129"/>
    </font>
    <font>
      <sz val="10"/>
      <name val="굴림체"/>
      <family val="3"/>
    </font>
    <font>
      <sz val="9"/>
      <name val="Arial"/>
      <family val="2"/>
    </font>
    <font>
      <sz val="12"/>
      <name val="Courier"/>
      <family val="3"/>
    </font>
    <font>
      <sz val="11"/>
      <name val="ＭＳ Ｐゴシック"/>
      <family val="3"/>
      <charset val="128"/>
    </font>
    <font>
      <sz val="10"/>
      <name val="Arial"/>
      <family val="2"/>
      <charset val="163"/>
    </font>
    <font>
      <u/>
      <sz val="11"/>
      <color theme="10"/>
      <name val="Aptos Narrow"/>
      <family val="2"/>
      <scheme val="minor"/>
    </font>
    <font>
      <u/>
      <sz val="11"/>
      <color theme="10"/>
      <name val="Calibri"/>
      <family val="2"/>
    </font>
    <font>
      <u/>
      <sz val="10"/>
      <color theme="10"/>
      <name val="Arial"/>
      <family val="2"/>
    </font>
    <font>
      <sz val="11"/>
      <color rgb="FFFF0000"/>
      <name val="Times New Roman"/>
      <family val="1"/>
    </font>
    <font>
      <sz val="11"/>
      <color theme="1"/>
      <name val="Times New Roman"/>
      <family val="1"/>
    </font>
    <font>
      <sz val="11"/>
      <color theme="1"/>
      <name val="Aptos Display"/>
      <family val="1"/>
      <scheme val="major"/>
    </font>
    <font>
      <b/>
      <u/>
      <sz val="11"/>
      <name val="Aptos Display"/>
      <family val="1"/>
      <scheme val="major"/>
    </font>
    <font>
      <sz val="11"/>
      <name val="Aptos Display"/>
      <family val="1"/>
      <scheme val="major"/>
    </font>
    <font>
      <sz val="11"/>
      <color rgb="FFFF0000"/>
      <name val="Aptos Display"/>
      <family val="1"/>
      <scheme val="major"/>
    </font>
    <font>
      <sz val="11"/>
      <color rgb="FF000000"/>
      <name val="Aptos Display"/>
      <family val="1"/>
      <scheme val="major"/>
    </font>
    <font>
      <sz val="11"/>
      <color theme="3"/>
      <name val="Aptos Display"/>
      <family val="1"/>
      <scheme val="major"/>
    </font>
    <font>
      <b/>
      <sz val="11"/>
      <color rgb="FFFF0000"/>
      <name val="Aptos Display"/>
      <family val="1"/>
      <scheme val="major"/>
    </font>
    <font>
      <b/>
      <u/>
      <sz val="11"/>
      <color theme="1"/>
      <name val="Aptos Display"/>
      <family val="1"/>
      <scheme val="major"/>
    </font>
    <font>
      <b/>
      <sz val="11"/>
      <color rgb="FF000000"/>
      <name val="Aptos Display"/>
      <family val="1"/>
      <scheme val="major"/>
    </font>
    <font>
      <b/>
      <sz val="11"/>
      <name val="Aptos Display"/>
      <family val="1"/>
      <scheme val="major"/>
    </font>
    <font>
      <sz val="11"/>
      <color rgb="FF000000"/>
      <name val="Times New Roman"/>
      <family val="1"/>
    </font>
    <font>
      <sz val="9"/>
      <color theme="1"/>
      <name val="Aptos Narrow"/>
      <family val="2"/>
      <scheme val="minor"/>
    </font>
    <font>
      <sz val="9"/>
      <color rgb="FF000000"/>
      <name val="Calibri"/>
      <family val="2"/>
    </font>
  </fonts>
  <fills count="4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FFFFFF"/>
        <bgColor indexed="64"/>
      </patternFill>
    </fill>
    <fill>
      <patternFill patternType="solid">
        <fgColor rgb="FF00B050"/>
        <bgColor indexed="64"/>
      </patternFill>
    </fill>
    <fill>
      <patternFill patternType="solid">
        <fgColor theme="8" tint="0.59999389629810485"/>
        <bgColor indexed="64"/>
      </patternFill>
    </fill>
    <fill>
      <patternFill patternType="solid">
        <fgColor rgb="FFFFFFF0"/>
        <bgColor indexed="64"/>
      </patternFill>
    </fill>
    <fill>
      <patternFill patternType="solid">
        <fgColor theme="9" tint="0.59999389629810485"/>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indexed="9"/>
        <bgColor indexed="64"/>
      </patternFill>
    </fill>
    <fill>
      <patternFill patternType="solid">
        <fgColor indexed="43"/>
      </patternFill>
    </fill>
    <fill>
      <patternFill patternType="gray125">
        <fgColor indexed="15"/>
      </patternFill>
    </fill>
    <fill>
      <patternFill patternType="solid">
        <fgColor rgb="FF92D050"/>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FFFFFF"/>
        <bgColor rgb="FF000000"/>
      </patternFill>
    </fill>
    <fill>
      <patternFill patternType="solid">
        <fgColor theme="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double">
        <color indexed="64"/>
      </right>
      <top/>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top style="thin">
        <color indexed="64"/>
      </top>
      <bottom style="thin">
        <color indexed="64"/>
      </bottom>
      <diagonal/>
    </border>
    <border>
      <left/>
      <right/>
      <top style="medium">
        <color indexed="64"/>
      </top>
      <bottom style="medium">
        <color indexed="64"/>
      </bottom>
      <diagonal/>
    </border>
    <border>
      <left/>
      <right/>
      <top/>
      <bottom style="double">
        <color indexed="52"/>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4"/>
      </top>
      <bottom style="thin">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s>
  <cellStyleXfs count="440">
    <xf numFmtId="0" fontId="0" fillId="0" borderId="0"/>
    <xf numFmtId="166" fontId="5" fillId="0" borderId="0" applyFont="0" applyFill="0" applyBorder="0" applyAlignment="0" applyProtection="0"/>
    <xf numFmtId="0" fontId="4" fillId="0" borderId="0"/>
    <xf numFmtId="0" fontId="4" fillId="0" borderId="0"/>
    <xf numFmtId="0" fontId="7" fillId="0" borderId="0"/>
    <xf numFmtId="9"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43" fontId="7" fillId="0" borderId="0" applyFont="0" applyFill="0" applyBorder="0" applyAlignment="0" applyProtection="0"/>
    <xf numFmtId="41" fontId="7" fillId="0" borderId="0" applyFont="0" applyFill="0" applyBorder="0" applyAlignment="0" applyProtection="0"/>
    <xf numFmtId="0" fontId="7" fillId="0" borderId="0"/>
    <xf numFmtId="0" fontId="35" fillId="0" borderId="0" applyNumberFormat="0" applyFill="0" applyBorder="0" applyAlignment="0" applyProtection="0"/>
    <xf numFmtId="172" fontId="36" fillId="0" borderId="0" applyFont="0" applyFill="0" applyBorder="0" applyAlignment="0" applyProtection="0"/>
    <xf numFmtId="0" fontId="37" fillId="0" borderId="0" applyFont="0" applyFill="0" applyBorder="0" applyAlignment="0" applyProtection="0"/>
    <xf numFmtId="173" fontId="7" fillId="0" borderId="0" applyFont="0" applyFill="0" applyBorder="0" applyAlignment="0" applyProtection="0"/>
    <xf numFmtId="40" fontId="37" fillId="0" borderId="0" applyFont="0" applyFill="0" applyBorder="0" applyAlignment="0" applyProtection="0"/>
    <xf numFmtId="38" fontId="37" fillId="0" borderId="0" applyFont="0" applyFill="0" applyBorder="0" applyAlignment="0" applyProtection="0"/>
    <xf numFmtId="164" fontId="38" fillId="0" borderId="0" applyFont="0" applyFill="0" applyBorder="0" applyAlignment="0" applyProtection="0"/>
    <xf numFmtId="9" fontId="39" fillId="0" borderId="0" applyFont="0" applyFill="0" applyBorder="0" applyAlignment="0" applyProtection="0"/>
    <xf numFmtId="0" fontId="40" fillId="0" borderId="0"/>
    <xf numFmtId="0" fontId="41" fillId="0" borderId="0"/>
    <xf numFmtId="0" fontId="41" fillId="0" borderId="0"/>
    <xf numFmtId="0" fontId="7" fillId="0" borderId="0"/>
    <xf numFmtId="0" fontId="41" fillId="0" borderId="0"/>
    <xf numFmtId="0" fontId="41" fillId="0" borderId="0"/>
    <xf numFmtId="0" fontId="41" fillId="0" borderId="0"/>
    <xf numFmtId="0" fontId="41" fillId="0" borderId="0"/>
    <xf numFmtId="0" fontId="41" fillId="0" borderId="0"/>
    <xf numFmtId="0" fontId="7" fillId="0" borderId="0"/>
    <xf numFmtId="0" fontId="7" fillId="0" borderId="0"/>
    <xf numFmtId="0" fontId="7" fillId="0" borderId="0"/>
    <xf numFmtId="0" fontId="42" fillId="10" borderId="0"/>
    <xf numFmtId="9" fontId="43" fillId="0" borderId="0" applyFont="0" applyFill="0" applyBorder="0" applyAlignment="0" applyProtection="0"/>
    <xf numFmtId="0" fontId="44" fillId="10" borderId="0"/>
    <xf numFmtId="0" fontId="35" fillId="0" borderId="0"/>
    <xf numFmtId="0" fontId="1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45" fillId="10" borderId="0"/>
    <xf numFmtId="0" fontId="46" fillId="0" borderId="0">
      <alignment wrapText="1"/>
    </xf>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14" borderId="0" applyNumberFormat="0" applyBorder="0" applyAlignment="0" applyProtection="0"/>
    <xf numFmtId="0" fontId="18" fillId="17" borderId="0" applyNumberFormat="0" applyBorder="0" applyAlignment="0" applyProtection="0"/>
    <xf numFmtId="0" fontId="18" fillId="20" borderId="0" applyNumberFormat="0" applyBorder="0" applyAlignment="0" applyProtection="0"/>
    <xf numFmtId="0" fontId="47" fillId="0" borderId="0"/>
    <xf numFmtId="0" fontId="19" fillId="21"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7" fillId="0" borderId="0"/>
    <xf numFmtId="174" fontId="35" fillId="0" borderId="0" applyFont="0" applyFill="0" applyBorder="0" applyAlignment="0" applyProtection="0"/>
    <xf numFmtId="0" fontId="48" fillId="0" borderId="0" applyFont="0" applyFill="0" applyBorder="0" applyAlignment="0" applyProtection="0"/>
    <xf numFmtId="174" fontId="35" fillId="0" borderId="0" applyFont="0" applyFill="0" applyBorder="0" applyAlignment="0" applyProtection="0"/>
    <xf numFmtId="175" fontId="35" fillId="0" borderId="0" applyFont="0" applyFill="0" applyBorder="0" applyAlignment="0" applyProtection="0"/>
    <xf numFmtId="0" fontId="48" fillId="0" borderId="0" applyFont="0" applyFill="0" applyBorder="0" applyAlignment="0" applyProtection="0"/>
    <xf numFmtId="175" fontId="35" fillId="0" borderId="0" applyFont="0" applyFill="0" applyBorder="0" applyAlignment="0" applyProtection="0"/>
    <xf numFmtId="176" fontId="35" fillId="0" borderId="0" applyFont="0" applyFill="0" applyBorder="0" applyAlignment="0" applyProtection="0"/>
    <xf numFmtId="0" fontId="48" fillId="0" borderId="0" applyFont="0" applyFill="0" applyBorder="0" applyAlignment="0" applyProtection="0"/>
    <xf numFmtId="177" fontId="43" fillId="0" borderId="0" applyFont="0" applyFill="0" applyBorder="0" applyAlignment="0" applyProtection="0"/>
    <xf numFmtId="178" fontId="35" fillId="0" borderId="0" applyFont="0" applyFill="0" applyBorder="0" applyAlignment="0" applyProtection="0"/>
    <xf numFmtId="0" fontId="48" fillId="0" borderId="0" applyFont="0" applyFill="0" applyBorder="0" applyAlignment="0" applyProtection="0"/>
    <xf numFmtId="179" fontId="43" fillId="0" borderId="0" applyFont="0" applyFill="0" applyBorder="0" applyAlignment="0" applyProtection="0"/>
    <xf numFmtId="0" fontId="48" fillId="0" borderId="0"/>
    <xf numFmtId="0" fontId="49" fillId="0" borderId="0"/>
    <xf numFmtId="0" fontId="48" fillId="0" borderId="0"/>
    <xf numFmtId="0" fontId="50" fillId="0" borderId="0"/>
    <xf numFmtId="0" fontId="7" fillId="0" borderId="0" applyFill="0" applyBorder="0" applyAlignment="0"/>
    <xf numFmtId="180" fontId="51" fillId="0" borderId="0" applyFill="0" applyBorder="0" applyAlignment="0"/>
    <xf numFmtId="181" fontId="51" fillId="0" borderId="0" applyFill="0" applyBorder="0" applyAlignment="0"/>
    <xf numFmtId="182" fontId="51" fillId="0" borderId="0" applyFill="0" applyBorder="0" applyAlignment="0"/>
    <xf numFmtId="183" fontId="7" fillId="0" borderId="0" applyFill="0" applyBorder="0" applyAlignment="0"/>
    <xf numFmtId="184" fontId="51" fillId="0" borderId="0" applyFill="0" applyBorder="0" applyAlignment="0"/>
    <xf numFmtId="185" fontId="51" fillId="0" borderId="0" applyFill="0" applyBorder="0" applyAlignment="0"/>
    <xf numFmtId="180" fontId="51" fillId="0" borderId="0" applyFill="0" applyBorder="0" applyAlignment="0"/>
    <xf numFmtId="0" fontId="52" fillId="0" borderId="0"/>
    <xf numFmtId="43" fontId="7" fillId="0" borderId="0" applyFont="0" applyFill="0" applyBorder="0" applyAlignment="0" applyProtection="0"/>
    <xf numFmtId="184" fontId="5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5" fillId="0" borderId="0" applyFont="0" applyFill="0" applyBorder="0" applyAlignment="0" applyProtection="0"/>
    <xf numFmtId="43" fontId="4" fillId="0" borderId="0" applyFont="0" applyFill="0" applyBorder="0" applyAlignment="0" applyProtection="0"/>
    <xf numFmtId="166" fontId="1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6"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6" fontId="7" fillId="0" borderId="0" applyFont="0" applyFill="0" applyBorder="0" applyAlignment="0" applyProtection="0"/>
    <xf numFmtId="43" fontId="8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15" fillId="0" borderId="0" applyFont="0" applyFill="0" applyBorder="0" applyAlignment="0" applyProtection="0"/>
    <xf numFmtId="170" fontId="1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6" fontId="12" fillId="0" borderId="0"/>
    <xf numFmtId="3" fontId="7" fillId="0" borderId="0" applyFont="0" applyFill="0" applyBorder="0" applyAlignment="0" applyProtection="0"/>
    <xf numFmtId="180" fontId="5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83"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4"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165" fontId="4" fillId="0" borderId="0" applyFont="0" applyFill="0" applyBorder="0" applyAlignment="0" applyProtection="0"/>
    <xf numFmtId="187" fontId="7" fillId="0" borderId="0" applyFont="0" applyFill="0" applyBorder="0" applyAlignment="0" applyProtection="0"/>
    <xf numFmtId="188" fontId="7" fillId="0" borderId="0"/>
    <xf numFmtId="189" fontId="35" fillId="0" borderId="4"/>
    <xf numFmtId="0" fontId="7" fillId="0" borderId="0" applyFont="0" applyFill="0" applyBorder="0" applyAlignment="0" applyProtection="0"/>
    <xf numFmtId="14" fontId="53" fillId="0" borderId="0" applyFill="0" applyBorder="0" applyAlignment="0"/>
    <xf numFmtId="0" fontId="31" fillId="29" borderId="5" applyNumberFormat="0" applyAlignment="0" applyProtection="0"/>
    <xf numFmtId="0" fontId="28" fillId="16" borderId="2" applyNumberFormat="0" applyAlignment="0" applyProtection="0"/>
    <xf numFmtId="0" fontId="25" fillId="0" borderId="6" applyNumberFormat="0" applyFill="0" applyAlignment="0" applyProtection="0"/>
    <xf numFmtId="0" fontId="26" fillId="0" borderId="7" applyNumberFormat="0" applyFill="0" applyAlignment="0" applyProtection="0"/>
    <xf numFmtId="0" fontId="27" fillId="0" borderId="8" applyNumberFormat="0" applyFill="0" applyAlignment="0" applyProtection="0"/>
    <xf numFmtId="0" fontId="27" fillId="0" borderId="0" applyNumberForma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xf numFmtId="3" fontId="35" fillId="0" borderId="0" applyFont="0" applyBorder="0" applyAlignment="0"/>
    <xf numFmtId="184" fontId="51" fillId="0" borderId="0" applyFill="0" applyBorder="0" applyAlignment="0"/>
    <xf numFmtId="180" fontId="51" fillId="0" borderId="0" applyFill="0" applyBorder="0" applyAlignment="0"/>
    <xf numFmtId="184" fontId="51" fillId="0" borderId="0" applyFill="0" applyBorder="0" applyAlignment="0"/>
    <xf numFmtId="185" fontId="51" fillId="0" borderId="0" applyFill="0" applyBorder="0" applyAlignment="0"/>
    <xf numFmtId="180" fontId="51" fillId="0" borderId="0" applyFill="0" applyBorder="0" applyAlignment="0"/>
    <xf numFmtId="3" fontId="35" fillId="0" borderId="0" applyFont="0" applyBorder="0" applyAlignment="0"/>
    <xf numFmtId="2" fontId="7" fillId="0" borderId="0" applyFont="0" applyFill="0" applyBorder="0" applyAlignment="0" applyProtection="0"/>
    <xf numFmtId="0" fontId="54" fillId="31" borderId="9" applyNumberFormat="0" applyFont="0" applyAlignment="0" applyProtection="0"/>
    <xf numFmtId="38" fontId="10" fillId="32" borderId="0" applyNumberFormat="0" applyBorder="0" applyAlignment="0" applyProtection="0"/>
    <xf numFmtId="0" fontId="55" fillId="0" borderId="10">
      <alignment vertical="center"/>
    </xf>
    <xf numFmtId="0" fontId="56" fillId="0" borderId="11" applyNumberFormat="0" applyAlignment="0" applyProtection="0">
      <alignment horizontal="left" vertical="center"/>
    </xf>
    <xf numFmtId="0" fontId="56" fillId="0" borderId="10">
      <alignment horizontal="left" vertical="center"/>
    </xf>
    <xf numFmtId="193" fontId="57" fillId="0" borderId="0">
      <protection locked="0"/>
    </xf>
    <xf numFmtId="193" fontId="57" fillId="0" borderId="0">
      <protection locked="0"/>
    </xf>
    <xf numFmtId="0" fontId="84" fillId="0" borderId="0" applyNumberFormat="0" applyFill="0" applyBorder="0" applyAlignment="0" applyProtection="0"/>
    <xf numFmtId="0" fontId="85" fillId="0" borderId="0" applyNumberFormat="0" applyFill="0" applyBorder="0" applyAlignment="0" applyProtection="0">
      <alignment vertical="top"/>
      <protection locked="0"/>
    </xf>
    <xf numFmtId="0" fontId="84" fillId="0" borderId="0" applyNumberFormat="0" applyFill="0" applyBorder="0" applyAlignment="0" applyProtection="0"/>
    <xf numFmtId="0" fontId="14" fillId="0" borderId="0" applyNumberFormat="0" applyFill="0" applyBorder="0" applyAlignment="0" applyProtection="0">
      <alignment vertical="top"/>
      <protection locked="0"/>
    </xf>
    <xf numFmtId="0" fontId="86" fillId="0" borderId="0" applyNumberFormat="0" applyFill="0" applyBorder="0" applyAlignment="0" applyProtection="0"/>
    <xf numFmtId="10" fontId="10" fillId="32" borderId="1" applyNumberFormat="0" applyBorder="0" applyAlignment="0" applyProtection="0"/>
    <xf numFmtId="0" fontId="22" fillId="30" borderId="3" applyNumberFormat="0" applyAlignment="0" applyProtection="0"/>
    <xf numFmtId="0" fontId="7" fillId="0" borderId="0"/>
    <xf numFmtId="0" fontId="58" fillId="0" borderId="0"/>
    <xf numFmtId="184" fontId="51" fillId="0" borderId="0" applyFill="0" applyBorder="0" applyAlignment="0"/>
    <xf numFmtId="180" fontId="51" fillId="0" borderId="0" applyFill="0" applyBorder="0" applyAlignment="0"/>
    <xf numFmtId="184" fontId="51" fillId="0" borderId="0" applyFill="0" applyBorder="0" applyAlignment="0"/>
    <xf numFmtId="185" fontId="51" fillId="0" borderId="0" applyFill="0" applyBorder="0" applyAlignment="0"/>
    <xf numFmtId="180" fontId="51" fillId="0" borderId="0" applyFill="0" applyBorder="0" applyAlignment="0"/>
    <xf numFmtId="38" fontId="59" fillId="0" borderId="0" applyFont="0" applyFill="0" applyBorder="0" applyAlignment="0" applyProtection="0"/>
    <xf numFmtId="40" fontId="59" fillId="0" borderId="0" applyFont="0" applyFill="0" applyBorder="0" applyAlignment="0" applyProtection="0"/>
    <xf numFmtId="164" fontId="7" fillId="0" borderId="0" applyFont="0" applyFill="0" applyBorder="0" applyAlignment="0" applyProtection="0"/>
    <xf numFmtId="166" fontId="7" fillId="0" borderId="0" applyFont="0" applyFill="0" applyBorder="0" applyAlignment="0" applyProtection="0"/>
    <xf numFmtId="0" fontId="60" fillId="0" borderId="13"/>
    <xf numFmtId="194" fontId="61" fillId="0" borderId="14"/>
    <xf numFmtId="195" fontId="59" fillId="0" borderId="0" applyFont="0" applyFill="0" applyBorder="0" applyAlignment="0" applyProtection="0"/>
    <xf numFmtId="196" fontId="59" fillId="0" borderId="0" applyFont="0" applyFill="0" applyBorder="0" applyAlignment="0" applyProtection="0"/>
    <xf numFmtId="197" fontId="7" fillId="0" borderId="0" applyFont="0" applyFill="0" applyBorder="0" applyAlignment="0" applyProtection="0"/>
    <xf numFmtId="198" fontId="7" fillId="0" borderId="0" applyFont="0" applyFill="0" applyBorder="0" applyAlignment="0" applyProtection="0"/>
    <xf numFmtId="0" fontId="62" fillId="0" borderId="0" applyNumberFormat="0" applyFont="0" applyFill="0" applyAlignment="0"/>
    <xf numFmtId="0" fontId="12" fillId="0" borderId="0"/>
    <xf numFmtId="0" fontId="19" fillId="25"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8" borderId="0" applyNumberFormat="0" applyBorder="0" applyAlignment="0" applyProtection="0"/>
    <xf numFmtId="37" fontId="63" fillId="0" borderId="0"/>
    <xf numFmtId="199" fontId="64" fillId="0" borderId="0"/>
    <xf numFmtId="0" fontId="7" fillId="0" borderId="0"/>
    <xf numFmtId="0" fontId="7" fillId="0" borderId="0"/>
    <xf numFmtId="0" fontId="7" fillId="0" borderId="0"/>
    <xf numFmtId="0" fontId="7" fillId="0" borderId="0"/>
    <xf numFmtId="0" fontId="4" fillId="0" borderId="0"/>
    <xf numFmtId="0" fontId="7" fillId="0" borderId="0"/>
    <xf numFmtId="0" fontId="4" fillId="0" borderId="0"/>
    <xf numFmtId="0" fontId="15" fillId="0" borderId="0"/>
    <xf numFmtId="0" fontId="7" fillId="0" borderId="0"/>
    <xf numFmtId="0" fontId="15"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0" borderId="0"/>
    <xf numFmtId="0" fontId="15" fillId="0" borderId="0"/>
    <xf numFmtId="0" fontId="7"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11"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7" fillId="0" borderId="0"/>
    <xf numFmtId="0" fontId="7" fillId="0" borderId="0"/>
    <xf numFmtId="0" fontId="16" fillId="0" borderId="0"/>
    <xf numFmtId="0" fontId="15" fillId="0" borderId="0"/>
    <xf numFmtId="0" fontId="7" fillId="0" borderId="0"/>
    <xf numFmtId="0" fontId="15" fillId="0" borderId="0"/>
    <xf numFmtId="0" fontId="7" fillId="0" borderId="0"/>
    <xf numFmtId="0" fontId="17" fillId="0" borderId="0">
      <protection locked="0"/>
    </xf>
    <xf numFmtId="0" fontId="35" fillId="0" borderId="0"/>
    <xf numFmtId="171" fontId="35" fillId="0" borderId="0"/>
    <xf numFmtId="0" fontId="29" fillId="0" borderId="12" applyNumberFormat="0" applyFill="0" applyAlignment="0" applyProtection="0"/>
    <xf numFmtId="166" fontId="65" fillId="0" borderId="0" applyFont="0" applyFill="0" applyBorder="0" applyAlignment="0" applyProtection="0"/>
    <xf numFmtId="164" fontId="65"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6" fillId="0" borderId="0" applyNumberFormat="0" applyFill="0" applyBorder="0" applyAlignment="0" applyProtection="0"/>
    <xf numFmtId="0" fontId="35" fillId="0" borderId="0" applyNumberFormat="0" applyFill="0" applyBorder="0" applyAlignment="0" applyProtection="0"/>
    <xf numFmtId="0" fontId="7" fillId="0" borderId="0" applyFont="0" applyFill="0" applyBorder="0" applyAlignment="0" applyProtection="0"/>
    <xf numFmtId="0" fontId="12" fillId="0" borderId="0"/>
    <xf numFmtId="183" fontId="7" fillId="0" borderId="0" applyFont="0" applyFill="0" applyBorder="0" applyAlignment="0" applyProtection="0"/>
    <xf numFmtId="200" fontId="7" fillId="0" borderId="0" applyFont="0" applyFill="0" applyBorder="0" applyAlignment="0" applyProtection="0"/>
    <xf numFmtId="10" fontId="7" fillId="0" borderId="0" applyFont="0" applyFill="0" applyBorder="0" applyAlignment="0" applyProtection="0"/>
    <xf numFmtId="9" fontId="15" fillId="0" borderId="0" applyFont="0" applyFill="0" applyBorder="0" applyAlignment="0" applyProtection="0"/>
    <xf numFmtId="9" fontId="59" fillId="0" borderId="15" applyNumberFormat="0" applyBorder="0"/>
    <xf numFmtId="184" fontId="51" fillId="0" borderId="0" applyFill="0" applyBorder="0" applyAlignment="0"/>
    <xf numFmtId="180" fontId="51" fillId="0" borderId="0" applyFill="0" applyBorder="0" applyAlignment="0"/>
    <xf numFmtId="184" fontId="51" fillId="0" borderId="0" applyFill="0" applyBorder="0" applyAlignment="0"/>
    <xf numFmtId="185" fontId="51" fillId="0" borderId="0" applyFill="0" applyBorder="0" applyAlignment="0"/>
    <xf numFmtId="180" fontId="51" fillId="0" borderId="0" applyFill="0" applyBorder="0" applyAlignment="0"/>
    <xf numFmtId="0" fontId="67" fillId="0" borderId="0"/>
    <xf numFmtId="0" fontId="59" fillId="0" borderId="0" applyNumberFormat="0" applyFont="0" applyFill="0" applyBorder="0" applyAlignment="0" applyProtection="0">
      <alignment horizontal="left"/>
    </xf>
    <xf numFmtId="0" fontId="68" fillId="0" borderId="13">
      <alignment horizontal="center"/>
    </xf>
    <xf numFmtId="0" fontId="35" fillId="0" borderId="0" applyNumberFormat="0" applyFill="0" applyBorder="0" applyAlignment="0" applyProtection="0"/>
    <xf numFmtId="0" fontId="41" fillId="0" borderId="0"/>
    <xf numFmtId="0" fontId="41" fillId="0" borderId="0"/>
    <xf numFmtId="0" fontId="69" fillId="0" borderId="0"/>
    <xf numFmtId="0" fontId="60" fillId="0" borderId="0"/>
    <xf numFmtId="201" fontId="35" fillId="0" borderId="16">
      <alignment horizontal="right" vertical="center"/>
    </xf>
    <xf numFmtId="49" fontId="53" fillId="0" borderId="0" applyFill="0" applyBorder="0" applyAlignment="0"/>
    <xf numFmtId="172" fontId="7" fillId="0" borderId="0" applyFill="0" applyBorder="0" applyAlignment="0"/>
    <xf numFmtId="202" fontId="7" fillId="0" borderId="0" applyFill="0" applyBorder="0" applyAlignment="0"/>
    <xf numFmtId="203" fontId="35" fillId="0" borderId="16">
      <alignment horizontal="center"/>
    </xf>
    <xf numFmtId="0" fontId="66" fillId="0" borderId="0" applyNumberFormat="0" applyFill="0" applyBorder="0" applyAlignment="0" applyProtection="0"/>
    <xf numFmtId="0" fontId="7" fillId="0" borderId="0" applyNumberFormat="0" applyFill="0" applyBorder="0" applyAlignment="0" applyProtection="0"/>
    <xf numFmtId="0" fontId="9" fillId="0" borderId="0" applyNumberFormat="0" applyFill="0" applyBorder="0" applyAlignment="0" applyProtection="0"/>
    <xf numFmtId="0" fontId="32" fillId="0" borderId="0" applyNumberFormat="0" applyFill="0" applyBorder="0" applyAlignment="0" applyProtection="0"/>
    <xf numFmtId="0" fontId="21" fillId="29" borderId="2" applyNumberFormat="0" applyAlignment="0" applyProtection="0"/>
    <xf numFmtId="0" fontId="33" fillId="0" borderId="17" applyNumberFormat="0" applyFill="0" applyAlignment="0" applyProtection="0"/>
    <xf numFmtId="0" fontId="24" fillId="13" borderId="0" applyNumberFormat="0" applyBorder="0" applyAlignment="0" applyProtection="0"/>
    <xf numFmtId="0" fontId="30" fillId="33" borderId="0" applyNumberFormat="0" applyBorder="0" applyAlignment="0" applyProtection="0"/>
    <xf numFmtId="0" fontId="34" fillId="0" borderId="0" applyNumberFormat="0" applyFill="0" applyBorder="0" applyAlignment="0" applyProtection="0"/>
    <xf numFmtId="0" fontId="23" fillId="0" borderId="0" applyNumberFormat="0" applyFill="0" applyBorder="0" applyAlignment="0" applyProtection="0"/>
    <xf numFmtId="204" fontId="35" fillId="0" borderId="0"/>
    <xf numFmtId="205" fontId="35" fillId="0" borderId="1"/>
    <xf numFmtId="0" fontId="70" fillId="34" borderId="1">
      <alignment horizontal="left" vertical="center"/>
    </xf>
    <xf numFmtId="206" fontId="71" fillId="0" borderId="18">
      <alignment horizontal="left" vertical="top"/>
    </xf>
    <xf numFmtId="206" fontId="47" fillId="0" borderId="19">
      <alignment horizontal="left" vertical="top"/>
    </xf>
    <xf numFmtId="0" fontId="72" fillId="0" borderId="19">
      <alignment horizontal="left" vertical="center"/>
    </xf>
    <xf numFmtId="207" fontId="7" fillId="0" borderId="0" applyFont="0" applyFill="0" applyBorder="0" applyAlignment="0" applyProtection="0"/>
    <xf numFmtId="208" fontId="7" fillId="0" borderId="0" applyFont="0" applyFill="0" applyBorder="0" applyAlignment="0" applyProtection="0"/>
    <xf numFmtId="0" fontId="20" fillId="12" borderId="0" applyNumberFormat="0" applyBorder="0" applyAlignment="0" applyProtection="0"/>
    <xf numFmtId="0" fontId="73" fillId="0" borderId="0" applyFont="0" applyFill="0" applyBorder="0" applyAlignment="0" applyProtection="0"/>
    <xf numFmtId="0" fontId="73" fillId="0" borderId="0" applyFont="0" applyFill="0" applyBorder="0" applyAlignment="0" applyProtection="0"/>
    <xf numFmtId="0" fontId="13" fillId="0" borderId="0">
      <alignment vertical="center"/>
    </xf>
    <xf numFmtId="40" fontId="74" fillId="0" borderId="0" applyFont="0" applyFill="0" applyBorder="0" applyAlignment="0" applyProtection="0"/>
    <xf numFmtId="38"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9" fontId="75" fillId="0" borderId="0" applyFont="0" applyFill="0" applyBorder="0" applyAlignment="0" applyProtection="0"/>
    <xf numFmtId="0" fontId="76" fillId="0" borderId="0"/>
    <xf numFmtId="0" fontId="77" fillId="0" borderId="0" applyFont="0" applyFill="0" applyBorder="0" applyAlignment="0" applyProtection="0"/>
    <xf numFmtId="0" fontId="77" fillId="0" borderId="0" applyFont="0" applyFill="0" applyBorder="0" applyAlignment="0" applyProtection="0"/>
    <xf numFmtId="209" fontId="78" fillId="0" borderId="0" applyFont="0" applyFill="0" applyBorder="0" applyAlignment="0" applyProtection="0"/>
    <xf numFmtId="210" fontId="78" fillId="0" borderId="0" applyFont="0" applyFill="0" applyBorder="0" applyAlignment="0" applyProtection="0"/>
    <xf numFmtId="0" fontId="79" fillId="0" borderId="0"/>
    <xf numFmtId="0" fontId="62" fillId="0" borderId="0"/>
    <xf numFmtId="164" fontId="80" fillId="0" borderId="0" applyFont="0" applyFill="0" applyBorder="0" applyAlignment="0" applyProtection="0"/>
    <xf numFmtId="166" fontId="80" fillId="0" borderId="0" applyFont="0" applyFill="0" applyBorder="0" applyAlignment="0" applyProtection="0"/>
    <xf numFmtId="0" fontId="82" fillId="0" borderId="0">
      <alignment vertical="center"/>
    </xf>
    <xf numFmtId="211" fontId="80" fillId="0" borderId="0" applyFont="0" applyFill="0" applyBorder="0" applyAlignment="0" applyProtection="0"/>
    <xf numFmtId="195" fontId="81" fillId="0" borderId="0" applyFont="0" applyFill="0" applyBorder="0" applyAlignment="0" applyProtection="0"/>
    <xf numFmtId="184" fontId="80" fillId="0" borderId="0" applyFont="0" applyFill="0" applyBorder="0" applyAlignment="0" applyProtection="0"/>
    <xf numFmtId="0" fontId="3" fillId="0" borderId="0"/>
    <xf numFmtId="166" fontId="3"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165" fontId="2" fillId="0" borderId="0" applyFont="0" applyFill="0" applyBorder="0" applyAlignment="0" applyProtection="0"/>
    <xf numFmtId="10" fontId="10" fillId="32" borderId="2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5" fontId="35" fillId="0" borderId="20"/>
    <xf numFmtId="0" fontId="70" fillId="34" borderId="20">
      <alignment horizontal="left" vertical="center"/>
    </xf>
    <xf numFmtId="0" fontId="2" fillId="0" borderId="0"/>
    <xf numFmtId="166" fontId="2"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65" fontId="1" fillId="0" borderId="0" applyFont="0" applyFill="0" applyBorder="0" applyAlignment="0" applyProtection="0"/>
    <xf numFmtId="0" fontId="31" fillId="29" borderId="25" applyNumberFormat="0" applyAlignment="0" applyProtection="0"/>
    <xf numFmtId="0" fontId="28" fillId="16" borderId="24" applyNumberFormat="0" applyAlignment="0" applyProtection="0"/>
    <xf numFmtId="0" fontId="54" fillId="31" borderId="26" applyNumberFormat="0" applyFont="0" applyAlignment="0" applyProtection="0"/>
    <xf numFmtId="0" fontId="55" fillId="0" borderId="27">
      <alignment vertical="center"/>
    </xf>
    <xf numFmtId="0" fontId="56" fillId="0" borderId="27">
      <alignment horizontal="lef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1" fontId="35" fillId="0" borderId="23">
      <alignment horizontal="right" vertical="center"/>
    </xf>
    <xf numFmtId="203" fontId="35" fillId="0" borderId="23">
      <alignment horizontal="center"/>
    </xf>
    <xf numFmtId="0" fontId="21" fillId="29" borderId="24" applyNumberFormat="0" applyAlignment="0" applyProtection="0"/>
    <xf numFmtId="0" fontId="33" fillId="0" borderId="28" applyNumberFormat="0" applyFill="0" applyAlignment="0" applyProtection="0"/>
    <xf numFmtId="206" fontId="71" fillId="0" borderId="29">
      <alignment horizontal="left" vertical="top"/>
    </xf>
    <xf numFmtId="0" fontId="1" fillId="0" borderId="0"/>
    <xf numFmtId="166"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65" fontId="1" fillId="0" borderId="0" applyFont="0" applyFill="0" applyBorder="0" applyAlignment="0" applyProtection="0"/>
    <xf numFmtId="10" fontId="10" fillId="32" borderId="3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5" fontId="35" fillId="0" borderId="30"/>
    <xf numFmtId="0" fontId="70" fillId="34" borderId="30">
      <alignment horizontal="left" vertical="center"/>
    </xf>
    <xf numFmtId="0" fontId="1" fillId="0" borderId="0"/>
    <xf numFmtId="166" fontId="1" fillId="0" borderId="0" applyFont="0" applyFill="0" applyBorder="0" applyAlignment="0" applyProtection="0"/>
  </cellStyleXfs>
  <cellXfs count="196">
    <xf numFmtId="0" fontId="0" fillId="0" borderId="0" xfId="0"/>
    <xf numFmtId="0" fontId="6" fillId="3" borderId="20" xfId="0" applyFont="1" applyFill="1" applyBorder="1" applyAlignment="1">
      <alignment horizontal="center"/>
    </xf>
    <xf numFmtId="0" fontId="6" fillId="3" borderId="20" xfId="0" applyFont="1" applyFill="1" applyBorder="1" applyAlignment="1">
      <alignment horizontal="left"/>
    </xf>
    <xf numFmtId="168" fontId="6" fillId="3" borderId="20" xfId="1" applyNumberFormat="1" applyFont="1" applyFill="1" applyBorder="1" applyAlignment="1">
      <alignment horizontal="center"/>
    </xf>
    <xf numFmtId="0" fontId="6" fillId="6" borderId="20" xfId="0" applyFont="1" applyFill="1" applyBorder="1" applyAlignment="1">
      <alignment horizontal="left"/>
    </xf>
    <xf numFmtId="0" fontId="87" fillId="3" borderId="20" xfId="0" applyFont="1" applyFill="1" applyBorder="1" applyAlignment="1">
      <alignment horizontal="left"/>
    </xf>
    <xf numFmtId="168" fontId="87" fillId="3" borderId="20" xfId="1" applyNumberFormat="1" applyFont="1" applyFill="1" applyBorder="1" applyAlignment="1">
      <alignment horizontal="center"/>
    </xf>
    <xf numFmtId="0" fontId="6" fillId="4" borderId="20" xfId="0" applyFont="1" applyFill="1" applyBorder="1" applyAlignment="1">
      <alignment horizontal="left"/>
    </xf>
    <xf numFmtId="0" fontId="6" fillId="4" borderId="20" xfId="0" applyFont="1" applyFill="1" applyBorder="1" applyAlignment="1">
      <alignment horizontal="center"/>
    </xf>
    <xf numFmtId="168" fontId="6" fillId="4" borderId="20" xfId="1" applyNumberFormat="1" applyFont="1" applyFill="1" applyBorder="1" applyAlignment="1">
      <alignment horizontal="center"/>
    </xf>
    <xf numFmtId="168" fontId="6" fillId="3" borderId="20" xfId="1" applyNumberFormat="1" applyFont="1" applyFill="1" applyBorder="1" applyAlignment="1">
      <alignment horizontal="left"/>
    </xf>
    <xf numFmtId="0" fontId="6" fillId="6" borderId="20" xfId="0" applyFont="1" applyFill="1" applyBorder="1" applyAlignment="1">
      <alignment horizontal="center"/>
    </xf>
    <xf numFmtId="168" fontId="6" fillId="6" borderId="20" xfId="1" applyNumberFormat="1" applyFont="1" applyFill="1" applyBorder="1" applyAlignment="1">
      <alignment horizontal="center"/>
    </xf>
    <xf numFmtId="0" fontId="88" fillId="0" borderId="0" xfId="0" applyFont="1" applyAlignment="1">
      <alignment horizontal="left"/>
    </xf>
    <xf numFmtId="168" fontId="88" fillId="0" borderId="0" xfId="1" applyNumberFormat="1" applyFont="1" applyAlignment="1"/>
    <xf numFmtId="0" fontId="89" fillId="0" borderId="0" xfId="0" applyFont="1"/>
    <xf numFmtId="0" fontId="90" fillId="0" borderId="0" xfId="0" applyFont="1" applyAlignment="1">
      <alignment vertical="center"/>
    </xf>
    <xf numFmtId="0" fontId="89" fillId="0" borderId="0" xfId="0" applyFont="1" applyAlignment="1">
      <alignment horizontal="center" vertical="center"/>
    </xf>
    <xf numFmtId="168" fontId="89" fillId="0" borderId="0" xfId="1" applyNumberFormat="1" applyFont="1"/>
    <xf numFmtId="0" fontId="91" fillId="3" borderId="0" xfId="0" applyFont="1" applyFill="1" applyAlignment="1">
      <alignment wrapText="1"/>
    </xf>
    <xf numFmtId="0" fontId="92" fillId="3" borderId="20" xfId="0" applyFont="1" applyFill="1" applyBorder="1" applyAlignment="1">
      <alignment horizontal="left" vertical="center"/>
    </xf>
    <xf numFmtId="0" fontId="91" fillId="3" borderId="1" xfId="0" applyFont="1" applyFill="1" applyBorder="1" applyAlignment="1">
      <alignment horizontal="left" wrapText="1"/>
    </xf>
    <xf numFmtId="0" fontId="91" fillId="3" borderId="1" xfId="0" applyFont="1" applyFill="1" applyBorder="1" applyAlignment="1">
      <alignment horizontal="center" wrapText="1"/>
    </xf>
    <xf numFmtId="0" fontId="89" fillId="0" borderId="0" xfId="0" applyFont="1" applyAlignment="1">
      <alignment horizontal="left"/>
    </xf>
    <xf numFmtId="0" fontId="89" fillId="0" borderId="0" xfId="0" applyFont="1" applyAlignment="1">
      <alignment horizontal="center"/>
    </xf>
    <xf numFmtId="0" fontId="87" fillId="3" borderId="20" xfId="0" applyFont="1" applyFill="1" applyBorder="1" applyAlignment="1">
      <alignment horizontal="center"/>
    </xf>
    <xf numFmtId="0" fontId="87" fillId="3" borderId="1" xfId="0" applyFont="1" applyFill="1" applyBorder="1" applyAlignment="1">
      <alignment horizontal="left"/>
    </xf>
    <xf numFmtId="0" fontId="6" fillId="0" borderId="20" xfId="0" applyFont="1" applyBorder="1" applyAlignment="1">
      <alignment horizontal="left"/>
    </xf>
    <xf numFmtId="0" fontId="6" fillId="0" borderId="20" xfId="0" applyFont="1" applyBorder="1" applyAlignment="1">
      <alignment horizontal="center"/>
    </xf>
    <xf numFmtId="168" fontId="6" fillId="0" borderId="20" xfId="1" applyNumberFormat="1" applyFont="1" applyFill="1" applyBorder="1" applyAlignment="1">
      <alignment horizontal="center"/>
    </xf>
    <xf numFmtId="168" fontId="87" fillId="6" borderId="20" xfId="1" applyNumberFormat="1" applyFont="1" applyFill="1" applyBorder="1" applyAlignment="1">
      <alignment horizontal="center"/>
    </xf>
    <xf numFmtId="168" fontId="6" fillId="2" borderId="20" xfId="1" applyNumberFormat="1" applyFont="1" applyFill="1" applyBorder="1" applyAlignment="1">
      <alignment horizontal="center"/>
    </xf>
    <xf numFmtId="0" fontId="6" fillId="2" borderId="20" xfId="0" applyFont="1" applyFill="1" applyBorder="1" applyAlignment="1">
      <alignment horizontal="left"/>
    </xf>
    <xf numFmtId="0" fontId="6" fillId="2" borderId="20" xfId="0" applyFont="1" applyFill="1" applyBorder="1" applyAlignment="1">
      <alignment horizontal="center"/>
    </xf>
    <xf numFmtId="0" fontId="87" fillId="0" borderId="20" xfId="0" applyFont="1" applyBorder="1" applyAlignment="1">
      <alignment horizontal="left"/>
    </xf>
    <xf numFmtId="0" fontId="89" fillId="2" borderId="0" xfId="0" applyFont="1" applyFill="1" applyAlignment="1">
      <alignment horizontal="left"/>
    </xf>
    <xf numFmtId="167" fontId="93" fillId="2" borderId="1" xfId="0" applyNumberFormat="1" applyFont="1" applyFill="1" applyBorder="1" applyAlignment="1">
      <alignment horizontal="center" vertical="center"/>
    </xf>
    <xf numFmtId="0" fontId="93" fillId="2" borderId="1" xfId="0" applyFont="1" applyFill="1" applyBorder="1" applyAlignment="1">
      <alignment horizontal="left" vertical="center"/>
    </xf>
    <xf numFmtId="0" fontId="93" fillId="2" borderId="1" xfId="0" applyFont="1" applyFill="1" applyBorder="1" applyAlignment="1">
      <alignment horizontal="center" vertical="center"/>
    </xf>
    <xf numFmtId="0" fontId="89" fillId="2" borderId="1" xfId="0" applyFont="1" applyFill="1" applyBorder="1"/>
    <xf numFmtId="168" fontId="89" fillId="2" borderId="1" xfId="1" applyNumberFormat="1" applyFont="1" applyFill="1" applyBorder="1"/>
    <xf numFmtId="0" fontId="91" fillId="3" borderId="20" xfId="0" applyFont="1" applyFill="1" applyBorder="1" applyAlignment="1">
      <alignment horizontal="left"/>
    </xf>
    <xf numFmtId="0" fontId="91" fillId="0" borderId="20" xfId="0" applyFont="1" applyBorder="1" applyAlignment="1">
      <alignment horizontal="center"/>
    </xf>
    <xf numFmtId="0" fontId="89" fillId="0" borderId="20" xfId="0" applyFont="1" applyBorder="1" applyAlignment="1">
      <alignment horizontal="center"/>
    </xf>
    <xf numFmtId="0" fontId="91" fillId="3" borderId="20" xfId="0" applyFont="1" applyFill="1" applyBorder="1" applyAlignment="1">
      <alignment horizontal="center"/>
    </xf>
    <xf numFmtId="0" fontId="91" fillId="3" borderId="0" xfId="0" applyFont="1" applyFill="1"/>
    <xf numFmtId="0" fontId="91" fillId="3" borderId="20" xfId="0" applyFont="1" applyFill="1" applyBorder="1" applyAlignment="1">
      <alignment horizontal="left" wrapText="1"/>
    </xf>
    <xf numFmtId="167" fontId="93" fillId="3" borderId="20" xfId="0" applyNumberFormat="1" applyFont="1" applyFill="1" applyBorder="1" applyAlignment="1">
      <alignment horizontal="center" vertical="center" wrapText="1"/>
    </xf>
    <xf numFmtId="0" fontId="92" fillId="0" borderId="20" xfId="0" applyFont="1" applyBorder="1" applyAlignment="1">
      <alignment horizontal="left"/>
    </xf>
    <xf numFmtId="0" fontId="92" fillId="0" borderId="20" xfId="0" applyFont="1" applyBorder="1" applyAlignment="1">
      <alignment horizontal="left" wrapText="1"/>
    </xf>
    <xf numFmtId="0" fontId="93" fillId="2" borderId="1" xfId="0" applyFont="1" applyFill="1" applyBorder="1" applyAlignment="1">
      <alignment horizontal="left" vertical="center" wrapText="1"/>
    </xf>
    <xf numFmtId="0" fontId="88" fillId="0" borderId="0" xfId="0" applyFont="1"/>
    <xf numFmtId="0" fontId="87" fillId="4" borderId="20" xfId="0" applyFont="1" applyFill="1" applyBorder="1" applyAlignment="1">
      <alignment horizontal="center"/>
    </xf>
    <xf numFmtId="168" fontId="88" fillId="0" borderId="0" xfId="0" applyNumberFormat="1" applyFont="1"/>
    <xf numFmtId="0" fontId="88" fillId="2" borderId="0" xfId="0" applyFont="1" applyFill="1"/>
    <xf numFmtId="0" fontId="87" fillId="0" borderId="0" xfId="0" applyFont="1"/>
    <xf numFmtId="0" fontId="87" fillId="2" borderId="20" xfId="0" applyFont="1" applyFill="1" applyBorder="1" applyAlignment="1">
      <alignment horizontal="left"/>
    </xf>
    <xf numFmtId="0" fontId="6" fillId="36" borderId="20" xfId="0" applyFont="1" applyFill="1" applyBorder="1" applyAlignment="1">
      <alignment horizontal="left"/>
    </xf>
    <xf numFmtId="0" fontId="94" fillId="3" borderId="1" xfId="0" applyFont="1" applyFill="1" applyBorder="1" applyAlignment="1">
      <alignment horizontal="left" wrapText="1"/>
    </xf>
    <xf numFmtId="0" fontId="94" fillId="3" borderId="1" xfId="0" applyFont="1" applyFill="1" applyBorder="1" applyAlignment="1">
      <alignment horizontal="center" wrapText="1"/>
    </xf>
    <xf numFmtId="0" fontId="94" fillId="3" borderId="0" xfId="0" applyFont="1" applyFill="1" applyAlignment="1">
      <alignment wrapText="1"/>
    </xf>
    <xf numFmtId="0" fontId="92" fillId="3" borderId="1" xfId="0" applyFont="1" applyFill="1" applyBorder="1" applyAlignment="1">
      <alignment horizontal="left" vertical="center"/>
    </xf>
    <xf numFmtId="0" fontId="91" fillId="3" borderId="1" xfId="0" applyFont="1" applyFill="1" applyBorder="1" applyAlignment="1">
      <alignment horizontal="left"/>
    </xf>
    <xf numFmtId="0" fontId="89" fillId="0" borderId="1" xfId="0" applyFont="1" applyBorder="1"/>
    <xf numFmtId="0" fontId="93" fillId="2" borderId="20" xfId="0" applyFont="1" applyFill="1" applyBorder="1" applyAlignment="1">
      <alignment horizontal="left" vertical="center"/>
    </xf>
    <xf numFmtId="0" fontId="89" fillId="0" borderId="1" xfId="0" applyFont="1" applyBorder="1" applyAlignment="1">
      <alignment horizontal="left"/>
    </xf>
    <xf numFmtId="0" fontId="92" fillId="3" borderId="20" xfId="0" applyFont="1" applyFill="1" applyBorder="1" applyAlignment="1">
      <alignment horizontal="left"/>
    </xf>
    <xf numFmtId="0" fontId="89" fillId="0" borderId="20" xfId="0" applyFont="1" applyBorder="1" applyAlignment="1">
      <alignment horizontal="left" vertical="center"/>
    </xf>
    <xf numFmtId="0" fontId="92" fillId="0" borderId="20" xfId="0" applyFont="1" applyBorder="1" applyAlignment="1">
      <alignment horizontal="left" vertical="center"/>
    </xf>
    <xf numFmtId="0" fontId="96" fillId="0" borderId="0" xfId="0" applyFont="1" applyAlignment="1">
      <alignment vertical="center"/>
    </xf>
    <xf numFmtId="0" fontId="97" fillId="8" borderId="1" xfId="0" applyFont="1" applyFill="1" applyBorder="1" applyAlignment="1">
      <alignment horizontal="center" vertical="center" wrapText="1"/>
    </xf>
    <xf numFmtId="0" fontId="89" fillId="9" borderId="1" xfId="0" applyFont="1" applyFill="1" applyBorder="1" applyAlignment="1">
      <alignment horizontal="left" vertical="center"/>
    </xf>
    <xf numFmtId="0" fontId="95" fillId="4" borderId="1" xfId="0" applyFont="1" applyFill="1" applyBorder="1" applyAlignment="1">
      <alignment horizontal="center"/>
    </xf>
    <xf numFmtId="0" fontId="95" fillId="3" borderId="1" xfId="0" applyFont="1" applyFill="1" applyBorder="1" applyAlignment="1">
      <alignment horizontal="center"/>
    </xf>
    <xf numFmtId="0" fontId="93" fillId="3" borderId="20" xfId="0" applyFont="1" applyFill="1" applyBorder="1" applyAlignment="1">
      <alignment horizontal="left" vertical="center"/>
    </xf>
    <xf numFmtId="0" fontId="92" fillId="0" borderId="1" xfId="0" applyFont="1" applyBorder="1"/>
    <xf numFmtId="0" fontId="92" fillId="3" borderId="1" xfId="0" applyFont="1" applyFill="1" applyBorder="1" applyAlignment="1">
      <alignment horizontal="left" wrapText="1"/>
    </xf>
    <xf numFmtId="0" fontId="91" fillId="3" borderId="1" xfId="0" applyFont="1" applyFill="1" applyBorder="1" applyAlignment="1">
      <alignment horizontal="center" vertical="center" wrapText="1"/>
    </xf>
    <xf numFmtId="0" fontId="91" fillId="9" borderId="1" xfId="0" applyFont="1" applyFill="1" applyBorder="1" applyAlignment="1">
      <alignment horizontal="left"/>
    </xf>
    <xf numFmtId="0" fontId="91" fillId="37" borderId="1" xfId="0" applyFont="1" applyFill="1" applyBorder="1" applyAlignment="1">
      <alignment horizontal="left"/>
    </xf>
    <xf numFmtId="168" fontId="89" fillId="0" borderId="1" xfId="1" applyNumberFormat="1" applyFont="1" applyBorder="1"/>
    <xf numFmtId="0" fontId="98" fillId="4" borderId="1" xfId="0" applyFont="1" applyFill="1" applyBorder="1" applyAlignment="1">
      <alignment horizontal="left"/>
    </xf>
    <xf numFmtId="0" fontId="95" fillId="4" borderId="1" xfId="0" applyFont="1" applyFill="1" applyBorder="1" applyAlignment="1">
      <alignment horizontal="center" wrapText="1"/>
    </xf>
    <xf numFmtId="0" fontId="98" fillId="4" borderId="1" xfId="0" applyFont="1" applyFill="1" applyBorder="1" applyAlignment="1">
      <alignment horizontal="center"/>
    </xf>
    <xf numFmtId="168" fontId="98" fillId="4" borderId="1" xfId="1" applyNumberFormat="1" applyFont="1" applyFill="1" applyBorder="1" applyAlignment="1">
      <alignment horizontal="center"/>
    </xf>
    <xf numFmtId="0" fontId="91" fillId="0" borderId="1" xfId="0" applyFont="1" applyBorder="1" applyAlignment="1">
      <alignment horizontal="center"/>
    </xf>
    <xf numFmtId="0" fontId="91" fillId="3" borderId="1" xfId="0" applyFont="1" applyFill="1" applyBorder="1" applyAlignment="1">
      <alignment horizontal="center"/>
    </xf>
    <xf numFmtId="168" fontId="91" fillId="3" borderId="1" xfId="1" applyNumberFormat="1" applyFont="1" applyFill="1" applyBorder="1" applyAlignment="1">
      <alignment horizontal="center"/>
    </xf>
    <xf numFmtId="0" fontId="91" fillId="39" borderId="1" xfId="0" applyFont="1" applyFill="1" applyBorder="1" applyAlignment="1">
      <alignment horizontal="left" wrapText="1"/>
    </xf>
    <xf numFmtId="0" fontId="92" fillId="0" borderId="1" xfId="0" applyFont="1" applyBorder="1" applyAlignment="1">
      <alignment horizontal="center"/>
    </xf>
    <xf numFmtId="0" fontId="89" fillId="0" borderId="1" xfId="0" applyFont="1" applyBorder="1" applyAlignment="1">
      <alignment horizontal="center"/>
    </xf>
    <xf numFmtId="0" fontId="98" fillId="4" borderId="20" xfId="0" applyFont="1" applyFill="1" applyBorder="1" applyAlignment="1">
      <alignment horizontal="left"/>
    </xf>
    <xf numFmtId="0" fontId="95" fillId="4" borderId="20" xfId="0" applyFont="1" applyFill="1" applyBorder="1" applyAlignment="1">
      <alignment horizontal="center" wrapText="1"/>
    </xf>
    <xf numFmtId="0" fontId="95" fillId="4" borderId="20" xfId="0" applyFont="1" applyFill="1" applyBorder="1" applyAlignment="1">
      <alignment horizontal="center"/>
    </xf>
    <xf numFmtId="0" fontId="98" fillId="4" borderId="20" xfId="0" applyFont="1" applyFill="1" applyBorder="1" applyAlignment="1">
      <alignment horizontal="center"/>
    </xf>
    <xf numFmtId="0" fontId="91" fillId="2" borderId="1" xfId="0" applyFont="1" applyFill="1" applyBorder="1" applyAlignment="1">
      <alignment horizontal="left"/>
    </xf>
    <xf numFmtId="0" fontId="91" fillId="2" borderId="1" xfId="0" applyFont="1" applyFill="1" applyBorder="1" applyAlignment="1">
      <alignment horizontal="left" wrapText="1"/>
    </xf>
    <xf numFmtId="0" fontId="91" fillId="2" borderId="1" xfId="0" applyFont="1" applyFill="1" applyBorder="1" applyAlignment="1">
      <alignment horizontal="center"/>
    </xf>
    <xf numFmtId="0" fontId="89" fillId="2" borderId="1" xfId="0" applyFont="1" applyFill="1" applyBorder="1" applyAlignment="1">
      <alignment horizontal="center"/>
    </xf>
    <xf numFmtId="0" fontId="95" fillId="3" borderId="1" xfId="0" applyFont="1" applyFill="1" applyBorder="1" applyAlignment="1">
      <alignment horizontal="center" wrapText="1"/>
    </xf>
    <xf numFmtId="0" fontId="95" fillId="0" borderId="1" xfId="0" applyFont="1" applyBorder="1" applyAlignment="1">
      <alignment horizontal="center"/>
    </xf>
    <xf numFmtId="0" fontId="95" fillId="3" borderId="0" xfId="0" applyFont="1" applyFill="1" applyAlignment="1">
      <alignment horizontal="center"/>
    </xf>
    <xf numFmtId="0" fontId="93" fillId="0" borderId="20" xfId="0" applyFont="1" applyBorder="1" applyAlignment="1">
      <alignment horizontal="center" vertical="center"/>
    </xf>
    <xf numFmtId="0" fontId="89" fillId="0" borderId="1" xfId="0" applyFont="1" applyBorder="1" applyAlignment="1">
      <alignment horizontal="left" wrapText="1"/>
    </xf>
    <xf numFmtId="0" fontId="92" fillId="7" borderId="1" xfId="0" applyFont="1" applyFill="1" applyBorder="1" applyAlignment="1">
      <alignment horizontal="center"/>
    </xf>
    <xf numFmtId="167" fontId="93" fillId="3" borderId="1" xfId="0" applyNumberFormat="1" applyFont="1" applyFill="1" applyBorder="1" applyAlignment="1">
      <alignment horizontal="center" vertical="center"/>
    </xf>
    <xf numFmtId="0" fontId="92" fillId="3" borderId="20" xfId="0" applyFont="1" applyFill="1" applyBorder="1" applyAlignment="1">
      <alignment horizontal="left" wrapText="1"/>
    </xf>
    <xf numFmtId="0" fontId="92" fillId="3" borderId="20" xfId="0" applyFont="1" applyFill="1" applyBorder="1" applyAlignment="1">
      <alignment horizontal="center"/>
    </xf>
    <xf numFmtId="0" fontId="92" fillId="3" borderId="1" xfId="0" applyFont="1" applyFill="1" applyBorder="1" applyAlignment="1">
      <alignment horizontal="left"/>
    </xf>
    <xf numFmtId="0" fontId="92" fillId="3" borderId="1" xfId="0" applyFont="1" applyFill="1" applyBorder="1" applyAlignment="1">
      <alignment horizontal="center"/>
    </xf>
    <xf numFmtId="0" fontId="92" fillId="3" borderId="0" xfId="0" applyFont="1" applyFill="1"/>
    <xf numFmtId="0" fontId="92" fillId="0" borderId="0" xfId="0" applyFont="1"/>
    <xf numFmtId="0" fontId="93" fillId="3" borderId="20" xfId="0" applyFont="1" applyFill="1" applyBorder="1" applyAlignment="1">
      <alignment horizontal="center" vertical="center"/>
    </xf>
    <xf numFmtId="0" fontId="93" fillId="3" borderId="20" xfId="0" applyFont="1" applyFill="1" applyBorder="1" applyAlignment="1">
      <alignment horizontal="left" vertical="center" wrapText="1"/>
    </xf>
    <xf numFmtId="167" fontId="93" fillId="3" borderId="20" xfId="0" applyNumberFormat="1" applyFont="1" applyFill="1" applyBorder="1" applyAlignment="1">
      <alignment horizontal="center" vertical="center"/>
    </xf>
    <xf numFmtId="167" fontId="91" fillId="0" borderId="1" xfId="0" applyNumberFormat="1" applyFont="1" applyBorder="1" applyAlignment="1">
      <alignment horizontal="center"/>
    </xf>
    <xf numFmtId="0" fontId="91" fillId="0" borderId="1" xfId="0" applyFont="1" applyBorder="1" applyAlignment="1">
      <alignment horizontal="left"/>
    </xf>
    <xf numFmtId="167" fontId="93" fillId="5" borderId="1" xfId="0" applyNumberFormat="1" applyFont="1" applyFill="1" applyBorder="1" applyAlignment="1">
      <alignment horizontal="left" vertical="center"/>
    </xf>
    <xf numFmtId="0" fontId="92" fillId="3" borderId="1" xfId="0" applyFont="1" applyFill="1" applyBorder="1" applyAlignment="1">
      <alignment horizontal="left" vertical="center" wrapText="1"/>
    </xf>
    <xf numFmtId="0" fontId="92" fillId="0" borderId="1" xfId="0" applyFont="1" applyBorder="1" applyAlignment="1">
      <alignment horizontal="center" vertical="center"/>
    </xf>
    <xf numFmtId="167" fontId="92" fillId="0" borderId="1" xfId="0" applyNumberFormat="1" applyFont="1" applyBorder="1" applyAlignment="1">
      <alignment horizontal="center" vertical="center"/>
    </xf>
    <xf numFmtId="167" fontId="92" fillId="3" borderId="1" xfId="0" applyNumberFormat="1" applyFont="1" applyFill="1" applyBorder="1" applyAlignment="1">
      <alignment horizontal="center" vertical="center"/>
    </xf>
    <xf numFmtId="0" fontId="93" fillId="3" borderId="1" xfId="0" applyFont="1" applyFill="1" applyBorder="1" applyAlignment="1">
      <alignment horizontal="center" vertical="center"/>
    </xf>
    <xf numFmtId="0" fontId="93" fillId="38" borderId="23" xfId="258" applyFont="1" applyFill="1" applyBorder="1" applyAlignment="1">
      <alignment horizontal="left" vertical="center"/>
    </xf>
    <xf numFmtId="0" fontId="92" fillId="0" borderId="1" xfId="0" applyFont="1" applyBorder="1" applyAlignment="1">
      <alignment horizontal="left"/>
    </xf>
    <xf numFmtId="0" fontId="93" fillId="0" borderId="1" xfId="0" applyFont="1" applyBorder="1" applyAlignment="1">
      <alignment horizontal="center" vertical="center"/>
    </xf>
    <xf numFmtId="0" fontId="93" fillId="9" borderId="1" xfId="0" applyFont="1" applyFill="1" applyBorder="1" applyAlignment="1">
      <alignment horizontal="center" vertical="center"/>
    </xf>
    <xf numFmtId="0" fontId="93" fillId="9" borderId="1" xfId="0" applyFont="1" applyFill="1" applyBorder="1" applyAlignment="1">
      <alignment horizontal="left" vertical="center" wrapText="1"/>
    </xf>
    <xf numFmtId="0" fontId="91" fillId="9" borderId="0" xfId="0" applyFont="1" applyFill="1"/>
    <xf numFmtId="0" fontId="89" fillId="0" borderId="1" xfId="0" applyFont="1" applyBorder="1" applyAlignment="1">
      <alignment wrapText="1"/>
    </xf>
    <xf numFmtId="0" fontId="89" fillId="0" borderId="0" xfId="0" applyFont="1" applyAlignment="1">
      <alignment wrapText="1"/>
    </xf>
    <xf numFmtId="0" fontId="96" fillId="0" borderId="0" xfId="0" applyFont="1" applyAlignment="1">
      <alignment horizontal="left" vertical="center"/>
    </xf>
    <xf numFmtId="168" fontId="89" fillId="0" borderId="0" xfId="1" applyNumberFormat="1" applyFont="1" applyFill="1"/>
    <xf numFmtId="0" fontId="97" fillId="8" borderId="1" xfId="0" applyFont="1" applyFill="1" applyBorder="1" applyAlignment="1">
      <alignment horizontal="left" vertical="center" wrapText="1"/>
    </xf>
    <xf numFmtId="167" fontId="89" fillId="9" borderId="1" xfId="0" applyNumberFormat="1" applyFont="1" applyFill="1" applyBorder="1" applyAlignment="1">
      <alignment horizontal="center" vertical="center"/>
    </xf>
    <xf numFmtId="167" fontId="89" fillId="9" borderId="1" xfId="0" applyNumberFormat="1" applyFont="1" applyFill="1" applyBorder="1" applyAlignment="1">
      <alignment horizontal="left" vertical="center"/>
    </xf>
    <xf numFmtId="0" fontId="89" fillId="9" borderId="1" xfId="0" applyFont="1" applyFill="1" applyBorder="1" applyAlignment="1">
      <alignment horizontal="center" vertical="center"/>
    </xf>
    <xf numFmtId="0" fontId="89" fillId="9" borderId="1" xfId="0" applyFont="1" applyFill="1" applyBorder="1"/>
    <xf numFmtId="168" fontId="89" fillId="9" borderId="1" xfId="1" applyNumberFormat="1" applyFont="1" applyFill="1" applyBorder="1" applyAlignment="1">
      <alignment horizontal="center"/>
    </xf>
    <xf numFmtId="168" fontId="89" fillId="9" borderId="1" xfId="1" applyNumberFormat="1" applyFont="1" applyFill="1" applyBorder="1"/>
    <xf numFmtId="0" fontId="89" fillId="9" borderId="0" xfId="0" applyFont="1" applyFill="1"/>
    <xf numFmtId="167" fontId="93" fillId="0" borderId="1" xfId="0" applyNumberFormat="1" applyFont="1" applyBorder="1" applyAlignment="1">
      <alignment horizontal="center" vertical="center"/>
    </xf>
    <xf numFmtId="168" fontId="91" fillId="3" borderId="1" xfId="1" applyNumberFormat="1" applyFont="1" applyFill="1" applyBorder="1" applyAlignment="1">
      <alignment horizontal="center" wrapText="1"/>
    </xf>
    <xf numFmtId="168" fontId="91" fillId="3" borderId="20" xfId="1" applyNumberFormat="1" applyFont="1" applyFill="1" applyBorder="1" applyAlignment="1">
      <alignment horizontal="center"/>
    </xf>
    <xf numFmtId="0" fontId="95" fillId="3" borderId="1" xfId="0" applyFont="1" applyFill="1" applyBorder="1" applyAlignment="1">
      <alignment horizontal="left"/>
    </xf>
    <xf numFmtId="168" fontId="95" fillId="3" borderId="1" xfId="1" applyNumberFormat="1" applyFont="1" applyFill="1" applyBorder="1" applyAlignment="1">
      <alignment horizontal="center"/>
    </xf>
    <xf numFmtId="168" fontId="92" fillId="3" borderId="20" xfId="1" applyNumberFormat="1" applyFont="1" applyFill="1" applyBorder="1" applyAlignment="1">
      <alignment horizontal="center"/>
    </xf>
    <xf numFmtId="167" fontId="89" fillId="0" borderId="1" xfId="0" applyNumberFormat="1" applyFont="1" applyBorder="1" applyAlignment="1">
      <alignment horizontal="center" vertical="center"/>
    </xf>
    <xf numFmtId="0" fontId="89" fillId="0" borderId="1" xfId="0" applyFont="1" applyBorder="1" applyAlignment="1">
      <alignment horizontal="center" vertical="center"/>
    </xf>
    <xf numFmtId="169" fontId="89" fillId="0" borderId="20" xfId="84" applyNumberFormat="1" applyFont="1" applyFill="1" applyBorder="1" applyAlignment="1"/>
    <xf numFmtId="169" fontId="89" fillId="0" borderId="20" xfId="84" applyNumberFormat="1" applyFont="1" applyBorder="1" applyAlignment="1"/>
    <xf numFmtId="168" fontId="89" fillId="0" borderId="1" xfId="1" applyNumberFormat="1" applyFont="1" applyFill="1" applyBorder="1" applyAlignment="1">
      <alignment horizontal="center"/>
    </xf>
    <xf numFmtId="168" fontId="92" fillId="0" borderId="1" xfId="1" applyNumberFormat="1" applyFont="1" applyFill="1" applyBorder="1" applyAlignment="1">
      <alignment horizontal="center"/>
    </xf>
    <xf numFmtId="168" fontId="91" fillId="2" borderId="1" xfId="1" applyNumberFormat="1" applyFont="1" applyFill="1" applyBorder="1" applyAlignment="1">
      <alignment horizontal="center"/>
    </xf>
    <xf numFmtId="167" fontId="92" fillId="0" borderId="1" xfId="0" applyNumberFormat="1" applyFont="1" applyBorder="1" applyAlignment="1">
      <alignment horizontal="center"/>
    </xf>
    <xf numFmtId="168" fontId="92" fillId="0" borderId="1" xfId="1" applyNumberFormat="1" applyFont="1" applyBorder="1"/>
    <xf numFmtId="0" fontId="92" fillId="3" borderId="1" xfId="0" applyFont="1" applyFill="1" applyBorder="1" applyAlignment="1">
      <alignment horizontal="center" wrapText="1"/>
    </xf>
    <xf numFmtId="168" fontId="92" fillId="3" borderId="1" xfId="1" applyNumberFormat="1" applyFont="1" applyFill="1" applyBorder="1" applyAlignment="1">
      <alignment horizontal="center" wrapText="1"/>
    </xf>
    <xf numFmtId="0" fontId="92" fillId="3" borderId="0" xfId="0" applyFont="1" applyFill="1" applyAlignment="1">
      <alignment wrapText="1"/>
    </xf>
    <xf numFmtId="0" fontId="91" fillId="0" borderId="0" xfId="0" applyFont="1" applyAlignment="1">
      <alignment wrapText="1"/>
    </xf>
    <xf numFmtId="0" fontId="91" fillId="0" borderId="0" xfId="0" applyFont="1"/>
    <xf numFmtId="0" fontId="89" fillId="0" borderId="1" xfId="0" applyFont="1" applyBorder="1" applyAlignment="1">
      <alignment horizontal="left" vertical="center"/>
    </xf>
    <xf numFmtId="0" fontId="91" fillId="9" borderId="1" xfId="0" applyFont="1" applyFill="1" applyBorder="1" applyAlignment="1">
      <alignment horizontal="center"/>
    </xf>
    <xf numFmtId="0" fontId="91" fillId="37" borderId="1" xfId="0" applyFont="1" applyFill="1" applyBorder="1" applyAlignment="1">
      <alignment horizontal="center"/>
    </xf>
    <xf numFmtId="167" fontId="93" fillId="2" borderId="1" xfId="0" applyNumberFormat="1" applyFont="1" applyFill="1" applyBorder="1" applyAlignment="1">
      <alignment horizontal="left" vertical="center"/>
    </xf>
    <xf numFmtId="167" fontId="89" fillId="0" borderId="1" xfId="0" applyNumberFormat="1" applyFont="1" applyBorder="1" applyAlignment="1">
      <alignment horizontal="center"/>
    </xf>
    <xf numFmtId="0" fontId="89" fillId="0" borderId="0" xfId="0" applyFont="1" applyAlignment="1">
      <alignment horizontal="left" vertical="center"/>
    </xf>
    <xf numFmtId="168" fontId="88" fillId="0" borderId="0" xfId="1" applyNumberFormat="1" applyFont="1"/>
    <xf numFmtId="0" fontId="99" fillId="0" borderId="20" xfId="0" applyFont="1" applyBorder="1" applyAlignment="1">
      <alignment vertical="center"/>
    </xf>
    <xf numFmtId="0" fontId="99" fillId="0" borderId="20" xfId="0" applyFont="1" applyBorder="1" applyAlignment="1">
      <alignment horizontal="center" vertical="center"/>
    </xf>
    <xf numFmtId="0" fontId="88" fillId="0" borderId="20" xfId="0" applyFont="1" applyBorder="1" applyAlignment="1">
      <alignment horizontal="center" vertical="center"/>
    </xf>
    <xf numFmtId="0" fontId="88" fillId="0" borderId="20" xfId="0" applyFont="1" applyBorder="1" applyAlignment="1">
      <alignment vertical="center"/>
    </xf>
    <xf numFmtId="168" fontId="6" fillId="3" borderId="30" xfId="1" applyNumberFormat="1" applyFont="1" applyFill="1" applyBorder="1" applyAlignment="1">
      <alignment horizontal="center"/>
    </xf>
    <xf numFmtId="168" fontId="87" fillId="3" borderId="30" xfId="1" applyNumberFormat="1" applyFont="1" applyFill="1" applyBorder="1" applyAlignment="1">
      <alignment horizontal="center"/>
    </xf>
    <xf numFmtId="168" fontId="6" fillId="4" borderId="30" xfId="1" applyNumberFormat="1" applyFont="1" applyFill="1" applyBorder="1" applyAlignment="1">
      <alignment horizontal="center"/>
    </xf>
    <xf numFmtId="168" fontId="6" fillId="6" borderId="30" xfId="1" applyNumberFormat="1" applyFont="1" applyFill="1" applyBorder="1" applyAlignment="1">
      <alignment horizontal="center"/>
    </xf>
    <xf numFmtId="168" fontId="6" fillId="0" borderId="30" xfId="1" applyNumberFormat="1" applyFont="1" applyFill="1" applyBorder="1" applyAlignment="1">
      <alignment horizontal="center"/>
    </xf>
    <xf numFmtId="168" fontId="6" fillId="2" borderId="30" xfId="1" applyNumberFormat="1" applyFont="1" applyFill="1" applyBorder="1" applyAlignment="1">
      <alignment horizontal="center"/>
    </xf>
    <xf numFmtId="0" fontId="87" fillId="6" borderId="20" xfId="0" applyFont="1" applyFill="1" applyBorder="1" applyAlignment="1">
      <alignment horizontal="left"/>
    </xf>
    <xf numFmtId="0" fontId="87" fillId="6" borderId="20" xfId="0" applyFont="1" applyFill="1" applyBorder="1" applyAlignment="1">
      <alignment horizontal="center"/>
    </xf>
    <xf numFmtId="168" fontId="87" fillId="6" borderId="30" xfId="1" applyNumberFormat="1" applyFont="1" applyFill="1" applyBorder="1" applyAlignment="1">
      <alignment horizontal="center"/>
    </xf>
    <xf numFmtId="168" fontId="87" fillId="35" borderId="20" xfId="1" applyNumberFormat="1" applyFont="1" applyFill="1" applyBorder="1" applyAlignment="1">
      <alignment horizontal="center"/>
    </xf>
    <xf numFmtId="0" fontId="87" fillId="7" borderId="20" xfId="0" applyFont="1" applyFill="1" applyBorder="1" applyAlignment="1">
      <alignment horizontal="left"/>
    </xf>
    <xf numFmtId="168" fontId="87" fillId="2" borderId="20" xfId="1" applyNumberFormat="1" applyFont="1" applyFill="1" applyBorder="1" applyAlignment="1">
      <alignment horizontal="center"/>
    </xf>
    <xf numFmtId="0" fontId="87" fillId="2" borderId="20" xfId="0" applyFont="1" applyFill="1" applyBorder="1" applyAlignment="1">
      <alignment horizontal="center"/>
    </xf>
    <xf numFmtId="168" fontId="87" fillId="2" borderId="30" xfId="1" applyNumberFormat="1" applyFont="1" applyFill="1" applyBorder="1" applyAlignment="1">
      <alignment horizontal="center"/>
    </xf>
    <xf numFmtId="0" fontId="87" fillId="2" borderId="0" xfId="0" applyFont="1" applyFill="1"/>
    <xf numFmtId="0" fontId="87" fillId="3" borderId="20" xfId="0" applyFont="1" applyFill="1" applyBorder="1" applyAlignment="1">
      <alignment horizontal="left" wrapText="1"/>
    </xf>
    <xf numFmtId="0" fontId="6" fillId="3" borderId="20" xfId="0" applyFont="1" applyFill="1" applyBorder="1" applyAlignment="1">
      <alignment horizontal="left" wrapText="1"/>
    </xf>
    <xf numFmtId="0" fontId="6" fillId="3" borderId="30" xfId="0" applyFont="1" applyFill="1" applyBorder="1" applyAlignment="1">
      <alignment horizontal="left"/>
    </xf>
    <xf numFmtId="169" fontId="100" fillId="2" borderId="31" xfId="415" applyNumberFormat="1" applyFont="1" applyFill="1" applyBorder="1" applyAlignment="1">
      <alignment horizontal="right" vertical="center" wrapText="1"/>
    </xf>
    <xf numFmtId="169" fontId="100" fillId="0" borderId="31" xfId="415" applyNumberFormat="1" applyFont="1" applyBorder="1" applyAlignment="1">
      <alignment horizontal="right" vertical="center" wrapText="1"/>
    </xf>
    <xf numFmtId="0" fontId="101" fillId="0" borderId="31" xfId="0" applyFont="1" applyBorder="1" applyAlignment="1">
      <alignment vertical="center" wrapText="1"/>
    </xf>
    <xf numFmtId="0" fontId="87" fillId="2" borderId="21" xfId="0" applyFont="1" applyFill="1" applyBorder="1" applyAlignment="1">
      <alignment horizontal="center" vertical="center"/>
    </xf>
    <xf numFmtId="0" fontId="87" fillId="2" borderId="19" xfId="0" applyFont="1" applyFill="1" applyBorder="1" applyAlignment="1">
      <alignment horizontal="center" vertical="center"/>
    </xf>
    <xf numFmtId="0" fontId="87" fillId="2" borderId="22" xfId="0" applyFont="1" applyFill="1" applyBorder="1" applyAlignment="1">
      <alignment horizontal="center" vertical="center"/>
    </xf>
  </cellXfs>
  <cellStyles count="440">
    <cellStyle name="          _x000d__x000a_shell=progman.exe_x000d__x000a_m" xfId="11" xr:uid="{2031BD25-B2BC-404D-9CC0-DC65D1C629CA}"/>
    <cellStyle name="??" xfId="12" xr:uid="{D7F648E9-7B30-4570-B5D6-ED50608C2B2B}"/>
    <cellStyle name="?? [0.00]_PRODUCT DETAIL Q1" xfId="13" xr:uid="{5A0F353F-B248-4731-93EF-0B2809AB6A41}"/>
    <cellStyle name="?? [0]" xfId="14" xr:uid="{89D4B3A3-6C6C-4E85-BA78-C84D15388B87}"/>
    <cellStyle name="???? [0.00]_PRODUCT DETAIL Q1" xfId="15" xr:uid="{D6E2B3A8-FC0B-4A95-85C4-B6D6F371570C}"/>
    <cellStyle name="????_PRODUCT DETAIL Q1" xfId="16" xr:uid="{2A5AC559-FF0E-4662-B128-9BD062F8C016}"/>
    <cellStyle name="???[0]_Book1" xfId="17" xr:uid="{87154560-9C43-43A4-817E-DB1D267A22E2}"/>
    <cellStyle name="???_???" xfId="18" xr:uid="{2A3C43E2-709E-4D37-BD8B-1FA0B934865D}"/>
    <cellStyle name="??_(????)??????" xfId="19" xr:uid="{787AB21A-30B5-4782-8D5A-A8F8A5AECB62}"/>
    <cellStyle name="_6A OEM Switch Catalog" xfId="20" xr:uid="{31DAB071-CE80-40DD-BA11-184F4929420C}"/>
    <cellStyle name="_6B OEM Switch Catalog" xfId="21" xr:uid="{8F535800-32D6-41BA-890E-793FCA084D97}"/>
    <cellStyle name="_Du toan 315 Truong Chinh 270810_g" xfId="22" xr:uid="{115B0DA5-BC45-41B7-94AB-DA8850920166}"/>
    <cellStyle name="_Master" xfId="23" xr:uid="{D59A24C8-502D-42F6-904C-5F77A5A3D51E}"/>
    <cellStyle name="_OEM-Master-list" xfId="24" xr:uid="{4A149C0E-9654-4923-8902-254E9A4E799A}"/>
    <cellStyle name="_Server-Adapter" xfId="25" xr:uid="{1F67D483-6E2D-42AA-9239-E8403CA3B486}"/>
    <cellStyle name="_Tong hop may cheu nganh 1" xfId="26" xr:uid="{E037CA8D-9008-4DE9-A896-DDDF76C5B293}"/>
    <cellStyle name="_Upgrade" xfId="27" xr:uid="{007BE4FD-939E-4853-AF03-E08740FB2785}"/>
    <cellStyle name="•W€_STDFOR" xfId="28" xr:uid="{A132E009-6C69-40F1-849D-036D236FD645}"/>
    <cellStyle name="W_STDFOR" xfId="29" xr:uid="{23F9AFD7-B113-43B1-B1EF-B04F71FB9619}"/>
    <cellStyle name="0,0_x000a__x000a_NA_x000a__x000a_" xfId="30" xr:uid="{9E20BFA7-9199-472D-9D65-D694DE60DF7F}"/>
    <cellStyle name="1" xfId="31" xr:uid="{509C325A-3499-4A74-9FE9-1955E16531A7}"/>
    <cellStyle name="¹éºÐÀ²_±âÅ¸" xfId="32" xr:uid="{D80FD9B5-84B9-4504-B94B-8765D95ACE0F}"/>
    <cellStyle name="2" xfId="33" xr:uid="{6CE562E8-C523-402B-A869-169EB62145A8}"/>
    <cellStyle name="20" xfId="34" xr:uid="{ADF4215D-62DD-4B6A-AB36-B69BF990A7CD}"/>
    <cellStyle name="20% - Nhấn1" xfId="35" xr:uid="{FABC1309-D6AF-479D-801F-B80B03365D1F}"/>
    <cellStyle name="20% - Nhấn2" xfId="36" xr:uid="{9DAE06E2-76A6-4E56-901D-DD10CC1EBFE2}"/>
    <cellStyle name="20% - Nhấn3" xfId="37" xr:uid="{433887A6-9E9A-42C8-B74C-197B87DE42BA}"/>
    <cellStyle name="20% - Nhấn4" xfId="38" xr:uid="{DCA3439E-C504-46F5-817E-4E403204ABA7}"/>
    <cellStyle name="20% - Nhấn5" xfId="39" xr:uid="{2DE15349-6C77-4C4B-B090-E05D33D11D05}"/>
    <cellStyle name="20% - Nhấn6" xfId="40" xr:uid="{5FEDC671-9E41-4D1B-B214-5CCAC5B8117A}"/>
    <cellStyle name="3" xfId="41" xr:uid="{2D560598-BFBD-492B-BDA9-31CA1C72E91C}"/>
    <cellStyle name="4" xfId="42" xr:uid="{5F161E42-5C51-4FE7-A5F9-613A6FD52CEA}"/>
    <cellStyle name="40% - Nhấn1" xfId="43" xr:uid="{54E17FED-39D5-4C7E-8F38-2F58DE9B9ED1}"/>
    <cellStyle name="40% - Nhấn2" xfId="44" xr:uid="{02C498E9-E3A2-466B-B4AC-95598ADDF280}"/>
    <cellStyle name="40% - Nhấn3" xfId="45" xr:uid="{EFD1093D-F4E0-4440-9AB9-14AF9639DBAB}"/>
    <cellStyle name="40% - Nhấn4" xfId="46" xr:uid="{AA434E45-56FC-4B1A-8BE8-503C3E4D0F73}"/>
    <cellStyle name="40% - Nhấn5" xfId="47" xr:uid="{1ECBB6B9-3245-4B40-BDCA-69F9E713CB3C}"/>
    <cellStyle name="40% - Nhấn6" xfId="48" xr:uid="{DBD5F4CE-C16C-4DD8-BEFA-0960E4292104}"/>
    <cellStyle name="6" xfId="49" xr:uid="{9FCDA07E-49F8-42EB-AAB2-0DBED1E4C908}"/>
    <cellStyle name="60% - Nhấn1" xfId="50" xr:uid="{2E752022-77CC-4BB3-9533-5D419012DCF1}"/>
    <cellStyle name="60% - Nhấn2" xfId="51" xr:uid="{3015A162-1C88-4250-844A-4A241A86A6AD}"/>
    <cellStyle name="60% - Nhấn3" xfId="52" xr:uid="{18F9D03A-B3F5-45CC-B188-E6A3127D4C23}"/>
    <cellStyle name="60% - Nhấn4" xfId="53" xr:uid="{99A2B7A5-141D-4D75-9FCA-DAC353CF5093}"/>
    <cellStyle name="60% - Nhấn5" xfId="54" xr:uid="{63E2AA2A-6ADF-4191-BDA9-6BD5BB31DE7C}"/>
    <cellStyle name="60% - Nhấn6" xfId="55" xr:uid="{150EECC3-2767-4138-AF83-CC89DC0D7EB1}"/>
    <cellStyle name="A4 Small 210 x 297 mm" xfId="56" xr:uid="{25C4DD4B-A86F-4C29-9874-81BED7910F0D}"/>
    <cellStyle name="ÅëÈ­ [0]_¿ì¹°Åë" xfId="57" xr:uid="{C27A7494-546A-4DE1-BC96-E43705C92D9B}"/>
    <cellStyle name="AeE­ [0]_INQUIRY ¿µ¾÷AßAø " xfId="58" xr:uid="{63BBDC05-B698-4818-BA97-9F8983564BCB}"/>
    <cellStyle name="ÅëÈ­ [0]_Sheet1" xfId="59" xr:uid="{CF27B6BC-6174-4908-BEE1-B9F4C6DF49B5}"/>
    <cellStyle name="ÅëÈ­_¿ì¹°Åë" xfId="60" xr:uid="{D6B89518-68B1-4D21-8A1B-1EF293841DD4}"/>
    <cellStyle name="AeE­_INQUIRY ¿µ¾÷AßAø " xfId="61" xr:uid="{0E972FB8-4921-475D-B3C1-6484FD4CF712}"/>
    <cellStyle name="ÅëÈ­_Sheet1" xfId="62" xr:uid="{7A65D894-7369-4C23-A912-509D118B39AC}"/>
    <cellStyle name="ÄÞ¸¶ [0]_¿ì¹°Åë" xfId="63" xr:uid="{58F43844-DA91-4186-B189-559D212E2821}"/>
    <cellStyle name="AÞ¸¶ [0]_INQUIRY ¿?¾÷AßAø " xfId="64" xr:uid="{69AF04B3-3A09-4966-8440-B4421AFFA177}"/>
    <cellStyle name="ÄÞ¸¶ [0]_L601CPT" xfId="65" xr:uid="{9DA0115F-7FE1-495B-A7AF-6195D151457F}"/>
    <cellStyle name="ÄÞ¸¶_¿ì¹°Åë" xfId="66" xr:uid="{2F3E0F28-CA16-4E32-B250-8BE0A34184A9}"/>
    <cellStyle name="AÞ¸¶_INQUIRY ¿?¾÷AßAø " xfId="67" xr:uid="{F17DB2ED-C634-44A8-9E34-3398ADA60726}"/>
    <cellStyle name="ÄÞ¸¶_L601CPT" xfId="68" xr:uid="{3B5E0840-77DD-4A3B-B458-A1BB48D97759}"/>
    <cellStyle name="C?AØ_¿?¾÷CoE² " xfId="69" xr:uid="{90B35399-C2FB-439C-9CAE-12D2F008E97B}"/>
    <cellStyle name="Ç¥ÁØ_#2(M17)_1" xfId="70" xr:uid="{1062DB8A-5D2A-468B-B835-897B54079FE0}"/>
    <cellStyle name="C￥AØ_¿μ¾÷CoE² " xfId="71" xr:uid="{21CE46A0-52FB-4875-8DD7-908AB671640C}"/>
    <cellStyle name="Ç¥ÁØ_±³°¢¼ö·®" xfId="72" xr:uid="{5A01E99B-5D37-4107-91AC-79FCC97B2CDC}"/>
    <cellStyle name="Calc Currency (0)" xfId="73" xr:uid="{A7C94225-EB7B-40D3-8680-ECAE23760CF3}"/>
    <cellStyle name="Calc Currency (2)" xfId="74" xr:uid="{A584C8B9-81DA-4AE3-A058-C1281E85050A}"/>
    <cellStyle name="Calc Percent (0)" xfId="75" xr:uid="{22CD63C6-A9ED-452A-AD2D-CF31E4AEB485}"/>
    <cellStyle name="Calc Percent (1)" xfId="76" xr:uid="{3BEFB7EA-29B6-46D2-8118-64298501A904}"/>
    <cellStyle name="Calc Percent (2)" xfId="77" xr:uid="{FE7DAE8C-B9EA-498F-B7AD-ABA8796E989D}"/>
    <cellStyle name="Calc Units (0)" xfId="78" xr:uid="{39A119D8-25EF-4415-A555-82E908692460}"/>
    <cellStyle name="Calc Units (1)" xfId="79" xr:uid="{EFC27792-5BC8-48D1-BCFD-ACA3431D629B}"/>
    <cellStyle name="Calc Units (2)" xfId="80" xr:uid="{D0EF3822-02E9-4F2B-A620-2DF053128381}"/>
    <cellStyle name="category" xfId="81" xr:uid="{C4189E0E-04A8-4E0C-9724-C3C9FE883AF4}"/>
    <cellStyle name="Comma" xfId="1" builtinId="3"/>
    <cellStyle name="Comma [0] 2" xfId="9" xr:uid="{4E7542DA-4D26-43FD-9FB8-5ADCBE1011D4}"/>
    <cellStyle name="Comma [00]" xfId="83" xr:uid="{158B9CE5-3CB6-4A5B-B3EE-C3B5D31D3B98}"/>
    <cellStyle name="Comma 10" xfId="84" xr:uid="{A9A9B60B-4AA8-4DC7-AA5E-4D4D2EDA8B74}"/>
    <cellStyle name="Comma 10 2" xfId="85" xr:uid="{F5EC46FB-8079-4C45-9751-52C40C0CE690}"/>
    <cellStyle name="Comma 11" xfId="86" xr:uid="{A9CFD83C-0454-4595-A8D4-BF79A04E4A9B}"/>
    <cellStyle name="Comma 12" xfId="87" xr:uid="{F4189A8E-E473-4EF9-9D9A-4FEA95A1B226}"/>
    <cellStyle name="Comma 13" xfId="88" xr:uid="{DFA0627D-47C1-4E1F-AACA-18D1D2481276}"/>
    <cellStyle name="Comma 14" xfId="89" xr:uid="{F72E205E-2A8C-4408-9367-F044D5706996}"/>
    <cellStyle name="Comma 15" xfId="90" xr:uid="{601AD99E-BD8B-40C7-941D-F735147EF95D}"/>
    <cellStyle name="Comma 16" xfId="91" xr:uid="{C0FCFD0F-037A-4661-86D5-F7A14C1D88A0}"/>
    <cellStyle name="Comma 16 2" xfId="354" xr:uid="{C7D7DBF9-90E1-4580-AD29-3E9F4A8951AA}"/>
    <cellStyle name="Comma 16 2 2" xfId="415" xr:uid="{54B9E733-DCA9-4A64-BE72-1D22B09C7716}"/>
    <cellStyle name="Comma 16 3" xfId="381" xr:uid="{BBC88867-4EC9-4E63-B05D-72254073C4A8}"/>
    <cellStyle name="Comma 17" xfId="92" xr:uid="{6BAE6791-37F6-4344-944F-F50C1EA51CD2}"/>
    <cellStyle name="Comma 17 2" xfId="93" xr:uid="{A25EEDAE-24F3-496E-B50F-8D2667133815}"/>
    <cellStyle name="Comma 18" xfId="94" xr:uid="{A41732CD-1699-4D32-A51F-55310BEA6953}"/>
    <cellStyle name="Comma 19" xfId="95" xr:uid="{49E2F9E3-E402-433E-9485-0B4420FCD7BC}"/>
    <cellStyle name="Comma 2" xfId="96" xr:uid="{02EBF89F-0281-4067-9294-7785557AE38D}"/>
    <cellStyle name="Comma 2 10 2" xfId="97" xr:uid="{ED1277C6-36CA-45A0-993A-9704DF9AFF31}"/>
    <cellStyle name="Comma 2 2" xfId="98" xr:uid="{A80491D1-B623-4BE9-A046-E2866A5001D4}"/>
    <cellStyle name="Comma 2 2 2" xfId="99" xr:uid="{EF818CDF-115B-4C29-B31D-34DD5D7A7184}"/>
    <cellStyle name="Comma 2 2 2 2" xfId="100" xr:uid="{6EC7EC75-EDB3-4AA7-8C4E-0C4B6FA74A97}"/>
    <cellStyle name="Comma 2 2 2 3" xfId="101" xr:uid="{7D825CF6-9FE8-4654-BBB1-9536EA50F886}"/>
    <cellStyle name="Comma 2 3" xfId="102" xr:uid="{5B0C5E67-5FD9-4D14-86EC-9DA11568F3DB}"/>
    <cellStyle name="Comma 2 3 2" xfId="103" xr:uid="{18F6C754-B193-457E-857B-1F97AAC4B745}"/>
    <cellStyle name="Comma 2 3 2 2" xfId="104" xr:uid="{77CE49A3-6058-4218-B63A-DFCFEF3A670E}"/>
    <cellStyle name="Comma 2 3 3" xfId="105" xr:uid="{4AD6417E-1D02-4102-B4BF-E37168EF0847}"/>
    <cellStyle name="Comma 2 3 3 2" xfId="106" xr:uid="{D2F797A6-DCAD-4C7A-B27A-CA5A1DB7976A}"/>
    <cellStyle name="Comma 2 3 3 3" xfId="107" xr:uid="{9B01DC34-8AC1-405A-97E5-6384EE11A0ED}"/>
    <cellStyle name="Comma 2 4" xfId="108" xr:uid="{1C72A526-4B1B-4A35-89BE-CFC04AA5C7F4}"/>
    <cellStyle name="Comma 2 5" xfId="109" xr:uid="{0AF0316C-C060-42F1-963A-C30A23570F4E}"/>
    <cellStyle name="Comma 2 5 2" xfId="110" xr:uid="{7BE820A2-881E-45D9-8C90-B4E67023B3F4}"/>
    <cellStyle name="Comma 20" xfId="111" xr:uid="{ADEF30FF-FC0B-418D-B086-02DC7D3E670A}"/>
    <cellStyle name="Comma 21" xfId="112" xr:uid="{4A220C4E-4C96-48BE-A2FD-AD0D1B72831C}"/>
    <cellStyle name="Comma 21 2" xfId="355" xr:uid="{0E761536-4E76-45FB-94EA-7A70A15650C1}"/>
    <cellStyle name="Comma 21 2 2" xfId="416" xr:uid="{F56555A4-D545-4C33-9EB5-53C7DB5A747C}"/>
    <cellStyle name="Comma 21 3" xfId="382" xr:uid="{1A32FA30-F77D-4BC4-801A-86F074C2FB15}"/>
    <cellStyle name="Comma 22" xfId="113" xr:uid="{2B74FAF1-7AF3-477A-A3C6-A5A1BCFFCED8}"/>
    <cellStyle name="Comma 22 2" xfId="356" xr:uid="{14F6E710-34B8-440A-A31B-58F8DC2B6C21}"/>
    <cellStyle name="Comma 22 2 2" xfId="417" xr:uid="{CA7D2544-65B2-46AC-A532-0E26B34FA5F3}"/>
    <cellStyle name="Comma 22 3" xfId="383" xr:uid="{4D3F7935-0312-4CA1-9BB2-1C2559E265A7}"/>
    <cellStyle name="Comma 23" xfId="114" xr:uid="{8608C3A7-D6EF-42E6-8D1D-59A6EF9C4121}"/>
    <cellStyle name="Comma 23 2" xfId="357" xr:uid="{3989CAB4-7AE4-449A-B996-0948AE7D4FBE}"/>
    <cellStyle name="Comma 23 2 2" xfId="418" xr:uid="{BA3812F7-D28A-4402-A923-89059FA1F0DC}"/>
    <cellStyle name="Comma 23 3" xfId="384" xr:uid="{F05BCEB1-FF2B-47DD-A081-36362A36D6A9}"/>
    <cellStyle name="Comma 24" xfId="115" xr:uid="{61013356-B9F5-4CE3-BA69-AE4FB1DC8897}"/>
    <cellStyle name="Comma 24 2" xfId="358" xr:uid="{648CC715-5AC1-4FE1-A848-B6264CCCE5CC}"/>
    <cellStyle name="Comma 24 2 2" xfId="419" xr:uid="{4E73C9F0-5833-4A5F-AC90-14A6FF5DE610}"/>
    <cellStyle name="Comma 24 3" xfId="385" xr:uid="{A006E7F5-84E6-4362-93BB-63FB0DFE195B}"/>
    <cellStyle name="Comma 25" xfId="116" xr:uid="{3DB05538-5807-47D5-800F-096EE781C898}"/>
    <cellStyle name="Comma 26" xfId="117" xr:uid="{AD7B9010-345C-4815-8D29-F880341E5FDF}"/>
    <cellStyle name="Comma 27" xfId="118" xr:uid="{EE0771FE-D93A-48D6-B354-A49648D42708}"/>
    <cellStyle name="Comma 28" xfId="119" xr:uid="{92B2FC85-30C5-4799-A872-6528A8918488}"/>
    <cellStyle name="Comma 29" xfId="120" xr:uid="{CEA622D6-B317-4BBD-9B5B-A727EFCE0B40}"/>
    <cellStyle name="Comma 3" xfId="121" xr:uid="{BBB1C17C-C665-4437-87A3-B9BBEBA53502}"/>
    <cellStyle name="Comma 3 2" xfId="122" xr:uid="{40C0478C-D76E-4D7C-B4CF-1AEC7F4D00A6}"/>
    <cellStyle name="Comma 3 8" xfId="123" xr:uid="{A0222557-7D0B-4A94-99D1-C822363FC3A6}"/>
    <cellStyle name="Comma 30" xfId="124" xr:uid="{EC40831F-AE1E-418E-8E7D-A31A74023FBD}"/>
    <cellStyle name="Comma 31" xfId="125" xr:uid="{1CDDC7A4-3741-448D-BD37-E1411810AF8A}"/>
    <cellStyle name="Comma 32" xfId="126" xr:uid="{3482D729-6FBF-459E-A65E-7E49000B3CE0}"/>
    <cellStyle name="Comma 33" xfId="127" xr:uid="{5CFB076B-0249-4C32-8917-BF6E0EBE6AC1}"/>
    <cellStyle name="Comma 33 2" xfId="128" xr:uid="{00254E2F-1287-4252-8F47-67CCE7445C1F}"/>
    <cellStyle name="Comma 34" xfId="129" xr:uid="{72A28E2F-81C1-4F1D-AE60-14CD9ECD73CA}"/>
    <cellStyle name="Comma 34 2" xfId="130" xr:uid="{4A4D29D9-F930-42E2-894C-3A6C7B788520}"/>
    <cellStyle name="Comma 35" xfId="131" xr:uid="{1E7ABDDE-7BBA-4626-A7D2-781B16EF9FFC}"/>
    <cellStyle name="Comma 35 2" xfId="132" xr:uid="{AC5D54FB-D7D0-418D-8B00-3C976D6D10AA}"/>
    <cellStyle name="Comma 36" xfId="133" xr:uid="{B3F74587-BCE7-4B71-AF02-E54B51988B67}"/>
    <cellStyle name="Comma 36 2" xfId="134" xr:uid="{609F94FB-B41E-4603-B226-F7E853655B4C}"/>
    <cellStyle name="Comma 37" xfId="135" xr:uid="{321D8ED4-AA62-4329-9174-EDF3E86D41F6}"/>
    <cellStyle name="Comma 37 2" xfId="136" xr:uid="{01FB5CD6-BB1C-4E15-83E9-649C112754EB}"/>
    <cellStyle name="Comma 38" xfId="137" xr:uid="{832CCEE3-35FC-4BB2-99D2-C54C3C18E72A}"/>
    <cellStyle name="Comma 39" xfId="138" xr:uid="{D657E573-9E54-4DBC-B6A8-83E592678492}"/>
    <cellStyle name="Comma 4" xfId="139" xr:uid="{A35EA957-12F2-4AE5-AAEA-263B11C065FE}"/>
    <cellStyle name="Comma 4 2" xfId="140" xr:uid="{B3AF5948-E38B-4DF9-B50B-A4E481C159A3}"/>
    <cellStyle name="Comma 40" xfId="141" xr:uid="{20C7F9DC-1AB4-48F3-97D1-C072634DE588}"/>
    <cellStyle name="Comma 41" xfId="142" xr:uid="{08B70247-6658-4FFB-BFA7-DA4D7B343932}"/>
    <cellStyle name="Comma 42" xfId="143" xr:uid="{146EFCC0-BB4F-459B-90E3-915579DA3CA6}"/>
    <cellStyle name="Comma 42 2" xfId="144" xr:uid="{FD0FFEF4-B3C7-41D2-93AF-310469A1CD6D}"/>
    <cellStyle name="Comma 43" xfId="145" xr:uid="{19D0D844-9740-46C9-A423-C08A66991719}"/>
    <cellStyle name="Comma 44" xfId="82" xr:uid="{D27DAED6-04A9-4322-9A89-9E00ADFBFCC9}"/>
    <cellStyle name="Comma 45" xfId="8" xr:uid="{54752DCE-0850-404D-9E96-A27ABB273E17}"/>
    <cellStyle name="Comma 46" xfId="351" xr:uid="{BF46293F-DEFF-41EA-A8CB-0131FDB8DE19}"/>
    <cellStyle name="Comma 46 2" xfId="378" xr:uid="{EAD164C8-6AA0-4608-8CB6-B7DCFEB3B2E2}"/>
    <cellStyle name="Comma 46 2 2" xfId="439" xr:uid="{BB100488-04F6-46F1-8C3C-2226EC82B33D}"/>
    <cellStyle name="Comma 46 3" xfId="412" xr:uid="{A6AE14F7-2D5D-48D6-86FC-61C6FF1A0BBF}"/>
    <cellStyle name="Comma 5" xfId="146" xr:uid="{D4028EC5-9B08-43AE-AB4E-3276A524F318}"/>
    <cellStyle name="Comma 5 2" xfId="147" xr:uid="{A82F161E-9F5C-4B6A-B787-0D728724C14E}"/>
    <cellStyle name="Comma 5 3" xfId="148" xr:uid="{1F15E0FB-A5FF-44EC-AE20-3B71EF265C4A}"/>
    <cellStyle name="Comma 5 3 2" xfId="360" xr:uid="{164B7B04-D228-4800-8F31-B78E78EC9FCC}"/>
    <cellStyle name="Comma 5 3 2 2" xfId="421" xr:uid="{3A6004C9-E631-493A-92F0-B56B96C70ACC}"/>
    <cellStyle name="Comma 5 3 3" xfId="387" xr:uid="{5543E1F7-9523-4F6A-B66C-427227EA8F92}"/>
    <cellStyle name="Comma 5 4" xfId="359" xr:uid="{BC22D9AF-4ACE-4A36-8B3D-B389FFD998C5}"/>
    <cellStyle name="Comma 5 4 2" xfId="420" xr:uid="{2926E1B0-F0D7-4AF5-92BC-66298FDD9CFD}"/>
    <cellStyle name="Comma 5 5" xfId="386" xr:uid="{555CABD2-D8BF-4E91-AF25-5D03BABF186C}"/>
    <cellStyle name="Comma 6" xfId="149" xr:uid="{73D5B8CB-0AEF-4791-9A39-88DB0AD602AB}"/>
    <cellStyle name="Comma 6 2" xfId="150" xr:uid="{20D2241B-1D5D-4141-ABEA-541BCDB12204}"/>
    <cellStyle name="Comma 7" xfId="151" xr:uid="{8BA0C922-7F78-4F1F-9834-439BAC3BF3FA}"/>
    <cellStyle name="Comma 8" xfId="152" xr:uid="{3AB042DD-8F19-4AEC-8722-4FF96D90124C}"/>
    <cellStyle name="Comma 9" xfId="153" xr:uid="{2D00DFE7-901B-4F15-8126-975F08ACA43B}"/>
    <cellStyle name="comma zerodec" xfId="154" xr:uid="{D76D8122-FD44-41C9-8B46-7FEDD82A461F}"/>
    <cellStyle name="Comma0" xfId="155" xr:uid="{34A9A059-7A23-43E1-87A0-7094E5D8FC15}"/>
    <cellStyle name="Currency [0] 2" xfId="7" xr:uid="{5FC97E70-10E1-4976-AEBD-603E633794AE}"/>
    <cellStyle name="Currency [00]" xfId="156" xr:uid="{C06E640D-45F1-4A68-8BF0-A0CA7B8C1A80}"/>
    <cellStyle name="Currency 2" xfId="157" xr:uid="{F538B345-A60D-465B-8AAE-5E68B1EC4927}"/>
    <cellStyle name="Currency 2 2" xfId="158" xr:uid="{63F430DF-1675-428C-8D47-0728FD4AA149}"/>
    <cellStyle name="Currency 2 2 2" xfId="159" xr:uid="{A7A47BDD-9784-4574-BA10-97DCAC04BA00}"/>
    <cellStyle name="Currency 2 2 3" xfId="160" xr:uid="{F1560E26-6B5D-4DF5-85D5-DF6908C2A914}"/>
    <cellStyle name="Currency 2 2 3 2" xfId="161" xr:uid="{C9EF3699-776F-4F8A-9EC4-6ECD3B004E12}"/>
    <cellStyle name="Currency 2 2 3 3" xfId="162" xr:uid="{99B8546D-BF29-4203-8AD7-1FD5FF7E6D5E}"/>
    <cellStyle name="Currency 3" xfId="163" xr:uid="{8DAE3409-471F-43AD-9105-A0132ACA3C0D}"/>
    <cellStyle name="Currency 3 2" xfId="164" xr:uid="{4FA9C80A-A656-4221-ACE5-06454E3E368C}"/>
    <cellStyle name="Currency 3 3" xfId="361" xr:uid="{9D9DE639-C0D7-4E83-B62A-27C2269D2674}"/>
    <cellStyle name="Currency 3 3 2" xfId="422" xr:uid="{55202B43-8377-4086-8AF8-86D66D1721B9}"/>
    <cellStyle name="Currency 3 4" xfId="388" xr:uid="{AD80F670-A272-49A3-937A-6A769155CCB2}"/>
    <cellStyle name="Currency 4" xfId="165" xr:uid="{2ABD0ED0-0D95-4598-AD39-BC858600F7F6}"/>
    <cellStyle name="Currency 5" xfId="166" xr:uid="{5E6BC2E1-604B-4405-A0BF-549D7A2F69D8}"/>
    <cellStyle name="Currency 6" xfId="167" xr:uid="{DFB71CE4-963C-40D7-AEC2-46F06091D84A}"/>
    <cellStyle name="Currency 6 2" xfId="362" xr:uid="{CA31C907-B111-4A22-9D94-CF23D8C991EB}"/>
    <cellStyle name="Currency 6 2 2" xfId="423" xr:uid="{F517557D-8FF2-4D65-875E-A25770261F03}"/>
    <cellStyle name="Currency 6 3" xfId="389" xr:uid="{769F089F-F246-4306-8E62-2DAAE94A4569}"/>
    <cellStyle name="Currency 7" xfId="6" xr:uid="{A00B04B9-D6AF-4B62-8F8D-6B58DA636ECD}"/>
    <cellStyle name="Currency0" xfId="168" xr:uid="{97B020B5-B88B-40EF-93D4-652EED0994FD}"/>
    <cellStyle name="Currency1" xfId="169" xr:uid="{1CBE1644-4BF7-43A2-A51F-EAA61A512648}"/>
    <cellStyle name="D1" xfId="170" xr:uid="{7C37DD2A-4E33-4807-A6CB-99C1BD620EB5}"/>
    <cellStyle name="Date" xfId="171" xr:uid="{0222AB42-064B-455D-97FE-9600ABC942AA}"/>
    <cellStyle name="Date Short" xfId="172" xr:uid="{CD641902-ABA5-49B1-BD15-94CA681D4B92}"/>
    <cellStyle name="Đầu ra" xfId="173" xr:uid="{8584DA5C-568E-4332-BA94-101F5F09F095}"/>
    <cellStyle name="Đầu ra 2" xfId="390" xr:uid="{06349A21-58FD-4A36-B996-45ACCD3FE9B2}"/>
    <cellStyle name="Đầu vào" xfId="174" xr:uid="{B3B17C6B-2C4B-4614-8824-7BF28CAB81A2}"/>
    <cellStyle name="Đầu vào 2" xfId="391" xr:uid="{0CDB77BD-5B5E-43AA-B7A8-02DD54B4248F}"/>
    <cellStyle name="Đề mục 1" xfId="175" xr:uid="{8499ECA7-0CAC-46D7-A743-E6C8083D6361}"/>
    <cellStyle name="Đề mục 2" xfId="176" xr:uid="{92C2D9A2-2808-465B-94FF-36ADE7A6AF2A}"/>
    <cellStyle name="Đề mục 3" xfId="177" xr:uid="{79DFD726-8211-40A1-A255-B751CB789957}"/>
    <cellStyle name="Đề mục 4" xfId="178" xr:uid="{3A158C4D-5615-4E8B-AD77-6324F1B951C2}"/>
    <cellStyle name="Dezimal [0]_UXO VII" xfId="179" xr:uid="{D8B8955D-D814-4894-AE2D-2D115AD9AA08}"/>
    <cellStyle name="Dezimal_UXO VII" xfId="180" xr:uid="{29970D74-CEAC-4597-B9CF-B177B72D1DE6}"/>
    <cellStyle name="Dollar (zero dec)" xfId="181" xr:uid="{5F586346-51BC-4A0D-91EC-D77D281C2900}"/>
    <cellStyle name="e" xfId="182" xr:uid="{F8C1129D-A9C5-4BE4-A92E-63E7C6F95164}"/>
    <cellStyle name="Enter Currency (0)" xfId="183" xr:uid="{F73A1971-4167-4FAD-94D8-F37098991844}"/>
    <cellStyle name="Enter Currency (2)" xfId="184" xr:uid="{B93E11B2-E5F6-45CD-B598-40D461A35AC6}"/>
    <cellStyle name="Enter Units (0)" xfId="185" xr:uid="{3490A141-8FB7-4728-8707-BA4A930192FA}"/>
    <cellStyle name="Enter Units (1)" xfId="186" xr:uid="{24985AF1-6DE7-4F4F-BCD9-192E229CCCC7}"/>
    <cellStyle name="Enter Units (2)" xfId="187" xr:uid="{102E9F27-CC74-4574-8305-3E8D65DC15C0}"/>
    <cellStyle name="f" xfId="188" xr:uid="{4335CB44-2159-4096-BA1C-7558A620546D}"/>
    <cellStyle name="Fixed" xfId="189" xr:uid="{79C2FB2A-133C-4145-833A-A18A307BE2C7}"/>
    <cellStyle name="Ghi chú" xfId="190" xr:uid="{E17717A5-4534-49AC-97A8-875D8EA7C329}"/>
    <cellStyle name="Ghi chú 2" xfId="392" xr:uid="{DAB3592E-C200-4767-A5B4-0A090D51ED77}"/>
    <cellStyle name="Grey" xfId="191" xr:uid="{7F6864A0-1FE4-475F-9AE0-E5F2AE8D170B}"/>
    <cellStyle name="Header" xfId="192" xr:uid="{93A48501-E014-4957-967B-7F933B303069}"/>
    <cellStyle name="Header 2" xfId="393" xr:uid="{90130D67-E0EE-4FC5-85C1-177DFB438614}"/>
    <cellStyle name="Header1" xfId="193" xr:uid="{480A822F-FE04-4C9A-87A0-7F8295F1FB7E}"/>
    <cellStyle name="Header2" xfId="194" xr:uid="{C3B1226B-3C5F-42D3-9087-D35707FA342B}"/>
    <cellStyle name="Header2 2" xfId="394" xr:uid="{B1E29871-B9BA-4335-8CCB-9D99AD14878C}"/>
    <cellStyle name="Heading1" xfId="195" xr:uid="{D133BB58-C09B-4F66-B607-E6D30AD97BA9}"/>
    <cellStyle name="Heading2" xfId="196" xr:uid="{D2E8AC8C-EECA-4261-98CE-96CDFD56A941}"/>
    <cellStyle name="Hyperlink 2" xfId="197" xr:uid="{6C15574C-2D86-4FCC-B7FD-D02FD8D11774}"/>
    <cellStyle name="Hyperlink 2 2" xfId="198" xr:uid="{B49D4824-DE06-4C28-8115-4A675866C079}"/>
    <cellStyle name="Hyperlink 2 3" xfId="199" xr:uid="{79C2A768-B4EA-4B48-9623-84F83FE32874}"/>
    <cellStyle name="Hyperlink 2 4" xfId="200" xr:uid="{48BB600E-3A3A-48B0-A6C6-5A1233B89E77}"/>
    <cellStyle name="Hyperlink 3" xfId="201" xr:uid="{F1925F23-E1AC-4DB0-8652-E8D5ED6DC2F2}"/>
    <cellStyle name="Input [yellow]" xfId="202" xr:uid="{B90B4E05-22C8-487D-AD31-39781C19E8BF}"/>
    <cellStyle name="Input [yellow] 2" xfId="363" xr:uid="{4EC725CC-C6F0-463D-847F-4E3EFDB8D41C}"/>
    <cellStyle name="Input [yellow] 2 2" xfId="424" xr:uid="{85D7A592-25AA-4720-BF15-547F2DD1B172}"/>
    <cellStyle name="Kiểm tra Ô" xfId="203" xr:uid="{ED656D75-283E-47EA-9C60-54BED7367954}"/>
    <cellStyle name="Ledger 17 x 11 in" xfId="204" xr:uid="{A133C353-99B9-47A8-867C-71AA0286860B}"/>
    <cellStyle name="Ledger 17 x 11 in 2" xfId="205" xr:uid="{28A1EF82-5724-4419-8CDB-EA6B85F9BE70}"/>
    <cellStyle name="Link Currency (0)" xfId="206" xr:uid="{5CE49792-8395-4757-996A-257A6C86795A}"/>
    <cellStyle name="Link Currency (2)" xfId="207" xr:uid="{C63E05E1-D7F6-4BD8-901B-376CD77A83B4}"/>
    <cellStyle name="Link Units (0)" xfId="208" xr:uid="{B55D808B-B3DE-48D5-A1FA-8AE2BC9CB0D8}"/>
    <cellStyle name="Link Units (1)" xfId="209" xr:uid="{87A54CD9-9C1F-4D83-B607-FFAB38B57E74}"/>
    <cellStyle name="Link Units (2)" xfId="210" xr:uid="{B7AB3FB7-6F53-411E-A67A-6FD1BBC72743}"/>
    <cellStyle name="Millares [0]_Well Timing" xfId="211" xr:uid="{0842AA31-0EEE-47CA-B737-657FE180429F}"/>
    <cellStyle name="Millares_Well Timing" xfId="212" xr:uid="{A01D8ABA-5760-4363-A4A2-E22FA6B353CE}"/>
    <cellStyle name="Milliers [0]_      " xfId="213" xr:uid="{C23B35C3-FC8E-4807-8B98-632445F08B3A}"/>
    <cellStyle name="Milliers_      " xfId="214" xr:uid="{684F2864-E0B0-454A-AAF5-0E53C0226899}"/>
    <cellStyle name="Model" xfId="215" xr:uid="{AF2A8674-0ADE-4324-BDD5-F8664CEE1E0D}"/>
    <cellStyle name="moi" xfId="216" xr:uid="{78B1B44E-9D78-4ACF-BB1D-A877BBC4CDEF}"/>
    <cellStyle name="Moneda [0]_Well Timing" xfId="217" xr:uid="{33F02E31-7884-492E-B86D-D04D6A447168}"/>
    <cellStyle name="Moneda_Well Timing" xfId="218" xr:uid="{8AEB5366-78D8-4251-8FAD-B795BDE97BD1}"/>
    <cellStyle name="Monétaire [0]_      " xfId="219" xr:uid="{9CD20931-CB31-4F3F-B4E4-63462BCB6031}"/>
    <cellStyle name="Monétaire_      " xfId="220" xr:uid="{E6066DEE-9493-498F-B89C-CD0B10AA37BE}"/>
    <cellStyle name="n" xfId="221" xr:uid="{C1247446-7AF8-4456-8675-6ED6359E1FC3}"/>
    <cellStyle name="New Times Roman" xfId="222" xr:uid="{0501B0C3-3404-4FD5-8FDA-A38E7F0CBD28}"/>
    <cellStyle name="Nhấn1" xfId="223" xr:uid="{C31867B2-4A19-4F9F-9822-0D68064D224D}"/>
    <cellStyle name="Nhấn2" xfId="224" xr:uid="{ABFED555-0BF4-4395-8D11-6CC2D2264BCD}"/>
    <cellStyle name="Nhấn3" xfId="225" xr:uid="{D6325C1B-21C2-4D19-996A-C0DEF9025AFE}"/>
    <cellStyle name="Nhấn4" xfId="226" xr:uid="{4A7D200E-0B98-4206-82D2-CEF45D0D72C2}"/>
    <cellStyle name="Nhấn5" xfId="227" xr:uid="{B3440986-F79B-4AE4-9D59-2F41A9457EFE}"/>
    <cellStyle name="Nhấn6" xfId="228" xr:uid="{2202962A-2172-4CFE-B56E-F868909E8466}"/>
    <cellStyle name="no dec" xfId="229" xr:uid="{5AE22F38-8BD5-4DE4-9F83-D72A177B2483}"/>
    <cellStyle name="Normal" xfId="0" builtinId="0"/>
    <cellStyle name="Normal - Style1" xfId="230" xr:uid="{80CC027B-A7E8-4B2D-A37C-0397C7F49EF9}"/>
    <cellStyle name="Normal - Style1 2" xfId="231" xr:uid="{8E11D1FC-EC21-4776-9692-D00A535F66D8}"/>
    <cellStyle name="Normal - Style1 2 2" xfId="232" xr:uid="{1B448488-D849-4AC8-A96B-DFB443CFF695}"/>
    <cellStyle name="Normal 10" xfId="233" xr:uid="{AF61A056-AD64-424F-817A-67A484C9361D}"/>
    <cellStyle name="Normal 11" xfId="234" xr:uid="{5C126938-D984-4182-B297-8ADBAF190060}"/>
    <cellStyle name="Normal 112" xfId="235" xr:uid="{112234B6-5EFD-48B7-8FB8-9E43F0EE37B0}"/>
    <cellStyle name="Normal 112 2" xfId="364" xr:uid="{066BB249-1532-4258-B202-92B87B7DA056}"/>
    <cellStyle name="Normal 112 2 2" xfId="425" xr:uid="{69A05B70-2127-4080-AE21-5CF2857FB398}"/>
    <cellStyle name="Normal 112 3" xfId="395" xr:uid="{6018FE77-D948-4753-8356-0EBCB65215F5}"/>
    <cellStyle name="Normal 12" xfId="236" xr:uid="{18C4CF11-FE0F-42F3-A549-E9765DCE321B}"/>
    <cellStyle name="Normal 13" xfId="237" xr:uid="{DCD7BA5F-3621-408A-A08B-1B1C93D025CA}"/>
    <cellStyle name="Normal 13 2" xfId="365" xr:uid="{56B8AEE5-6A0F-4EAD-8357-9E60660E450D}"/>
    <cellStyle name="Normal 13 2 2" xfId="426" xr:uid="{5075F845-F8D4-40DE-8572-0AE9CAA16105}"/>
    <cellStyle name="Normal 13 3" xfId="396" xr:uid="{B839EE13-EFCF-43E8-BF1A-4BFC321B1324}"/>
    <cellStyle name="Normal 14" xfId="238" xr:uid="{DB4E158E-2ACD-461A-8894-395797CCEFB8}"/>
    <cellStyle name="Normal 14 2" xfId="239" xr:uid="{631C5C0A-44B9-496C-9251-F1A69FD18270}"/>
    <cellStyle name="Normal 15" xfId="240" xr:uid="{05DD9E25-92BC-4600-9791-5633DE42149E}"/>
    <cellStyle name="Normal 16" xfId="241" xr:uid="{4032C781-1E89-45B5-B33D-B8BE046B8251}"/>
    <cellStyle name="Normal 17" xfId="242" xr:uid="{FF54945E-E0FD-4313-A9AE-79E646144470}"/>
    <cellStyle name="Normal 18" xfId="243" xr:uid="{525E1E9B-3105-4133-9667-E88809B125AA}"/>
    <cellStyle name="Normal 19" xfId="244" xr:uid="{92FDB4BB-25B7-4752-BA03-AA63C0648F44}"/>
    <cellStyle name="Normal 2" xfId="245" xr:uid="{6E4C93A8-1A7B-4FE9-9E1F-08F919CA6282}"/>
    <cellStyle name="Normal 2 2" xfId="246" xr:uid="{B4E81834-58C6-4759-8838-043FC67B722D}"/>
    <cellStyle name="Normal 2 2 2" xfId="2" xr:uid="{07ABC5A7-CC45-4639-B1FB-9123C96FA214}"/>
    <cellStyle name="Normal 2 2 2 2" xfId="3" xr:uid="{E72036E9-827D-4A5B-AF24-B3607A70E496}"/>
    <cellStyle name="Normal 2 2 2 2 2" xfId="353" xr:uid="{E39E3F11-A5E1-422D-B269-021F163230AB}"/>
    <cellStyle name="Normal 2 2 2 2 2 2" xfId="414" xr:uid="{C3A11AEE-A50A-45EF-BC8C-F9DC9E45277F}"/>
    <cellStyle name="Normal 2 2 2 2 3" xfId="380" xr:uid="{1AAE77E2-BF27-44FE-81BC-2749ED9AFA8E}"/>
    <cellStyle name="Normal 2 2 2 3" xfId="352" xr:uid="{C5327C01-6AD2-4758-B0C1-23C631493C1D}"/>
    <cellStyle name="Normal 2 2 2 3 2" xfId="413" xr:uid="{D7680DC6-CFF2-4930-A105-8FA550DDEF40}"/>
    <cellStyle name="Normal 2 2 2 4" xfId="379" xr:uid="{F955701F-5D36-41EE-AD5B-1DB10AA59C71}"/>
    <cellStyle name="Normal 2 3" xfId="247" xr:uid="{BB1509C1-2597-4852-9C72-109313C210F5}"/>
    <cellStyle name="Normal 20" xfId="248" xr:uid="{12EFAD6E-8F96-4B70-AB77-66BD8F2B22AF}"/>
    <cellStyle name="Normal 21" xfId="249" xr:uid="{F27B0579-061C-4164-BBCD-61CEBD2C9D0D}"/>
    <cellStyle name="Normal 22" xfId="250" xr:uid="{9B344DC5-5985-4495-9162-289309D0BF8E}"/>
    <cellStyle name="Normal 22 2" xfId="366" xr:uid="{066B8CAC-B31A-4910-903E-0BF5D4CC06A0}"/>
    <cellStyle name="Normal 22 2 2" xfId="427" xr:uid="{DFFE9F89-B0B2-4192-9104-D19F456AD366}"/>
    <cellStyle name="Normal 22 3" xfId="397" xr:uid="{6477CE4A-F0B5-4A0B-B865-CB108728B8E8}"/>
    <cellStyle name="Normal 23" xfId="251" xr:uid="{DF5F9806-7B4D-417E-8BB8-8F2A72925141}"/>
    <cellStyle name="Normal 23 2" xfId="367" xr:uid="{C983E18D-3759-4833-B270-0E3AABE7310D}"/>
    <cellStyle name="Normal 23 2 2" xfId="428" xr:uid="{BFF88841-D22E-4D1A-BDBC-F51CFA985B62}"/>
    <cellStyle name="Normal 23 3" xfId="398" xr:uid="{7657537C-4A58-4763-B38F-418703192EB2}"/>
    <cellStyle name="Normal 24" xfId="252" xr:uid="{AEE67487-BA23-4A7A-87A1-16F4D3E05E66}"/>
    <cellStyle name="Normal 24 2" xfId="368" xr:uid="{BEC432EC-A990-4082-A748-5E81D21718B3}"/>
    <cellStyle name="Normal 24 2 2" xfId="429" xr:uid="{D7886869-9ACD-4162-9567-86EB30AEE06F}"/>
    <cellStyle name="Normal 24 3" xfId="399" xr:uid="{C278BAC5-D1D7-4599-A138-49A4A1DE3EAC}"/>
    <cellStyle name="Normal 25" xfId="253" xr:uid="{748AB09C-853C-460E-B26A-B03FE034BDF0}"/>
    <cellStyle name="Normal 25 2" xfId="369" xr:uid="{B805787E-DBA7-49C5-9217-D004E43512A4}"/>
    <cellStyle name="Normal 25 2 2" xfId="430" xr:uid="{19BC7D1B-0585-4B87-BAB7-E3180ABCCD5F}"/>
    <cellStyle name="Normal 25 3" xfId="400" xr:uid="{9CBD0EDB-8201-45A2-A4A5-3EB4C88F4246}"/>
    <cellStyle name="Normal 26" xfId="254" xr:uid="{FCFB84F5-5D6F-433A-AFFF-7BBFEB2A6C11}"/>
    <cellStyle name="Normal 27" xfId="255" xr:uid="{163706D9-EF59-44AD-B202-E3D23358467F}"/>
    <cellStyle name="Normal 28" xfId="256" xr:uid="{F05152F3-F983-4BA1-AFE7-F0CA1C3BE0A2}"/>
    <cellStyle name="Normal 29" xfId="257" xr:uid="{81060B9F-0373-474C-9543-278A3E88BDA3}"/>
    <cellStyle name="Normal 3" xfId="258" xr:uid="{749A8605-705E-4625-89FC-D5274F362A87}"/>
    <cellStyle name="Normal 3 2" xfId="259" xr:uid="{1F3F41A6-2A6F-4FEC-AF0A-BD3D6075B63F}"/>
    <cellStyle name="Normal 3 2 2" xfId="371" xr:uid="{8714B2B6-5FE6-4976-B7C7-583572D10AA2}"/>
    <cellStyle name="Normal 3 2 2 2" xfId="432" xr:uid="{957980EF-0D1C-4E02-BAE0-763AE1AC5CD2}"/>
    <cellStyle name="Normal 3 2 3" xfId="402" xr:uid="{0EEC63AC-80D2-44BE-ABB6-A94A2B5EA834}"/>
    <cellStyle name="Normal 3 3" xfId="260" xr:uid="{FE4CC545-1DBF-46F6-9984-87209B6A3BAE}"/>
    <cellStyle name="Normal 3 4" xfId="370" xr:uid="{0DF4101A-1224-4775-AE79-1B0B515015F3}"/>
    <cellStyle name="Normal 3 4 2" xfId="431" xr:uid="{5A19CA20-FA61-4A0B-BA7B-119E13BB1B22}"/>
    <cellStyle name="Normal 3 5" xfId="401" xr:uid="{DF238CAF-945E-4695-8C43-8572FC422387}"/>
    <cellStyle name="Normal 30" xfId="261" xr:uid="{C8525AD4-BC95-4CAE-BBD9-AF586F4666C6}"/>
    <cellStyle name="Normal 31" xfId="262" xr:uid="{A18B3899-153E-441E-BB9F-C6FDC46A3884}"/>
    <cellStyle name="Normal 32" xfId="263" xr:uid="{EB03C073-01F9-491E-BE70-171D719BE01B}"/>
    <cellStyle name="Normal 33" xfId="264" xr:uid="{D458D2D5-C5E7-4F4D-8D16-C7D30B063F0F}"/>
    <cellStyle name="Normal 34" xfId="265" xr:uid="{FE284069-9C01-4E3A-B6DB-B6380DFEAA9A}"/>
    <cellStyle name="Normal 34 2" xfId="372" xr:uid="{791D43ED-5FDB-48A2-8307-D74469D8D73F}"/>
    <cellStyle name="Normal 34 2 2" xfId="433" xr:uid="{82A7C0AD-E5FC-4DC7-B414-F20B0D019672}"/>
    <cellStyle name="Normal 34 3" xfId="403" xr:uid="{EE82EF77-7895-48E6-A6AC-B31A977A586D}"/>
    <cellStyle name="Normal 35" xfId="266" xr:uid="{27852D57-AF12-4541-A61E-A087F86C8BD2}"/>
    <cellStyle name="Normal 35 2" xfId="373" xr:uid="{37D06868-E26B-4A80-B48E-768C0B7BD986}"/>
    <cellStyle name="Normal 35 2 2" xfId="434" xr:uid="{7F9D6E1A-30C2-4027-B457-606C2E4A670D}"/>
    <cellStyle name="Normal 35 3" xfId="404" xr:uid="{E4667C50-B4C7-45FF-A66D-963B63BBB23D}"/>
    <cellStyle name="Normal 36" xfId="267" xr:uid="{5701CDD2-FC6C-403E-8A55-39CE395641E9}"/>
    <cellStyle name="Normal 36 2" xfId="374" xr:uid="{DE7345DD-3AC9-41D8-9ADB-DE6D75400595}"/>
    <cellStyle name="Normal 36 2 2" xfId="435" xr:uid="{A3A29B85-B0BC-4722-A2FC-F290FD4FA869}"/>
    <cellStyle name="Normal 36 3" xfId="405" xr:uid="{02E83C2D-2E38-45ED-ACB4-5C1334F16A11}"/>
    <cellStyle name="Normal 37" xfId="268" xr:uid="{7331976E-82C7-4FED-9077-6D9087C6D3FD}"/>
    <cellStyle name="Normal 38" xfId="10" xr:uid="{B9AD380B-A976-42E2-8871-32992897265F}"/>
    <cellStyle name="Normal 39" xfId="4" xr:uid="{62467DEA-72C2-4940-B0EC-5CB66A5AA82D}"/>
    <cellStyle name="Normal 4" xfId="269" xr:uid="{3C0EA811-DABC-4C99-9E9F-9479141D723F}"/>
    <cellStyle name="Normal 4 2" xfId="270" xr:uid="{A333756B-8311-4746-A10C-A012CF5EA56F}"/>
    <cellStyle name="Normal 40" xfId="350" xr:uid="{B7D6580E-2DAA-4247-93DF-401858BB1583}"/>
    <cellStyle name="Normal 40 2" xfId="377" xr:uid="{EC9D3CCF-6D08-42F6-BF3B-3CB3D23AFC00}"/>
    <cellStyle name="Normal 40 2 2" xfId="438" xr:uid="{5C6BD40D-BE11-4BED-8D71-2B43556817C9}"/>
    <cellStyle name="Normal 40 3" xfId="411" xr:uid="{D266214D-965C-40A1-9587-80A3920169EE}"/>
    <cellStyle name="Normal 5" xfId="271" xr:uid="{EC6EB367-F4C7-4A8A-9C0A-2CE9E531AEFD}"/>
    <cellStyle name="Normal 6" xfId="272" xr:uid="{86AC89C0-A8A5-410E-B769-7B58BF3CE793}"/>
    <cellStyle name="Normal 7" xfId="273" xr:uid="{A9BFC13A-5D39-4053-8208-7D8B9E0B542D}"/>
    <cellStyle name="Normal 8" xfId="274" xr:uid="{0BA425B4-596A-42E0-AA6D-CD2F25FE3C68}"/>
    <cellStyle name="Normal 9" xfId="275" xr:uid="{D320D81B-D86B-4B94-8A52-31B6B7A0D557}"/>
    <cellStyle name="Normal1" xfId="276" xr:uid="{F3969374-9F64-413F-A187-DED86191BDCA}"/>
    <cellStyle name="Normal2" xfId="277" xr:uid="{8A98FDC5-CE60-4091-B1AA-2EAC3F9EFDEB}"/>
    <cellStyle name="Ô Được nối kết" xfId="278" xr:uid="{EC092024-79AD-4529-BCE2-2783D3FC1446}"/>
    <cellStyle name="Œ…‹æØ‚è [0.00]_laroux" xfId="279" xr:uid="{D854A468-D7D7-4924-9ADE-3909062FE040}"/>
    <cellStyle name="Œ…‹æØ‚è_laroux" xfId="280" xr:uid="{613BBA36-34C4-40FD-8602-FB69378E356C}"/>
    <cellStyle name="oft Excel]_x000d__x000a_Comment=open=/f ‚ðw’è‚·‚é‚ÆAƒ†[ƒU[’è‹`ŠÖ”‚ðŠÖ”“\‚è•t‚¯‚Ìˆê——‚É“o˜^‚·‚é‚±‚Æ‚ª‚Å‚«‚Ü‚·B_x000d__x000a_Maximized" xfId="281" xr:uid="{58DAB059-8D3E-4D73-BF83-96093B3E7FD6}"/>
    <cellStyle name="oft Excel]_x000d__x000a_Comment=open=/f ‚ðŽw’è‚·‚é‚ÆAƒ†[ƒU[’è‹`ŠÖ”‚ðŠÖ”“\‚è•t‚¯‚Ìˆê——‚É“o˜^‚·‚é‚±‚Æ‚ª‚Å‚«‚Ü‚·B_x000d__x000a_Maximized" xfId="282" xr:uid="{2FC0132D-FAFE-4381-8D01-B0EB3EDAC577}"/>
    <cellStyle name="oft Excel]_x000d__x000a_Comment=The open=/f lines load custom functions into the Paste Function list._x000d__x000a_Maximized=2_x000d__x000a_Basics=1_x000d__x000a_A" xfId="283" xr:uid="{B13528CC-5A80-4648-BB84-051ED49FC3CE}"/>
    <cellStyle name="oft Excel]_x000d__x000a_Comment=The open=/f lines load custom functions into the Paste Function list._x000d__x000a_Maximized=3_x000d__x000a_Basics=1_x000d__x000a_A" xfId="284" xr:uid="{2508D7C7-551C-4B99-8BC2-17BAC3A35C65}"/>
    <cellStyle name="omma [0]_Mktg Prog" xfId="285" xr:uid="{A990E24F-5FB5-4F24-B073-E50213163AFA}"/>
    <cellStyle name="ormal_Sheet1_1" xfId="286" xr:uid="{C559DB97-F05E-4D2B-9DEB-704545689A68}"/>
    <cellStyle name="Percent [0]" xfId="287" xr:uid="{695E0511-7B42-47D1-819B-082E516B6C5A}"/>
    <cellStyle name="Percent [00]" xfId="288" xr:uid="{B4B14A94-A1C9-4866-BFB3-A4A773DF9C12}"/>
    <cellStyle name="Percent [2]" xfId="289" xr:uid="{81F22135-207A-476A-863F-7A435287EC4D}"/>
    <cellStyle name="Percent 2" xfId="290" xr:uid="{C987A3F2-5380-43AD-A1D8-3BE8EEA4319F}"/>
    <cellStyle name="Percent 3" xfId="5" xr:uid="{719F164A-0E58-4A66-B527-3A988599D8C3}"/>
    <cellStyle name="PERCENTAGE" xfId="291" xr:uid="{65C35ADC-E551-4D6B-AD42-E745CA43A86D}"/>
    <cellStyle name="PrePop Currency (0)" xfId="292" xr:uid="{3C08B6EE-FC95-4FEC-8472-EDAB931C921A}"/>
    <cellStyle name="PrePop Currency (2)" xfId="293" xr:uid="{1068A584-CED6-4065-B55C-396356E4B539}"/>
    <cellStyle name="PrePop Units (0)" xfId="294" xr:uid="{9BE2DD7F-ED33-44B0-B326-800EC70E7BDF}"/>
    <cellStyle name="PrePop Units (1)" xfId="295" xr:uid="{0A26816D-7BC9-4C14-AE85-0A24325C8FB6}"/>
    <cellStyle name="PrePop Units (2)" xfId="296" xr:uid="{C94BDA14-6217-4E72-AB3B-D7C3EC8EAAC5}"/>
    <cellStyle name="pricing" xfId="297" xr:uid="{C1740BD6-D15C-4567-A0B6-065E455F0B02}"/>
    <cellStyle name="PSChar" xfId="298" xr:uid="{EEB01B78-AD61-4D2C-90E8-1382458EEE79}"/>
    <cellStyle name="PSHeading" xfId="299" xr:uid="{D18B0A30-79B3-4707-938A-9151EC566F0E}"/>
    <cellStyle name="s]_x000d__x000a_spooler=yes_x000d__x000a_load=_x000d__x000a_Beep=yes_x000d__x000a_NullPort=None_x000d__x000a_BorderWidth=3_x000d__x000a_CursorBlinkRate=1200_x000d__x000a_DoubleClickSpeed=452_x000d__x000a_Programs=co" xfId="300" xr:uid="{A969984A-2403-4C9B-8B2C-D1A2841F4970}"/>
    <cellStyle name="Style 1" xfId="301" xr:uid="{014C79A8-4FBC-42B8-9B8B-E6BAD311E16A}"/>
    <cellStyle name="Style 1 2" xfId="302" xr:uid="{0AB2D514-9E7E-452D-938F-FFDFABA0A3C9}"/>
    <cellStyle name="style_1" xfId="303" xr:uid="{896BA0C7-FEDB-4A64-840F-55218F11E562}"/>
    <cellStyle name="subhead" xfId="304" xr:uid="{9C06EEA5-F195-4CAD-A008-C0D8E9E0F14A}"/>
    <cellStyle name="T" xfId="305" xr:uid="{76871FC4-E0FE-4BBA-AC9C-E7F2F98D645B}"/>
    <cellStyle name="T 2" xfId="406" xr:uid="{5A12E0B6-32EB-49F5-92ED-2132E2939EFB}"/>
    <cellStyle name="Text Indent A" xfId="306" xr:uid="{3E056BB4-F1F8-4BC8-A8D9-AF58B906A144}"/>
    <cellStyle name="Text Indent B" xfId="307" xr:uid="{B16A9D35-BF05-438D-83B4-F4E8FEEEA1A0}"/>
    <cellStyle name="Text Indent C" xfId="308" xr:uid="{50349265-E3C1-498F-B6C5-FED3A88E7A06}"/>
    <cellStyle name="th" xfId="309" xr:uid="{5F34DCDD-50C4-42F2-A3EA-15B52FC3E68F}"/>
    <cellStyle name="th 2" xfId="407" xr:uid="{0C92D021-A4C1-4174-8A7E-8121F24C24AB}"/>
    <cellStyle name="þ_x001d_ð·_x000c_æþ'_x000d_ßþU_x0001_Ø_x0005_ü_x0014__x0007__x0001__x0001_" xfId="310" xr:uid="{B2982050-D4CB-44B8-9D71-BBB8A9345C98}"/>
    <cellStyle name="þ_x001d_ðÇ%Uý—&amp;Hý9_x0008_Ÿ_x0009_s_x000a__x0007__x0001__x0001_" xfId="311" xr:uid="{2F4BA12F-A97A-475D-9FBE-9B0C617DDE48}"/>
    <cellStyle name="þ_x001d_ðK_x000c_Fý_x001b__x000d_9ýU_x0001_Ð_x0008_¦)_x0007__x0001__x0001_" xfId="312" xr:uid="{A050F8A4-0D01-4226-904D-B55DABACF5A4}"/>
    <cellStyle name="Tiêu đề" xfId="313" xr:uid="{437F991D-4CB1-4D13-B72A-128CCA3DE2DA}"/>
    <cellStyle name="Tính toán" xfId="314" xr:uid="{B758FB32-3A24-4B05-8E51-9F6CE5596AAB}"/>
    <cellStyle name="Tính toán 2" xfId="408" xr:uid="{23C433E8-637D-40AF-86A7-A6D799E9EFCA}"/>
    <cellStyle name="Tổng" xfId="315" xr:uid="{165BB956-1EE9-4B75-913F-8EF74C6A5D48}"/>
    <cellStyle name="Tổng 2" xfId="409" xr:uid="{D23ACC73-864F-45F8-BC33-61EBA978D0F8}"/>
    <cellStyle name="Tốt" xfId="316" xr:uid="{B07F9138-8B66-412B-B3B4-31CF2E3D2B67}"/>
    <cellStyle name="Trung tính" xfId="317" xr:uid="{AEE6B2BD-E90B-46CF-8E2D-2DF1EB81B38F}"/>
    <cellStyle name="Văn bản Cảnh báo" xfId="318" xr:uid="{14933736-578A-468A-882F-2D8667BEEF04}"/>
    <cellStyle name="Văn bản Giải thích" xfId="319" xr:uid="{51ECD079-D908-43AF-BB06-EBB9E91A6380}"/>
    <cellStyle name="viet" xfId="320" xr:uid="{29613BB7-7E14-4831-B3BE-AB274D1FFF6F}"/>
    <cellStyle name="viet2" xfId="321" xr:uid="{330DE6AE-F4B3-4050-8935-0D3D8C5D46AB}"/>
    <cellStyle name="viet2 2" xfId="375" xr:uid="{0C2E8589-F615-403A-9DDF-1AA7228E75F4}"/>
    <cellStyle name="viet2 2 2" xfId="436" xr:uid="{A0D1E794-72F5-421E-8370-249AE2689618}"/>
    <cellStyle name="vnhead1" xfId="322" xr:uid="{FEEF44EA-0757-446A-B123-EB2F5149FC0D}"/>
    <cellStyle name="vnhead1 2" xfId="376" xr:uid="{A4FC1AB5-91C4-45C3-AFFB-127F0E36CA97}"/>
    <cellStyle name="vnhead1 2 2" xfId="437" xr:uid="{1C7EAC4A-E069-47B5-A266-42030CAF8076}"/>
    <cellStyle name="vnhead3" xfId="323" xr:uid="{0473CF66-FF9A-407A-987B-633A243B6486}"/>
    <cellStyle name="vnhead3 2" xfId="410" xr:uid="{DAA4891C-720B-4DDD-80DB-B8254EEAD0CF}"/>
    <cellStyle name="vntxt1" xfId="324" xr:uid="{3C9156CF-F2DD-4C72-A03F-8D0787EDF8D8}"/>
    <cellStyle name="vntxt2" xfId="325" xr:uid="{1971E8A0-9B50-4A64-A769-2F42A0F149A4}"/>
    <cellStyle name="Währung [0]_UXO VII" xfId="326" xr:uid="{CCF12C7F-AAC3-48DB-A790-CCE5224AEFC7}"/>
    <cellStyle name="Währung_UXO VII" xfId="327" xr:uid="{388CEB47-94B3-409C-BEAF-A32A9E29DFCC}"/>
    <cellStyle name="Xấu" xfId="328" xr:uid="{471C530D-7E5A-40A2-A74A-DAE27EC3FF81}"/>
    <cellStyle name=" [0.00]_ Att. 1- Cover" xfId="329" xr:uid="{CF3F9588-6E82-4B69-97B8-97736C169B64}"/>
    <cellStyle name="_ Att. 1- Cover" xfId="330" xr:uid="{BF277646-2255-467D-8FAF-8ED7D6D731C8}"/>
    <cellStyle name="?_ Att. 1- Cover" xfId="331" xr:uid="{DA736BFD-77C2-4B15-9C8D-3CA194DBD5BD}"/>
    <cellStyle name="똿뗦먛귟 [0.00]_PRODUCT DETAIL Q1" xfId="332" xr:uid="{B1F8AA6F-E7F2-4399-94EB-9073B2531FFF}"/>
    <cellStyle name="똿뗦먛귟_PRODUCT DETAIL Q1" xfId="333" xr:uid="{1DB19F6D-2B73-4131-A462-7B9895EEB4BF}"/>
    <cellStyle name="믅됞 [0.00]_PRODUCT DETAIL Q1" xfId="334" xr:uid="{79FB917C-1534-4133-A7AB-814057DEF321}"/>
    <cellStyle name="믅됞_PRODUCT DETAIL Q1" xfId="335" xr:uid="{F09E6723-60F2-411D-8E52-4C4E05AB2F48}"/>
    <cellStyle name="백분율_95" xfId="336" xr:uid="{9F9577C8-7C53-4877-A512-56A5D77B6F7E}"/>
    <cellStyle name="뷭?_BOOKSHIP" xfId="337" xr:uid="{B58DC2A3-D0F2-42F7-9E43-2CC34BD67730}"/>
    <cellStyle name="콤마 [0]_ 비목별 월별기술 " xfId="338" xr:uid="{195532F8-26EB-4951-B094-CB1675E82DAF}"/>
    <cellStyle name="콤마_ 비목별 월별기술 " xfId="339" xr:uid="{BB9A79B2-D7DB-459E-A541-F1045661F03B}"/>
    <cellStyle name="통화 [0]_††††† " xfId="340" xr:uid="{CBA743DC-DB7A-40E0-96DC-DD126022632B}"/>
    <cellStyle name="통화_††††† " xfId="341" xr:uid="{FE633FEB-32B5-41DD-BE7A-512ADA2439ED}"/>
    <cellStyle name="표준_(정보부문)월별인원계획" xfId="342" xr:uid="{031CE63C-04A4-4604-8D36-139BBC2F8C38}"/>
    <cellStyle name="一般_00Q3902REV.1" xfId="343" xr:uid="{E47E7AB7-5DA0-4999-9C44-BFCC4064B289}"/>
    <cellStyle name="千分位[0]_00Q3902REV.1" xfId="344" xr:uid="{BA9BEF34-3D0F-41EB-AACC-B55959AF9984}"/>
    <cellStyle name="千分位_00Q3902REV.1" xfId="345" xr:uid="{F6BD8418-7079-4E95-A871-8391C5D39124}"/>
    <cellStyle name="標準_ServicePac" xfId="346" xr:uid="{26B642B1-D944-49C6-BC43-09D71136B43C}"/>
    <cellStyle name="貨幣 [0]_00Q3902REV.1" xfId="347" xr:uid="{3033A20D-69AF-4994-BE71-256258A6CFDB}"/>
    <cellStyle name="貨幣[0]_BRE" xfId="348" xr:uid="{4ACFC186-9A4F-4A0F-A6BB-03609E4DD2CE}"/>
    <cellStyle name="貨幣_00Q3902REV.1" xfId="349" xr:uid="{95179CC4-9B50-4BB5-A1CD-8886BE015F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eetMetadata" Target="metadata.xml"/><Relationship Id="rId19" Type="http://schemas.microsoft.com/office/2017/10/relationships/person" Target="persons/perso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nISSEI%20eLECTRIC%20hANOI%20quotation%20form%20Constrexim/SCHED/schedule%20for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WORK/TT%202014/45.%20Shizuoka/1.%2022122014/M/nISSEI%20eLECTRIC%20hANOI%20quotation%20form%20Constrexim/SCHED/schedule%20for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Contractor/Toda/2015/6.%20Dynapac/Phase%202/M/nISSEI%20eLECTRIC%20hANOI%20quotation%20form%20Constrexim/SCHED/schedule%20for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MONTHS "/>
      <sheetName val="6MONTHS"/>
      <sheetName val="staffsched"/>
      <sheetName val="負荷集計（断熱不燃）"/>
      <sheetName val="DETAIL "/>
      <sheetName val="schedule form"/>
      <sheetName val="Sum"/>
      <sheetName val="Sheet1"/>
      <sheetName val="Comparison"/>
      <sheetName val="A .Building  "/>
      <sheetName val="Qty-(Arc )"/>
      <sheetName val="gia vt,nc,may"/>
      <sheetName val="Sub total"/>
      <sheetName val="8MONTHS_"/>
      <sheetName val="DETAIL_"/>
      <sheetName val="schedule_form"/>
      <sheetName val="A__Building__"/>
      <sheetName val="Qty-(Arc_)"/>
      <sheetName val="gia_vt,nc,may"/>
      <sheetName val="Sub_total"/>
      <sheetName val="Gia"/>
      <sheetName val="8MONTHS_1"/>
      <sheetName val="DETAIL_1"/>
      <sheetName val="schedule_form1"/>
      <sheetName val="A__Building__1"/>
      <sheetName val="Qty-(Arc_)1"/>
      <sheetName val="gia_vt,nc,may1"/>
      <sheetName val="Sub_total1"/>
      <sheetName val="tifico"/>
      <sheetName val="FitOutConfCentre"/>
      <sheetName val="차액보증"/>
      <sheetName val="Areas"/>
      <sheetName val="RAB AR&amp;STR"/>
      <sheetName val="MTP"/>
      <sheetName val="PNT_QUOT__3"/>
      <sheetName val="COAT_WRAP_QIOT__3"/>
      <sheetName val="XL4Poppy"/>
      <sheetName val="VL"/>
      <sheetName val="ND"/>
      <sheetName val="electrical"/>
      <sheetName val="SUM-AIR-Submit"/>
      <sheetName val="Name"/>
      <sheetName val="SEX"/>
      <sheetName val="B3A - TOWER A"/>
      <sheetName val="#REF"/>
      <sheetName val="INPUT"/>
      <sheetName val="BG"/>
      <sheetName val="6PILE  (돌출)"/>
      <sheetName val="tuong"/>
      <sheetName val="Earthwork"/>
      <sheetName val="Ｎｏ.13"/>
      <sheetName val="Z"/>
      <sheetName val="Cash2"/>
      <sheetName val="escon"/>
      <sheetName val="一発シート"/>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MONTHS "/>
      <sheetName val="6MONTHS"/>
      <sheetName val="staffsched"/>
      <sheetName val="tifico"/>
      <sheetName val="escon"/>
      <sheetName val="Input"/>
      <sheetName val="BG"/>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MONTHS "/>
      <sheetName val="6MONTHS"/>
      <sheetName val="staffsched"/>
      <sheetName val="실행"/>
      <sheetName val="escon"/>
      <sheetName val="負荷集計（断熱不燃）"/>
      <sheetName val="DETAIL "/>
      <sheetName val="schedule form"/>
      <sheetName val="Sum"/>
      <sheetName val="Sheet1"/>
      <sheetName val="Comparison"/>
      <sheetName val="A .Building  "/>
      <sheetName val="Qty-(Arc )"/>
      <sheetName val="gia vt,nc,may"/>
      <sheetName val="Sub total"/>
      <sheetName val="8MONTHS_"/>
      <sheetName val="DETAIL_"/>
      <sheetName val="schedule_form"/>
      <sheetName val="A__Building__"/>
      <sheetName val="Qty-(Arc_)"/>
      <sheetName val="gia_vt,nc,may"/>
      <sheetName val="Sub_total"/>
      <sheetName val="Gia"/>
      <sheetName val="MTP"/>
      <sheetName val="RAB AR&amp;STR"/>
      <sheetName val="Div26 - Elect"/>
      <sheetName val="8MONTHS_1"/>
      <sheetName val="DETAIL_1"/>
      <sheetName val="schedule_form1"/>
      <sheetName val="A__Building__1"/>
      <sheetName val="Qty-(Arc_)1"/>
      <sheetName val="gia_vt,nc,may1"/>
      <sheetName val="Sub_total1"/>
      <sheetName val="tifico"/>
      <sheetName val="PNT_QUOT__3"/>
      <sheetName val="COAT_WRAP_QIOT__3"/>
      <sheetName val="XL4Poppy"/>
      <sheetName val="VL"/>
      <sheetName val="ND"/>
      <sheetName val="electrical"/>
      <sheetName val="SUM-AIR-Submit"/>
      <sheetName val="Name"/>
      <sheetName val="SEX"/>
      <sheetName val="B3A - TOWER A"/>
      <sheetName val="차액보증"/>
      <sheetName val="FitOutConfCent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0E1E7-621F-45C6-B97C-9128A4B78266}">
  <dimension ref="A1:P1380"/>
  <sheetViews>
    <sheetView tabSelected="1" topLeftCell="A673" zoomScale="70" zoomScaleNormal="70" workbookViewId="0">
      <selection activeCell="F668" sqref="F668"/>
    </sheetView>
  </sheetViews>
  <sheetFormatPr defaultColWidth="9.125" defaultRowHeight="15" outlineLevelRow="1"/>
  <cols>
    <col min="1" max="1" width="9.125" style="15"/>
    <col min="2" max="2" width="22.75" style="23" bestFit="1" customWidth="1"/>
    <col min="3" max="3" width="55.875" style="15" customWidth="1"/>
    <col min="4" max="4" width="5" style="15" bestFit="1" customWidth="1"/>
    <col min="5" max="5" width="5.625" style="24" bestFit="1" customWidth="1"/>
    <col min="6" max="6" width="9.125" style="15"/>
    <col min="7" max="9" width="9.25" style="15" bestFit="1" customWidth="1"/>
    <col min="10" max="10" width="9.25" style="24" bestFit="1" customWidth="1"/>
    <col min="11" max="12" width="9.125" style="15"/>
    <col min="13" max="13" width="13.75" style="15" bestFit="1" customWidth="1"/>
    <col min="14" max="14" width="9.125" style="15"/>
    <col min="15" max="15" width="14" style="18" bestFit="1" customWidth="1"/>
    <col min="16" max="16" width="12.625" style="18" bestFit="1" customWidth="1"/>
    <col min="17" max="16384" width="9.125" style="15"/>
  </cols>
  <sheetData>
    <row r="1" spans="1:16" ht="60" customHeight="1">
      <c r="B1" s="16" t="s">
        <v>160</v>
      </c>
      <c r="C1" s="16"/>
      <c r="D1" s="16"/>
      <c r="E1" s="16"/>
      <c r="F1" s="16"/>
      <c r="G1" s="16" t="s">
        <v>208</v>
      </c>
      <c r="H1" s="16" t="s">
        <v>209</v>
      </c>
      <c r="I1" s="17"/>
      <c r="J1" s="17" t="s">
        <v>210</v>
      </c>
    </row>
    <row r="2" spans="1:16" ht="41.25" customHeight="1">
      <c r="B2" s="70" t="s">
        <v>161</v>
      </c>
      <c r="C2" s="70" t="s">
        <v>162</v>
      </c>
      <c r="D2" s="70" t="s">
        <v>163</v>
      </c>
      <c r="E2" s="70" t="s">
        <v>164</v>
      </c>
      <c r="F2" s="70" t="s">
        <v>165</v>
      </c>
      <c r="G2" s="70" t="s">
        <v>166</v>
      </c>
      <c r="H2" s="70" t="s">
        <v>167</v>
      </c>
      <c r="I2" s="70"/>
      <c r="J2" s="70"/>
      <c r="K2" s="63"/>
      <c r="L2" s="63"/>
      <c r="M2" s="63"/>
      <c r="N2" s="63"/>
      <c r="O2" s="80"/>
      <c r="P2" s="80"/>
    </row>
    <row r="3" spans="1:16">
      <c r="A3" s="35">
        <v>0</v>
      </c>
      <c r="B3" s="36"/>
      <c r="C3" s="37" t="s">
        <v>133</v>
      </c>
      <c r="D3" s="38" t="s">
        <v>0</v>
      </c>
      <c r="E3" s="36">
        <v>1</v>
      </c>
      <c r="F3" s="36"/>
      <c r="G3" s="36">
        <v>224</v>
      </c>
      <c r="H3" s="36">
        <v>0</v>
      </c>
      <c r="I3" s="38"/>
      <c r="J3" s="38">
        <f>SUBTOTAL(9,J9:J38)</f>
        <v>35</v>
      </c>
      <c r="K3" s="39" t="s">
        <v>185</v>
      </c>
      <c r="L3" s="39" t="s">
        <v>186</v>
      </c>
      <c r="M3" s="39" t="s">
        <v>187</v>
      </c>
      <c r="N3" s="39" t="s">
        <v>188</v>
      </c>
      <c r="O3" s="40" t="s">
        <v>189</v>
      </c>
      <c r="P3" s="40" t="s">
        <v>190</v>
      </c>
    </row>
    <row r="4" spans="1:16">
      <c r="B4" s="81"/>
      <c r="C4" s="82" t="s">
        <v>124</v>
      </c>
      <c r="D4" s="72" t="s">
        <v>0</v>
      </c>
      <c r="E4" s="72">
        <v>1</v>
      </c>
      <c r="F4" s="72"/>
      <c r="G4" s="72"/>
      <c r="H4" s="72"/>
      <c r="I4" s="72"/>
      <c r="J4" s="72"/>
      <c r="K4" s="83"/>
      <c r="L4" s="83"/>
      <c r="M4" s="83"/>
      <c r="N4" s="83"/>
      <c r="O4" s="84"/>
      <c r="P4" s="84"/>
    </row>
    <row r="5" spans="1:16" s="45" customFormat="1" ht="30">
      <c r="B5" s="62" t="s">
        <v>192</v>
      </c>
      <c r="C5" s="21" t="s">
        <v>305</v>
      </c>
      <c r="D5" s="85"/>
      <c r="E5" s="85">
        <v>1</v>
      </c>
      <c r="F5" s="62"/>
      <c r="G5" s="62"/>
      <c r="H5" s="62"/>
      <c r="I5" s="62"/>
      <c r="J5" s="86"/>
      <c r="K5" s="62" t="s">
        <v>37</v>
      </c>
      <c r="L5" s="62" t="s">
        <v>203</v>
      </c>
      <c r="M5" s="86" t="s">
        <v>22</v>
      </c>
      <c r="N5" s="86" t="s">
        <v>3</v>
      </c>
      <c r="O5" s="87">
        <f>VLOOKUP($B5,BOM!$A$2:$K$94,10,0)</f>
        <v>0</v>
      </c>
      <c r="P5" s="87">
        <f t="shared" ref="P5:P67" si="0">O5*E5</f>
        <v>0</v>
      </c>
    </row>
    <row r="6" spans="1:16" s="45" customFormat="1">
      <c r="B6" s="62" t="s">
        <v>341</v>
      </c>
      <c r="C6" s="21" t="s">
        <v>342</v>
      </c>
      <c r="D6" s="85"/>
      <c r="E6" s="85">
        <v>2</v>
      </c>
      <c r="F6" s="62"/>
      <c r="G6" s="62"/>
      <c r="H6" s="62"/>
      <c r="I6" s="62"/>
      <c r="J6" s="86"/>
      <c r="K6" s="62" t="s">
        <v>37</v>
      </c>
      <c r="L6" s="62" t="s">
        <v>203</v>
      </c>
      <c r="M6" s="86" t="s">
        <v>22</v>
      </c>
      <c r="N6" s="86" t="s">
        <v>3</v>
      </c>
      <c r="O6" s="87">
        <f>VLOOKUP($B6,BOM!$A$2:$K$94,10,0)</f>
        <v>0</v>
      </c>
      <c r="P6" s="87">
        <f t="shared" si="0"/>
        <v>0</v>
      </c>
    </row>
    <row r="7" spans="1:16" s="45" customFormat="1">
      <c r="B7" s="62" t="s">
        <v>117</v>
      </c>
      <c r="C7" s="21" t="s">
        <v>118</v>
      </c>
      <c r="D7" s="85" t="s">
        <v>4</v>
      </c>
      <c r="E7" s="85">
        <v>2</v>
      </c>
      <c r="F7" s="62"/>
      <c r="G7" s="62"/>
      <c r="H7" s="62"/>
      <c r="I7" s="62"/>
      <c r="J7" s="86"/>
      <c r="K7" s="62" t="s">
        <v>4</v>
      </c>
      <c r="L7" s="62" t="s">
        <v>5</v>
      </c>
      <c r="M7" s="86" t="s">
        <v>22</v>
      </c>
      <c r="N7" s="86" t="s">
        <v>3</v>
      </c>
      <c r="O7" s="87">
        <f>VLOOKUP($B7,BOM!$A$2:$K$94,10,0)</f>
        <v>0</v>
      </c>
      <c r="P7" s="87">
        <f t="shared" si="0"/>
        <v>0</v>
      </c>
    </row>
    <row r="8" spans="1:16">
      <c r="B8" s="81"/>
      <c r="C8" s="82" t="s">
        <v>1</v>
      </c>
      <c r="D8" s="72" t="s">
        <v>0</v>
      </c>
      <c r="E8" s="72">
        <v>1</v>
      </c>
      <c r="F8" s="72"/>
      <c r="G8" s="72">
        <f>ROUNDUP(G3/24,0)</f>
        <v>10</v>
      </c>
      <c r="H8" s="72">
        <f t="shared" ref="H8" si="1">ROUNDUP(H3/24,0)</f>
        <v>0</v>
      </c>
      <c r="I8" s="72"/>
      <c r="J8" s="72"/>
      <c r="K8" s="83"/>
      <c r="L8" s="83"/>
      <c r="M8" s="83"/>
      <c r="N8" s="83"/>
      <c r="O8" s="87">
        <f>VLOOKUP($B8,BOM!$A$2:$K$94,10,0)</f>
        <v>0</v>
      </c>
      <c r="P8" s="87">
        <f t="shared" si="0"/>
        <v>0</v>
      </c>
    </row>
    <row r="9" spans="1:16" s="45" customFormat="1">
      <c r="B9" s="62">
        <v>760249997</v>
      </c>
      <c r="C9" s="88" t="s">
        <v>2</v>
      </c>
      <c r="D9" s="85" t="s">
        <v>3</v>
      </c>
      <c r="E9" s="85">
        <f>ROUNDUP((E11+E15)/3,0)</f>
        <v>4</v>
      </c>
      <c r="F9" s="62"/>
      <c r="G9" s="62"/>
      <c r="H9" s="62"/>
      <c r="I9" s="62"/>
      <c r="J9" s="86">
        <f>E9</f>
        <v>4</v>
      </c>
      <c r="K9" s="62" t="s">
        <v>4</v>
      </c>
      <c r="L9" s="62" t="s">
        <v>5</v>
      </c>
      <c r="M9" s="86" t="s">
        <v>6</v>
      </c>
      <c r="N9" s="86" t="s">
        <v>3</v>
      </c>
      <c r="O9" s="87">
        <f>VLOOKUP($B9,BOM!$A$2:$K$94,10,0)</f>
        <v>0</v>
      </c>
      <c r="P9" s="87">
        <f t="shared" si="0"/>
        <v>0</v>
      </c>
    </row>
    <row r="10" spans="1:16" s="45" customFormat="1">
      <c r="B10" s="62">
        <v>760241378</v>
      </c>
      <c r="C10" s="21" t="s">
        <v>7</v>
      </c>
      <c r="D10" s="85" t="s">
        <v>3</v>
      </c>
      <c r="E10" s="85">
        <f>IF(E11&lt;=2,1,ROUNDUP(E9*1.5,0))</f>
        <v>6</v>
      </c>
      <c r="F10" s="62"/>
      <c r="G10" s="62"/>
      <c r="H10" s="62"/>
      <c r="I10" s="62"/>
      <c r="J10" s="86"/>
      <c r="K10" s="62" t="s">
        <v>4</v>
      </c>
      <c r="L10" s="62" t="s">
        <v>5</v>
      </c>
      <c r="M10" s="86" t="s">
        <v>6</v>
      </c>
      <c r="N10" s="86" t="s">
        <v>3</v>
      </c>
      <c r="O10" s="87">
        <f>VLOOKUP($B10,BOM!$A$2:$K$94,10,0)</f>
        <v>0</v>
      </c>
      <c r="P10" s="87">
        <f t="shared" si="0"/>
        <v>0</v>
      </c>
    </row>
    <row r="11" spans="1:16" s="45" customFormat="1">
      <c r="B11" s="62" t="s">
        <v>8</v>
      </c>
      <c r="C11" s="21" t="s">
        <v>9</v>
      </c>
      <c r="D11" s="85" t="s">
        <v>3</v>
      </c>
      <c r="E11" s="85">
        <f>G8</f>
        <v>10</v>
      </c>
      <c r="F11" s="62"/>
      <c r="G11" s="62"/>
      <c r="H11" s="62"/>
      <c r="I11" s="62"/>
      <c r="J11" s="86"/>
      <c r="K11" s="62" t="s">
        <v>4</v>
      </c>
      <c r="L11" s="62" t="s">
        <v>5</v>
      </c>
      <c r="M11" s="86" t="s">
        <v>6</v>
      </c>
      <c r="N11" s="86" t="s">
        <v>3</v>
      </c>
      <c r="O11" s="87">
        <f>VLOOKUP($B11,BOM!$A$2:$K$94,10,0)</f>
        <v>0</v>
      </c>
      <c r="P11" s="87">
        <f t="shared" si="0"/>
        <v>0</v>
      </c>
    </row>
    <row r="12" spans="1:16" s="45" customFormat="1">
      <c r="B12" s="62" t="s">
        <v>10</v>
      </c>
      <c r="C12" s="21" t="s">
        <v>11</v>
      </c>
      <c r="D12" s="85" t="s">
        <v>3</v>
      </c>
      <c r="E12" s="85">
        <f>E9*3-E11-E15</f>
        <v>2</v>
      </c>
      <c r="F12" s="62"/>
      <c r="G12" s="62"/>
      <c r="H12" s="62"/>
      <c r="I12" s="62"/>
      <c r="J12" s="86"/>
      <c r="K12" s="62" t="s">
        <v>4</v>
      </c>
      <c r="L12" s="62" t="s">
        <v>5</v>
      </c>
      <c r="M12" s="86" t="s">
        <v>6</v>
      </c>
      <c r="N12" s="86" t="s">
        <v>3</v>
      </c>
      <c r="O12" s="87">
        <f>VLOOKUP($B12,BOM!$A$2:$K$94,10,0)</f>
        <v>0</v>
      </c>
      <c r="P12" s="87">
        <f t="shared" si="0"/>
        <v>0</v>
      </c>
    </row>
    <row r="13" spans="1:16" s="45" customFormat="1">
      <c r="B13" s="62" t="s">
        <v>12</v>
      </c>
      <c r="C13" s="21" t="s">
        <v>13</v>
      </c>
      <c r="D13" s="85" t="s">
        <v>14</v>
      </c>
      <c r="E13" s="85">
        <f>G3/2</f>
        <v>112</v>
      </c>
      <c r="F13" s="62"/>
      <c r="G13" s="62"/>
      <c r="H13" s="62"/>
      <c r="I13" s="62"/>
      <c r="J13" s="86"/>
      <c r="K13" s="62" t="s">
        <v>4</v>
      </c>
      <c r="L13" s="62" t="s">
        <v>5</v>
      </c>
      <c r="M13" s="86" t="s">
        <v>6</v>
      </c>
      <c r="N13" s="86" t="s">
        <v>15</v>
      </c>
      <c r="O13" s="87">
        <f>VLOOKUP($B13,BOM!$A$2:$K$94,10,0)</f>
        <v>0</v>
      </c>
      <c r="P13" s="87">
        <f t="shared" si="0"/>
        <v>0</v>
      </c>
    </row>
    <row r="14" spans="1:16" s="45" customFormat="1" ht="30">
      <c r="B14" s="62" t="s">
        <v>16</v>
      </c>
      <c r="C14" s="21" t="s">
        <v>17</v>
      </c>
      <c r="D14" s="85" t="s">
        <v>14</v>
      </c>
      <c r="E14" s="85">
        <f>ROUNDUP(SUM(E24:E25,E29)*1.3,0)</f>
        <v>56</v>
      </c>
      <c r="F14" s="62"/>
      <c r="G14" s="62"/>
      <c r="H14" s="62"/>
      <c r="I14" s="62"/>
      <c r="J14" s="86"/>
      <c r="K14" s="62" t="s">
        <v>4</v>
      </c>
      <c r="L14" s="62" t="s">
        <v>5</v>
      </c>
      <c r="M14" s="86" t="s">
        <v>6</v>
      </c>
      <c r="N14" s="86" t="s">
        <v>15</v>
      </c>
      <c r="O14" s="87">
        <f>VLOOKUP($B14,BOM!$A$2:$K$94,10,0)</f>
        <v>0</v>
      </c>
      <c r="P14" s="87">
        <f t="shared" si="0"/>
        <v>0</v>
      </c>
    </row>
    <row r="15" spans="1:16" s="45" customFormat="1">
      <c r="B15" s="41" t="s">
        <v>198</v>
      </c>
      <c r="C15" s="46" t="s">
        <v>199</v>
      </c>
      <c r="D15" s="85" t="s">
        <v>3</v>
      </c>
      <c r="E15" s="89">
        <f>H8</f>
        <v>0</v>
      </c>
      <c r="F15" s="41"/>
      <c r="G15" s="41"/>
      <c r="H15" s="41"/>
      <c r="I15" s="41"/>
      <c r="J15" s="44"/>
      <c r="K15" s="62" t="s">
        <v>4</v>
      </c>
      <c r="L15" s="62" t="s">
        <v>5</v>
      </c>
      <c r="M15" s="86" t="s">
        <v>6</v>
      </c>
      <c r="N15" s="86" t="s">
        <v>15</v>
      </c>
      <c r="O15" s="87">
        <f>VLOOKUP($B15,BOM!$A$2:$K$94,10,0)</f>
        <v>0</v>
      </c>
      <c r="P15" s="87">
        <f t="shared" si="0"/>
        <v>0</v>
      </c>
    </row>
    <row r="16" spans="1:16">
      <c r="B16" s="41" t="s">
        <v>194</v>
      </c>
      <c r="C16" s="46" t="s">
        <v>195</v>
      </c>
      <c r="D16" s="85" t="s">
        <v>14</v>
      </c>
      <c r="E16" s="89">
        <v>0</v>
      </c>
      <c r="F16" s="62"/>
      <c r="G16" s="62"/>
      <c r="H16" s="62"/>
      <c r="I16" s="62"/>
      <c r="J16" s="86"/>
      <c r="K16" s="62" t="s">
        <v>4</v>
      </c>
      <c r="L16" s="62" t="s">
        <v>5</v>
      </c>
      <c r="M16" s="86" t="s">
        <v>6</v>
      </c>
      <c r="N16" s="86" t="s">
        <v>15</v>
      </c>
      <c r="O16" s="87">
        <f>VLOOKUP($B16,BOM!$A$2:$K$94,10,0)</f>
        <v>0</v>
      </c>
      <c r="P16" s="87">
        <f t="shared" si="0"/>
        <v>0</v>
      </c>
    </row>
    <row r="17" spans="2:16" s="45" customFormat="1">
      <c r="B17" s="41" t="s">
        <v>196</v>
      </c>
      <c r="C17" s="46" t="s">
        <v>197</v>
      </c>
      <c r="D17" s="85" t="s">
        <v>14</v>
      </c>
      <c r="E17" s="89">
        <f>H3/2</f>
        <v>0</v>
      </c>
      <c r="F17" s="41"/>
      <c r="G17" s="41"/>
      <c r="H17" s="41"/>
      <c r="I17" s="41"/>
      <c r="J17" s="44"/>
      <c r="K17" s="62" t="s">
        <v>4</v>
      </c>
      <c r="L17" s="62" t="s">
        <v>5</v>
      </c>
      <c r="M17" s="86" t="s">
        <v>6</v>
      </c>
      <c r="N17" s="86" t="s">
        <v>15</v>
      </c>
      <c r="O17" s="87">
        <f>VLOOKUP($B17,BOM!$A$2:$K$94,10,0)</f>
        <v>0</v>
      </c>
      <c r="P17" s="87">
        <f t="shared" si="0"/>
        <v>0</v>
      </c>
    </row>
    <row r="18" spans="2:16">
      <c r="B18" s="81"/>
      <c r="C18" s="82" t="s">
        <v>18</v>
      </c>
      <c r="D18" s="72" t="s">
        <v>0</v>
      </c>
      <c r="E18" s="72"/>
      <c r="F18" s="72"/>
      <c r="G18" s="72"/>
      <c r="H18" s="72"/>
      <c r="I18" s="72"/>
      <c r="J18" s="72"/>
      <c r="K18" s="83"/>
      <c r="L18" s="83"/>
      <c r="M18" s="83"/>
      <c r="N18" s="83"/>
      <c r="O18" s="87">
        <f>VLOOKUP($B18,BOM!$A$2:$K$94,10,0)</f>
        <v>0</v>
      </c>
      <c r="P18" s="87">
        <f t="shared" si="0"/>
        <v>0</v>
      </c>
    </row>
    <row r="19" spans="2:16" s="45" customFormat="1" ht="30">
      <c r="B19" s="62">
        <v>760237046</v>
      </c>
      <c r="C19" s="21" t="s">
        <v>19</v>
      </c>
      <c r="D19" s="85" t="s">
        <v>3</v>
      </c>
      <c r="E19" s="90">
        <f>E23+E28</f>
        <v>6</v>
      </c>
      <c r="F19" s="62"/>
      <c r="G19" s="62"/>
      <c r="H19" s="62"/>
      <c r="I19" s="62"/>
      <c r="J19" s="86">
        <f t="shared" ref="J19:J20" si="2">E19</f>
        <v>6</v>
      </c>
      <c r="K19" s="62" t="s">
        <v>4</v>
      </c>
      <c r="L19" s="62" t="s">
        <v>5</v>
      </c>
      <c r="M19" s="86" t="s">
        <v>6</v>
      </c>
      <c r="N19" s="86" t="s">
        <v>3</v>
      </c>
      <c r="O19" s="87">
        <f>VLOOKUP($B19,BOM!$A$2:$K$94,10,0)</f>
        <v>0</v>
      </c>
      <c r="P19" s="87">
        <f t="shared" si="0"/>
        <v>0</v>
      </c>
    </row>
    <row r="20" spans="2:16" s="45" customFormat="1">
      <c r="B20" s="62" t="s">
        <v>20</v>
      </c>
      <c r="C20" s="21" t="s">
        <v>21</v>
      </c>
      <c r="D20" s="85" t="s">
        <v>3</v>
      </c>
      <c r="E20" s="90">
        <f>E19</f>
        <v>6</v>
      </c>
      <c r="F20" s="62"/>
      <c r="G20" s="62"/>
      <c r="H20" s="62"/>
      <c r="I20" s="62"/>
      <c r="J20" s="86">
        <f t="shared" si="2"/>
        <v>6</v>
      </c>
      <c r="K20" s="62" t="s">
        <v>4</v>
      </c>
      <c r="L20" s="62" t="s">
        <v>5</v>
      </c>
      <c r="M20" s="86" t="s">
        <v>22</v>
      </c>
      <c r="N20" s="86" t="s">
        <v>3</v>
      </c>
      <c r="O20" s="87">
        <f>VLOOKUP($B20,BOM!$A$2:$K$94,10,0)</f>
        <v>0</v>
      </c>
      <c r="P20" s="87">
        <f t="shared" si="0"/>
        <v>0</v>
      </c>
    </row>
    <row r="21" spans="2:16" s="45" customFormat="1" ht="30">
      <c r="B21" s="62" t="s">
        <v>23</v>
      </c>
      <c r="C21" s="21" t="s">
        <v>24</v>
      </c>
      <c r="D21" s="85" t="s">
        <v>3</v>
      </c>
      <c r="E21" s="90">
        <f>E19*24</f>
        <v>144</v>
      </c>
      <c r="F21" s="62"/>
      <c r="G21" s="62"/>
      <c r="H21" s="62"/>
      <c r="I21" s="62"/>
      <c r="J21" s="86"/>
      <c r="K21" s="62" t="s">
        <v>25</v>
      </c>
      <c r="L21" s="62" t="s">
        <v>5</v>
      </c>
      <c r="M21" s="86" t="s">
        <v>6</v>
      </c>
      <c r="N21" s="86" t="s">
        <v>3</v>
      </c>
      <c r="O21" s="87">
        <f>VLOOKUP($B21,BOM!$A$2:$K$94,10,0)</f>
        <v>0</v>
      </c>
      <c r="P21" s="87">
        <f t="shared" si="0"/>
        <v>0</v>
      </c>
    </row>
    <row r="22" spans="2:16">
      <c r="B22" s="91"/>
      <c r="C22" s="92" t="s">
        <v>204</v>
      </c>
      <c r="D22" s="93" t="s">
        <v>0</v>
      </c>
      <c r="E22" s="93">
        <v>2</v>
      </c>
      <c r="F22" s="93"/>
      <c r="G22" s="93"/>
      <c r="H22" s="93"/>
      <c r="I22" s="93"/>
      <c r="J22" s="93"/>
      <c r="K22" s="94"/>
      <c r="L22" s="94"/>
      <c r="M22" s="94"/>
      <c r="N22" s="94"/>
      <c r="O22" s="87">
        <f>VLOOKUP($B22,BOM!$A$2:$K$94,10,0)</f>
        <v>0</v>
      </c>
      <c r="P22" s="87">
        <f t="shared" si="0"/>
        <v>0</v>
      </c>
    </row>
    <row r="23" spans="2:16" s="45" customFormat="1">
      <c r="B23" s="41" t="s">
        <v>135</v>
      </c>
      <c r="C23" s="41" t="s">
        <v>136</v>
      </c>
      <c r="D23" s="42" t="s">
        <v>64</v>
      </c>
      <c r="E23" s="43">
        <v>2</v>
      </c>
      <c r="F23" s="41"/>
      <c r="G23" s="41"/>
      <c r="H23" s="41"/>
      <c r="I23" s="41"/>
      <c r="J23" s="44">
        <f>E23</f>
        <v>2</v>
      </c>
      <c r="K23" s="41" t="s">
        <v>143</v>
      </c>
      <c r="L23" s="41" t="s">
        <v>151</v>
      </c>
      <c r="M23" s="44" t="s">
        <v>144</v>
      </c>
      <c r="N23" s="44" t="s">
        <v>64</v>
      </c>
      <c r="O23" s="87">
        <f>VLOOKUP($B23,BOM!$A$2:$K$94,10,0)</f>
        <v>0</v>
      </c>
      <c r="P23" s="87">
        <f t="shared" si="0"/>
        <v>0</v>
      </c>
    </row>
    <row r="24" spans="2:16" s="45" customFormat="1" ht="30">
      <c r="B24" s="41" t="s">
        <v>137</v>
      </c>
      <c r="C24" s="46" t="s">
        <v>138</v>
      </c>
      <c r="D24" s="42" t="s">
        <v>64</v>
      </c>
      <c r="E24" s="47">
        <v>37</v>
      </c>
      <c r="F24" s="41"/>
      <c r="G24" s="41"/>
      <c r="H24" s="41"/>
      <c r="I24" s="41"/>
      <c r="J24" s="44"/>
      <c r="K24" s="41" t="s">
        <v>143</v>
      </c>
      <c r="L24" s="41" t="s">
        <v>151</v>
      </c>
      <c r="M24" s="44" t="s">
        <v>144</v>
      </c>
      <c r="N24" s="44" t="s">
        <v>64</v>
      </c>
      <c r="O24" s="87">
        <f>VLOOKUP($B24,BOM!$A$2:$K$94,10,0)</f>
        <v>0</v>
      </c>
      <c r="P24" s="87">
        <f t="shared" si="0"/>
        <v>0</v>
      </c>
    </row>
    <row r="25" spans="2:16" s="45" customFormat="1" ht="45">
      <c r="B25" s="41" t="s">
        <v>141</v>
      </c>
      <c r="C25" s="46" t="s">
        <v>142</v>
      </c>
      <c r="D25" s="42" t="s">
        <v>64</v>
      </c>
      <c r="E25" s="43">
        <v>2</v>
      </c>
      <c r="F25" s="41"/>
      <c r="G25" s="41"/>
      <c r="H25" s="41"/>
      <c r="I25" s="41"/>
      <c r="J25" s="44"/>
      <c r="K25" s="41" t="s">
        <v>143</v>
      </c>
      <c r="L25" s="41" t="s">
        <v>151</v>
      </c>
      <c r="M25" s="44" t="s">
        <v>144</v>
      </c>
      <c r="N25" s="44" t="s">
        <v>64</v>
      </c>
      <c r="O25" s="87">
        <f>VLOOKUP($B25,BOM!$A$2:$K$94,10,0)</f>
        <v>0</v>
      </c>
      <c r="P25" s="87">
        <f t="shared" si="0"/>
        <v>0</v>
      </c>
    </row>
    <row r="26" spans="2:16" s="45" customFormat="1" ht="30">
      <c r="B26" s="95" t="s">
        <v>212</v>
      </c>
      <c r="C26" s="96" t="s">
        <v>213</v>
      </c>
      <c r="D26" s="97" t="s">
        <v>64</v>
      </c>
      <c r="E26" s="98">
        <v>0</v>
      </c>
      <c r="F26" s="95"/>
      <c r="G26" s="95"/>
      <c r="H26" s="95"/>
      <c r="I26" s="95"/>
      <c r="J26" s="97"/>
      <c r="K26" s="95" t="s">
        <v>143</v>
      </c>
      <c r="L26" s="95" t="s">
        <v>151</v>
      </c>
      <c r="M26" s="97" t="s">
        <v>154</v>
      </c>
      <c r="N26" s="97" t="s">
        <v>64</v>
      </c>
      <c r="O26" s="87">
        <f>VLOOKUP($B26,BOM!$A$2:$K$94,10,0)</f>
        <v>0</v>
      </c>
      <c r="P26" s="87">
        <f t="shared" si="0"/>
        <v>0</v>
      </c>
    </row>
    <row r="27" spans="2:16">
      <c r="B27" s="91"/>
      <c r="C27" s="92" t="s">
        <v>145</v>
      </c>
      <c r="D27" s="93" t="s">
        <v>0</v>
      </c>
      <c r="E27" s="93">
        <v>3</v>
      </c>
      <c r="F27" s="93"/>
      <c r="G27" s="93"/>
      <c r="H27" s="93"/>
      <c r="I27" s="93" t="s">
        <v>66</v>
      </c>
      <c r="J27" s="93"/>
      <c r="K27" s="94"/>
      <c r="L27" s="94"/>
      <c r="M27" s="94"/>
      <c r="N27" s="94"/>
      <c r="O27" s="87">
        <f>VLOOKUP($B27,BOM!$A$2:$K$94,10,0)</f>
        <v>0</v>
      </c>
      <c r="P27" s="87">
        <f t="shared" si="0"/>
        <v>0</v>
      </c>
    </row>
    <row r="28" spans="2:16" s="45" customFormat="1">
      <c r="B28" s="41" t="s">
        <v>152</v>
      </c>
      <c r="C28" s="41" t="s">
        <v>153</v>
      </c>
      <c r="D28" s="42" t="s">
        <v>64</v>
      </c>
      <c r="E28" s="43">
        <v>4</v>
      </c>
      <c r="F28" s="41"/>
      <c r="G28" s="41"/>
      <c r="H28" s="41"/>
      <c r="I28" s="41"/>
      <c r="J28" s="44">
        <f>E28</f>
        <v>4</v>
      </c>
      <c r="K28" s="41" t="s">
        <v>143</v>
      </c>
      <c r="L28" s="41" t="s">
        <v>151</v>
      </c>
      <c r="M28" s="44" t="s">
        <v>144</v>
      </c>
      <c r="N28" s="44" t="s">
        <v>64</v>
      </c>
      <c r="O28" s="87">
        <f>VLOOKUP($B28,BOM!$A$2:$K$94,10,0)</f>
        <v>0</v>
      </c>
      <c r="P28" s="87">
        <f t="shared" si="0"/>
        <v>0</v>
      </c>
    </row>
    <row r="29" spans="2:16" s="45" customFormat="1">
      <c r="B29" s="41" t="s">
        <v>137</v>
      </c>
      <c r="C29" s="41" t="s">
        <v>138</v>
      </c>
      <c r="D29" s="42" t="s">
        <v>64</v>
      </c>
      <c r="E29" s="43">
        <f>E28</f>
        <v>4</v>
      </c>
      <c r="F29" s="41"/>
      <c r="G29" s="41"/>
      <c r="H29" s="41"/>
      <c r="I29" s="41"/>
      <c r="J29" s="44"/>
      <c r="K29" s="41" t="s">
        <v>143</v>
      </c>
      <c r="L29" s="41" t="s">
        <v>151</v>
      </c>
      <c r="M29" s="44" t="s">
        <v>144</v>
      </c>
      <c r="N29" s="44" t="s">
        <v>64</v>
      </c>
      <c r="O29" s="87">
        <f>VLOOKUP($B29,BOM!$A$2:$K$94,10,0)</f>
        <v>0</v>
      </c>
      <c r="P29" s="87">
        <f t="shared" si="0"/>
        <v>0</v>
      </c>
    </row>
    <row r="30" spans="2:16" s="101" customFormat="1">
      <c r="B30" s="73"/>
      <c r="C30" s="99" t="s">
        <v>67</v>
      </c>
      <c r="D30" s="100" t="s">
        <v>0</v>
      </c>
      <c r="E30" s="100">
        <v>1</v>
      </c>
      <c r="F30" s="73"/>
      <c r="G30" s="73"/>
      <c r="H30" s="73" t="s">
        <v>69</v>
      </c>
      <c r="I30" s="73"/>
      <c r="J30" s="73">
        <f>E30</f>
        <v>1</v>
      </c>
      <c r="K30" s="73"/>
      <c r="L30" s="73"/>
      <c r="M30" s="73"/>
      <c r="N30" s="73"/>
      <c r="O30" s="87">
        <f>VLOOKUP($B30,BOM!$A$2:$K$94,10,0)</f>
        <v>0</v>
      </c>
      <c r="P30" s="87">
        <f t="shared" si="0"/>
        <v>0</v>
      </c>
    </row>
    <row r="31" spans="2:16" s="101" customFormat="1">
      <c r="B31" s="73"/>
      <c r="C31" s="99" t="s">
        <v>70</v>
      </c>
      <c r="D31" s="100" t="s">
        <v>0</v>
      </c>
      <c r="E31" s="100">
        <v>1</v>
      </c>
      <c r="F31" s="73"/>
      <c r="G31" s="73" t="s">
        <v>68</v>
      </c>
      <c r="H31" s="73" t="s">
        <v>69</v>
      </c>
      <c r="I31" s="73"/>
      <c r="J31" s="73">
        <v>1</v>
      </c>
      <c r="K31" s="73"/>
      <c r="L31" s="73"/>
      <c r="M31" s="73"/>
      <c r="N31" s="73"/>
      <c r="O31" s="87">
        <f>VLOOKUP($B31,BOM!$A$2:$K$94,10,0)</f>
        <v>0</v>
      </c>
      <c r="P31" s="87">
        <f t="shared" si="0"/>
        <v>0</v>
      </c>
    </row>
    <row r="32" spans="2:16" s="101" customFormat="1">
      <c r="B32" s="73"/>
      <c r="C32" s="99" t="s">
        <v>146</v>
      </c>
      <c r="D32" s="100" t="s">
        <v>0</v>
      </c>
      <c r="E32" s="100">
        <v>1</v>
      </c>
      <c r="F32" s="73"/>
      <c r="G32" s="73" t="s">
        <v>68</v>
      </c>
      <c r="H32" s="73" t="s">
        <v>69</v>
      </c>
      <c r="I32" s="73"/>
      <c r="J32" s="73">
        <f t="shared" ref="J32:J34" si="3">E32</f>
        <v>1</v>
      </c>
      <c r="K32" s="73"/>
      <c r="L32" s="73"/>
      <c r="M32" s="73"/>
      <c r="N32" s="73"/>
      <c r="O32" s="87">
        <f>VLOOKUP($B32,BOM!$A$2:$K$94,10,0)</f>
        <v>0</v>
      </c>
      <c r="P32" s="87">
        <f t="shared" si="0"/>
        <v>0</v>
      </c>
    </row>
    <row r="33" spans="2:16" s="101" customFormat="1">
      <c r="B33" s="73"/>
      <c r="C33" s="99" t="s">
        <v>147</v>
      </c>
      <c r="D33" s="100" t="s">
        <v>0</v>
      </c>
      <c r="E33" s="100">
        <v>1</v>
      </c>
      <c r="F33" s="73"/>
      <c r="G33" s="73"/>
      <c r="H33" s="73" t="s">
        <v>69</v>
      </c>
      <c r="I33" s="73"/>
      <c r="J33" s="73">
        <f t="shared" si="3"/>
        <v>1</v>
      </c>
      <c r="K33" s="73"/>
      <c r="L33" s="73"/>
      <c r="M33" s="73"/>
      <c r="N33" s="73"/>
      <c r="O33" s="87">
        <f>VLOOKUP($B33,BOM!$A$2:$K$94,10,0)</f>
        <v>0</v>
      </c>
      <c r="P33" s="87">
        <f t="shared" si="0"/>
        <v>0</v>
      </c>
    </row>
    <row r="34" spans="2:16" s="101" customFormat="1">
      <c r="B34" s="73"/>
      <c r="C34" s="99" t="s">
        <v>148</v>
      </c>
      <c r="D34" s="100" t="s">
        <v>0</v>
      </c>
      <c r="E34" s="100">
        <v>1</v>
      </c>
      <c r="F34" s="73"/>
      <c r="G34" s="73"/>
      <c r="H34" s="73" t="s">
        <v>69</v>
      </c>
      <c r="I34" s="73"/>
      <c r="J34" s="73">
        <f t="shared" si="3"/>
        <v>1</v>
      </c>
      <c r="K34" s="73"/>
      <c r="L34" s="73"/>
      <c r="M34" s="73"/>
      <c r="N34" s="73"/>
      <c r="O34" s="87">
        <f>VLOOKUP($B34,BOM!$A$2:$K$94,10,0)</f>
        <v>0</v>
      </c>
      <c r="P34" s="87">
        <f t="shared" si="0"/>
        <v>0</v>
      </c>
    </row>
    <row r="35" spans="2:16" s="101" customFormat="1">
      <c r="B35" s="73"/>
      <c r="C35" s="99" t="s">
        <v>149</v>
      </c>
      <c r="D35" s="100" t="s">
        <v>0</v>
      </c>
      <c r="E35" s="100">
        <v>1</v>
      </c>
      <c r="F35" s="73"/>
      <c r="G35" s="73"/>
      <c r="H35" s="73" t="s">
        <v>150</v>
      </c>
      <c r="I35" s="73"/>
      <c r="J35" s="73"/>
      <c r="K35" s="73"/>
      <c r="L35" s="73"/>
      <c r="M35" s="73"/>
      <c r="N35" s="73"/>
      <c r="O35" s="87">
        <f>VLOOKUP($B35,BOM!$A$2:$K$94,10,0)</f>
        <v>0</v>
      </c>
      <c r="P35" s="87">
        <f t="shared" si="0"/>
        <v>0</v>
      </c>
    </row>
    <row r="36" spans="2:16">
      <c r="B36" s="91"/>
      <c r="C36" s="92" t="s">
        <v>27</v>
      </c>
      <c r="D36" s="93" t="s">
        <v>0</v>
      </c>
      <c r="E36" s="93">
        <v>1</v>
      </c>
      <c r="F36" s="93"/>
      <c r="G36" s="93"/>
      <c r="H36" s="93"/>
      <c r="I36" s="93"/>
      <c r="J36" s="93"/>
      <c r="K36" s="94"/>
      <c r="L36" s="94"/>
      <c r="M36" s="94"/>
      <c r="N36" s="94"/>
      <c r="O36" s="87">
        <f>VLOOKUP($B36,BOM!$A$2:$K$94,10,0)</f>
        <v>0</v>
      </c>
      <c r="P36" s="87">
        <f t="shared" si="0"/>
        <v>0</v>
      </c>
    </row>
    <row r="37" spans="2:16" s="45" customFormat="1" ht="30">
      <c r="B37" s="41" t="s">
        <v>229</v>
      </c>
      <c r="C37" s="46" t="s">
        <v>230</v>
      </c>
      <c r="D37" s="102" t="s">
        <v>0</v>
      </c>
      <c r="E37" s="43">
        <v>0</v>
      </c>
      <c r="F37" s="41"/>
      <c r="G37" s="41"/>
      <c r="H37" s="41"/>
      <c r="I37" s="41"/>
      <c r="J37" s="44">
        <v>4</v>
      </c>
      <c r="K37" s="41"/>
      <c r="L37" s="41" t="s">
        <v>5</v>
      </c>
      <c r="M37" s="44" t="s">
        <v>22</v>
      </c>
      <c r="N37" s="44" t="s">
        <v>3</v>
      </c>
      <c r="O37" s="87">
        <f>VLOOKUP($B37,BOM!$A$2:$K$94,10,0)</f>
        <v>0</v>
      </c>
      <c r="P37" s="87">
        <f t="shared" si="0"/>
        <v>0</v>
      </c>
    </row>
    <row r="38" spans="2:16" s="45" customFormat="1">
      <c r="B38" s="41" t="s">
        <v>29</v>
      </c>
      <c r="C38" s="46" t="s">
        <v>30</v>
      </c>
      <c r="D38" s="102" t="s">
        <v>0</v>
      </c>
      <c r="E38" s="43">
        <v>0</v>
      </c>
      <c r="F38" s="41"/>
      <c r="G38" s="41"/>
      <c r="H38" s="41"/>
      <c r="I38" s="41"/>
      <c r="J38" s="44">
        <v>4</v>
      </c>
      <c r="K38" s="41"/>
      <c r="L38" s="41" t="s">
        <v>5</v>
      </c>
      <c r="M38" s="44" t="s">
        <v>22</v>
      </c>
      <c r="N38" s="44" t="s">
        <v>3</v>
      </c>
      <c r="O38" s="87">
        <f>VLOOKUP($B38,BOM!$A$2:$K$94,10,0)</f>
        <v>0</v>
      </c>
      <c r="P38" s="87">
        <f t="shared" si="0"/>
        <v>0</v>
      </c>
    </row>
    <row r="39" spans="2:16">
      <c r="B39" s="81"/>
      <c r="C39" s="82" t="s">
        <v>31</v>
      </c>
      <c r="D39" s="72" t="s">
        <v>0</v>
      </c>
      <c r="E39" s="72">
        <v>1</v>
      </c>
      <c r="F39" s="72"/>
      <c r="G39" s="72"/>
      <c r="H39" s="72"/>
      <c r="I39" s="72"/>
      <c r="J39" s="72"/>
      <c r="K39" s="83"/>
      <c r="L39" s="83"/>
      <c r="M39" s="83"/>
      <c r="N39" s="83"/>
      <c r="O39" s="87">
        <f>VLOOKUP($B39,BOM!$A$2:$K$94,10,0)</f>
        <v>0</v>
      </c>
      <c r="P39" s="87">
        <f t="shared" si="0"/>
        <v>0</v>
      </c>
    </row>
    <row r="40" spans="2:16">
      <c r="B40" s="81"/>
      <c r="C40" s="82" t="s">
        <v>32</v>
      </c>
      <c r="D40" s="72"/>
      <c r="E40" s="72"/>
      <c r="F40" s="72"/>
      <c r="G40" s="72"/>
      <c r="H40" s="72"/>
      <c r="I40" s="72"/>
      <c r="J40" s="72"/>
      <c r="K40" s="83"/>
      <c r="L40" s="83"/>
      <c r="M40" s="83"/>
      <c r="N40" s="83"/>
      <c r="O40" s="87">
        <f>VLOOKUP($B40,BOM!$A$2:$K$94,10,0)</f>
        <v>0</v>
      </c>
      <c r="P40" s="87">
        <f t="shared" si="0"/>
        <v>0</v>
      </c>
    </row>
    <row r="41" spans="2:16" s="45" customFormat="1" ht="30">
      <c r="B41" s="62" t="s">
        <v>33</v>
      </c>
      <c r="C41" s="21" t="s">
        <v>34</v>
      </c>
      <c r="D41" s="85" t="s">
        <v>3</v>
      </c>
      <c r="E41" s="90">
        <f>E42</f>
        <v>0</v>
      </c>
      <c r="F41" s="62"/>
      <c r="G41" s="62"/>
      <c r="H41" s="62"/>
      <c r="I41" s="62"/>
      <c r="J41" s="86"/>
      <c r="K41" s="62" t="s">
        <v>35</v>
      </c>
      <c r="L41" s="62" t="s">
        <v>5</v>
      </c>
      <c r="M41" s="86" t="s">
        <v>6</v>
      </c>
      <c r="N41" s="86" t="s">
        <v>3</v>
      </c>
      <c r="O41" s="87">
        <f>VLOOKUP($B41,BOM!$A$2:$K$94,10,0)</f>
        <v>0</v>
      </c>
      <c r="P41" s="87">
        <f t="shared" si="0"/>
        <v>0</v>
      </c>
    </row>
    <row r="42" spans="2:16" s="45" customFormat="1">
      <c r="B42" s="62" t="s">
        <v>330</v>
      </c>
      <c r="C42" s="21" t="s">
        <v>36</v>
      </c>
      <c r="D42" s="85" t="s">
        <v>3</v>
      </c>
      <c r="E42" s="90">
        <f>G40+H40</f>
        <v>0</v>
      </c>
      <c r="F42" s="62"/>
      <c r="G42" s="62"/>
      <c r="H42" s="62"/>
      <c r="I42" s="62"/>
      <c r="J42" s="86"/>
      <c r="K42" s="62" t="s">
        <v>37</v>
      </c>
      <c r="L42" s="62" t="s">
        <v>5</v>
      </c>
      <c r="M42" s="86" t="s">
        <v>37</v>
      </c>
      <c r="N42" s="86" t="s">
        <v>3</v>
      </c>
      <c r="O42" s="87">
        <f>VLOOKUP($B42,BOM!$A$2:$K$94,10,0)</f>
        <v>0</v>
      </c>
      <c r="P42" s="87">
        <f t="shared" si="0"/>
        <v>0</v>
      </c>
    </row>
    <row r="43" spans="2:16" s="45" customFormat="1" ht="30">
      <c r="B43" s="62" t="s">
        <v>38</v>
      </c>
      <c r="C43" s="21" t="s">
        <v>39</v>
      </c>
      <c r="D43" s="85" t="s">
        <v>3</v>
      </c>
      <c r="E43" s="90">
        <f>E41</f>
        <v>0</v>
      </c>
      <c r="F43" s="62"/>
      <c r="G43" s="62"/>
      <c r="H43" s="62"/>
      <c r="I43" s="62"/>
      <c r="J43" s="86"/>
      <c r="K43" s="62" t="s">
        <v>25</v>
      </c>
      <c r="L43" s="62" t="s">
        <v>5</v>
      </c>
      <c r="M43" s="86" t="s">
        <v>6</v>
      </c>
      <c r="N43" s="86" t="s">
        <v>3</v>
      </c>
      <c r="O43" s="87">
        <f>VLOOKUP($B43,BOM!$A$2:$K$94,10,0)</f>
        <v>0</v>
      </c>
      <c r="P43" s="87">
        <f t="shared" si="0"/>
        <v>0</v>
      </c>
    </row>
    <row r="44" spans="2:16">
      <c r="B44" s="81"/>
      <c r="C44" s="82" t="s">
        <v>40</v>
      </c>
      <c r="D44" s="72"/>
      <c r="E44" s="72"/>
      <c r="F44" s="72"/>
      <c r="G44" s="72"/>
      <c r="H44" s="72">
        <v>66</v>
      </c>
      <c r="I44" s="72"/>
      <c r="J44" s="72"/>
      <c r="K44" s="83"/>
      <c r="L44" s="83"/>
      <c r="M44" s="83"/>
      <c r="N44" s="83"/>
      <c r="O44" s="87">
        <f>VLOOKUP($B44,BOM!$A$2:$K$94,10,0)</f>
        <v>0</v>
      </c>
      <c r="P44" s="87">
        <f t="shared" si="0"/>
        <v>0</v>
      </c>
    </row>
    <row r="45" spans="2:16" s="45" customFormat="1">
      <c r="B45" s="62" t="s">
        <v>41</v>
      </c>
      <c r="C45" s="21" t="s">
        <v>42</v>
      </c>
      <c r="D45" s="85" t="s">
        <v>3</v>
      </c>
      <c r="E45" s="85">
        <f>H44</f>
        <v>66</v>
      </c>
      <c r="F45" s="62"/>
      <c r="G45" s="62"/>
      <c r="H45" s="62"/>
      <c r="I45" s="62"/>
      <c r="J45" s="86"/>
      <c r="K45" s="62" t="s">
        <v>4</v>
      </c>
      <c r="L45" s="62" t="s">
        <v>5</v>
      </c>
      <c r="M45" s="86" t="s">
        <v>6</v>
      </c>
      <c r="N45" s="86" t="s">
        <v>3</v>
      </c>
      <c r="O45" s="87">
        <f>VLOOKUP($B45,BOM!$A$2:$K$94,10,0)</f>
        <v>0</v>
      </c>
      <c r="P45" s="87">
        <f t="shared" si="0"/>
        <v>0</v>
      </c>
    </row>
    <row r="46" spans="2:16" s="45" customFormat="1">
      <c r="B46" s="65" t="s">
        <v>43</v>
      </c>
      <c r="C46" s="103" t="s">
        <v>44</v>
      </c>
      <c r="D46" s="85" t="s">
        <v>3</v>
      </c>
      <c r="E46" s="85">
        <f>E45</f>
        <v>66</v>
      </c>
      <c r="F46" s="62"/>
      <c r="G46" s="62"/>
      <c r="H46" s="62"/>
      <c r="I46" s="62"/>
      <c r="J46" s="86"/>
      <c r="K46" s="62" t="s">
        <v>4</v>
      </c>
      <c r="L46" s="62" t="s">
        <v>5</v>
      </c>
      <c r="M46" s="86" t="s">
        <v>6</v>
      </c>
      <c r="N46" s="86" t="s">
        <v>3</v>
      </c>
      <c r="O46" s="87">
        <f>VLOOKUP($B46,BOM!$A$2:$K$94,10,0)</f>
        <v>0</v>
      </c>
      <c r="P46" s="87">
        <f t="shared" si="0"/>
        <v>0</v>
      </c>
    </row>
    <row r="47" spans="2:16">
      <c r="B47" s="81"/>
      <c r="C47" s="82" t="s">
        <v>45</v>
      </c>
      <c r="D47" s="72"/>
      <c r="E47" s="72"/>
      <c r="F47" s="72"/>
      <c r="G47" s="72"/>
      <c r="H47" s="72"/>
      <c r="I47" s="72"/>
      <c r="J47" s="72"/>
      <c r="K47" s="83"/>
      <c r="L47" s="83"/>
      <c r="M47" s="83"/>
      <c r="N47" s="83"/>
      <c r="O47" s="87">
        <f>VLOOKUP($B47,BOM!$A$2:$K$94,10,0)</f>
        <v>0</v>
      </c>
      <c r="P47" s="87">
        <f t="shared" si="0"/>
        <v>0</v>
      </c>
    </row>
    <row r="48" spans="2:16" s="45" customFormat="1" ht="30">
      <c r="B48" s="62" t="s">
        <v>46</v>
      </c>
      <c r="C48" s="21" t="s">
        <v>47</v>
      </c>
      <c r="D48" s="85" t="s">
        <v>14</v>
      </c>
      <c r="E48" s="85">
        <f>E45+1</f>
        <v>67</v>
      </c>
      <c r="F48" s="62"/>
      <c r="G48" s="62"/>
      <c r="H48" s="62"/>
      <c r="I48" s="62"/>
      <c r="J48" s="86"/>
      <c r="K48" s="62" t="s">
        <v>4</v>
      </c>
      <c r="L48" s="62" t="s">
        <v>5</v>
      </c>
      <c r="M48" s="86" t="s">
        <v>6</v>
      </c>
      <c r="N48" s="86" t="s">
        <v>15</v>
      </c>
      <c r="O48" s="87">
        <f>VLOOKUP($B48,BOM!$A$2:$K$94,10,0)</f>
        <v>0</v>
      </c>
      <c r="P48" s="87">
        <f t="shared" si="0"/>
        <v>0</v>
      </c>
    </row>
    <row r="49" spans="1:16" s="45" customFormat="1" ht="30">
      <c r="B49" s="62" t="s">
        <v>46</v>
      </c>
      <c r="C49" s="21" t="s">
        <v>47</v>
      </c>
      <c r="D49" s="85" t="s">
        <v>14</v>
      </c>
      <c r="E49" s="104">
        <v>100</v>
      </c>
      <c r="F49" s="62"/>
      <c r="G49" s="62"/>
      <c r="H49" s="62"/>
      <c r="I49" s="62"/>
      <c r="J49" s="86"/>
      <c r="K49" s="62" t="s">
        <v>4</v>
      </c>
      <c r="L49" s="62" t="s">
        <v>5</v>
      </c>
      <c r="M49" s="86" t="s">
        <v>6</v>
      </c>
      <c r="N49" s="86" t="s">
        <v>15</v>
      </c>
      <c r="O49" s="87">
        <f>VLOOKUP($B49,BOM!$A$2:$K$94,10,0)</f>
        <v>0</v>
      </c>
      <c r="P49" s="87">
        <f t="shared" si="0"/>
        <v>0</v>
      </c>
    </row>
    <row r="50" spans="1:16">
      <c r="B50" s="81"/>
      <c r="C50" s="82" t="s">
        <v>50</v>
      </c>
      <c r="D50" s="72"/>
      <c r="E50" s="72"/>
      <c r="F50" s="72"/>
      <c r="G50" s="72"/>
      <c r="H50" s="72"/>
      <c r="I50" s="72"/>
      <c r="J50" s="72"/>
      <c r="K50" s="83"/>
      <c r="L50" s="83"/>
      <c r="M50" s="83"/>
      <c r="N50" s="83"/>
      <c r="O50" s="87">
        <f>VLOOKUP($B50,BOM!$A$2:$K$94,10,0)</f>
        <v>0</v>
      </c>
      <c r="P50" s="87">
        <f t="shared" si="0"/>
        <v>0</v>
      </c>
    </row>
    <row r="51" spans="1:16" s="45" customFormat="1">
      <c r="B51" s="62" t="s">
        <v>332</v>
      </c>
      <c r="C51" s="21" t="s">
        <v>332</v>
      </c>
      <c r="D51" s="62"/>
      <c r="E51" s="86">
        <f>E37</f>
        <v>0</v>
      </c>
      <c r="F51" s="62"/>
      <c r="G51" s="62"/>
      <c r="H51" s="62"/>
      <c r="I51" s="62"/>
      <c r="J51" s="86"/>
      <c r="K51" s="62"/>
      <c r="L51" s="62"/>
      <c r="M51" s="86"/>
      <c r="N51" s="86" t="s">
        <v>51</v>
      </c>
      <c r="O51" s="87">
        <f>VLOOKUP($B51,BOM!$A$2:$K$94,10,0)</f>
        <v>0</v>
      </c>
      <c r="P51" s="87">
        <f t="shared" si="0"/>
        <v>0</v>
      </c>
    </row>
    <row r="52" spans="1:16" s="45" customFormat="1">
      <c r="B52" s="62" t="s">
        <v>52</v>
      </c>
      <c r="C52" s="21" t="s">
        <v>306</v>
      </c>
      <c r="D52" s="86" t="s">
        <v>54</v>
      </c>
      <c r="E52" s="105">
        <f>E49+E48</f>
        <v>167</v>
      </c>
      <c r="F52" s="62"/>
      <c r="G52" s="62"/>
      <c r="H52" s="62"/>
      <c r="I52" s="62"/>
      <c r="J52" s="86"/>
      <c r="K52" s="62"/>
      <c r="L52" s="62"/>
      <c r="M52" s="86" t="s">
        <v>55</v>
      </c>
      <c r="N52" s="86" t="s">
        <v>54</v>
      </c>
      <c r="O52" s="87">
        <f>VLOOKUP($B52,BOM!$A$2:$K$94,10,0)</f>
        <v>0</v>
      </c>
      <c r="P52" s="87">
        <f t="shared" si="0"/>
        <v>0</v>
      </c>
    </row>
    <row r="53" spans="1:16" s="45" customFormat="1" ht="30">
      <c r="B53" s="62" t="s">
        <v>56</v>
      </c>
      <c r="C53" s="21" t="s">
        <v>57</v>
      </c>
      <c r="D53" s="86" t="s">
        <v>14</v>
      </c>
      <c r="E53" s="105">
        <f>E13</f>
        <v>112</v>
      </c>
      <c r="F53" s="62"/>
      <c r="G53" s="62"/>
      <c r="H53" s="62"/>
      <c r="I53" s="62"/>
      <c r="J53" s="86"/>
      <c r="K53" s="62"/>
      <c r="L53" s="62"/>
      <c r="M53" s="86" t="s">
        <v>55</v>
      </c>
      <c r="N53" s="86" t="s">
        <v>14</v>
      </c>
      <c r="O53" s="87">
        <f>VLOOKUP($B53,BOM!$A$2:$K$94,10,0)</f>
        <v>0</v>
      </c>
      <c r="P53" s="87">
        <f t="shared" si="0"/>
        <v>0</v>
      </c>
    </row>
    <row r="54" spans="1:16" s="45" customFormat="1" ht="30">
      <c r="B54" s="62" t="s">
        <v>58</v>
      </c>
      <c r="C54" s="21" t="s">
        <v>59</v>
      </c>
      <c r="D54" s="86" t="s">
        <v>60</v>
      </c>
      <c r="E54" s="105">
        <f>E53*2</f>
        <v>224</v>
      </c>
      <c r="F54" s="62"/>
      <c r="G54" s="62"/>
      <c r="H54" s="62"/>
      <c r="I54" s="62"/>
      <c r="J54" s="86"/>
      <c r="K54" s="62"/>
      <c r="L54" s="62"/>
      <c r="M54" s="86" t="s">
        <v>61</v>
      </c>
      <c r="N54" s="86" t="s">
        <v>60</v>
      </c>
      <c r="O54" s="87">
        <f>VLOOKUP($B54,BOM!$A$2:$K$94,10,0)</f>
        <v>0</v>
      </c>
      <c r="P54" s="87">
        <f t="shared" si="0"/>
        <v>0</v>
      </c>
    </row>
    <row r="55" spans="1:16" s="45" customFormat="1" ht="45">
      <c r="B55" s="62" t="s">
        <v>62</v>
      </c>
      <c r="C55" s="21" t="s">
        <v>307</v>
      </c>
      <c r="D55" s="86" t="s">
        <v>64</v>
      </c>
      <c r="E55" s="105">
        <f>E19</f>
        <v>6</v>
      </c>
      <c r="F55" s="62"/>
      <c r="G55" s="62"/>
      <c r="H55" s="62"/>
      <c r="I55" s="62"/>
      <c r="J55" s="86"/>
      <c r="K55" s="62"/>
      <c r="L55" s="62"/>
      <c r="M55" s="86" t="s">
        <v>61</v>
      </c>
      <c r="N55" s="86" t="s">
        <v>64</v>
      </c>
      <c r="O55" s="87">
        <f>VLOOKUP($B55,BOM!$A$2:$K$94,10,0)</f>
        <v>0</v>
      </c>
      <c r="P55" s="87">
        <f t="shared" si="0"/>
        <v>0</v>
      </c>
    </row>
    <row r="56" spans="1:16">
      <c r="A56" s="35">
        <v>1</v>
      </c>
      <c r="B56" s="36"/>
      <c r="C56" s="37" t="s">
        <v>211</v>
      </c>
      <c r="D56" s="38" t="s">
        <v>0</v>
      </c>
      <c r="E56" s="36">
        <v>1</v>
      </c>
      <c r="F56" s="36"/>
      <c r="G56" s="36">
        <v>8</v>
      </c>
      <c r="H56" s="36"/>
      <c r="I56" s="38"/>
      <c r="J56" s="38"/>
      <c r="K56" s="39"/>
      <c r="L56" s="39"/>
      <c r="M56" s="39"/>
      <c r="N56" s="39"/>
      <c r="O56" s="87">
        <f>VLOOKUP($B56,BOM!$A$2:$K$94,10,0)</f>
        <v>0</v>
      </c>
      <c r="P56" s="87">
        <f t="shared" si="0"/>
        <v>0</v>
      </c>
    </row>
    <row r="57" spans="1:16">
      <c r="B57" s="81"/>
      <c r="C57" s="82" t="s">
        <v>124</v>
      </c>
      <c r="D57" s="72" t="s">
        <v>0</v>
      </c>
      <c r="E57" s="72">
        <v>1</v>
      </c>
      <c r="F57" s="72"/>
      <c r="G57" s="72"/>
      <c r="H57" s="72"/>
      <c r="I57" s="72"/>
      <c r="J57" s="72"/>
      <c r="K57" s="83"/>
      <c r="L57" s="83"/>
      <c r="M57" s="83"/>
      <c r="N57" s="83"/>
      <c r="O57" s="87">
        <f>VLOOKUP($B57,BOM!$A$2:$K$94,10,0)</f>
        <v>0</v>
      </c>
      <c r="P57" s="87">
        <f t="shared" si="0"/>
        <v>0</v>
      </c>
    </row>
    <row r="58" spans="1:16" s="19" customFormat="1">
      <c r="B58" s="21"/>
      <c r="C58" s="21"/>
      <c r="D58" s="21"/>
      <c r="E58" s="22"/>
      <c r="F58" s="21"/>
      <c r="G58" s="21"/>
      <c r="H58" s="21"/>
      <c r="I58" s="21"/>
      <c r="J58" s="22"/>
      <c r="K58" s="21"/>
      <c r="L58" s="21"/>
      <c r="M58" s="22"/>
      <c r="N58" s="22"/>
      <c r="O58" s="87">
        <f>VLOOKUP($B58,BOM!$A$2:$K$94,10,0)</f>
        <v>0</v>
      </c>
      <c r="P58" s="87">
        <f t="shared" si="0"/>
        <v>0</v>
      </c>
    </row>
    <row r="59" spans="1:16" s="19" customFormat="1">
      <c r="B59" s="21"/>
      <c r="C59" s="21"/>
      <c r="D59" s="21"/>
      <c r="E59" s="22"/>
      <c r="F59" s="21"/>
      <c r="G59" s="21"/>
      <c r="H59" s="21"/>
      <c r="I59" s="21"/>
      <c r="J59" s="22"/>
      <c r="K59" s="21"/>
      <c r="L59" s="21"/>
      <c r="M59" s="22"/>
      <c r="N59" s="22"/>
      <c r="O59" s="87">
        <f>VLOOKUP($B59,BOM!$A$2:$K$94,10,0)</f>
        <v>0</v>
      </c>
      <c r="P59" s="87">
        <f t="shared" si="0"/>
        <v>0</v>
      </c>
    </row>
    <row r="60" spans="1:16">
      <c r="B60" s="81"/>
      <c r="C60" s="82"/>
      <c r="D60" s="72"/>
      <c r="E60" s="72"/>
      <c r="F60" s="72"/>
      <c r="G60" s="72"/>
      <c r="H60" s="72"/>
      <c r="I60" s="72"/>
      <c r="J60" s="72"/>
      <c r="K60" s="83"/>
      <c r="L60" s="83"/>
      <c r="M60" s="83"/>
      <c r="N60" s="83"/>
      <c r="O60" s="87">
        <f>VLOOKUP($B60,BOM!$A$2:$K$94,10,0)</f>
        <v>0</v>
      </c>
      <c r="P60" s="87">
        <f t="shared" si="0"/>
        <v>0</v>
      </c>
    </row>
    <row r="61" spans="1:16" s="45" customFormat="1">
      <c r="B61" s="62"/>
      <c r="C61" s="21"/>
      <c r="D61" s="85"/>
      <c r="E61" s="85"/>
      <c r="F61" s="62"/>
      <c r="G61" s="62"/>
      <c r="H61" s="62"/>
      <c r="I61" s="62"/>
      <c r="J61" s="86"/>
      <c r="K61" s="62"/>
      <c r="L61" s="62"/>
      <c r="M61" s="86"/>
      <c r="N61" s="86"/>
      <c r="O61" s="87">
        <f>VLOOKUP($B61,BOM!$A$2:$K$94,10,0)</f>
        <v>0</v>
      </c>
      <c r="P61" s="87">
        <f t="shared" si="0"/>
        <v>0</v>
      </c>
    </row>
    <row r="62" spans="1:16" s="45" customFormat="1">
      <c r="B62" s="62"/>
      <c r="C62" s="21"/>
      <c r="D62" s="85"/>
      <c r="E62" s="85"/>
      <c r="F62" s="62"/>
      <c r="G62" s="62"/>
      <c r="H62" s="62"/>
      <c r="I62" s="62"/>
      <c r="J62" s="86"/>
      <c r="K62" s="62"/>
      <c r="L62" s="62"/>
      <c r="M62" s="86"/>
      <c r="N62" s="86"/>
      <c r="O62" s="87">
        <f>VLOOKUP($B62,BOM!$A$2:$K$94,10,0)</f>
        <v>0</v>
      </c>
      <c r="P62" s="87">
        <f t="shared" si="0"/>
        <v>0</v>
      </c>
    </row>
    <row r="63" spans="1:16" s="45" customFormat="1">
      <c r="B63" s="62"/>
      <c r="C63" s="21"/>
      <c r="D63" s="85"/>
      <c r="E63" s="85"/>
      <c r="F63" s="62"/>
      <c r="G63" s="62"/>
      <c r="H63" s="62"/>
      <c r="I63" s="62"/>
      <c r="J63" s="86"/>
      <c r="K63" s="62"/>
      <c r="L63" s="62"/>
      <c r="M63" s="86"/>
      <c r="N63" s="86"/>
      <c r="O63" s="87">
        <f>VLOOKUP($B63,BOM!$A$2:$K$94,10,0)</f>
        <v>0</v>
      </c>
      <c r="P63" s="87">
        <f t="shared" si="0"/>
        <v>0</v>
      </c>
    </row>
    <row r="64" spans="1:16" s="45" customFormat="1">
      <c r="B64" s="62"/>
      <c r="C64" s="21"/>
      <c r="D64" s="85"/>
      <c r="E64" s="85"/>
      <c r="F64" s="62"/>
      <c r="G64" s="62"/>
      <c r="H64" s="62"/>
      <c r="I64" s="62"/>
      <c r="J64" s="86"/>
      <c r="K64" s="62"/>
      <c r="L64" s="62"/>
      <c r="M64" s="86"/>
      <c r="N64" s="86"/>
      <c r="O64" s="87">
        <f>VLOOKUP($B64,BOM!$A$2:$K$94,10,0)</f>
        <v>0</v>
      </c>
      <c r="P64" s="87">
        <f t="shared" si="0"/>
        <v>0</v>
      </c>
    </row>
    <row r="65" spans="2:16" s="45" customFormat="1">
      <c r="B65" s="62"/>
      <c r="C65" s="21"/>
      <c r="D65" s="85"/>
      <c r="E65" s="85"/>
      <c r="F65" s="62"/>
      <c r="G65" s="62"/>
      <c r="H65" s="62"/>
      <c r="I65" s="62"/>
      <c r="J65" s="86"/>
      <c r="K65" s="62"/>
      <c r="L65" s="62"/>
      <c r="M65" s="86"/>
      <c r="N65" s="86"/>
      <c r="O65" s="87">
        <f>VLOOKUP($B65,BOM!$A$2:$K$94,10,0)</f>
        <v>0</v>
      </c>
      <c r="P65" s="87">
        <f t="shared" si="0"/>
        <v>0</v>
      </c>
    </row>
    <row r="66" spans="2:16" s="45" customFormat="1">
      <c r="B66" s="62"/>
      <c r="C66" s="21"/>
      <c r="D66" s="85"/>
      <c r="E66" s="85"/>
      <c r="F66" s="62"/>
      <c r="G66" s="62"/>
      <c r="H66" s="62"/>
      <c r="I66" s="62"/>
      <c r="J66" s="86"/>
      <c r="K66" s="62"/>
      <c r="L66" s="62"/>
      <c r="M66" s="86"/>
      <c r="N66" s="86"/>
      <c r="O66" s="87">
        <f>VLOOKUP($B66,BOM!$A$2:$K$94,10,0)</f>
        <v>0</v>
      </c>
      <c r="P66" s="87">
        <f t="shared" si="0"/>
        <v>0</v>
      </c>
    </row>
    <row r="67" spans="2:16" s="110" customFormat="1">
      <c r="B67" s="66"/>
      <c r="C67" s="106"/>
      <c r="D67" s="89"/>
      <c r="E67" s="89"/>
      <c r="F67" s="66"/>
      <c r="G67" s="66"/>
      <c r="H67" s="66"/>
      <c r="I67" s="66"/>
      <c r="J67" s="107"/>
      <c r="K67" s="108"/>
      <c r="L67" s="108"/>
      <c r="M67" s="109"/>
      <c r="N67" s="109"/>
      <c r="O67" s="87">
        <f>VLOOKUP($B67,BOM!$A$2:$K$94,10,0)</f>
        <v>0</v>
      </c>
      <c r="P67" s="87">
        <f t="shared" si="0"/>
        <v>0</v>
      </c>
    </row>
    <row r="68" spans="2:16" s="111" customFormat="1">
      <c r="B68" s="66"/>
      <c r="C68" s="106"/>
      <c r="D68" s="89"/>
      <c r="E68" s="89"/>
      <c r="F68" s="108"/>
      <c r="G68" s="108"/>
      <c r="H68" s="108"/>
      <c r="I68" s="108"/>
      <c r="J68" s="109"/>
      <c r="K68" s="108"/>
      <c r="L68" s="108"/>
      <c r="M68" s="109"/>
      <c r="N68" s="109"/>
      <c r="O68" s="87">
        <f>VLOOKUP($B68,BOM!$A$2:$K$94,10,0)</f>
        <v>0</v>
      </c>
      <c r="P68" s="87">
        <f t="shared" ref="P68:P131" si="4">O68*E68</f>
        <v>0</v>
      </c>
    </row>
    <row r="69" spans="2:16" s="110" customFormat="1">
      <c r="B69" s="66"/>
      <c r="C69" s="106"/>
      <c r="D69" s="89"/>
      <c r="E69" s="89"/>
      <c r="F69" s="66"/>
      <c r="G69" s="66"/>
      <c r="H69" s="66"/>
      <c r="I69" s="66"/>
      <c r="J69" s="107"/>
      <c r="K69" s="108"/>
      <c r="L69" s="108"/>
      <c r="M69" s="109"/>
      <c r="N69" s="109"/>
      <c r="O69" s="87">
        <f>VLOOKUP($B69,BOM!$A$2:$K$94,10,0)</f>
        <v>0</v>
      </c>
      <c r="P69" s="87">
        <f t="shared" si="4"/>
        <v>0</v>
      </c>
    </row>
    <row r="70" spans="2:16">
      <c r="B70" s="81"/>
      <c r="C70" s="82"/>
      <c r="D70" s="72"/>
      <c r="E70" s="72"/>
      <c r="F70" s="72"/>
      <c r="G70" s="72"/>
      <c r="H70" s="72"/>
      <c r="I70" s="72"/>
      <c r="J70" s="72"/>
      <c r="K70" s="83"/>
      <c r="L70" s="83"/>
      <c r="M70" s="83"/>
      <c r="N70" s="83"/>
      <c r="O70" s="87">
        <f>VLOOKUP($B70,BOM!$A$2:$K$94,10,0)</f>
        <v>0</v>
      </c>
      <c r="P70" s="87">
        <f t="shared" si="4"/>
        <v>0</v>
      </c>
    </row>
    <row r="71" spans="2:16" s="45" customFormat="1">
      <c r="B71" s="62"/>
      <c r="C71" s="21"/>
      <c r="D71" s="85"/>
      <c r="E71" s="90"/>
      <c r="F71" s="62"/>
      <c r="G71" s="62"/>
      <c r="H71" s="62"/>
      <c r="I71" s="62"/>
      <c r="J71" s="86"/>
      <c r="K71" s="62"/>
      <c r="L71" s="62"/>
      <c r="M71" s="86"/>
      <c r="N71" s="86"/>
      <c r="O71" s="87">
        <f>VLOOKUP($B71,BOM!$A$2:$K$94,10,0)</f>
        <v>0</v>
      </c>
      <c r="P71" s="87">
        <f t="shared" si="4"/>
        <v>0</v>
      </c>
    </row>
    <row r="72" spans="2:16" s="45" customFormat="1">
      <c r="B72" s="62"/>
      <c r="C72" s="21"/>
      <c r="D72" s="85"/>
      <c r="E72" s="90"/>
      <c r="F72" s="62"/>
      <c r="G72" s="62"/>
      <c r="H72" s="62"/>
      <c r="I72" s="62"/>
      <c r="J72" s="86"/>
      <c r="K72" s="62"/>
      <c r="L72" s="62"/>
      <c r="M72" s="86"/>
      <c r="N72" s="86"/>
      <c r="O72" s="87">
        <f>VLOOKUP($B72,BOM!$A$2:$K$94,10,0)</f>
        <v>0</v>
      </c>
      <c r="P72" s="87">
        <f t="shared" si="4"/>
        <v>0</v>
      </c>
    </row>
    <row r="73" spans="2:16">
      <c r="B73" s="81"/>
      <c r="C73" s="82"/>
      <c r="D73" s="72"/>
      <c r="E73" s="72"/>
      <c r="F73" s="72"/>
      <c r="G73" s="72"/>
      <c r="H73" s="72"/>
      <c r="I73" s="72"/>
      <c r="J73" s="72"/>
      <c r="K73" s="83"/>
      <c r="L73" s="83"/>
      <c r="M73" s="83"/>
      <c r="N73" s="83"/>
      <c r="O73" s="87">
        <f>VLOOKUP($B73,BOM!$A$2:$K$94,10,0)</f>
        <v>0</v>
      </c>
      <c r="P73" s="87">
        <f t="shared" si="4"/>
        <v>0</v>
      </c>
    </row>
    <row r="74" spans="2:16" outlineLevel="1">
      <c r="B74" s="112"/>
      <c r="C74" s="113"/>
      <c r="D74" s="112"/>
      <c r="E74" s="114"/>
      <c r="F74" s="114"/>
      <c r="G74" s="114"/>
      <c r="H74" s="114"/>
      <c r="I74" s="114"/>
      <c r="J74" s="114"/>
      <c r="K74" s="112"/>
      <c r="L74" s="112"/>
      <c r="M74" s="112"/>
      <c r="N74" s="112"/>
      <c r="O74" s="87">
        <f>VLOOKUP($B74,BOM!$A$2:$K$94,10,0)</f>
        <v>0</v>
      </c>
      <c r="P74" s="87">
        <f t="shared" si="4"/>
        <v>0</v>
      </c>
    </row>
    <row r="75" spans="2:16" outlineLevel="1">
      <c r="B75" s="112"/>
      <c r="C75" s="113"/>
      <c r="D75" s="112"/>
      <c r="E75" s="112"/>
      <c r="F75" s="112"/>
      <c r="G75" s="112"/>
      <c r="H75" s="112"/>
      <c r="I75" s="112"/>
      <c r="J75" s="112"/>
      <c r="K75" s="112"/>
      <c r="L75" s="112"/>
      <c r="M75" s="112"/>
      <c r="N75" s="112"/>
      <c r="O75" s="87">
        <f>VLOOKUP($B75,BOM!$A$2:$K$94,10,0)</f>
        <v>0</v>
      </c>
      <c r="P75" s="87">
        <f t="shared" si="4"/>
        <v>0</v>
      </c>
    </row>
    <row r="76" spans="2:16">
      <c r="B76" s="81"/>
      <c r="C76" s="82"/>
      <c r="D76" s="72"/>
      <c r="E76" s="72"/>
      <c r="F76" s="72"/>
      <c r="G76" s="72"/>
      <c r="H76" s="72"/>
      <c r="I76" s="72"/>
      <c r="J76" s="72"/>
      <c r="K76" s="83"/>
      <c r="L76" s="83"/>
      <c r="M76" s="83"/>
      <c r="N76" s="83"/>
      <c r="O76" s="87">
        <f>VLOOKUP($B76,BOM!$A$2:$K$94,10,0)</f>
        <v>0</v>
      </c>
      <c r="P76" s="87">
        <f t="shared" si="4"/>
        <v>0</v>
      </c>
    </row>
    <row r="77" spans="2:16" s="45" customFormat="1">
      <c r="B77" s="62"/>
      <c r="C77" s="21"/>
      <c r="D77" s="85"/>
      <c r="E77" s="115"/>
      <c r="F77" s="62"/>
      <c r="G77" s="62"/>
      <c r="H77" s="62"/>
      <c r="I77" s="62"/>
      <c r="J77" s="86"/>
      <c r="K77" s="62"/>
      <c r="L77" s="62"/>
      <c r="M77" s="86"/>
      <c r="N77" s="86"/>
      <c r="O77" s="87">
        <f>VLOOKUP($B77,BOM!$A$2:$K$94,10,0)</f>
        <v>0</v>
      </c>
      <c r="P77" s="87">
        <f t="shared" si="4"/>
        <v>0</v>
      </c>
    </row>
    <row r="78" spans="2:16" s="45" customFormat="1">
      <c r="B78" s="62"/>
      <c r="C78" s="21"/>
      <c r="D78" s="85"/>
      <c r="E78" s="85"/>
      <c r="F78" s="62"/>
      <c r="G78" s="62"/>
      <c r="H78" s="62"/>
      <c r="I78" s="62"/>
      <c r="J78" s="86"/>
      <c r="K78" s="62"/>
      <c r="L78" s="62"/>
      <c r="M78" s="86"/>
      <c r="N78" s="86"/>
      <c r="O78" s="87">
        <f>VLOOKUP($B78,BOM!$A$2:$K$94,10,0)</f>
        <v>0</v>
      </c>
      <c r="P78" s="87">
        <f t="shared" si="4"/>
        <v>0</v>
      </c>
    </row>
    <row r="79" spans="2:16" s="45" customFormat="1">
      <c r="B79" s="62"/>
      <c r="C79" s="21"/>
      <c r="D79" s="85"/>
      <c r="E79" s="85"/>
      <c r="F79" s="62"/>
      <c r="G79" s="62"/>
      <c r="H79" s="62"/>
      <c r="I79" s="62"/>
      <c r="J79" s="86"/>
      <c r="K79" s="62"/>
      <c r="L79" s="62"/>
      <c r="M79" s="86"/>
      <c r="N79" s="86"/>
      <c r="O79" s="87">
        <f>VLOOKUP($B79,BOM!$A$2:$K$94,10,0)</f>
        <v>0</v>
      </c>
      <c r="P79" s="87">
        <f t="shared" si="4"/>
        <v>0</v>
      </c>
    </row>
    <row r="80" spans="2:16">
      <c r="B80" s="81"/>
      <c r="C80" s="82"/>
      <c r="D80" s="72"/>
      <c r="E80" s="72"/>
      <c r="F80" s="72"/>
      <c r="G80" s="72"/>
      <c r="H80" s="72"/>
      <c r="I80" s="72"/>
      <c r="J80" s="72"/>
      <c r="K80" s="83"/>
      <c r="L80" s="83"/>
      <c r="M80" s="83"/>
      <c r="N80" s="83"/>
      <c r="O80" s="87">
        <f>VLOOKUP($B80,BOM!$A$2:$K$94,10,0)</f>
        <v>0</v>
      </c>
      <c r="P80" s="87">
        <f t="shared" si="4"/>
        <v>0</v>
      </c>
    </row>
    <row r="81" spans="2:16" s="45" customFormat="1">
      <c r="B81" s="62"/>
      <c r="C81" s="21"/>
      <c r="D81" s="116"/>
      <c r="E81" s="85"/>
      <c r="F81" s="62"/>
      <c r="G81" s="62"/>
      <c r="H81" s="62"/>
      <c r="I81" s="62"/>
      <c r="J81" s="86"/>
      <c r="K81" s="62"/>
      <c r="L81" s="62"/>
      <c r="M81" s="86"/>
      <c r="N81" s="86"/>
      <c r="O81" s="87">
        <f>VLOOKUP($B81,BOM!$A$2:$K$94,10,0)</f>
        <v>0</v>
      </c>
      <c r="P81" s="87">
        <f t="shared" si="4"/>
        <v>0</v>
      </c>
    </row>
    <row r="82" spans="2:16" s="45" customFormat="1">
      <c r="B82" s="62"/>
      <c r="C82" s="21"/>
      <c r="D82" s="116"/>
      <c r="E82" s="85"/>
      <c r="F82" s="62"/>
      <c r="G82" s="62"/>
      <c r="H82" s="62"/>
      <c r="I82" s="62"/>
      <c r="J82" s="86"/>
      <c r="K82" s="62"/>
      <c r="L82" s="62"/>
      <c r="M82" s="86"/>
      <c r="N82" s="86"/>
      <c r="O82" s="87">
        <f>VLOOKUP($B82,BOM!$A$2:$K$94,10,0)</f>
        <v>0</v>
      </c>
      <c r="P82" s="87">
        <f t="shared" si="4"/>
        <v>0</v>
      </c>
    </row>
    <row r="83" spans="2:16" s="45" customFormat="1">
      <c r="B83" s="62"/>
      <c r="C83" s="21"/>
      <c r="D83" s="116"/>
      <c r="E83" s="85"/>
      <c r="F83" s="62"/>
      <c r="G83" s="62"/>
      <c r="H83" s="62"/>
      <c r="I83" s="62"/>
      <c r="J83" s="86"/>
      <c r="K83" s="62"/>
      <c r="L83" s="62"/>
      <c r="M83" s="86"/>
      <c r="N83" s="86"/>
      <c r="O83" s="87">
        <f>VLOOKUP($B83,BOM!$A$2:$K$94,10,0)</f>
        <v>0</v>
      </c>
      <c r="P83" s="87">
        <f t="shared" si="4"/>
        <v>0</v>
      </c>
    </row>
    <row r="84" spans="2:16">
      <c r="B84" s="81"/>
      <c r="C84" s="82"/>
      <c r="D84" s="72"/>
      <c r="E84" s="72"/>
      <c r="F84" s="72"/>
      <c r="G84" s="72"/>
      <c r="H84" s="72"/>
      <c r="I84" s="72"/>
      <c r="J84" s="72"/>
      <c r="K84" s="83"/>
      <c r="L84" s="83"/>
      <c r="M84" s="83"/>
      <c r="N84" s="83"/>
      <c r="O84" s="87">
        <f>VLOOKUP($B84,BOM!$A$2:$K$94,10,0)</f>
        <v>0</v>
      </c>
      <c r="P84" s="87">
        <f t="shared" si="4"/>
        <v>0</v>
      </c>
    </row>
    <row r="85" spans="2:16">
      <c r="B85" s="81"/>
      <c r="C85" s="82"/>
      <c r="D85" s="72"/>
      <c r="E85" s="72"/>
      <c r="F85" s="72"/>
      <c r="G85" s="72"/>
      <c r="H85" s="72"/>
      <c r="I85" s="72"/>
      <c r="J85" s="72"/>
      <c r="K85" s="83"/>
      <c r="L85" s="83"/>
      <c r="M85" s="83"/>
      <c r="N85" s="83"/>
      <c r="O85" s="87">
        <f>VLOOKUP($B85,BOM!$A$2:$K$94,10,0)</f>
        <v>0</v>
      </c>
      <c r="P85" s="87">
        <f t="shared" si="4"/>
        <v>0</v>
      </c>
    </row>
    <row r="86" spans="2:16" s="45" customFormat="1" ht="20.45" customHeight="1">
      <c r="B86" s="62"/>
      <c r="C86" s="21"/>
      <c r="D86" s="85"/>
      <c r="E86" s="90"/>
      <c r="F86" s="62"/>
      <c r="G86" s="62"/>
      <c r="H86" s="62"/>
      <c r="I86" s="62"/>
      <c r="J86" s="86"/>
      <c r="K86" s="62"/>
      <c r="L86" s="62"/>
      <c r="M86" s="86"/>
      <c r="N86" s="86"/>
      <c r="O86" s="87">
        <f>VLOOKUP($B86,BOM!$A$2:$K$94,10,0)</f>
        <v>0</v>
      </c>
      <c r="P86" s="87">
        <f t="shared" si="4"/>
        <v>0</v>
      </c>
    </row>
    <row r="87" spans="2:16" s="45" customFormat="1">
      <c r="B87" s="62"/>
      <c r="C87" s="21"/>
      <c r="D87" s="85"/>
      <c r="E87" s="90"/>
      <c r="F87" s="62"/>
      <c r="G87" s="62"/>
      <c r="H87" s="62"/>
      <c r="I87" s="62"/>
      <c r="J87" s="86"/>
      <c r="K87" s="62"/>
      <c r="L87" s="62"/>
      <c r="M87" s="86"/>
      <c r="N87" s="86"/>
      <c r="O87" s="87">
        <f>VLOOKUP($B87,BOM!$A$2:$K$94,10,0)</f>
        <v>0</v>
      </c>
      <c r="P87" s="87">
        <f t="shared" si="4"/>
        <v>0</v>
      </c>
    </row>
    <row r="88" spans="2:16" s="45" customFormat="1">
      <c r="B88" s="62"/>
      <c r="C88" s="21"/>
      <c r="D88" s="85"/>
      <c r="E88" s="90"/>
      <c r="F88" s="62"/>
      <c r="G88" s="62"/>
      <c r="H88" s="62"/>
      <c r="I88" s="62"/>
      <c r="J88" s="86"/>
      <c r="K88" s="62"/>
      <c r="L88" s="62"/>
      <c r="M88" s="86"/>
      <c r="N88" s="86"/>
      <c r="O88" s="87">
        <f>VLOOKUP($B88,BOM!$A$2:$K$94,10,0)</f>
        <v>0</v>
      </c>
      <c r="P88" s="87">
        <f t="shared" si="4"/>
        <v>0</v>
      </c>
    </row>
    <row r="89" spans="2:16">
      <c r="B89" s="81"/>
      <c r="C89" s="82"/>
      <c r="D89" s="72"/>
      <c r="E89" s="72"/>
      <c r="F89" s="72"/>
      <c r="G89" s="72"/>
      <c r="H89" s="72"/>
      <c r="I89" s="72"/>
      <c r="J89" s="72"/>
      <c r="K89" s="83"/>
      <c r="L89" s="83"/>
      <c r="M89" s="83"/>
      <c r="N89" s="83"/>
      <c r="O89" s="87">
        <f>VLOOKUP($B89,BOM!$A$2:$K$94,10,0)</f>
        <v>0</v>
      </c>
      <c r="P89" s="87">
        <f t="shared" si="4"/>
        <v>0</v>
      </c>
    </row>
    <row r="90" spans="2:16" s="45" customFormat="1">
      <c r="B90" s="62"/>
      <c r="C90" s="21"/>
      <c r="D90" s="85"/>
      <c r="E90" s="85"/>
      <c r="F90" s="62"/>
      <c r="G90" s="62"/>
      <c r="H90" s="62"/>
      <c r="I90" s="62"/>
      <c r="J90" s="86"/>
      <c r="K90" s="62"/>
      <c r="L90" s="62"/>
      <c r="M90" s="86"/>
      <c r="N90" s="86"/>
      <c r="O90" s="87">
        <f>VLOOKUP($B90,BOM!$A$2:$K$94,10,0)</f>
        <v>0</v>
      </c>
      <c r="P90" s="87">
        <f t="shared" si="4"/>
        <v>0</v>
      </c>
    </row>
    <row r="91" spans="2:16" s="45" customFormat="1">
      <c r="B91" s="65"/>
      <c r="C91" s="103"/>
      <c r="D91" s="85"/>
      <c r="E91" s="85"/>
      <c r="F91" s="62"/>
      <c r="G91" s="62"/>
      <c r="H91" s="62"/>
      <c r="I91" s="62"/>
      <c r="J91" s="86"/>
      <c r="K91" s="62"/>
      <c r="L91" s="62"/>
      <c r="M91" s="86"/>
      <c r="N91" s="86"/>
      <c r="O91" s="87">
        <f>VLOOKUP($B91,BOM!$A$2:$K$94,10,0)</f>
        <v>0</v>
      </c>
      <c r="P91" s="87">
        <f t="shared" si="4"/>
        <v>0</v>
      </c>
    </row>
    <row r="92" spans="2:16">
      <c r="B92" s="81"/>
      <c r="C92" s="82"/>
      <c r="D92" s="72"/>
      <c r="E92" s="72"/>
      <c r="F92" s="72"/>
      <c r="G92" s="72"/>
      <c r="H92" s="72"/>
      <c r="I92" s="72"/>
      <c r="J92" s="72"/>
      <c r="K92" s="83"/>
      <c r="L92" s="83"/>
      <c r="M92" s="83"/>
      <c r="N92" s="83"/>
      <c r="O92" s="87">
        <f>VLOOKUP($B92,BOM!$A$2:$K$94,10,0)</f>
        <v>0</v>
      </c>
      <c r="P92" s="87">
        <f t="shared" si="4"/>
        <v>0</v>
      </c>
    </row>
    <row r="93" spans="2:16" s="45" customFormat="1">
      <c r="B93" s="62"/>
      <c r="C93" s="21"/>
      <c r="D93" s="85"/>
      <c r="E93" s="85"/>
      <c r="F93" s="62"/>
      <c r="G93" s="62"/>
      <c r="H93" s="62"/>
      <c r="I93" s="62"/>
      <c r="J93" s="86"/>
      <c r="K93" s="62"/>
      <c r="L93" s="62"/>
      <c r="M93" s="86"/>
      <c r="N93" s="86"/>
      <c r="O93" s="87">
        <f>VLOOKUP($B93,BOM!$A$2:$K$94,10,0)</f>
        <v>0</v>
      </c>
      <c r="P93" s="87">
        <f t="shared" si="4"/>
        <v>0</v>
      </c>
    </row>
    <row r="94" spans="2:16" s="45" customFormat="1">
      <c r="B94" s="62"/>
      <c r="C94" s="21"/>
      <c r="D94" s="85"/>
      <c r="E94" s="90"/>
      <c r="F94" s="62"/>
      <c r="G94" s="62"/>
      <c r="H94" s="62"/>
      <c r="I94" s="62"/>
      <c r="J94" s="86"/>
      <c r="K94" s="62"/>
      <c r="L94" s="62"/>
      <c r="M94" s="86"/>
      <c r="N94" s="86"/>
      <c r="O94" s="87">
        <f>VLOOKUP($B94,BOM!$A$2:$K$94,10,0)</f>
        <v>0</v>
      </c>
      <c r="P94" s="87">
        <f t="shared" si="4"/>
        <v>0</v>
      </c>
    </row>
    <row r="95" spans="2:16">
      <c r="B95" s="81"/>
      <c r="C95" s="82"/>
      <c r="D95" s="72"/>
      <c r="E95" s="72"/>
      <c r="F95" s="72"/>
      <c r="G95" s="72"/>
      <c r="H95" s="72"/>
      <c r="I95" s="72"/>
      <c r="J95" s="72"/>
      <c r="K95" s="83"/>
      <c r="L95" s="83"/>
      <c r="M95" s="83"/>
      <c r="N95" s="83"/>
      <c r="O95" s="87">
        <f>VLOOKUP($B95,BOM!$A$2:$K$94,10,0)</f>
        <v>0</v>
      </c>
      <c r="P95" s="87">
        <f t="shared" si="4"/>
        <v>0</v>
      </c>
    </row>
    <row r="96" spans="2:16" s="45" customFormat="1">
      <c r="B96" s="62"/>
      <c r="C96" s="21"/>
      <c r="D96" s="85"/>
      <c r="E96" s="85"/>
      <c r="F96" s="62"/>
      <c r="G96" s="62"/>
      <c r="H96" s="62"/>
      <c r="I96" s="62"/>
      <c r="J96" s="86"/>
      <c r="K96" s="62"/>
      <c r="L96" s="62"/>
      <c r="M96" s="86"/>
      <c r="N96" s="86"/>
      <c r="O96" s="87">
        <f>VLOOKUP($B96,BOM!$A$2:$K$94,10,0)</f>
        <v>0</v>
      </c>
      <c r="P96" s="87">
        <f t="shared" si="4"/>
        <v>0</v>
      </c>
    </row>
    <row r="97" spans="1:16" s="45" customFormat="1">
      <c r="B97" s="62"/>
      <c r="C97" s="21"/>
      <c r="D97" s="86"/>
      <c r="E97" s="105"/>
      <c r="F97" s="62"/>
      <c r="G97" s="62"/>
      <c r="H97" s="62"/>
      <c r="I97" s="62"/>
      <c r="J97" s="86"/>
      <c r="K97" s="62"/>
      <c r="L97" s="62"/>
      <c r="M97" s="86"/>
      <c r="N97" s="86"/>
      <c r="O97" s="87">
        <f>VLOOKUP($B97,BOM!$A$2:$K$94,10,0)</f>
        <v>0</v>
      </c>
      <c r="P97" s="87">
        <f t="shared" si="4"/>
        <v>0</v>
      </c>
    </row>
    <row r="98" spans="1:16" s="45" customFormat="1">
      <c r="B98" s="62"/>
      <c r="C98" s="21"/>
      <c r="D98" s="86"/>
      <c r="E98" s="105"/>
      <c r="F98" s="62"/>
      <c r="G98" s="62"/>
      <c r="H98" s="62"/>
      <c r="I98" s="62"/>
      <c r="J98" s="86"/>
      <c r="K98" s="62"/>
      <c r="L98" s="62"/>
      <c r="M98" s="86"/>
      <c r="N98" s="86"/>
      <c r="O98" s="87">
        <f>VLOOKUP($B98,BOM!$A$2:$K$94,10,0)</f>
        <v>0</v>
      </c>
      <c r="P98" s="87">
        <f t="shared" si="4"/>
        <v>0</v>
      </c>
    </row>
    <row r="99" spans="1:16" s="45" customFormat="1">
      <c r="B99" s="62"/>
      <c r="C99" s="21"/>
      <c r="D99" s="86"/>
      <c r="E99" s="105"/>
      <c r="F99" s="62"/>
      <c r="G99" s="62"/>
      <c r="H99" s="62"/>
      <c r="I99" s="62"/>
      <c r="J99" s="86"/>
      <c r="K99" s="62"/>
      <c r="L99" s="62"/>
      <c r="M99" s="86"/>
      <c r="N99" s="86"/>
      <c r="O99" s="87">
        <f>VLOOKUP($B99,BOM!$A$2:$K$94,10,0)</f>
        <v>0</v>
      </c>
      <c r="P99" s="87">
        <f t="shared" si="4"/>
        <v>0</v>
      </c>
    </row>
    <row r="100" spans="1:16" s="45" customFormat="1">
      <c r="B100" s="62"/>
      <c r="C100" s="21"/>
      <c r="D100" s="86"/>
      <c r="E100" s="105"/>
      <c r="F100" s="62"/>
      <c r="G100" s="62"/>
      <c r="H100" s="62"/>
      <c r="I100" s="62"/>
      <c r="J100" s="86"/>
      <c r="K100" s="62"/>
      <c r="L100" s="62"/>
      <c r="M100" s="86"/>
      <c r="N100" s="86"/>
      <c r="O100" s="87">
        <f>VLOOKUP($B100,BOM!$A$2:$K$94,10,0)</f>
        <v>0</v>
      </c>
      <c r="P100" s="87">
        <f t="shared" si="4"/>
        <v>0</v>
      </c>
    </row>
    <row r="101" spans="1:16">
      <c r="A101" s="35">
        <v>2</v>
      </c>
      <c r="B101" s="36"/>
      <c r="C101" s="37" t="s">
        <v>65</v>
      </c>
      <c r="D101" s="38" t="s">
        <v>0</v>
      </c>
      <c r="E101" s="36">
        <v>1</v>
      </c>
      <c r="F101" s="36"/>
      <c r="G101" s="36">
        <v>8</v>
      </c>
      <c r="H101" s="36"/>
      <c r="I101" s="36"/>
      <c r="J101" s="36">
        <f>SUBTOTAL(9,J104:J128)</f>
        <v>17</v>
      </c>
      <c r="K101" s="39"/>
      <c r="L101" s="39"/>
      <c r="M101" s="39"/>
      <c r="N101" s="39"/>
      <c r="O101" s="87">
        <f>VLOOKUP($B101,BOM!$A$2:$K$94,10,0)</f>
        <v>0</v>
      </c>
      <c r="P101" s="87">
        <f t="shared" si="4"/>
        <v>0</v>
      </c>
    </row>
    <row r="102" spans="1:16">
      <c r="B102" s="81"/>
      <c r="C102" s="82" t="s">
        <v>124</v>
      </c>
      <c r="D102" s="72" t="s">
        <v>0</v>
      </c>
      <c r="E102" s="72">
        <v>1</v>
      </c>
      <c r="F102" s="72"/>
      <c r="G102" s="72"/>
      <c r="H102" s="72"/>
      <c r="I102" s="72"/>
      <c r="J102" s="72"/>
      <c r="K102" s="83"/>
      <c r="L102" s="83"/>
      <c r="M102" s="83"/>
      <c r="N102" s="83"/>
      <c r="O102" s="87">
        <f>VLOOKUP($B102,BOM!$A$2:$K$94,10,0)</f>
        <v>0</v>
      </c>
      <c r="P102" s="87">
        <f t="shared" si="4"/>
        <v>0</v>
      </c>
    </row>
    <row r="103" spans="1:16" s="19" customFormat="1" ht="30">
      <c r="B103" s="41" t="s">
        <v>226</v>
      </c>
      <c r="C103" s="46" t="s">
        <v>227</v>
      </c>
      <c r="D103" s="21"/>
      <c r="E103" s="22">
        <v>1</v>
      </c>
      <c r="F103" s="21"/>
      <c r="G103" s="21"/>
      <c r="H103" s="21"/>
      <c r="I103" s="21"/>
      <c r="J103" s="22"/>
      <c r="K103" s="21" t="s">
        <v>4</v>
      </c>
      <c r="L103" s="21" t="s">
        <v>203</v>
      </c>
      <c r="M103" s="22" t="s">
        <v>22</v>
      </c>
      <c r="N103" s="22" t="s">
        <v>3</v>
      </c>
      <c r="O103" s="87">
        <f>VLOOKUP($B103,BOM!$A$2:$K$94,10,0)</f>
        <v>0</v>
      </c>
      <c r="P103" s="87">
        <f t="shared" si="4"/>
        <v>0</v>
      </c>
    </row>
    <row r="104" spans="1:16" s="19" customFormat="1">
      <c r="B104" s="21" t="s">
        <v>122</v>
      </c>
      <c r="C104" s="21" t="s">
        <v>123</v>
      </c>
      <c r="D104" s="21"/>
      <c r="E104" s="22">
        <v>1</v>
      </c>
      <c r="F104" s="21"/>
      <c r="G104" s="21"/>
      <c r="H104" s="21"/>
      <c r="I104" s="21"/>
      <c r="J104" s="22">
        <f>E104</f>
        <v>1</v>
      </c>
      <c r="K104" s="21" t="s">
        <v>4</v>
      </c>
      <c r="L104" s="21" t="s">
        <v>5</v>
      </c>
      <c r="M104" s="22" t="s">
        <v>22</v>
      </c>
      <c r="N104" s="22" t="s">
        <v>3</v>
      </c>
      <c r="O104" s="87">
        <f>VLOOKUP($B104,BOM!$A$2:$K$94,10,0)</f>
        <v>0</v>
      </c>
      <c r="P104" s="87">
        <f t="shared" si="4"/>
        <v>0</v>
      </c>
    </row>
    <row r="105" spans="1:16">
      <c r="B105" s="81"/>
      <c r="C105" s="82" t="s">
        <v>1</v>
      </c>
      <c r="D105" s="72" t="s">
        <v>0</v>
      </c>
      <c r="E105" s="72">
        <v>1</v>
      </c>
      <c r="F105" s="72"/>
      <c r="G105" s="72">
        <f>ROUNDUP(G101/24,0)</f>
        <v>1</v>
      </c>
      <c r="H105" s="72">
        <f t="shared" ref="H105" si="5">ROUNDUP(H101/24,0)</f>
        <v>0</v>
      </c>
      <c r="I105" s="72"/>
      <c r="J105" s="72"/>
      <c r="K105" s="83"/>
      <c r="L105" s="83"/>
      <c r="M105" s="83"/>
      <c r="N105" s="83"/>
      <c r="O105" s="87">
        <f>VLOOKUP($B105,BOM!$A$2:$K$94,10,0)</f>
        <v>0</v>
      </c>
      <c r="P105" s="87">
        <f t="shared" si="4"/>
        <v>0</v>
      </c>
    </row>
    <row r="106" spans="1:16" s="45" customFormat="1">
      <c r="B106" s="62">
        <v>760249997</v>
      </c>
      <c r="C106" s="21" t="s">
        <v>2</v>
      </c>
      <c r="D106" s="85" t="s">
        <v>3</v>
      </c>
      <c r="E106" s="85">
        <f>ROUNDUP((E108+E112)/3,0)</f>
        <v>1</v>
      </c>
      <c r="F106" s="62"/>
      <c r="G106" s="62"/>
      <c r="H106" s="62"/>
      <c r="I106" s="62"/>
      <c r="J106" s="86">
        <f>E106</f>
        <v>1</v>
      </c>
      <c r="K106" s="62" t="s">
        <v>4</v>
      </c>
      <c r="L106" s="62" t="s">
        <v>5</v>
      </c>
      <c r="M106" s="86" t="s">
        <v>6</v>
      </c>
      <c r="N106" s="86" t="s">
        <v>3</v>
      </c>
      <c r="O106" s="87">
        <f>VLOOKUP($B106,BOM!$A$2:$K$94,10,0)</f>
        <v>0</v>
      </c>
      <c r="P106" s="87">
        <f t="shared" si="4"/>
        <v>0</v>
      </c>
    </row>
    <row r="107" spans="1:16" s="45" customFormat="1">
      <c r="B107" s="62">
        <v>760241378</v>
      </c>
      <c r="C107" s="21" t="s">
        <v>7</v>
      </c>
      <c r="D107" s="85" t="s">
        <v>3</v>
      </c>
      <c r="E107" s="85">
        <f>IF(E108&lt;=2,1,ROUNDUP(E106*1.5,0))</f>
        <v>1</v>
      </c>
      <c r="F107" s="62"/>
      <c r="G107" s="62"/>
      <c r="H107" s="62"/>
      <c r="I107" s="62"/>
      <c r="J107" s="86"/>
      <c r="K107" s="62" t="s">
        <v>4</v>
      </c>
      <c r="L107" s="62" t="s">
        <v>5</v>
      </c>
      <c r="M107" s="86" t="s">
        <v>6</v>
      </c>
      <c r="N107" s="86" t="s">
        <v>3</v>
      </c>
      <c r="O107" s="87">
        <f>VLOOKUP($B107,BOM!$A$2:$K$94,10,0)</f>
        <v>0</v>
      </c>
      <c r="P107" s="87">
        <f t="shared" si="4"/>
        <v>0</v>
      </c>
    </row>
    <row r="108" spans="1:16" s="45" customFormat="1">
      <c r="B108" s="62" t="s">
        <v>8</v>
      </c>
      <c r="C108" s="21" t="s">
        <v>9</v>
      </c>
      <c r="D108" s="85" t="s">
        <v>3</v>
      </c>
      <c r="E108" s="85">
        <f>G105</f>
        <v>1</v>
      </c>
      <c r="F108" s="62"/>
      <c r="G108" s="62"/>
      <c r="H108" s="62"/>
      <c r="I108" s="62"/>
      <c r="J108" s="86"/>
      <c r="K108" s="62" t="s">
        <v>4</v>
      </c>
      <c r="L108" s="62" t="s">
        <v>5</v>
      </c>
      <c r="M108" s="86" t="s">
        <v>6</v>
      </c>
      <c r="N108" s="86" t="s">
        <v>3</v>
      </c>
      <c r="O108" s="87">
        <f>VLOOKUP($B108,BOM!$A$2:$K$94,10,0)</f>
        <v>0</v>
      </c>
      <c r="P108" s="87">
        <f t="shared" si="4"/>
        <v>0</v>
      </c>
    </row>
    <row r="109" spans="1:16" s="45" customFormat="1">
      <c r="B109" s="62" t="s">
        <v>10</v>
      </c>
      <c r="C109" s="21" t="s">
        <v>11</v>
      </c>
      <c r="D109" s="85" t="s">
        <v>3</v>
      </c>
      <c r="E109" s="85">
        <f>E106*3-E108-E112</f>
        <v>2</v>
      </c>
      <c r="F109" s="62"/>
      <c r="G109" s="62"/>
      <c r="H109" s="62"/>
      <c r="I109" s="62"/>
      <c r="J109" s="86"/>
      <c r="K109" s="62" t="s">
        <v>4</v>
      </c>
      <c r="L109" s="62" t="s">
        <v>5</v>
      </c>
      <c r="M109" s="86" t="s">
        <v>6</v>
      </c>
      <c r="N109" s="86" t="s">
        <v>3</v>
      </c>
      <c r="O109" s="87">
        <f>VLOOKUP($B109,BOM!$A$2:$K$94,10,0)</f>
        <v>0</v>
      </c>
      <c r="P109" s="87">
        <f t="shared" si="4"/>
        <v>0</v>
      </c>
    </row>
    <row r="110" spans="1:16" s="45" customFormat="1">
      <c r="B110" s="62" t="s">
        <v>12</v>
      </c>
      <c r="C110" s="21" t="s">
        <v>13</v>
      </c>
      <c r="D110" s="85" t="s">
        <v>14</v>
      </c>
      <c r="E110" s="85">
        <f>G101/2</f>
        <v>4</v>
      </c>
      <c r="F110" s="62"/>
      <c r="G110" s="62"/>
      <c r="H110" s="62"/>
      <c r="I110" s="62"/>
      <c r="J110" s="86"/>
      <c r="K110" s="62" t="s">
        <v>4</v>
      </c>
      <c r="L110" s="62" t="s">
        <v>5</v>
      </c>
      <c r="M110" s="86" t="s">
        <v>6</v>
      </c>
      <c r="N110" s="86" t="s">
        <v>15</v>
      </c>
      <c r="O110" s="87">
        <f>VLOOKUP($B110,BOM!$A$2:$K$94,10,0)</f>
        <v>0</v>
      </c>
      <c r="P110" s="87">
        <f t="shared" si="4"/>
        <v>0</v>
      </c>
    </row>
    <row r="111" spans="1:16" s="45" customFormat="1" ht="30">
      <c r="B111" s="62" t="s">
        <v>16</v>
      </c>
      <c r="C111" s="21" t="s">
        <v>17</v>
      </c>
      <c r="D111" s="85" t="s">
        <v>14</v>
      </c>
      <c r="E111" s="85">
        <f>ROUNDUP((E117+E120)*1.3,0)</f>
        <v>3</v>
      </c>
      <c r="F111" s="62"/>
      <c r="G111" s="62"/>
      <c r="H111" s="62"/>
      <c r="I111" s="62"/>
      <c r="J111" s="86"/>
      <c r="K111" s="62" t="s">
        <v>4</v>
      </c>
      <c r="L111" s="62" t="s">
        <v>5</v>
      </c>
      <c r="M111" s="86" t="s">
        <v>6</v>
      </c>
      <c r="N111" s="86" t="s">
        <v>15</v>
      </c>
      <c r="O111" s="87">
        <f>VLOOKUP($B111,BOM!$A$2:$K$94,10,0)</f>
        <v>0</v>
      </c>
      <c r="P111" s="87">
        <f t="shared" si="4"/>
        <v>0</v>
      </c>
    </row>
    <row r="112" spans="1:16" s="110" customFormat="1">
      <c r="B112" s="66" t="s">
        <v>198</v>
      </c>
      <c r="C112" s="106" t="s">
        <v>199</v>
      </c>
      <c r="D112" s="89" t="s">
        <v>3</v>
      </c>
      <c r="E112" s="89">
        <f>H105</f>
        <v>0</v>
      </c>
      <c r="F112" s="66"/>
      <c r="G112" s="66"/>
      <c r="H112" s="66"/>
      <c r="I112" s="66"/>
      <c r="J112" s="107"/>
      <c r="K112" s="108" t="s">
        <v>4</v>
      </c>
      <c r="L112" s="108" t="s">
        <v>5</v>
      </c>
      <c r="M112" s="109" t="s">
        <v>6</v>
      </c>
      <c r="N112" s="109" t="s">
        <v>15</v>
      </c>
      <c r="O112" s="87">
        <f>VLOOKUP($B112,BOM!$A$2:$K$94,10,0)</f>
        <v>0</v>
      </c>
      <c r="P112" s="87">
        <f t="shared" si="4"/>
        <v>0</v>
      </c>
    </row>
    <row r="113" spans="2:16" s="111" customFormat="1">
      <c r="B113" s="66" t="s">
        <v>194</v>
      </c>
      <c r="C113" s="106" t="s">
        <v>195</v>
      </c>
      <c r="D113" s="89" t="s">
        <v>14</v>
      </c>
      <c r="E113" s="89">
        <v>0</v>
      </c>
      <c r="F113" s="108"/>
      <c r="G113" s="108"/>
      <c r="H113" s="108"/>
      <c r="I113" s="108"/>
      <c r="J113" s="109"/>
      <c r="K113" s="108" t="s">
        <v>4</v>
      </c>
      <c r="L113" s="108" t="s">
        <v>5</v>
      </c>
      <c r="M113" s="109" t="s">
        <v>6</v>
      </c>
      <c r="N113" s="109" t="s">
        <v>15</v>
      </c>
      <c r="O113" s="87">
        <f>VLOOKUP($B113,BOM!$A$2:$K$94,10,0)</f>
        <v>0</v>
      </c>
      <c r="P113" s="87">
        <f t="shared" si="4"/>
        <v>0</v>
      </c>
    </row>
    <row r="114" spans="2:16" s="110" customFormat="1">
      <c r="B114" s="66" t="s">
        <v>196</v>
      </c>
      <c r="C114" s="106" t="s">
        <v>197</v>
      </c>
      <c r="D114" s="89" t="s">
        <v>14</v>
      </c>
      <c r="E114" s="89">
        <f>H101/2</f>
        <v>0</v>
      </c>
      <c r="F114" s="66"/>
      <c r="G114" s="66"/>
      <c r="H114" s="66"/>
      <c r="I114" s="66"/>
      <c r="J114" s="107"/>
      <c r="K114" s="108" t="s">
        <v>4</v>
      </c>
      <c r="L114" s="108" t="s">
        <v>5</v>
      </c>
      <c r="M114" s="109" t="s">
        <v>6</v>
      </c>
      <c r="N114" s="109" t="s">
        <v>15</v>
      </c>
      <c r="O114" s="87">
        <f>VLOOKUP($B114,BOM!$A$2:$K$94,10,0)</f>
        <v>0</v>
      </c>
      <c r="P114" s="87">
        <f t="shared" si="4"/>
        <v>0</v>
      </c>
    </row>
    <row r="115" spans="2:16">
      <c r="B115" s="81"/>
      <c r="C115" s="82" t="s">
        <v>26</v>
      </c>
      <c r="D115" s="72" t="s">
        <v>0</v>
      </c>
      <c r="E115" s="72">
        <v>1</v>
      </c>
      <c r="F115" s="72"/>
      <c r="G115" s="72"/>
      <c r="H115" s="72"/>
      <c r="I115" s="72"/>
      <c r="J115" s="72"/>
      <c r="K115" s="83"/>
      <c r="L115" s="83"/>
      <c r="M115" s="83"/>
      <c r="N115" s="83"/>
      <c r="O115" s="87">
        <f>VLOOKUP($B115,BOM!$A$2:$K$94,10,0)</f>
        <v>0</v>
      </c>
      <c r="P115" s="87">
        <f t="shared" si="4"/>
        <v>0</v>
      </c>
    </row>
    <row r="116" spans="2:16" s="45" customFormat="1">
      <c r="B116" s="62"/>
      <c r="C116" s="21"/>
      <c r="D116" s="85"/>
      <c r="E116" s="90"/>
      <c r="F116" s="62"/>
      <c r="G116" s="62"/>
      <c r="H116" s="62"/>
      <c r="I116" s="62"/>
      <c r="J116" s="86"/>
      <c r="K116" s="62"/>
      <c r="L116" s="62"/>
      <c r="M116" s="86"/>
      <c r="N116" s="86"/>
      <c r="O116" s="87">
        <f>VLOOKUP($B116,BOM!$A$2:$K$94,10,0)</f>
        <v>0</v>
      </c>
      <c r="P116" s="87">
        <f t="shared" si="4"/>
        <v>0</v>
      </c>
    </row>
    <row r="117" spans="2:16" s="45" customFormat="1">
      <c r="B117" s="62"/>
      <c r="C117" s="21"/>
      <c r="D117" s="85"/>
      <c r="E117" s="90"/>
      <c r="F117" s="62"/>
      <c r="G117" s="62"/>
      <c r="H117" s="62"/>
      <c r="I117" s="62"/>
      <c r="J117" s="86"/>
      <c r="K117" s="62"/>
      <c r="L117" s="62"/>
      <c r="M117" s="86"/>
      <c r="N117" s="86"/>
      <c r="O117" s="87">
        <f>VLOOKUP($B117,BOM!$A$2:$K$94,10,0)</f>
        <v>0</v>
      </c>
      <c r="P117" s="87">
        <f t="shared" si="4"/>
        <v>0</v>
      </c>
    </row>
    <row r="118" spans="2:16">
      <c r="B118" s="81"/>
      <c r="C118" s="82" t="s">
        <v>145</v>
      </c>
      <c r="D118" s="72" t="s">
        <v>0</v>
      </c>
      <c r="E118" s="72">
        <v>2</v>
      </c>
      <c r="F118" s="72"/>
      <c r="G118" s="72"/>
      <c r="H118" s="72"/>
      <c r="I118" s="72"/>
      <c r="J118" s="72"/>
      <c r="K118" s="83"/>
      <c r="L118" s="83"/>
      <c r="M118" s="83"/>
      <c r="N118" s="83"/>
      <c r="O118" s="87">
        <f>VLOOKUP($B118,BOM!$A$2:$K$94,10,0)</f>
        <v>0</v>
      </c>
      <c r="P118" s="87">
        <f t="shared" si="4"/>
        <v>0</v>
      </c>
    </row>
    <row r="119" spans="2:16" s="45" customFormat="1">
      <c r="B119" s="41" t="s">
        <v>152</v>
      </c>
      <c r="C119" s="41" t="s">
        <v>153</v>
      </c>
      <c r="D119" s="42" t="s">
        <v>64</v>
      </c>
      <c r="E119" s="43">
        <v>2</v>
      </c>
      <c r="F119" s="41"/>
      <c r="G119" s="41"/>
      <c r="H119" s="41"/>
      <c r="I119" s="41"/>
      <c r="J119" s="44">
        <f>E119</f>
        <v>2</v>
      </c>
      <c r="K119" s="41" t="s">
        <v>143</v>
      </c>
      <c r="L119" s="41" t="s">
        <v>151</v>
      </c>
      <c r="M119" s="44" t="s">
        <v>144</v>
      </c>
      <c r="N119" s="44" t="s">
        <v>64</v>
      </c>
      <c r="O119" s="87">
        <f>VLOOKUP($B119,BOM!$A$2:$K$94,10,0)</f>
        <v>0</v>
      </c>
      <c r="P119" s="87">
        <f t="shared" si="4"/>
        <v>0</v>
      </c>
    </row>
    <row r="120" spans="2:16" s="45" customFormat="1">
      <c r="B120" s="41" t="s">
        <v>137</v>
      </c>
      <c r="C120" s="41" t="s">
        <v>138</v>
      </c>
      <c r="D120" s="42" t="s">
        <v>64</v>
      </c>
      <c r="E120" s="47">
        <f>E119</f>
        <v>2</v>
      </c>
      <c r="F120" s="41"/>
      <c r="G120" s="41"/>
      <c r="H120" s="41"/>
      <c r="I120" s="41"/>
      <c r="J120" s="44"/>
      <c r="K120" s="41" t="s">
        <v>143</v>
      </c>
      <c r="L120" s="41" t="s">
        <v>151</v>
      </c>
      <c r="M120" s="44" t="s">
        <v>144</v>
      </c>
      <c r="N120" s="44" t="s">
        <v>64</v>
      </c>
      <c r="O120" s="87">
        <f>VLOOKUP($B120,BOM!$A$2:$K$94,10,0)</f>
        <v>0</v>
      </c>
      <c r="P120" s="87">
        <f t="shared" si="4"/>
        <v>0</v>
      </c>
    </row>
    <row r="121" spans="2:16" outlineLevel="1">
      <c r="B121" s="117"/>
      <c r="C121" s="118" t="s">
        <v>222</v>
      </c>
      <c r="D121" s="119" t="s">
        <v>0</v>
      </c>
      <c r="E121" s="120">
        <v>0</v>
      </c>
      <c r="F121" s="121"/>
      <c r="G121" s="121"/>
      <c r="H121" s="121" t="s">
        <v>69</v>
      </c>
      <c r="I121" s="122"/>
      <c r="J121" s="122">
        <f>E121*3</f>
        <v>0</v>
      </c>
      <c r="K121" s="63"/>
      <c r="L121" s="63"/>
      <c r="M121" s="63"/>
      <c r="N121" s="63"/>
      <c r="O121" s="87">
        <f>VLOOKUP($B121,BOM!$A$2:$K$94,10,0)</f>
        <v>0</v>
      </c>
      <c r="P121" s="87">
        <f t="shared" si="4"/>
        <v>0</v>
      </c>
    </row>
    <row r="122" spans="2:16" outlineLevel="1">
      <c r="B122" s="117"/>
      <c r="C122" s="118" t="s">
        <v>70</v>
      </c>
      <c r="D122" s="119" t="s">
        <v>0</v>
      </c>
      <c r="E122" s="120">
        <v>0</v>
      </c>
      <c r="F122" s="121"/>
      <c r="G122" s="121"/>
      <c r="H122" s="121" t="s">
        <v>69</v>
      </c>
      <c r="I122" s="122"/>
      <c r="J122" s="122">
        <v>1</v>
      </c>
      <c r="K122" s="63"/>
      <c r="L122" s="63"/>
      <c r="M122" s="63"/>
      <c r="N122" s="63"/>
      <c r="O122" s="87">
        <f>VLOOKUP($B122,BOM!$A$2:$K$94,10,0)</f>
        <v>0</v>
      </c>
      <c r="P122" s="87">
        <f t="shared" si="4"/>
        <v>0</v>
      </c>
    </row>
    <row r="123" spans="2:16">
      <c r="B123" s="81"/>
      <c r="C123" s="82" t="s">
        <v>18</v>
      </c>
      <c r="D123" s="72" t="s">
        <v>0</v>
      </c>
      <c r="E123" s="72">
        <v>1</v>
      </c>
      <c r="F123" s="72"/>
      <c r="G123" s="72"/>
      <c r="H123" s="72"/>
      <c r="I123" s="72"/>
      <c r="J123" s="72"/>
      <c r="K123" s="83"/>
      <c r="L123" s="83"/>
      <c r="M123" s="83"/>
      <c r="N123" s="83"/>
      <c r="O123" s="87">
        <f>VLOOKUP($B123,BOM!$A$2:$K$94,10,0)</f>
        <v>0</v>
      </c>
      <c r="P123" s="87">
        <f t="shared" si="4"/>
        <v>0</v>
      </c>
    </row>
    <row r="124" spans="2:16" s="45" customFormat="1" ht="30">
      <c r="B124" s="62">
        <v>760237046</v>
      </c>
      <c r="C124" s="21" t="s">
        <v>19</v>
      </c>
      <c r="D124" s="85" t="s">
        <v>3</v>
      </c>
      <c r="E124" s="85">
        <f>E116+E119</f>
        <v>2</v>
      </c>
      <c r="F124" s="62"/>
      <c r="G124" s="62"/>
      <c r="H124" s="62"/>
      <c r="I124" s="62"/>
      <c r="J124" s="86">
        <f>E124</f>
        <v>2</v>
      </c>
      <c r="K124" s="62" t="s">
        <v>4</v>
      </c>
      <c r="L124" s="62" t="s">
        <v>5</v>
      </c>
      <c r="M124" s="86" t="s">
        <v>6</v>
      </c>
      <c r="N124" s="86" t="s">
        <v>3</v>
      </c>
      <c r="O124" s="87">
        <f>VLOOKUP($B124,BOM!$A$2:$K$94,10,0)</f>
        <v>0</v>
      </c>
      <c r="P124" s="87">
        <f t="shared" si="4"/>
        <v>0</v>
      </c>
    </row>
    <row r="125" spans="2:16" s="45" customFormat="1" ht="30">
      <c r="B125" s="62" t="s">
        <v>23</v>
      </c>
      <c r="C125" s="21" t="s">
        <v>24</v>
      </c>
      <c r="D125" s="85" t="s">
        <v>3</v>
      </c>
      <c r="E125" s="85">
        <f>E124*24</f>
        <v>48</v>
      </c>
      <c r="F125" s="62"/>
      <c r="G125" s="62"/>
      <c r="H125" s="62"/>
      <c r="I125" s="62"/>
      <c r="J125" s="86"/>
      <c r="K125" s="62" t="s">
        <v>25</v>
      </c>
      <c r="L125" s="62" t="s">
        <v>5</v>
      </c>
      <c r="M125" s="86" t="s">
        <v>6</v>
      </c>
      <c r="N125" s="86" t="s">
        <v>3</v>
      </c>
      <c r="O125" s="87">
        <f>VLOOKUP($B125,BOM!$A$2:$K$94,10,0)</f>
        <v>0</v>
      </c>
      <c r="P125" s="87">
        <f t="shared" si="4"/>
        <v>0</v>
      </c>
    </row>
    <row r="126" spans="2:16" s="45" customFormat="1">
      <c r="B126" s="62" t="s">
        <v>20</v>
      </c>
      <c r="C126" s="21" t="s">
        <v>21</v>
      </c>
      <c r="D126" s="85" t="s">
        <v>3</v>
      </c>
      <c r="E126" s="85">
        <v>2</v>
      </c>
      <c r="F126" s="62"/>
      <c r="G126" s="62"/>
      <c r="H126" s="62"/>
      <c r="I126" s="62"/>
      <c r="J126" s="86">
        <f>E126</f>
        <v>2</v>
      </c>
      <c r="K126" s="62" t="s">
        <v>4</v>
      </c>
      <c r="L126" s="62" t="s">
        <v>5</v>
      </c>
      <c r="M126" s="86" t="s">
        <v>22</v>
      </c>
      <c r="N126" s="86" t="s">
        <v>3</v>
      </c>
      <c r="O126" s="87">
        <f>VLOOKUP($B126,BOM!$A$2:$K$94,10,0)</f>
        <v>0</v>
      </c>
      <c r="P126" s="87">
        <f t="shared" si="4"/>
        <v>0</v>
      </c>
    </row>
    <row r="127" spans="2:16">
      <c r="B127" s="81"/>
      <c r="C127" s="82" t="s">
        <v>71</v>
      </c>
      <c r="D127" s="72" t="s">
        <v>0</v>
      </c>
      <c r="E127" s="72">
        <v>1</v>
      </c>
      <c r="F127" s="72"/>
      <c r="G127" s="72"/>
      <c r="H127" s="72"/>
      <c r="I127" s="72"/>
      <c r="J127" s="72"/>
      <c r="K127" s="83"/>
      <c r="L127" s="83"/>
      <c r="M127" s="83"/>
      <c r="N127" s="83"/>
      <c r="O127" s="87">
        <f>VLOOKUP($B127,BOM!$A$2:$K$94,10,0)</f>
        <v>0</v>
      </c>
      <c r="P127" s="87">
        <f t="shared" si="4"/>
        <v>0</v>
      </c>
    </row>
    <row r="128" spans="2:16" s="45" customFormat="1">
      <c r="B128" s="123" t="s">
        <v>314</v>
      </c>
      <c r="C128" s="62" t="s">
        <v>238</v>
      </c>
      <c r="D128" s="116" t="s">
        <v>51</v>
      </c>
      <c r="E128" s="85">
        <v>1</v>
      </c>
      <c r="F128" s="62"/>
      <c r="G128" s="62"/>
      <c r="H128" s="62"/>
      <c r="I128" s="62"/>
      <c r="J128" s="86">
        <f>E128*8</f>
        <v>8</v>
      </c>
      <c r="K128" s="62"/>
      <c r="L128" s="62" t="s">
        <v>5</v>
      </c>
      <c r="M128" s="86" t="s">
        <v>28</v>
      </c>
      <c r="N128" s="86" t="s">
        <v>3</v>
      </c>
      <c r="O128" s="87">
        <f>VLOOKUP($B128,BOM!$A$2:$K$94,10,0)</f>
        <v>0</v>
      </c>
      <c r="P128" s="87">
        <f t="shared" si="4"/>
        <v>0</v>
      </c>
    </row>
    <row r="129" spans="2:16" s="45" customFormat="1">
      <c r="B129" s="62"/>
      <c r="C129" s="21"/>
      <c r="D129" s="116"/>
      <c r="E129" s="85"/>
      <c r="F129" s="62"/>
      <c r="G129" s="62"/>
      <c r="H129" s="62"/>
      <c r="I129" s="62"/>
      <c r="J129" s="86"/>
      <c r="K129" s="62"/>
      <c r="L129" s="62"/>
      <c r="M129" s="86"/>
      <c r="N129" s="86"/>
      <c r="O129" s="87">
        <f>VLOOKUP($B129,BOM!$A$2:$K$94,10,0)</f>
        <v>0</v>
      </c>
      <c r="P129" s="87">
        <f t="shared" si="4"/>
        <v>0</v>
      </c>
    </row>
    <row r="130" spans="2:16" s="45" customFormat="1">
      <c r="B130" s="62" t="s">
        <v>225</v>
      </c>
      <c r="C130" s="21" t="s">
        <v>72</v>
      </c>
      <c r="D130" s="116" t="s">
        <v>64</v>
      </c>
      <c r="E130" s="85">
        <v>0</v>
      </c>
      <c r="F130" s="62"/>
      <c r="G130" s="62"/>
      <c r="H130" s="62"/>
      <c r="I130" s="62"/>
      <c r="J130" s="86"/>
      <c r="K130" s="62"/>
      <c r="L130" s="62" t="s">
        <v>5</v>
      </c>
      <c r="M130" s="86" t="s">
        <v>28</v>
      </c>
      <c r="N130" s="86" t="s">
        <v>3</v>
      </c>
      <c r="O130" s="87">
        <f>VLOOKUP($B130,BOM!$A$2:$K$94,10,0)</f>
        <v>0</v>
      </c>
      <c r="P130" s="87">
        <f t="shared" si="4"/>
        <v>0</v>
      </c>
    </row>
    <row r="131" spans="2:16">
      <c r="B131" s="81"/>
      <c r="C131" s="82" t="s">
        <v>31</v>
      </c>
      <c r="D131" s="72" t="s">
        <v>0</v>
      </c>
      <c r="E131" s="72">
        <v>1</v>
      </c>
      <c r="F131" s="72"/>
      <c r="G131" s="72"/>
      <c r="H131" s="72"/>
      <c r="I131" s="72"/>
      <c r="J131" s="72"/>
      <c r="K131" s="83"/>
      <c r="L131" s="83"/>
      <c r="M131" s="83"/>
      <c r="N131" s="83"/>
      <c r="O131" s="87">
        <f>VLOOKUP($B131,BOM!$A$2:$K$94,10,0)</f>
        <v>0</v>
      </c>
      <c r="P131" s="87">
        <f t="shared" si="4"/>
        <v>0</v>
      </c>
    </row>
    <row r="132" spans="2:16">
      <c r="B132" s="81"/>
      <c r="C132" s="82" t="s">
        <v>32</v>
      </c>
      <c r="D132" s="72"/>
      <c r="E132" s="72"/>
      <c r="F132" s="72"/>
      <c r="G132" s="72"/>
      <c r="H132" s="72"/>
      <c r="I132" s="72"/>
      <c r="J132" s="72"/>
      <c r="K132" s="83"/>
      <c r="L132" s="83"/>
      <c r="M132" s="83"/>
      <c r="N132" s="83"/>
      <c r="O132" s="87">
        <f>VLOOKUP($B132,BOM!$A$2:$K$94,10,0)</f>
        <v>0</v>
      </c>
      <c r="P132" s="87">
        <f t="shared" ref="P132:P195" si="6">O132*E132</f>
        <v>0</v>
      </c>
    </row>
    <row r="133" spans="2:16" s="45" customFormat="1" ht="20.45" customHeight="1">
      <c r="B133" s="62" t="s">
        <v>33</v>
      </c>
      <c r="C133" s="21" t="s">
        <v>34</v>
      </c>
      <c r="D133" s="85" t="s">
        <v>3</v>
      </c>
      <c r="E133" s="90">
        <f>E134</f>
        <v>0</v>
      </c>
      <c r="F133" s="62"/>
      <c r="G133" s="62"/>
      <c r="H133" s="62"/>
      <c r="I133" s="62"/>
      <c r="J133" s="86"/>
      <c r="K133" s="62" t="s">
        <v>35</v>
      </c>
      <c r="L133" s="62" t="s">
        <v>5</v>
      </c>
      <c r="M133" s="86" t="s">
        <v>6</v>
      </c>
      <c r="N133" s="86" t="s">
        <v>3</v>
      </c>
      <c r="O133" s="87">
        <f>VLOOKUP($B133,BOM!$A$2:$K$94,10,0)</f>
        <v>0</v>
      </c>
      <c r="P133" s="87">
        <f t="shared" si="6"/>
        <v>0</v>
      </c>
    </row>
    <row r="134" spans="2:16" s="45" customFormat="1">
      <c r="B134" s="62" t="s">
        <v>330</v>
      </c>
      <c r="C134" s="21" t="s">
        <v>36</v>
      </c>
      <c r="D134" s="85" t="s">
        <v>3</v>
      </c>
      <c r="E134" s="90">
        <f>G132+H132</f>
        <v>0</v>
      </c>
      <c r="F134" s="62"/>
      <c r="G134" s="62"/>
      <c r="H134" s="62"/>
      <c r="I134" s="62"/>
      <c r="J134" s="86"/>
      <c r="K134" s="62" t="s">
        <v>37</v>
      </c>
      <c r="L134" s="62" t="s">
        <v>5</v>
      </c>
      <c r="M134" s="86" t="s">
        <v>37</v>
      </c>
      <c r="N134" s="86" t="s">
        <v>3</v>
      </c>
      <c r="O134" s="87">
        <f>VLOOKUP($B134,BOM!$A$2:$K$94,10,0)</f>
        <v>0</v>
      </c>
      <c r="P134" s="87">
        <f t="shared" si="6"/>
        <v>0</v>
      </c>
    </row>
    <row r="135" spans="2:16" s="45" customFormat="1" ht="30">
      <c r="B135" s="62" t="s">
        <v>38</v>
      </c>
      <c r="C135" s="21" t="s">
        <v>39</v>
      </c>
      <c r="D135" s="85" t="s">
        <v>3</v>
      </c>
      <c r="E135" s="90">
        <f>E134</f>
        <v>0</v>
      </c>
      <c r="F135" s="62"/>
      <c r="G135" s="62"/>
      <c r="H135" s="62"/>
      <c r="I135" s="62"/>
      <c r="J135" s="86"/>
      <c r="K135" s="62" t="s">
        <v>25</v>
      </c>
      <c r="L135" s="62" t="s">
        <v>5</v>
      </c>
      <c r="M135" s="86" t="s">
        <v>6</v>
      </c>
      <c r="N135" s="86" t="s">
        <v>3</v>
      </c>
      <c r="O135" s="87">
        <f>VLOOKUP($B135,BOM!$A$2:$K$94,10,0)</f>
        <v>0</v>
      </c>
      <c r="P135" s="87">
        <f t="shared" si="6"/>
        <v>0</v>
      </c>
    </row>
    <row r="136" spans="2:16">
      <c r="B136" s="81"/>
      <c r="C136" s="82" t="s">
        <v>40</v>
      </c>
      <c r="D136" s="72"/>
      <c r="E136" s="72"/>
      <c r="F136" s="72"/>
      <c r="G136" s="72"/>
      <c r="H136" s="72">
        <v>28</v>
      </c>
      <c r="I136" s="72"/>
      <c r="J136" s="72"/>
      <c r="K136" s="83"/>
      <c r="L136" s="83"/>
      <c r="M136" s="83"/>
      <c r="N136" s="83"/>
      <c r="O136" s="87">
        <f>VLOOKUP($B136,BOM!$A$2:$K$94,10,0)</f>
        <v>0</v>
      </c>
      <c r="P136" s="87">
        <f t="shared" si="6"/>
        <v>0</v>
      </c>
    </row>
    <row r="137" spans="2:16" s="45" customFormat="1">
      <c r="B137" s="62" t="s">
        <v>41</v>
      </c>
      <c r="C137" s="21" t="s">
        <v>42</v>
      </c>
      <c r="D137" s="85" t="s">
        <v>3</v>
      </c>
      <c r="E137" s="85">
        <f>G136+H136</f>
        <v>28</v>
      </c>
      <c r="F137" s="62"/>
      <c r="G137" s="62"/>
      <c r="H137" s="62"/>
      <c r="I137" s="62"/>
      <c r="J137" s="86"/>
      <c r="K137" s="62" t="s">
        <v>4</v>
      </c>
      <c r="L137" s="62" t="s">
        <v>5</v>
      </c>
      <c r="M137" s="86" t="s">
        <v>6</v>
      </c>
      <c r="N137" s="86" t="s">
        <v>3</v>
      </c>
      <c r="O137" s="87">
        <f>VLOOKUP($B137,BOM!$A$2:$K$94,10,0)</f>
        <v>0</v>
      </c>
      <c r="P137" s="87">
        <f t="shared" si="6"/>
        <v>0</v>
      </c>
    </row>
    <row r="138" spans="2:16" s="45" customFormat="1">
      <c r="B138" s="65" t="s">
        <v>43</v>
      </c>
      <c r="C138" s="103" t="s">
        <v>44</v>
      </c>
      <c r="D138" s="85" t="s">
        <v>3</v>
      </c>
      <c r="E138" s="85">
        <f>E137</f>
        <v>28</v>
      </c>
      <c r="F138" s="62"/>
      <c r="G138" s="62"/>
      <c r="H138" s="62"/>
      <c r="I138" s="62"/>
      <c r="J138" s="86"/>
      <c r="K138" s="62" t="s">
        <v>4</v>
      </c>
      <c r="L138" s="62" t="s">
        <v>5</v>
      </c>
      <c r="M138" s="86" t="s">
        <v>6</v>
      </c>
      <c r="N138" s="86" t="s">
        <v>3</v>
      </c>
      <c r="O138" s="87">
        <f>VLOOKUP($B138,BOM!$A$2:$K$94,10,0)</f>
        <v>0</v>
      </c>
      <c r="P138" s="87">
        <f t="shared" si="6"/>
        <v>0</v>
      </c>
    </row>
    <row r="139" spans="2:16">
      <c r="B139" s="81"/>
      <c r="C139" s="82" t="s">
        <v>45</v>
      </c>
      <c r="D139" s="72"/>
      <c r="E139" s="72"/>
      <c r="F139" s="72"/>
      <c r="G139" s="72"/>
      <c r="H139" s="72"/>
      <c r="I139" s="72"/>
      <c r="J139" s="72"/>
      <c r="K139" s="83"/>
      <c r="L139" s="83"/>
      <c r="M139" s="83"/>
      <c r="N139" s="83"/>
      <c r="O139" s="87">
        <f>VLOOKUP($B139,BOM!$A$2:$K$94,10,0)</f>
        <v>0</v>
      </c>
      <c r="P139" s="87">
        <f t="shared" si="6"/>
        <v>0</v>
      </c>
    </row>
    <row r="140" spans="2:16" s="45" customFormat="1" ht="30">
      <c r="B140" s="62" t="s">
        <v>48</v>
      </c>
      <c r="C140" s="21" t="s">
        <v>49</v>
      </c>
      <c r="D140" s="85" t="s">
        <v>14</v>
      </c>
      <c r="E140" s="85">
        <f>E137+1</f>
        <v>29</v>
      </c>
      <c r="F140" s="62"/>
      <c r="G140" s="62"/>
      <c r="H140" s="62"/>
      <c r="I140" s="62"/>
      <c r="J140" s="86"/>
      <c r="K140" s="62"/>
      <c r="L140" s="62" t="s">
        <v>5</v>
      </c>
      <c r="M140" s="86" t="s">
        <v>6</v>
      </c>
      <c r="N140" s="86" t="s">
        <v>15</v>
      </c>
      <c r="O140" s="87">
        <f>VLOOKUP($B140,BOM!$A$2:$K$94,10,0)</f>
        <v>0</v>
      </c>
      <c r="P140" s="87">
        <f t="shared" si="6"/>
        <v>0</v>
      </c>
    </row>
    <row r="141" spans="2:16" s="45" customFormat="1" ht="30">
      <c r="B141" s="62" t="s">
        <v>48</v>
      </c>
      <c r="C141" s="21" t="s">
        <v>49</v>
      </c>
      <c r="D141" s="85" t="s">
        <v>14</v>
      </c>
      <c r="E141" s="90">
        <f>ROUNDUP(E140*0.2,0)</f>
        <v>6</v>
      </c>
      <c r="F141" s="62"/>
      <c r="G141" s="62"/>
      <c r="H141" s="62"/>
      <c r="I141" s="62"/>
      <c r="J141" s="86"/>
      <c r="K141" s="62" t="s">
        <v>4</v>
      </c>
      <c r="L141" s="62" t="s">
        <v>5</v>
      </c>
      <c r="M141" s="86" t="s">
        <v>6</v>
      </c>
      <c r="N141" s="86" t="s">
        <v>15</v>
      </c>
      <c r="O141" s="87">
        <f>VLOOKUP($B141,BOM!$A$2:$K$94,10,0)</f>
        <v>0</v>
      </c>
      <c r="P141" s="87">
        <f t="shared" si="6"/>
        <v>0</v>
      </c>
    </row>
    <row r="142" spans="2:16">
      <c r="B142" s="81"/>
      <c r="C142" s="82" t="s">
        <v>50</v>
      </c>
      <c r="D142" s="72"/>
      <c r="E142" s="72"/>
      <c r="F142" s="72"/>
      <c r="G142" s="72"/>
      <c r="H142" s="72"/>
      <c r="I142" s="72"/>
      <c r="J142" s="72"/>
      <c r="K142" s="83"/>
      <c r="L142" s="83"/>
      <c r="M142" s="83"/>
      <c r="N142" s="83"/>
      <c r="O142" s="87">
        <f>VLOOKUP($B142,BOM!$A$2:$K$94,10,0)</f>
        <v>0</v>
      </c>
      <c r="P142" s="87">
        <f t="shared" si="6"/>
        <v>0</v>
      </c>
    </row>
    <row r="143" spans="2:16" s="45" customFormat="1">
      <c r="B143" s="62" t="s">
        <v>332</v>
      </c>
      <c r="C143" s="21" t="s">
        <v>332</v>
      </c>
      <c r="D143" s="85" t="s">
        <v>51</v>
      </c>
      <c r="E143" s="85">
        <f>E128</f>
        <v>1</v>
      </c>
      <c r="F143" s="62"/>
      <c r="G143" s="62"/>
      <c r="H143" s="62"/>
      <c r="I143" s="62"/>
      <c r="J143" s="86"/>
      <c r="K143" s="62"/>
      <c r="L143" s="62"/>
      <c r="M143" s="86"/>
      <c r="N143" s="86" t="s">
        <v>51</v>
      </c>
      <c r="O143" s="87">
        <f>VLOOKUP($B143,BOM!$A$2:$K$94,10,0)</f>
        <v>0</v>
      </c>
      <c r="P143" s="87">
        <f t="shared" si="6"/>
        <v>0</v>
      </c>
    </row>
    <row r="144" spans="2:16" s="45" customFormat="1">
      <c r="B144" s="62" t="s">
        <v>52</v>
      </c>
      <c r="C144" s="21" t="s">
        <v>306</v>
      </c>
      <c r="D144" s="86" t="s">
        <v>54</v>
      </c>
      <c r="E144" s="105">
        <f>E141+E140</f>
        <v>35</v>
      </c>
      <c r="F144" s="62"/>
      <c r="G144" s="62"/>
      <c r="H144" s="62"/>
      <c r="I144" s="62"/>
      <c r="J144" s="86"/>
      <c r="K144" s="62"/>
      <c r="L144" s="62"/>
      <c r="M144" s="86" t="s">
        <v>55</v>
      </c>
      <c r="N144" s="86" t="s">
        <v>54</v>
      </c>
      <c r="O144" s="87">
        <f>VLOOKUP($B144,BOM!$A$2:$K$94,10,0)</f>
        <v>0</v>
      </c>
      <c r="P144" s="87">
        <f t="shared" si="6"/>
        <v>0</v>
      </c>
    </row>
    <row r="145" spans="1:16" s="45" customFormat="1" ht="30">
      <c r="B145" s="62" t="s">
        <v>56</v>
      </c>
      <c r="C145" s="21" t="s">
        <v>57</v>
      </c>
      <c r="D145" s="86" t="s">
        <v>14</v>
      </c>
      <c r="E145" s="105">
        <f>E114+E110</f>
        <v>4</v>
      </c>
      <c r="F145" s="62"/>
      <c r="G145" s="62"/>
      <c r="H145" s="62"/>
      <c r="I145" s="62"/>
      <c r="J145" s="86"/>
      <c r="K145" s="62"/>
      <c r="L145" s="62"/>
      <c r="M145" s="86" t="s">
        <v>55</v>
      </c>
      <c r="N145" s="86" t="s">
        <v>14</v>
      </c>
      <c r="O145" s="87">
        <f>VLOOKUP($B145,BOM!$A$2:$K$94,10,0)</f>
        <v>0</v>
      </c>
      <c r="P145" s="87">
        <f t="shared" si="6"/>
        <v>0</v>
      </c>
    </row>
    <row r="146" spans="1:16" s="45" customFormat="1" ht="30">
      <c r="B146" s="62" t="s">
        <v>58</v>
      </c>
      <c r="C146" s="21" t="s">
        <v>59</v>
      </c>
      <c r="D146" s="86" t="s">
        <v>60</v>
      </c>
      <c r="E146" s="105">
        <f>E145*2</f>
        <v>8</v>
      </c>
      <c r="F146" s="62"/>
      <c r="G146" s="62"/>
      <c r="H146" s="62"/>
      <c r="I146" s="62"/>
      <c r="J146" s="86"/>
      <c r="K146" s="62"/>
      <c r="L146" s="62"/>
      <c r="M146" s="86" t="s">
        <v>61</v>
      </c>
      <c r="N146" s="86" t="s">
        <v>60</v>
      </c>
      <c r="O146" s="87">
        <f>VLOOKUP($B146,BOM!$A$2:$K$94,10,0)</f>
        <v>0</v>
      </c>
      <c r="P146" s="87">
        <f t="shared" si="6"/>
        <v>0</v>
      </c>
    </row>
    <row r="147" spans="1:16" s="45" customFormat="1" ht="45">
      <c r="B147" s="62" t="s">
        <v>62</v>
      </c>
      <c r="C147" s="21" t="s">
        <v>63</v>
      </c>
      <c r="D147" s="86" t="s">
        <v>64</v>
      </c>
      <c r="E147" s="105">
        <f>E124</f>
        <v>2</v>
      </c>
      <c r="F147" s="62"/>
      <c r="G147" s="62"/>
      <c r="H147" s="62"/>
      <c r="I147" s="62"/>
      <c r="J147" s="86"/>
      <c r="K147" s="62"/>
      <c r="L147" s="62"/>
      <c r="M147" s="86" t="s">
        <v>61</v>
      </c>
      <c r="N147" s="86" t="s">
        <v>64</v>
      </c>
      <c r="O147" s="87">
        <f>VLOOKUP($B147,BOM!$A$2:$K$94,10,0)</f>
        <v>0</v>
      </c>
      <c r="P147" s="87">
        <f t="shared" si="6"/>
        <v>0</v>
      </c>
    </row>
    <row r="148" spans="1:16">
      <c r="A148" s="35">
        <v>3</v>
      </c>
      <c r="B148" s="36"/>
      <c r="C148" s="37" t="s">
        <v>73</v>
      </c>
      <c r="D148" s="38" t="s">
        <v>0</v>
      </c>
      <c r="E148" s="36">
        <v>1</v>
      </c>
      <c r="F148" s="36"/>
      <c r="G148" s="36">
        <v>8</v>
      </c>
      <c r="H148" s="36"/>
      <c r="I148" s="36"/>
      <c r="J148" s="36">
        <f>SUBTOTAL(9,J151:J175)</f>
        <v>14</v>
      </c>
      <c r="K148" s="39"/>
      <c r="L148" s="39"/>
      <c r="M148" s="39"/>
      <c r="N148" s="39"/>
      <c r="O148" s="87">
        <f>VLOOKUP($B148,BOM!$A$2:$K$94,10,0)</f>
        <v>0</v>
      </c>
      <c r="P148" s="87">
        <f t="shared" si="6"/>
        <v>0</v>
      </c>
    </row>
    <row r="149" spans="1:16">
      <c r="B149" s="81"/>
      <c r="C149" s="82" t="s">
        <v>124</v>
      </c>
      <c r="D149" s="72" t="s">
        <v>0</v>
      </c>
      <c r="E149" s="72">
        <v>1</v>
      </c>
      <c r="F149" s="72"/>
      <c r="G149" s="72"/>
      <c r="H149" s="72"/>
      <c r="I149" s="72"/>
      <c r="J149" s="72"/>
      <c r="K149" s="83"/>
      <c r="L149" s="83"/>
      <c r="M149" s="83"/>
      <c r="N149" s="83"/>
      <c r="O149" s="87">
        <f>VLOOKUP($B149,BOM!$A$2:$K$94,10,0)</f>
        <v>0</v>
      </c>
      <c r="P149" s="87">
        <f t="shared" si="6"/>
        <v>0</v>
      </c>
    </row>
    <row r="150" spans="1:16" s="19" customFormat="1" ht="30">
      <c r="B150" s="41" t="s">
        <v>226</v>
      </c>
      <c r="C150" s="46" t="s">
        <v>227</v>
      </c>
      <c r="D150" s="21"/>
      <c r="E150" s="22">
        <v>1</v>
      </c>
      <c r="F150" s="21"/>
      <c r="G150" s="21"/>
      <c r="H150" s="21"/>
      <c r="I150" s="21"/>
      <c r="J150" s="22"/>
      <c r="K150" s="21" t="s">
        <v>4</v>
      </c>
      <c r="L150" s="21" t="s">
        <v>203</v>
      </c>
      <c r="M150" s="22" t="s">
        <v>22</v>
      </c>
      <c r="N150" s="22" t="s">
        <v>3</v>
      </c>
      <c r="O150" s="87">
        <f>VLOOKUP($B150,BOM!$A$2:$K$94,10,0)</f>
        <v>0</v>
      </c>
      <c r="P150" s="87">
        <f t="shared" si="6"/>
        <v>0</v>
      </c>
    </row>
    <row r="151" spans="1:16" s="19" customFormat="1">
      <c r="B151" s="21" t="s">
        <v>122</v>
      </c>
      <c r="C151" s="21" t="s">
        <v>123</v>
      </c>
      <c r="D151" s="21"/>
      <c r="E151" s="22">
        <v>1</v>
      </c>
      <c r="F151" s="21"/>
      <c r="G151" s="21"/>
      <c r="H151" s="21"/>
      <c r="I151" s="21"/>
      <c r="J151" s="22">
        <v>1</v>
      </c>
      <c r="K151" s="21" t="s">
        <v>4</v>
      </c>
      <c r="L151" s="21" t="s">
        <v>5</v>
      </c>
      <c r="M151" s="22" t="s">
        <v>22</v>
      </c>
      <c r="N151" s="22" t="s">
        <v>3</v>
      </c>
      <c r="O151" s="87">
        <f>VLOOKUP($B151,BOM!$A$2:$K$94,10,0)</f>
        <v>0</v>
      </c>
      <c r="P151" s="87">
        <f t="shared" si="6"/>
        <v>0</v>
      </c>
    </row>
    <row r="152" spans="1:16">
      <c r="B152" s="81"/>
      <c r="C152" s="82" t="s">
        <v>1</v>
      </c>
      <c r="D152" s="72" t="s">
        <v>0</v>
      </c>
      <c r="E152" s="72">
        <v>1</v>
      </c>
      <c r="F152" s="72"/>
      <c r="G152" s="72">
        <f>ROUNDUP(G148/24,0)</f>
        <v>1</v>
      </c>
      <c r="H152" s="72">
        <f t="shared" ref="H152" si="7">ROUNDUP(H148/24,0)</f>
        <v>0</v>
      </c>
      <c r="I152" s="72"/>
      <c r="J152" s="72">
        <v>1</v>
      </c>
      <c r="K152" s="83"/>
      <c r="L152" s="83"/>
      <c r="M152" s="83"/>
      <c r="N152" s="83"/>
      <c r="O152" s="87">
        <f>VLOOKUP($B152,BOM!$A$2:$K$94,10,0)</f>
        <v>0</v>
      </c>
      <c r="P152" s="87">
        <f t="shared" si="6"/>
        <v>0</v>
      </c>
    </row>
    <row r="153" spans="1:16" s="45" customFormat="1">
      <c r="B153" s="62">
        <v>760249997</v>
      </c>
      <c r="C153" s="21" t="s">
        <v>2</v>
      </c>
      <c r="D153" s="85" t="s">
        <v>3</v>
      </c>
      <c r="E153" s="85">
        <f>ROUNDUP((E155+E159)/3,0)</f>
        <v>1</v>
      </c>
      <c r="F153" s="62"/>
      <c r="G153" s="62"/>
      <c r="H153" s="62"/>
      <c r="I153" s="62"/>
      <c r="J153" s="86">
        <f>E153</f>
        <v>1</v>
      </c>
      <c r="K153" s="62" t="s">
        <v>4</v>
      </c>
      <c r="L153" s="62" t="s">
        <v>5</v>
      </c>
      <c r="M153" s="86" t="s">
        <v>6</v>
      </c>
      <c r="N153" s="86" t="s">
        <v>3</v>
      </c>
      <c r="O153" s="87">
        <f>VLOOKUP($B153,BOM!$A$2:$K$94,10,0)</f>
        <v>0</v>
      </c>
      <c r="P153" s="87">
        <f t="shared" si="6"/>
        <v>0</v>
      </c>
    </row>
    <row r="154" spans="1:16" s="45" customFormat="1">
      <c r="B154" s="62">
        <v>760241378</v>
      </c>
      <c r="C154" s="21" t="s">
        <v>7</v>
      </c>
      <c r="D154" s="85" t="s">
        <v>3</v>
      </c>
      <c r="E154" s="85">
        <f>IF(E155&lt;=2,1,ROUNDUP(E153*1.5,0))</f>
        <v>1</v>
      </c>
      <c r="F154" s="62"/>
      <c r="G154" s="62"/>
      <c r="H154" s="62"/>
      <c r="I154" s="62"/>
      <c r="J154" s="86"/>
      <c r="K154" s="62" t="s">
        <v>4</v>
      </c>
      <c r="L154" s="62" t="s">
        <v>5</v>
      </c>
      <c r="M154" s="86" t="s">
        <v>6</v>
      </c>
      <c r="N154" s="86" t="s">
        <v>3</v>
      </c>
      <c r="O154" s="87">
        <f>VLOOKUP($B154,BOM!$A$2:$K$94,10,0)</f>
        <v>0</v>
      </c>
      <c r="P154" s="87">
        <f t="shared" si="6"/>
        <v>0</v>
      </c>
    </row>
    <row r="155" spans="1:16" s="45" customFormat="1">
      <c r="B155" s="62" t="s">
        <v>8</v>
      </c>
      <c r="C155" s="21" t="s">
        <v>9</v>
      </c>
      <c r="D155" s="85" t="s">
        <v>3</v>
      </c>
      <c r="E155" s="85">
        <f>G152</f>
        <v>1</v>
      </c>
      <c r="F155" s="62"/>
      <c r="G155" s="62"/>
      <c r="H155" s="62"/>
      <c r="I155" s="62"/>
      <c r="J155" s="86"/>
      <c r="K155" s="62" t="s">
        <v>4</v>
      </c>
      <c r="L155" s="62" t="s">
        <v>5</v>
      </c>
      <c r="M155" s="86" t="s">
        <v>6</v>
      </c>
      <c r="N155" s="86" t="s">
        <v>3</v>
      </c>
      <c r="O155" s="87">
        <f>VLOOKUP($B155,BOM!$A$2:$K$94,10,0)</f>
        <v>0</v>
      </c>
      <c r="P155" s="87">
        <f t="shared" si="6"/>
        <v>0</v>
      </c>
    </row>
    <row r="156" spans="1:16" s="45" customFormat="1">
      <c r="B156" s="62" t="s">
        <v>10</v>
      </c>
      <c r="C156" s="21" t="s">
        <v>11</v>
      </c>
      <c r="D156" s="85" t="s">
        <v>3</v>
      </c>
      <c r="E156" s="85">
        <f>E153*3-E155-E159</f>
        <v>2</v>
      </c>
      <c r="F156" s="62"/>
      <c r="G156" s="62"/>
      <c r="H156" s="62"/>
      <c r="I156" s="62"/>
      <c r="J156" s="86"/>
      <c r="K156" s="62" t="s">
        <v>4</v>
      </c>
      <c r="L156" s="62" t="s">
        <v>5</v>
      </c>
      <c r="M156" s="86" t="s">
        <v>6</v>
      </c>
      <c r="N156" s="86" t="s">
        <v>3</v>
      </c>
      <c r="O156" s="87">
        <f>VLOOKUP($B156,BOM!$A$2:$K$94,10,0)</f>
        <v>0</v>
      </c>
      <c r="P156" s="87">
        <f t="shared" si="6"/>
        <v>0</v>
      </c>
    </row>
    <row r="157" spans="1:16" s="45" customFormat="1">
      <c r="B157" s="62" t="s">
        <v>12</v>
      </c>
      <c r="C157" s="21" t="s">
        <v>13</v>
      </c>
      <c r="D157" s="85" t="s">
        <v>14</v>
      </c>
      <c r="E157" s="85">
        <f>G148/2</f>
        <v>4</v>
      </c>
      <c r="F157" s="62"/>
      <c r="G157" s="62"/>
      <c r="H157" s="62"/>
      <c r="I157" s="62"/>
      <c r="J157" s="86"/>
      <c r="K157" s="62" t="s">
        <v>4</v>
      </c>
      <c r="L157" s="62" t="s">
        <v>5</v>
      </c>
      <c r="M157" s="86" t="s">
        <v>6</v>
      </c>
      <c r="N157" s="86" t="s">
        <v>15</v>
      </c>
      <c r="O157" s="87">
        <f>VLOOKUP($B157,BOM!$A$2:$K$94,10,0)</f>
        <v>0</v>
      </c>
      <c r="P157" s="87">
        <f t="shared" si="6"/>
        <v>0</v>
      </c>
    </row>
    <row r="158" spans="1:16" s="45" customFormat="1" ht="30">
      <c r="B158" s="62" t="s">
        <v>16</v>
      </c>
      <c r="C158" s="21" t="s">
        <v>17</v>
      </c>
      <c r="D158" s="85" t="s">
        <v>14</v>
      </c>
      <c r="E158" s="85">
        <f>ROUNDUP((E164+E167)*1.3,0)</f>
        <v>2</v>
      </c>
      <c r="F158" s="62"/>
      <c r="G158" s="62"/>
      <c r="H158" s="62"/>
      <c r="I158" s="62"/>
      <c r="J158" s="86"/>
      <c r="K158" s="62" t="s">
        <v>4</v>
      </c>
      <c r="L158" s="62" t="s">
        <v>5</v>
      </c>
      <c r="M158" s="86" t="s">
        <v>6</v>
      </c>
      <c r="N158" s="86" t="s">
        <v>15</v>
      </c>
      <c r="O158" s="87">
        <f>VLOOKUP($B158,BOM!$A$2:$K$94,10,0)</f>
        <v>0</v>
      </c>
      <c r="P158" s="87">
        <f t="shared" si="6"/>
        <v>0</v>
      </c>
    </row>
    <row r="159" spans="1:16" s="110" customFormat="1">
      <c r="B159" s="66" t="s">
        <v>198</v>
      </c>
      <c r="C159" s="106" t="s">
        <v>199</v>
      </c>
      <c r="D159" s="89" t="s">
        <v>3</v>
      </c>
      <c r="E159" s="89">
        <f>H152</f>
        <v>0</v>
      </c>
      <c r="F159" s="66"/>
      <c r="G159" s="66"/>
      <c r="H159" s="66"/>
      <c r="I159" s="66"/>
      <c r="J159" s="107"/>
      <c r="K159" s="108" t="s">
        <v>4</v>
      </c>
      <c r="L159" s="108" t="s">
        <v>5</v>
      </c>
      <c r="M159" s="109" t="s">
        <v>6</v>
      </c>
      <c r="N159" s="109" t="s">
        <v>15</v>
      </c>
      <c r="O159" s="87">
        <f>VLOOKUP($B159,BOM!$A$2:$K$94,10,0)</f>
        <v>0</v>
      </c>
      <c r="P159" s="87">
        <f t="shared" si="6"/>
        <v>0</v>
      </c>
    </row>
    <row r="160" spans="1:16" s="111" customFormat="1">
      <c r="B160" s="66" t="s">
        <v>194</v>
      </c>
      <c r="C160" s="106" t="s">
        <v>195</v>
      </c>
      <c r="D160" s="89" t="s">
        <v>14</v>
      </c>
      <c r="E160" s="89">
        <v>0</v>
      </c>
      <c r="F160" s="108"/>
      <c r="G160" s="108"/>
      <c r="H160" s="108"/>
      <c r="I160" s="108"/>
      <c r="J160" s="109"/>
      <c r="K160" s="108" t="s">
        <v>4</v>
      </c>
      <c r="L160" s="108" t="s">
        <v>5</v>
      </c>
      <c r="M160" s="109" t="s">
        <v>6</v>
      </c>
      <c r="N160" s="109" t="s">
        <v>15</v>
      </c>
      <c r="O160" s="87">
        <f>VLOOKUP($B160,BOM!$A$2:$K$94,10,0)</f>
        <v>0</v>
      </c>
      <c r="P160" s="87">
        <f t="shared" si="6"/>
        <v>0</v>
      </c>
    </row>
    <row r="161" spans="2:16" s="110" customFormat="1">
      <c r="B161" s="66" t="s">
        <v>196</v>
      </c>
      <c r="C161" s="106" t="s">
        <v>197</v>
      </c>
      <c r="D161" s="89" t="s">
        <v>14</v>
      </c>
      <c r="E161" s="89">
        <f>H148/2</f>
        <v>0</v>
      </c>
      <c r="F161" s="66"/>
      <c r="G161" s="66"/>
      <c r="H161" s="66"/>
      <c r="I161" s="66"/>
      <c r="J161" s="107"/>
      <c r="K161" s="108" t="s">
        <v>4</v>
      </c>
      <c r="L161" s="108" t="s">
        <v>5</v>
      </c>
      <c r="M161" s="109" t="s">
        <v>6</v>
      </c>
      <c r="N161" s="109" t="s">
        <v>15</v>
      </c>
      <c r="O161" s="87">
        <f>VLOOKUP($B161,BOM!$A$2:$K$94,10,0)</f>
        <v>0</v>
      </c>
      <c r="P161" s="87">
        <f t="shared" si="6"/>
        <v>0</v>
      </c>
    </row>
    <row r="162" spans="2:16">
      <c r="B162" s="81"/>
      <c r="C162" s="82" t="s">
        <v>26</v>
      </c>
      <c r="D162" s="72" t="s">
        <v>0</v>
      </c>
      <c r="E162" s="72">
        <v>1</v>
      </c>
      <c r="F162" s="72"/>
      <c r="G162" s="72"/>
      <c r="H162" s="72"/>
      <c r="I162" s="72"/>
      <c r="J162" s="72"/>
      <c r="K162" s="83"/>
      <c r="L162" s="83"/>
      <c r="M162" s="83"/>
      <c r="N162" s="83"/>
      <c r="O162" s="87">
        <f>VLOOKUP($B162,BOM!$A$2:$K$94,10,0)</f>
        <v>0</v>
      </c>
      <c r="P162" s="87">
        <f t="shared" si="6"/>
        <v>0</v>
      </c>
    </row>
    <row r="163" spans="2:16" s="45" customFormat="1">
      <c r="B163" s="62"/>
      <c r="C163" s="21"/>
      <c r="D163" s="85"/>
      <c r="E163" s="90"/>
      <c r="F163" s="62"/>
      <c r="G163" s="62"/>
      <c r="H163" s="62"/>
      <c r="I163" s="62"/>
      <c r="J163" s="86"/>
      <c r="K163" s="62"/>
      <c r="L163" s="62"/>
      <c r="M163" s="86"/>
      <c r="N163" s="86"/>
      <c r="O163" s="87">
        <f>VLOOKUP($B163,BOM!$A$2:$K$94,10,0)</f>
        <v>0</v>
      </c>
      <c r="P163" s="87">
        <f t="shared" si="6"/>
        <v>0</v>
      </c>
    </row>
    <row r="164" spans="2:16" s="45" customFormat="1">
      <c r="B164" s="62"/>
      <c r="C164" s="21"/>
      <c r="D164" s="85"/>
      <c r="E164" s="90"/>
      <c r="F164" s="62"/>
      <c r="G164" s="62"/>
      <c r="H164" s="62"/>
      <c r="I164" s="62"/>
      <c r="J164" s="86"/>
      <c r="K164" s="62"/>
      <c r="L164" s="62"/>
      <c r="M164" s="86"/>
      <c r="N164" s="86"/>
      <c r="O164" s="87">
        <f>VLOOKUP($B164,BOM!$A$2:$K$94,10,0)</f>
        <v>0</v>
      </c>
      <c r="P164" s="87">
        <f t="shared" si="6"/>
        <v>0</v>
      </c>
    </row>
    <row r="165" spans="2:16">
      <c r="B165" s="81"/>
      <c r="C165" s="82" t="s">
        <v>145</v>
      </c>
      <c r="D165" s="72" t="s">
        <v>0</v>
      </c>
      <c r="E165" s="72">
        <v>2</v>
      </c>
      <c r="F165" s="72"/>
      <c r="G165" s="72"/>
      <c r="H165" s="72"/>
      <c r="I165" s="72"/>
      <c r="J165" s="72"/>
      <c r="K165" s="83"/>
      <c r="L165" s="83"/>
      <c r="M165" s="83"/>
      <c r="N165" s="83"/>
      <c r="O165" s="87">
        <f>VLOOKUP($B165,BOM!$A$2:$K$94,10,0)</f>
        <v>0</v>
      </c>
      <c r="P165" s="87">
        <f t="shared" si="6"/>
        <v>0</v>
      </c>
    </row>
    <row r="166" spans="2:16" s="45" customFormat="1">
      <c r="B166" s="41" t="s">
        <v>152</v>
      </c>
      <c r="C166" s="41" t="s">
        <v>153</v>
      </c>
      <c r="D166" s="42" t="s">
        <v>64</v>
      </c>
      <c r="E166" s="43">
        <v>1</v>
      </c>
      <c r="F166" s="41"/>
      <c r="G166" s="41"/>
      <c r="H166" s="41"/>
      <c r="I166" s="41"/>
      <c r="J166" s="44">
        <f>E166</f>
        <v>1</v>
      </c>
      <c r="K166" s="41" t="s">
        <v>143</v>
      </c>
      <c r="L166" s="41" t="s">
        <v>151</v>
      </c>
      <c r="M166" s="44" t="s">
        <v>144</v>
      </c>
      <c r="N166" s="44" t="s">
        <v>64</v>
      </c>
      <c r="O166" s="87">
        <f>VLOOKUP($B166,BOM!$A$2:$K$94,10,0)</f>
        <v>0</v>
      </c>
      <c r="P166" s="87">
        <f t="shared" si="6"/>
        <v>0</v>
      </c>
    </row>
    <row r="167" spans="2:16" s="45" customFormat="1">
      <c r="B167" s="41" t="s">
        <v>137</v>
      </c>
      <c r="C167" s="41" t="s">
        <v>138</v>
      </c>
      <c r="D167" s="42" t="s">
        <v>64</v>
      </c>
      <c r="E167" s="47">
        <f>E166</f>
        <v>1</v>
      </c>
      <c r="F167" s="41"/>
      <c r="G167" s="41"/>
      <c r="H167" s="41"/>
      <c r="I167" s="41"/>
      <c r="J167" s="44"/>
      <c r="K167" s="41" t="s">
        <v>143</v>
      </c>
      <c r="L167" s="41" t="s">
        <v>151</v>
      </c>
      <c r="M167" s="44" t="s">
        <v>144</v>
      </c>
      <c r="N167" s="44" t="s">
        <v>64</v>
      </c>
      <c r="O167" s="87">
        <f>VLOOKUP($B167,BOM!$A$2:$K$94,10,0)</f>
        <v>0</v>
      </c>
      <c r="P167" s="87">
        <f t="shared" si="6"/>
        <v>0</v>
      </c>
    </row>
    <row r="168" spans="2:16" outlineLevel="1">
      <c r="B168" s="117"/>
      <c r="C168" s="118" t="s">
        <v>67</v>
      </c>
      <c r="D168" s="119" t="s">
        <v>0</v>
      </c>
      <c r="E168" s="120">
        <v>1</v>
      </c>
      <c r="F168" s="121"/>
      <c r="G168" s="121"/>
      <c r="H168" s="121" t="s">
        <v>69</v>
      </c>
      <c r="I168" s="122"/>
      <c r="J168" s="122">
        <f t="shared" ref="J168:J169" si="8">E168</f>
        <v>1</v>
      </c>
      <c r="K168" s="63"/>
      <c r="L168" s="63"/>
      <c r="M168" s="63"/>
      <c r="N168" s="63"/>
      <c r="O168" s="87">
        <f>VLOOKUP($B168,BOM!$A$2:$K$94,10,0)</f>
        <v>0</v>
      </c>
      <c r="P168" s="87">
        <f t="shared" si="6"/>
        <v>0</v>
      </c>
    </row>
    <row r="169" spans="2:16" outlineLevel="1">
      <c r="B169" s="117"/>
      <c r="C169" s="118" t="s">
        <v>70</v>
      </c>
      <c r="D169" s="119" t="s">
        <v>0</v>
      </c>
      <c r="E169" s="120">
        <v>1</v>
      </c>
      <c r="F169" s="121"/>
      <c r="G169" s="121"/>
      <c r="H169" s="121" t="s">
        <v>69</v>
      </c>
      <c r="I169" s="122"/>
      <c r="J169" s="122">
        <f t="shared" si="8"/>
        <v>1</v>
      </c>
      <c r="K169" s="63"/>
      <c r="L169" s="63"/>
      <c r="M169" s="63"/>
      <c r="N169" s="63"/>
      <c r="O169" s="87">
        <f>VLOOKUP($B169,BOM!$A$2:$K$94,10,0)</f>
        <v>0</v>
      </c>
      <c r="P169" s="87">
        <f t="shared" si="6"/>
        <v>0</v>
      </c>
    </row>
    <row r="170" spans="2:16">
      <c r="B170" s="81"/>
      <c r="C170" s="82" t="s">
        <v>18</v>
      </c>
      <c r="D170" s="72" t="s">
        <v>0</v>
      </c>
      <c r="E170" s="72">
        <v>1</v>
      </c>
      <c r="F170" s="72"/>
      <c r="G170" s="72"/>
      <c r="H170" s="72"/>
      <c r="I170" s="72"/>
      <c r="J170" s="72"/>
      <c r="K170" s="83"/>
      <c r="L170" s="83"/>
      <c r="M170" s="83"/>
      <c r="N170" s="83"/>
      <c r="O170" s="87">
        <f>VLOOKUP($B170,BOM!$A$2:$K$94,10,0)</f>
        <v>0</v>
      </c>
      <c r="P170" s="87">
        <f t="shared" si="6"/>
        <v>0</v>
      </c>
    </row>
    <row r="171" spans="2:16" s="45" customFormat="1" ht="30">
      <c r="B171" s="62">
        <v>760237046</v>
      </c>
      <c r="C171" s="21" t="s">
        <v>19</v>
      </c>
      <c r="D171" s="85" t="s">
        <v>3</v>
      </c>
      <c r="E171" s="85">
        <f>E163+E166</f>
        <v>1</v>
      </c>
      <c r="F171" s="62"/>
      <c r="G171" s="62"/>
      <c r="H171" s="62"/>
      <c r="I171" s="62"/>
      <c r="J171" s="86">
        <f>E171</f>
        <v>1</v>
      </c>
      <c r="K171" s="62" t="s">
        <v>4</v>
      </c>
      <c r="L171" s="62" t="s">
        <v>5</v>
      </c>
      <c r="M171" s="86" t="s">
        <v>6</v>
      </c>
      <c r="N171" s="86" t="s">
        <v>3</v>
      </c>
      <c r="O171" s="87">
        <f>VLOOKUP($B171,BOM!$A$2:$K$94,10,0)</f>
        <v>0</v>
      </c>
      <c r="P171" s="87">
        <f t="shared" si="6"/>
        <v>0</v>
      </c>
    </row>
    <row r="172" spans="2:16" s="45" customFormat="1" ht="30">
      <c r="B172" s="62" t="s">
        <v>23</v>
      </c>
      <c r="C172" s="21" t="s">
        <v>24</v>
      </c>
      <c r="D172" s="85" t="s">
        <v>3</v>
      </c>
      <c r="E172" s="85">
        <f>E171*24</f>
        <v>24</v>
      </c>
      <c r="F172" s="62"/>
      <c r="G172" s="62"/>
      <c r="H172" s="62"/>
      <c r="I172" s="62"/>
      <c r="J172" s="86"/>
      <c r="K172" s="62" t="s">
        <v>25</v>
      </c>
      <c r="L172" s="62" t="s">
        <v>5</v>
      </c>
      <c r="M172" s="86" t="s">
        <v>6</v>
      </c>
      <c r="N172" s="86" t="s">
        <v>3</v>
      </c>
      <c r="O172" s="87">
        <f>VLOOKUP($B172,BOM!$A$2:$K$94,10,0)</f>
        <v>0</v>
      </c>
      <c r="P172" s="87">
        <f t="shared" si="6"/>
        <v>0</v>
      </c>
    </row>
    <row r="173" spans="2:16" s="45" customFormat="1">
      <c r="B173" s="62" t="s">
        <v>20</v>
      </c>
      <c r="C173" s="21" t="s">
        <v>21</v>
      </c>
      <c r="D173" s="85" t="s">
        <v>3</v>
      </c>
      <c r="E173" s="85">
        <f>E171</f>
        <v>1</v>
      </c>
      <c r="F173" s="62"/>
      <c r="G173" s="62"/>
      <c r="H173" s="62"/>
      <c r="I173" s="62"/>
      <c r="J173" s="86">
        <f>E173</f>
        <v>1</v>
      </c>
      <c r="K173" s="62" t="s">
        <v>4</v>
      </c>
      <c r="L173" s="62" t="s">
        <v>5</v>
      </c>
      <c r="M173" s="86" t="s">
        <v>22</v>
      </c>
      <c r="N173" s="86" t="s">
        <v>3</v>
      </c>
      <c r="O173" s="87">
        <f>VLOOKUP($B173,BOM!$A$2:$K$94,10,0)</f>
        <v>0</v>
      </c>
      <c r="P173" s="87">
        <f t="shared" si="6"/>
        <v>0</v>
      </c>
    </row>
    <row r="174" spans="2:16">
      <c r="B174" s="81"/>
      <c r="C174" s="82" t="s">
        <v>71</v>
      </c>
      <c r="D174" s="72" t="s">
        <v>0</v>
      </c>
      <c r="E174" s="72">
        <v>1</v>
      </c>
      <c r="F174" s="72"/>
      <c r="G174" s="72"/>
      <c r="H174" s="72"/>
      <c r="I174" s="72"/>
      <c r="J174" s="72"/>
      <c r="K174" s="83"/>
      <c r="L174" s="83"/>
      <c r="M174" s="83"/>
      <c r="N174" s="83"/>
      <c r="O174" s="87">
        <f>VLOOKUP($B174,BOM!$A$2:$K$94,10,0)</f>
        <v>0</v>
      </c>
      <c r="P174" s="87">
        <f t="shared" si="6"/>
        <v>0</v>
      </c>
    </row>
    <row r="175" spans="2:16" s="45" customFormat="1">
      <c r="B175" s="123" t="s">
        <v>312</v>
      </c>
      <c r="C175" s="41" t="s">
        <v>234</v>
      </c>
      <c r="D175" s="116" t="s">
        <v>51</v>
      </c>
      <c r="E175" s="85">
        <v>1</v>
      </c>
      <c r="F175" s="62"/>
      <c r="G175" s="62"/>
      <c r="H175" s="62"/>
      <c r="I175" s="62"/>
      <c r="J175" s="86">
        <f>E175*6</f>
        <v>6</v>
      </c>
      <c r="K175" s="62"/>
      <c r="L175" s="62" t="s">
        <v>5</v>
      </c>
      <c r="M175" s="86" t="s">
        <v>28</v>
      </c>
      <c r="N175" s="86" t="s">
        <v>3</v>
      </c>
      <c r="O175" s="87">
        <f>VLOOKUP($B175,BOM!$A$2:$K$94,10,0)</f>
        <v>0</v>
      </c>
      <c r="P175" s="87">
        <f t="shared" si="6"/>
        <v>0</v>
      </c>
    </row>
    <row r="176" spans="2:16" s="45" customFormat="1">
      <c r="B176" s="62"/>
      <c r="C176" s="21"/>
      <c r="D176" s="116"/>
      <c r="E176" s="85"/>
      <c r="F176" s="62"/>
      <c r="G176" s="62"/>
      <c r="H176" s="62"/>
      <c r="I176" s="62"/>
      <c r="J176" s="86"/>
      <c r="K176" s="62"/>
      <c r="L176" s="62"/>
      <c r="M176" s="86"/>
      <c r="N176" s="86"/>
      <c r="O176" s="87">
        <f>VLOOKUP($B176,BOM!$A$2:$K$94,10,0)</f>
        <v>0</v>
      </c>
      <c r="P176" s="87">
        <f t="shared" si="6"/>
        <v>0</v>
      </c>
    </row>
    <row r="177" spans="2:16" s="45" customFormat="1">
      <c r="B177" s="62" t="s">
        <v>225</v>
      </c>
      <c r="C177" s="21" t="s">
        <v>72</v>
      </c>
      <c r="D177" s="116" t="s">
        <v>64</v>
      </c>
      <c r="E177" s="85">
        <v>0</v>
      </c>
      <c r="F177" s="62"/>
      <c r="G177" s="62"/>
      <c r="H177" s="62"/>
      <c r="I177" s="62"/>
      <c r="J177" s="86"/>
      <c r="K177" s="62"/>
      <c r="L177" s="62" t="s">
        <v>5</v>
      </c>
      <c r="M177" s="86" t="s">
        <v>28</v>
      </c>
      <c r="N177" s="86" t="s">
        <v>3</v>
      </c>
      <c r="O177" s="87">
        <f>VLOOKUP($B177,BOM!$A$2:$K$94,10,0)</f>
        <v>0</v>
      </c>
      <c r="P177" s="87">
        <f t="shared" si="6"/>
        <v>0</v>
      </c>
    </row>
    <row r="178" spans="2:16">
      <c r="B178" s="81"/>
      <c r="C178" s="82" t="s">
        <v>31</v>
      </c>
      <c r="D178" s="72" t="s">
        <v>0</v>
      </c>
      <c r="E178" s="72">
        <v>1</v>
      </c>
      <c r="F178" s="72"/>
      <c r="G178" s="72"/>
      <c r="H178" s="72"/>
      <c r="I178" s="72"/>
      <c r="J178" s="72"/>
      <c r="K178" s="83"/>
      <c r="L178" s="83"/>
      <c r="M178" s="83"/>
      <c r="N178" s="83"/>
      <c r="O178" s="87">
        <f>VLOOKUP($B178,BOM!$A$2:$K$94,10,0)</f>
        <v>0</v>
      </c>
      <c r="P178" s="87">
        <f t="shared" si="6"/>
        <v>0</v>
      </c>
    </row>
    <row r="179" spans="2:16">
      <c r="B179" s="81"/>
      <c r="C179" s="82" t="s">
        <v>32</v>
      </c>
      <c r="D179" s="72"/>
      <c r="E179" s="72"/>
      <c r="F179" s="72"/>
      <c r="G179" s="72"/>
      <c r="H179" s="72"/>
      <c r="I179" s="72"/>
      <c r="J179" s="72"/>
      <c r="K179" s="83"/>
      <c r="L179" s="83"/>
      <c r="M179" s="83"/>
      <c r="N179" s="83"/>
      <c r="O179" s="87">
        <f>VLOOKUP($B179,BOM!$A$2:$K$94,10,0)</f>
        <v>0</v>
      </c>
      <c r="P179" s="87">
        <f t="shared" si="6"/>
        <v>0</v>
      </c>
    </row>
    <row r="180" spans="2:16" s="45" customFormat="1" ht="20.45" customHeight="1">
      <c r="B180" s="62" t="s">
        <v>33</v>
      </c>
      <c r="C180" s="21" t="s">
        <v>34</v>
      </c>
      <c r="D180" s="85" t="s">
        <v>3</v>
      </c>
      <c r="E180" s="90">
        <f>E181</f>
        <v>0</v>
      </c>
      <c r="F180" s="62"/>
      <c r="G180" s="62"/>
      <c r="H180" s="62"/>
      <c r="I180" s="62"/>
      <c r="J180" s="86"/>
      <c r="K180" s="62" t="s">
        <v>35</v>
      </c>
      <c r="L180" s="62" t="s">
        <v>5</v>
      </c>
      <c r="M180" s="86" t="s">
        <v>6</v>
      </c>
      <c r="N180" s="86" t="s">
        <v>3</v>
      </c>
      <c r="O180" s="87">
        <f>VLOOKUP($B180,BOM!$A$2:$K$94,10,0)</f>
        <v>0</v>
      </c>
      <c r="P180" s="87">
        <f t="shared" si="6"/>
        <v>0</v>
      </c>
    </row>
    <row r="181" spans="2:16" s="45" customFormat="1">
      <c r="B181" s="62" t="s">
        <v>330</v>
      </c>
      <c r="C181" s="21" t="s">
        <v>36</v>
      </c>
      <c r="D181" s="85" t="s">
        <v>3</v>
      </c>
      <c r="E181" s="90">
        <f>G179+H179</f>
        <v>0</v>
      </c>
      <c r="F181" s="62"/>
      <c r="G181" s="62"/>
      <c r="H181" s="62"/>
      <c r="I181" s="62"/>
      <c r="J181" s="86"/>
      <c r="K181" s="62" t="s">
        <v>37</v>
      </c>
      <c r="L181" s="62" t="s">
        <v>5</v>
      </c>
      <c r="M181" s="86" t="s">
        <v>37</v>
      </c>
      <c r="N181" s="86" t="s">
        <v>3</v>
      </c>
      <c r="O181" s="87">
        <f>VLOOKUP($B181,BOM!$A$2:$K$94,10,0)</f>
        <v>0</v>
      </c>
      <c r="P181" s="87">
        <f t="shared" si="6"/>
        <v>0</v>
      </c>
    </row>
    <row r="182" spans="2:16" s="45" customFormat="1" ht="30">
      <c r="B182" s="62" t="s">
        <v>38</v>
      </c>
      <c r="C182" s="21" t="s">
        <v>39</v>
      </c>
      <c r="D182" s="85" t="s">
        <v>3</v>
      </c>
      <c r="E182" s="90">
        <f>E181</f>
        <v>0</v>
      </c>
      <c r="F182" s="62"/>
      <c r="G182" s="62"/>
      <c r="H182" s="62"/>
      <c r="I182" s="62"/>
      <c r="J182" s="86"/>
      <c r="K182" s="62" t="s">
        <v>25</v>
      </c>
      <c r="L182" s="62" t="s">
        <v>5</v>
      </c>
      <c r="M182" s="86" t="s">
        <v>6</v>
      </c>
      <c r="N182" s="86" t="s">
        <v>3</v>
      </c>
      <c r="O182" s="87">
        <f>VLOOKUP($B182,BOM!$A$2:$K$94,10,0)</f>
        <v>0</v>
      </c>
      <c r="P182" s="87">
        <f t="shared" si="6"/>
        <v>0</v>
      </c>
    </row>
    <row r="183" spans="2:16">
      <c r="B183" s="81"/>
      <c r="C183" s="82" t="s">
        <v>40</v>
      </c>
      <c r="D183" s="72"/>
      <c r="E183" s="72"/>
      <c r="F183" s="72"/>
      <c r="G183" s="72"/>
      <c r="H183" s="72">
        <v>18</v>
      </c>
      <c r="I183" s="72"/>
      <c r="J183" s="72"/>
      <c r="K183" s="83"/>
      <c r="L183" s="83"/>
      <c r="M183" s="83"/>
      <c r="N183" s="83"/>
      <c r="O183" s="87">
        <f>VLOOKUP($B183,BOM!$A$2:$K$94,10,0)</f>
        <v>0</v>
      </c>
      <c r="P183" s="87">
        <f t="shared" si="6"/>
        <v>0</v>
      </c>
    </row>
    <row r="184" spans="2:16" s="45" customFormat="1">
      <c r="B184" s="62" t="s">
        <v>41</v>
      </c>
      <c r="C184" s="21" t="s">
        <v>42</v>
      </c>
      <c r="D184" s="85" t="s">
        <v>3</v>
      </c>
      <c r="E184" s="85">
        <f>G183+H183</f>
        <v>18</v>
      </c>
      <c r="F184" s="62"/>
      <c r="G184" s="62"/>
      <c r="H184" s="62"/>
      <c r="I184" s="62"/>
      <c r="J184" s="86"/>
      <c r="K184" s="62" t="s">
        <v>4</v>
      </c>
      <c r="L184" s="62" t="s">
        <v>5</v>
      </c>
      <c r="M184" s="86" t="s">
        <v>6</v>
      </c>
      <c r="N184" s="86" t="s">
        <v>3</v>
      </c>
      <c r="O184" s="87">
        <f>VLOOKUP($B184,BOM!$A$2:$K$94,10,0)</f>
        <v>0</v>
      </c>
      <c r="P184" s="87">
        <f t="shared" si="6"/>
        <v>0</v>
      </c>
    </row>
    <row r="185" spans="2:16" s="45" customFormat="1">
      <c r="B185" s="65" t="s">
        <v>43</v>
      </c>
      <c r="C185" s="103" t="s">
        <v>44</v>
      </c>
      <c r="D185" s="85" t="s">
        <v>3</v>
      </c>
      <c r="E185" s="85">
        <f>E184</f>
        <v>18</v>
      </c>
      <c r="F185" s="62"/>
      <c r="G185" s="62"/>
      <c r="H185" s="62"/>
      <c r="I185" s="62"/>
      <c r="J185" s="86"/>
      <c r="K185" s="62" t="s">
        <v>4</v>
      </c>
      <c r="L185" s="62" t="s">
        <v>5</v>
      </c>
      <c r="M185" s="86" t="s">
        <v>6</v>
      </c>
      <c r="N185" s="86" t="s">
        <v>3</v>
      </c>
      <c r="O185" s="87">
        <f>VLOOKUP($B185,BOM!$A$2:$K$94,10,0)</f>
        <v>0</v>
      </c>
      <c r="P185" s="87">
        <f t="shared" si="6"/>
        <v>0</v>
      </c>
    </row>
    <row r="186" spans="2:16">
      <c r="B186" s="81"/>
      <c r="C186" s="82" t="s">
        <v>45</v>
      </c>
      <c r="D186" s="72"/>
      <c r="E186" s="72"/>
      <c r="F186" s="72"/>
      <c r="G186" s="72"/>
      <c r="H186" s="72"/>
      <c r="I186" s="72"/>
      <c r="J186" s="72"/>
      <c r="K186" s="83"/>
      <c r="L186" s="83"/>
      <c r="M186" s="83"/>
      <c r="N186" s="83"/>
      <c r="O186" s="87">
        <f>VLOOKUP($B186,BOM!$A$2:$K$94,10,0)</f>
        <v>0</v>
      </c>
      <c r="P186" s="87">
        <f t="shared" si="6"/>
        <v>0</v>
      </c>
    </row>
    <row r="187" spans="2:16" s="45" customFormat="1" ht="30">
      <c r="B187" s="62" t="s">
        <v>48</v>
      </c>
      <c r="C187" s="21" t="s">
        <v>49</v>
      </c>
      <c r="D187" s="85" t="s">
        <v>14</v>
      </c>
      <c r="E187" s="85">
        <f>E184+1</f>
        <v>19</v>
      </c>
      <c r="F187" s="62"/>
      <c r="G187" s="62"/>
      <c r="H187" s="62"/>
      <c r="I187" s="62"/>
      <c r="J187" s="86"/>
      <c r="K187" s="62"/>
      <c r="L187" s="62" t="s">
        <v>5</v>
      </c>
      <c r="M187" s="86" t="s">
        <v>6</v>
      </c>
      <c r="N187" s="86" t="s">
        <v>15</v>
      </c>
      <c r="O187" s="87">
        <f>VLOOKUP($B187,BOM!$A$2:$K$94,10,0)</f>
        <v>0</v>
      </c>
      <c r="P187" s="87">
        <f t="shared" si="6"/>
        <v>0</v>
      </c>
    </row>
    <row r="188" spans="2:16" s="45" customFormat="1" ht="30">
      <c r="B188" s="62" t="s">
        <v>48</v>
      </c>
      <c r="C188" s="21" t="s">
        <v>49</v>
      </c>
      <c r="D188" s="85" t="s">
        <v>14</v>
      </c>
      <c r="E188" s="90">
        <f>ROUNDUP(E187*0.2,0)</f>
        <v>4</v>
      </c>
      <c r="F188" s="62"/>
      <c r="G188" s="62"/>
      <c r="H188" s="62"/>
      <c r="I188" s="62"/>
      <c r="J188" s="86"/>
      <c r="K188" s="62" t="s">
        <v>4</v>
      </c>
      <c r="L188" s="62" t="s">
        <v>5</v>
      </c>
      <c r="M188" s="86" t="s">
        <v>6</v>
      </c>
      <c r="N188" s="86" t="s">
        <v>15</v>
      </c>
      <c r="O188" s="87">
        <f>VLOOKUP($B188,BOM!$A$2:$K$94,10,0)</f>
        <v>0</v>
      </c>
      <c r="P188" s="87">
        <f t="shared" si="6"/>
        <v>0</v>
      </c>
    </row>
    <row r="189" spans="2:16">
      <c r="B189" s="81"/>
      <c r="C189" s="82" t="s">
        <v>50</v>
      </c>
      <c r="D189" s="72"/>
      <c r="E189" s="72"/>
      <c r="F189" s="72"/>
      <c r="G189" s="72"/>
      <c r="H189" s="72"/>
      <c r="I189" s="72"/>
      <c r="J189" s="72"/>
      <c r="K189" s="83"/>
      <c r="L189" s="83"/>
      <c r="M189" s="83"/>
      <c r="N189" s="83"/>
      <c r="O189" s="87">
        <f>VLOOKUP($B189,BOM!$A$2:$K$94,10,0)</f>
        <v>0</v>
      </c>
      <c r="P189" s="87">
        <f t="shared" si="6"/>
        <v>0</v>
      </c>
    </row>
    <row r="190" spans="2:16" s="45" customFormat="1">
      <c r="B190" s="62" t="s">
        <v>332</v>
      </c>
      <c r="C190" s="21" t="s">
        <v>332</v>
      </c>
      <c r="D190" s="85" t="s">
        <v>51</v>
      </c>
      <c r="E190" s="85">
        <f>E175</f>
        <v>1</v>
      </c>
      <c r="F190" s="62"/>
      <c r="G190" s="62"/>
      <c r="H190" s="62"/>
      <c r="I190" s="62"/>
      <c r="J190" s="86"/>
      <c r="K190" s="62"/>
      <c r="L190" s="62"/>
      <c r="M190" s="86"/>
      <c r="N190" s="86" t="s">
        <v>51</v>
      </c>
      <c r="O190" s="87">
        <f>VLOOKUP($B190,BOM!$A$2:$K$94,10,0)</f>
        <v>0</v>
      </c>
      <c r="P190" s="87">
        <f t="shared" si="6"/>
        <v>0</v>
      </c>
    </row>
    <row r="191" spans="2:16" s="45" customFormat="1">
      <c r="B191" s="62" t="s">
        <v>52</v>
      </c>
      <c r="C191" s="21" t="s">
        <v>53</v>
      </c>
      <c r="D191" s="86" t="s">
        <v>54</v>
      </c>
      <c r="E191" s="105">
        <f>E188+E187</f>
        <v>23</v>
      </c>
      <c r="F191" s="62"/>
      <c r="G191" s="62"/>
      <c r="H191" s="62"/>
      <c r="I191" s="62"/>
      <c r="J191" s="86"/>
      <c r="K191" s="62"/>
      <c r="L191" s="62"/>
      <c r="M191" s="86" t="s">
        <v>55</v>
      </c>
      <c r="N191" s="86" t="s">
        <v>54</v>
      </c>
      <c r="O191" s="87">
        <f>VLOOKUP($B191,BOM!$A$2:$K$94,10,0)</f>
        <v>0</v>
      </c>
      <c r="P191" s="87">
        <f t="shared" si="6"/>
        <v>0</v>
      </c>
    </row>
    <row r="192" spans="2:16" s="45" customFormat="1" ht="30">
      <c r="B192" s="62" t="s">
        <v>56</v>
      </c>
      <c r="C192" s="21" t="s">
        <v>57</v>
      </c>
      <c r="D192" s="86" t="s">
        <v>14</v>
      </c>
      <c r="E192" s="105">
        <f>E161+E157</f>
        <v>4</v>
      </c>
      <c r="F192" s="62"/>
      <c r="G192" s="62"/>
      <c r="H192" s="62"/>
      <c r="I192" s="62"/>
      <c r="J192" s="86"/>
      <c r="K192" s="62"/>
      <c r="L192" s="62"/>
      <c r="M192" s="86" t="s">
        <v>55</v>
      </c>
      <c r="N192" s="86" t="s">
        <v>14</v>
      </c>
      <c r="O192" s="87">
        <f>VLOOKUP($B192,BOM!$A$2:$K$94,10,0)</f>
        <v>0</v>
      </c>
      <c r="P192" s="87">
        <f t="shared" si="6"/>
        <v>0</v>
      </c>
    </row>
    <row r="193" spans="1:16" s="45" customFormat="1" ht="30">
      <c r="B193" s="62" t="s">
        <v>58</v>
      </c>
      <c r="C193" s="21" t="s">
        <v>59</v>
      </c>
      <c r="D193" s="86" t="s">
        <v>60</v>
      </c>
      <c r="E193" s="105">
        <f>E192*2</f>
        <v>8</v>
      </c>
      <c r="F193" s="62"/>
      <c r="G193" s="62"/>
      <c r="H193" s="62"/>
      <c r="I193" s="62"/>
      <c r="J193" s="86"/>
      <c r="K193" s="62"/>
      <c r="L193" s="62"/>
      <c r="M193" s="86" t="s">
        <v>61</v>
      </c>
      <c r="N193" s="86" t="s">
        <v>60</v>
      </c>
      <c r="O193" s="87">
        <f>VLOOKUP($B193,BOM!$A$2:$K$94,10,0)</f>
        <v>0</v>
      </c>
      <c r="P193" s="87">
        <f t="shared" si="6"/>
        <v>0</v>
      </c>
    </row>
    <row r="194" spans="1:16" s="45" customFormat="1" ht="45">
      <c r="B194" s="62" t="s">
        <v>62</v>
      </c>
      <c r="C194" s="21" t="s">
        <v>63</v>
      </c>
      <c r="D194" s="86" t="s">
        <v>64</v>
      </c>
      <c r="E194" s="105">
        <f>E171</f>
        <v>1</v>
      </c>
      <c r="F194" s="62"/>
      <c r="G194" s="62"/>
      <c r="H194" s="62"/>
      <c r="I194" s="62"/>
      <c r="J194" s="86"/>
      <c r="K194" s="62"/>
      <c r="L194" s="62"/>
      <c r="M194" s="86" t="s">
        <v>61</v>
      </c>
      <c r="N194" s="86" t="s">
        <v>64</v>
      </c>
      <c r="O194" s="87">
        <f>VLOOKUP($B194,BOM!$A$2:$K$94,10,0)</f>
        <v>0</v>
      </c>
      <c r="P194" s="87">
        <f t="shared" si="6"/>
        <v>0</v>
      </c>
    </row>
    <row r="195" spans="1:16">
      <c r="A195" s="35">
        <v>4</v>
      </c>
      <c r="B195" s="36"/>
      <c r="C195" s="37" t="s">
        <v>74</v>
      </c>
      <c r="D195" s="38" t="s">
        <v>0</v>
      </c>
      <c r="E195" s="36">
        <v>1</v>
      </c>
      <c r="F195" s="36"/>
      <c r="G195" s="36">
        <v>8</v>
      </c>
      <c r="H195" s="36"/>
      <c r="I195" s="36"/>
      <c r="J195" s="36">
        <f>SUBTOTAL(9,J198:J222)</f>
        <v>29</v>
      </c>
      <c r="K195" s="39"/>
      <c r="L195" s="39"/>
      <c r="M195" s="39"/>
      <c r="N195" s="39"/>
      <c r="O195" s="87">
        <f>VLOOKUP($B195,BOM!$A$2:$K$94,10,0)</f>
        <v>0</v>
      </c>
      <c r="P195" s="87">
        <f t="shared" si="6"/>
        <v>0</v>
      </c>
    </row>
    <row r="196" spans="1:16">
      <c r="B196" s="81"/>
      <c r="C196" s="82" t="s">
        <v>124</v>
      </c>
      <c r="D196" s="72" t="s">
        <v>0</v>
      </c>
      <c r="E196" s="72">
        <v>1</v>
      </c>
      <c r="F196" s="72"/>
      <c r="G196" s="72"/>
      <c r="H196" s="72"/>
      <c r="I196" s="72"/>
      <c r="J196" s="72"/>
      <c r="K196" s="83"/>
      <c r="L196" s="83"/>
      <c r="M196" s="83"/>
      <c r="N196" s="83"/>
      <c r="O196" s="87">
        <f>VLOOKUP($B196,BOM!$A$2:$K$94,10,0)</f>
        <v>0</v>
      </c>
      <c r="P196" s="87">
        <f t="shared" ref="P196:P259" si="9">O196*E196</f>
        <v>0</v>
      </c>
    </row>
    <row r="197" spans="1:16" s="19" customFormat="1">
      <c r="B197" s="66" t="s">
        <v>231</v>
      </c>
      <c r="C197" s="66" t="s">
        <v>232</v>
      </c>
      <c r="D197" s="21"/>
      <c r="E197" s="22">
        <v>1</v>
      </c>
      <c r="F197" s="21"/>
      <c r="G197" s="21"/>
      <c r="H197" s="21"/>
      <c r="I197" s="21"/>
      <c r="J197" s="22"/>
      <c r="K197" s="21" t="s">
        <v>4</v>
      </c>
      <c r="L197" s="21" t="s">
        <v>203</v>
      </c>
      <c r="M197" s="22" t="s">
        <v>22</v>
      </c>
      <c r="N197" s="22" t="s">
        <v>3</v>
      </c>
      <c r="O197" s="87">
        <f>VLOOKUP($B197,BOM!$A$2:$K$94,10,0)</f>
        <v>0</v>
      </c>
      <c r="P197" s="87">
        <f t="shared" si="9"/>
        <v>0</v>
      </c>
    </row>
    <row r="198" spans="1:16" s="19" customFormat="1">
      <c r="B198" s="21" t="s">
        <v>122</v>
      </c>
      <c r="C198" s="21" t="s">
        <v>123</v>
      </c>
      <c r="D198" s="21"/>
      <c r="E198" s="22">
        <v>1</v>
      </c>
      <c r="F198" s="21"/>
      <c r="G198" s="21"/>
      <c r="H198" s="21"/>
      <c r="I198" s="21"/>
      <c r="J198" s="22">
        <f>E198</f>
        <v>1</v>
      </c>
      <c r="K198" s="21" t="s">
        <v>4</v>
      </c>
      <c r="L198" s="21" t="s">
        <v>5</v>
      </c>
      <c r="M198" s="22" t="s">
        <v>22</v>
      </c>
      <c r="N198" s="22" t="s">
        <v>3</v>
      </c>
      <c r="O198" s="87">
        <f>VLOOKUP($B198,BOM!$A$2:$K$94,10,0)</f>
        <v>0</v>
      </c>
      <c r="P198" s="87">
        <f t="shared" si="9"/>
        <v>0</v>
      </c>
    </row>
    <row r="199" spans="1:16">
      <c r="B199" s="81"/>
      <c r="C199" s="82" t="s">
        <v>1</v>
      </c>
      <c r="D199" s="72" t="s">
        <v>0</v>
      </c>
      <c r="E199" s="72">
        <v>1</v>
      </c>
      <c r="F199" s="72"/>
      <c r="G199" s="72">
        <f>ROUNDUP(G195/24,0)</f>
        <v>1</v>
      </c>
      <c r="H199" s="72">
        <f t="shared" ref="H199" si="10">ROUNDUP(H195/24,0)</f>
        <v>0</v>
      </c>
      <c r="I199" s="72"/>
      <c r="J199" s="72">
        <v>2</v>
      </c>
      <c r="K199" s="83"/>
      <c r="L199" s="83"/>
      <c r="M199" s="83"/>
      <c r="N199" s="83"/>
      <c r="O199" s="87">
        <f>VLOOKUP($B199,BOM!$A$2:$K$94,10,0)</f>
        <v>0</v>
      </c>
      <c r="P199" s="87">
        <f t="shared" si="9"/>
        <v>0</v>
      </c>
    </row>
    <row r="200" spans="1:16" s="45" customFormat="1">
      <c r="B200" s="62">
        <v>760249997</v>
      </c>
      <c r="C200" s="21" t="s">
        <v>2</v>
      </c>
      <c r="D200" s="85" t="s">
        <v>3</v>
      </c>
      <c r="E200" s="85">
        <f>ROUNDUP((E202+E206)/3,0)</f>
        <v>1</v>
      </c>
      <c r="F200" s="62"/>
      <c r="G200" s="62"/>
      <c r="H200" s="62"/>
      <c r="I200" s="62"/>
      <c r="J200" s="86">
        <f>E200</f>
        <v>1</v>
      </c>
      <c r="K200" s="62" t="s">
        <v>4</v>
      </c>
      <c r="L200" s="62" t="s">
        <v>5</v>
      </c>
      <c r="M200" s="86" t="s">
        <v>6</v>
      </c>
      <c r="N200" s="86" t="s">
        <v>3</v>
      </c>
      <c r="O200" s="87">
        <f>VLOOKUP($B200,BOM!$A$2:$K$94,10,0)</f>
        <v>0</v>
      </c>
      <c r="P200" s="87">
        <f t="shared" si="9"/>
        <v>0</v>
      </c>
    </row>
    <row r="201" spans="1:16" s="45" customFormat="1">
      <c r="B201" s="62">
        <v>760241378</v>
      </c>
      <c r="C201" s="21" t="s">
        <v>7</v>
      </c>
      <c r="D201" s="85" t="s">
        <v>3</v>
      </c>
      <c r="E201" s="85">
        <f>IF(E202&lt;=2,1,ROUNDUP(E200*1.5,0))</f>
        <v>1</v>
      </c>
      <c r="F201" s="62"/>
      <c r="G201" s="62"/>
      <c r="H201" s="62"/>
      <c r="I201" s="62"/>
      <c r="J201" s="86"/>
      <c r="K201" s="62" t="s">
        <v>4</v>
      </c>
      <c r="L201" s="62" t="s">
        <v>5</v>
      </c>
      <c r="M201" s="86" t="s">
        <v>6</v>
      </c>
      <c r="N201" s="86" t="s">
        <v>3</v>
      </c>
      <c r="O201" s="87">
        <f>VLOOKUP($B201,BOM!$A$2:$K$94,10,0)</f>
        <v>0</v>
      </c>
      <c r="P201" s="87">
        <f t="shared" si="9"/>
        <v>0</v>
      </c>
    </row>
    <row r="202" spans="1:16" s="45" customFormat="1">
      <c r="B202" s="62" t="s">
        <v>8</v>
      </c>
      <c r="C202" s="21" t="s">
        <v>9</v>
      </c>
      <c r="D202" s="85" t="s">
        <v>3</v>
      </c>
      <c r="E202" s="85">
        <f>G199</f>
        <v>1</v>
      </c>
      <c r="F202" s="62"/>
      <c r="G202" s="62"/>
      <c r="H202" s="62"/>
      <c r="I202" s="62"/>
      <c r="J202" s="86"/>
      <c r="K202" s="62" t="s">
        <v>4</v>
      </c>
      <c r="L202" s="62" t="s">
        <v>5</v>
      </c>
      <c r="M202" s="86" t="s">
        <v>6</v>
      </c>
      <c r="N202" s="86" t="s">
        <v>3</v>
      </c>
      <c r="O202" s="87">
        <f>VLOOKUP($B202,BOM!$A$2:$K$94,10,0)</f>
        <v>0</v>
      </c>
      <c r="P202" s="87">
        <f t="shared" si="9"/>
        <v>0</v>
      </c>
    </row>
    <row r="203" spans="1:16" s="45" customFormat="1">
      <c r="B203" s="62" t="s">
        <v>10</v>
      </c>
      <c r="C203" s="21" t="s">
        <v>11</v>
      </c>
      <c r="D203" s="85" t="s">
        <v>3</v>
      </c>
      <c r="E203" s="85">
        <f>E200*3-E202-E206</f>
        <v>2</v>
      </c>
      <c r="F203" s="62"/>
      <c r="G203" s="62"/>
      <c r="H203" s="62"/>
      <c r="I203" s="62"/>
      <c r="J203" s="86"/>
      <c r="K203" s="62" t="s">
        <v>4</v>
      </c>
      <c r="L203" s="62" t="s">
        <v>5</v>
      </c>
      <c r="M203" s="86" t="s">
        <v>6</v>
      </c>
      <c r="N203" s="86" t="s">
        <v>3</v>
      </c>
      <c r="O203" s="87">
        <f>VLOOKUP($B203,BOM!$A$2:$K$94,10,0)</f>
        <v>0</v>
      </c>
      <c r="P203" s="87">
        <f t="shared" si="9"/>
        <v>0</v>
      </c>
    </row>
    <row r="204" spans="1:16" s="45" customFormat="1">
      <c r="B204" s="62" t="s">
        <v>12</v>
      </c>
      <c r="C204" s="21" t="s">
        <v>13</v>
      </c>
      <c r="D204" s="85" t="s">
        <v>14</v>
      </c>
      <c r="E204" s="85">
        <f>G195/2</f>
        <v>4</v>
      </c>
      <c r="F204" s="62"/>
      <c r="G204" s="62"/>
      <c r="H204" s="62"/>
      <c r="I204" s="62"/>
      <c r="J204" s="86"/>
      <c r="K204" s="62" t="s">
        <v>4</v>
      </c>
      <c r="L204" s="62" t="s">
        <v>5</v>
      </c>
      <c r="M204" s="86" t="s">
        <v>6</v>
      </c>
      <c r="N204" s="86" t="s">
        <v>15</v>
      </c>
      <c r="O204" s="87">
        <f>VLOOKUP($B204,BOM!$A$2:$K$94,10,0)</f>
        <v>0</v>
      </c>
      <c r="P204" s="87">
        <f t="shared" si="9"/>
        <v>0</v>
      </c>
    </row>
    <row r="205" spans="1:16" s="45" customFormat="1" ht="30">
      <c r="B205" s="62" t="s">
        <v>16</v>
      </c>
      <c r="C205" s="21" t="s">
        <v>17</v>
      </c>
      <c r="D205" s="85" t="s">
        <v>14</v>
      </c>
      <c r="E205" s="85">
        <f>ROUNDUP((E211+E214)*1.3,0)</f>
        <v>3</v>
      </c>
      <c r="F205" s="62"/>
      <c r="G205" s="62"/>
      <c r="H205" s="62"/>
      <c r="I205" s="62"/>
      <c r="J205" s="86"/>
      <c r="K205" s="62" t="s">
        <v>4</v>
      </c>
      <c r="L205" s="62" t="s">
        <v>5</v>
      </c>
      <c r="M205" s="86" t="s">
        <v>6</v>
      </c>
      <c r="N205" s="86" t="s">
        <v>15</v>
      </c>
      <c r="O205" s="87">
        <f>VLOOKUP($B205,BOM!$A$2:$K$94,10,0)</f>
        <v>0</v>
      </c>
      <c r="P205" s="87">
        <f t="shared" si="9"/>
        <v>0</v>
      </c>
    </row>
    <row r="206" spans="1:16" s="110" customFormat="1">
      <c r="B206" s="66" t="s">
        <v>198</v>
      </c>
      <c r="C206" s="106" t="s">
        <v>199</v>
      </c>
      <c r="D206" s="89" t="s">
        <v>3</v>
      </c>
      <c r="E206" s="89">
        <f>H199</f>
        <v>0</v>
      </c>
      <c r="F206" s="66"/>
      <c r="G206" s="66"/>
      <c r="H206" s="66"/>
      <c r="I206" s="66"/>
      <c r="J206" s="107"/>
      <c r="K206" s="108" t="s">
        <v>4</v>
      </c>
      <c r="L206" s="108" t="s">
        <v>5</v>
      </c>
      <c r="M206" s="109" t="s">
        <v>6</v>
      </c>
      <c r="N206" s="109" t="s">
        <v>15</v>
      </c>
      <c r="O206" s="87">
        <f>VLOOKUP($B206,BOM!$A$2:$K$94,10,0)</f>
        <v>0</v>
      </c>
      <c r="P206" s="87">
        <f t="shared" si="9"/>
        <v>0</v>
      </c>
    </row>
    <row r="207" spans="1:16" s="111" customFormat="1">
      <c r="B207" s="66" t="s">
        <v>194</v>
      </c>
      <c r="C207" s="106" t="s">
        <v>195</v>
      </c>
      <c r="D207" s="89" t="s">
        <v>14</v>
      </c>
      <c r="E207" s="89">
        <v>0</v>
      </c>
      <c r="F207" s="108"/>
      <c r="G207" s="108"/>
      <c r="H207" s="108"/>
      <c r="I207" s="108"/>
      <c r="J207" s="109"/>
      <c r="K207" s="108" t="s">
        <v>4</v>
      </c>
      <c r="L207" s="108" t="s">
        <v>5</v>
      </c>
      <c r="M207" s="109" t="s">
        <v>6</v>
      </c>
      <c r="N207" s="109" t="s">
        <v>15</v>
      </c>
      <c r="O207" s="87">
        <f>VLOOKUP($B207,BOM!$A$2:$K$94,10,0)</f>
        <v>0</v>
      </c>
      <c r="P207" s="87">
        <f t="shared" si="9"/>
        <v>0</v>
      </c>
    </row>
    <row r="208" spans="1:16" s="110" customFormat="1">
      <c r="B208" s="66" t="s">
        <v>196</v>
      </c>
      <c r="C208" s="106" t="s">
        <v>197</v>
      </c>
      <c r="D208" s="89" t="s">
        <v>14</v>
      </c>
      <c r="E208" s="89">
        <f>H195/2</f>
        <v>0</v>
      </c>
      <c r="F208" s="66"/>
      <c r="G208" s="66"/>
      <c r="H208" s="66"/>
      <c r="I208" s="66"/>
      <c r="J208" s="107"/>
      <c r="K208" s="108" t="s">
        <v>4</v>
      </c>
      <c r="L208" s="108" t="s">
        <v>5</v>
      </c>
      <c r="M208" s="109" t="s">
        <v>6</v>
      </c>
      <c r="N208" s="109" t="s">
        <v>15</v>
      </c>
      <c r="O208" s="87">
        <f>VLOOKUP($B208,BOM!$A$2:$K$94,10,0)</f>
        <v>0</v>
      </c>
      <c r="P208" s="87">
        <f t="shared" si="9"/>
        <v>0</v>
      </c>
    </row>
    <row r="209" spans="2:16">
      <c r="B209" s="81"/>
      <c r="C209" s="82" t="s">
        <v>26</v>
      </c>
      <c r="D209" s="72" t="s">
        <v>0</v>
      </c>
      <c r="E209" s="72">
        <v>1</v>
      </c>
      <c r="F209" s="72"/>
      <c r="G209" s="72"/>
      <c r="H209" s="72"/>
      <c r="I209" s="72"/>
      <c r="J209" s="72"/>
      <c r="K209" s="83"/>
      <c r="L209" s="83"/>
      <c r="M209" s="83"/>
      <c r="N209" s="83"/>
      <c r="O209" s="87">
        <f>VLOOKUP($B209,BOM!$A$2:$K$94,10,0)</f>
        <v>0</v>
      </c>
      <c r="P209" s="87">
        <f t="shared" si="9"/>
        <v>0</v>
      </c>
    </row>
    <row r="210" spans="2:16" s="45" customFormat="1">
      <c r="B210" s="62"/>
      <c r="C210" s="21"/>
      <c r="D210" s="85"/>
      <c r="E210" s="90"/>
      <c r="F210" s="62"/>
      <c r="G210" s="62"/>
      <c r="H210" s="62"/>
      <c r="I210" s="62"/>
      <c r="J210" s="86"/>
      <c r="K210" s="62"/>
      <c r="L210" s="62"/>
      <c r="M210" s="86"/>
      <c r="N210" s="86"/>
      <c r="O210" s="87">
        <f>VLOOKUP($B210,BOM!$A$2:$K$94,10,0)</f>
        <v>0</v>
      </c>
      <c r="P210" s="87">
        <f t="shared" si="9"/>
        <v>0</v>
      </c>
    </row>
    <row r="211" spans="2:16" s="45" customFormat="1">
      <c r="B211" s="62"/>
      <c r="C211" s="21"/>
      <c r="D211" s="85"/>
      <c r="E211" s="90"/>
      <c r="F211" s="62"/>
      <c r="G211" s="62"/>
      <c r="H211" s="62"/>
      <c r="I211" s="62"/>
      <c r="J211" s="86"/>
      <c r="K211" s="62"/>
      <c r="L211" s="62"/>
      <c r="M211" s="86"/>
      <c r="N211" s="86"/>
      <c r="O211" s="87">
        <f>VLOOKUP($B211,BOM!$A$2:$K$94,10,0)</f>
        <v>0</v>
      </c>
      <c r="P211" s="87">
        <f t="shared" si="9"/>
        <v>0</v>
      </c>
    </row>
    <row r="212" spans="2:16">
      <c r="B212" s="81"/>
      <c r="C212" s="82" t="s">
        <v>145</v>
      </c>
      <c r="D212" s="72" t="s">
        <v>0</v>
      </c>
      <c r="E212" s="72">
        <v>2</v>
      </c>
      <c r="F212" s="72"/>
      <c r="G212" s="72"/>
      <c r="H212" s="72"/>
      <c r="I212" s="72"/>
      <c r="J212" s="72"/>
      <c r="K212" s="83"/>
      <c r="L212" s="83"/>
      <c r="M212" s="83"/>
      <c r="N212" s="83"/>
      <c r="O212" s="87">
        <f>VLOOKUP($B212,BOM!$A$2:$K$94,10,0)</f>
        <v>0</v>
      </c>
      <c r="P212" s="87">
        <f t="shared" si="9"/>
        <v>0</v>
      </c>
    </row>
    <row r="213" spans="2:16" s="45" customFormat="1">
      <c r="B213" s="41" t="s">
        <v>152</v>
      </c>
      <c r="C213" s="41" t="s">
        <v>153</v>
      </c>
      <c r="D213" s="42" t="s">
        <v>64</v>
      </c>
      <c r="E213" s="43">
        <v>2</v>
      </c>
      <c r="F213" s="41"/>
      <c r="G213" s="41"/>
      <c r="H213" s="41"/>
      <c r="I213" s="41"/>
      <c r="J213" s="44">
        <f>E213</f>
        <v>2</v>
      </c>
      <c r="K213" s="41" t="s">
        <v>143</v>
      </c>
      <c r="L213" s="41" t="s">
        <v>151</v>
      </c>
      <c r="M213" s="44" t="s">
        <v>144</v>
      </c>
      <c r="N213" s="44" t="s">
        <v>64</v>
      </c>
      <c r="O213" s="87">
        <f>VLOOKUP($B213,BOM!$A$2:$K$94,10,0)</f>
        <v>0</v>
      </c>
      <c r="P213" s="87">
        <f t="shared" si="9"/>
        <v>0</v>
      </c>
    </row>
    <row r="214" spans="2:16" s="45" customFormat="1" ht="30">
      <c r="B214" s="41" t="s">
        <v>137</v>
      </c>
      <c r="C214" s="46" t="s">
        <v>138</v>
      </c>
      <c r="D214" s="42" t="s">
        <v>64</v>
      </c>
      <c r="E214" s="47">
        <f>E213</f>
        <v>2</v>
      </c>
      <c r="F214" s="41"/>
      <c r="G214" s="41"/>
      <c r="H214" s="41"/>
      <c r="I214" s="41"/>
      <c r="J214" s="44"/>
      <c r="K214" s="41" t="s">
        <v>143</v>
      </c>
      <c r="L214" s="41" t="s">
        <v>151</v>
      </c>
      <c r="M214" s="44" t="s">
        <v>144</v>
      </c>
      <c r="N214" s="44" t="s">
        <v>64</v>
      </c>
      <c r="O214" s="87">
        <f>VLOOKUP($B214,BOM!$A$2:$K$94,10,0)</f>
        <v>0</v>
      </c>
      <c r="P214" s="87">
        <f t="shared" si="9"/>
        <v>0</v>
      </c>
    </row>
    <row r="215" spans="2:16" outlineLevel="1">
      <c r="B215" s="117"/>
      <c r="C215" s="118" t="s">
        <v>223</v>
      </c>
      <c r="D215" s="119" t="s">
        <v>0</v>
      </c>
      <c r="E215" s="120">
        <v>6</v>
      </c>
      <c r="F215" s="121"/>
      <c r="G215" s="121"/>
      <c r="H215" s="121" t="s">
        <v>69</v>
      </c>
      <c r="I215" s="122"/>
      <c r="J215" s="105">
        <f>E215*3</f>
        <v>18</v>
      </c>
      <c r="K215" s="63"/>
      <c r="L215" s="63"/>
      <c r="M215" s="63"/>
      <c r="N215" s="63"/>
      <c r="O215" s="87">
        <f>VLOOKUP($B215,BOM!$A$2:$K$94,10,0)</f>
        <v>0</v>
      </c>
      <c r="P215" s="87">
        <f t="shared" si="9"/>
        <v>0</v>
      </c>
    </row>
    <row r="216" spans="2:16" outlineLevel="1">
      <c r="B216" s="117"/>
      <c r="C216" s="118" t="s">
        <v>70</v>
      </c>
      <c r="D216" s="119" t="s">
        <v>0</v>
      </c>
      <c r="E216" s="120">
        <v>1</v>
      </c>
      <c r="F216" s="121"/>
      <c r="G216" s="121"/>
      <c r="H216" s="121" t="s">
        <v>69</v>
      </c>
      <c r="I216" s="122"/>
      <c r="J216" s="122">
        <f t="shared" ref="J216" si="11">E216</f>
        <v>1</v>
      </c>
      <c r="K216" s="63"/>
      <c r="L216" s="63"/>
      <c r="M216" s="63"/>
      <c r="N216" s="63"/>
      <c r="O216" s="87">
        <f>VLOOKUP($B216,BOM!$A$2:$K$94,10,0)</f>
        <v>0</v>
      </c>
      <c r="P216" s="87">
        <f t="shared" si="9"/>
        <v>0</v>
      </c>
    </row>
    <row r="217" spans="2:16">
      <c r="B217" s="81"/>
      <c r="C217" s="82" t="s">
        <v>18</v>
      </c>
      <c r="D217" s="72" t="s">
        <v>0</v>
      </c>
      <c r="E217" s="72">
        <v>1</v>
      </c>
      <c r="F217" s="72"/>
      <c r="G217" s="72"/>
      <c r="H217" s="72"/>
      <c r="I217" s="72"/>
      <c r="J217" s="72"/>
      <c r="K217" s="83"/>
      <c r="L217" s="83"/>
      <c r="M217" s="83"/>
      <c r="N217" s="83"/>
      <c r="O217" s="87">
        <f>VLOOKUP($B217,BOM!$A$2:$K$94,10,0)</f>
        <v>0</v>
      </c>
      <c r="P217" s="87">
        <f t="shared" si="9"/>
        <v>0</v>
      </c>
    </row>
    <row r="218" spans="2:16" s="45" customFormat="1" ht="30">
      <c r="B218" s="62">
        <v>760237046</v>
      </c>
      <c r="C218" s="21" t="s">
        <v>19</v>
      </c>
      <c r="D218" s="85" t="s">
        <v>3</v>
      </c>
      <c r="E218" s="85">
        <f>E210+E213</f>
        <v>2</v>
      </c>
      <c r="F218" s="62"/>
      <c r="G218" s="62"/>
      <c r="H218" s="62"/>
      <c r="I218" s="62"/>
      <c r="J218" s="86">
        <f>E218</f>
        <v>2</v>
      </c>
      <c r="K218" s="62" t="s">
        <v>4</v>
      </c>
      <c r="L218" s="62" t="s">
        <v>5</v>
      </c>
      <c r="M218" s="86" t="s">
        <v>6</v>
      </c>
      <c r="N218" s="86" t="s">
        <v>3</v>
      </c>
      <c r="O218" s="87">
        <f>VLOOKUP($B218,BOM!$A$2:$K$94,10,0)</f>
        <v>0</v>
      </c>
      <c r="P218" s="87">
        <f t="shared" si="9"/>
        <v>0</v>
      </c>
    </row>
    <row r="219" spans="2:16" s="45" customFormat="1" ht="30">
      <c r="B219" s="62" t="s">
        <v>23</v>
      </c>
      <c r="C219" s="21" t="s">
        <v>24</v>
      </c>
      <c r="D219" s="85" t="s">
        <v>3</v>
      </c>
      <c r="E219" s="85">
        <f>E218*24</f>
        <v>48</v>
      </c>
      <c r="F219" s="62"/>
      <c r="G219" s="62"/>
      <c r="H219" s="62"/>
      <c r="I219" s="62"/>
      <c r="J219" s="86"/>
      <c r="K219" s="62" t="s">
        <v>25</v>
      </c>
      <c r="L219" s="62" t="s">
        <v>5</v>
      </c>
      <c r="M219" s="86" t="s">
        <v>6</v>
      </c>
      <c r="N219" s="86" t="s">
        <v>3</v>
      </c>
      <c r="O219" s="87">
        <f>VLOOKUP($B219,BOM!$A$2:$K$94,10,0)</f>
        <v>0</v>
      </c>
      <c r="P219" s="87">
        <f t="shared" si="9"/>
        <v>0</v>
      </c>
    </row>
    <row r="220" spans="2:16" s="45" customFormat="1">
      <c r="B220" s="62" t="s">
        <v>20</v>
      </c>
      <c r="C220" s="21" t="s">
        <v>21</v>
      </c>
      <c r="D220" s="85" t="s">
        <v>3</v>
      </c>
      <c r="E220" s="85">
        <f>E218</f>
        <v>2</v>
      </c>
      <c r="F220" s="62"/>
      <c r="G220" s="62"/>
      <c r="H220" s="62"/>
      <c r="I220" s="62"/>
      <c r="J220" s="86">
        <f>E220</f>
        <v>2</v>
      </c>
      <c r="K220" s="62" t="s">
        <v>4</v>
      </c>
      <c r="L220" s="62" t="s">
        <v>5</v>
      </c>
      <c r="M220" s="86" t="s">
        <v>22</v>
      </c>
      <c r="N220" s="86" t="s">
        <v>3</v>
      </c>
      <c r="O220" s="87">
        <f>VLOOKUP($B220,BOM!$A$2:$K$94,10,0)</f>
        <v>0</v>
      </c>
      <c r="P220" s="87">
        <f t="shared" si="9"/>
        <v>0</v>
      </c>
    </row>
    <row r="221" spans="2:16">
      <c r="B221" s="81"/>
      <c r="C221" s="82" t="s">
        <v>71</v>
      </c>
      <c r="D221" s="72" t="s">
        <v>0</v>
      </c>
      <c r="E221" s="72">
        <v>1</v>
      </c>
      <c r="F221" s="72"/>
      <c r="G221" s="72"/>
      <c r="H221" s="72"/>
      <c r="I221" s="72"/>
      <c r="J221" s="72"/>
      <c r="K221" s="83"/>
      <c r="L221" s="83"/>
      <c r="M221" s="83"/>
      <c r="N221" s="83"/>
      <c r="O221" s="87">
        <f>VLOOKUP($B221,BOM!$A$2:$K$94,10,0)</f>
        <v>0</v>
      </c>
      <c r="P221" s="87">
        <f t="shared" si="9"/>
        <v>0</v>
      </c>
    </row>
    <row r="222" spans="2:16" s="45" customFormat="1">
      <c r="B222" s="62" t="s">
        <v>237</v>
      </c>
      <c r="C222" s="62" t="s">
        <v>238</v>
      </c>
      <c r="D222" s="116" t="s">
        <v>51</v>
      </c>
      <c r="E222" s="85">
        <v>0</v>
      </c>
      <c r="F222" s="62"/>
      <c r="G222" s="62"/>
      <c r="H222" s="62"/>
      <c r="I222" s="62"/>
      <c r="J222" s="86">
        <f>E222*8</f>
        <v>0</v>
      </c>
      <c r="K222" s="62"/>
      <c r="L222" s="62" t="s">
        <v>5</v>
      </c>
      <c r="M222" s="86" t="s">
        <v>28</v>
      </c>
      <c r="N222" s="86" t="s">
        <v>3</v>
      </c>
      <c r="O222" s="87">
        <f>VLOOKUP($B222,BOM!$A$2:$K$94,10,0)</f>
        <v>0</v>
      </c>
      <c r="P222" s="87">
        <f t="shared" si="9"/>
        <v>0</v>
      </c>
    </row>
    <row r="223" spans="2:16" s="45" customFormat="1">
      <c r="B223" s="62"/>
      <c r="C223" s="21"/>
      <c r="D223" s="116"/>
      <c r="E223" s="85"/>
      <c r="F223" s="62"/>
      <c r="G223" s="62"/>
      <c r="H223" s="62"/>
      <c r="I223" s="62"/>
      <c r="J223" s="86"/>
      <c r="K223" s="62"/>
      <c r="L223" s="62"/>
      <c r="M223" s="86"/>
      <c r="N223" s="86"/>
      <c r="O223" s="87">
        <f>VLOOKUP($B223,BOM!$A$2:$K$94,10,0)</f>
        <v>0</v>
      </c>
      <c r="P223" s="87">
        <f t="shared" si="9"/>
        <v>0</v>
      </c>
    </row>
    <row r="224" spans="2:16" s="45" customFormat="1">
      <c r="B224" s="62" t="s">
        <v>318</v>
      </c>
      <c r="C224" s="62" t="s">
        <v>241</v>
      </c>
      <c r="D224" s="116" t="s">
        <v>51</v>
      </c>
      <c r="E224" s="85">
        <v>1</v>
      </c>
      <c r="F224" s="62"/>
      <c r="G224" s="62"/>
      <c r="H224" s="62"/>
      <c r="I224" s="62"/>
      <c r="J224" s="86">
        <f>E224*11</f>
        <v>11</v>
      </c>
      <c r="K224" s="62"/>
      <c r="L224" s="62" t="s">
        <v>5</v>
      </c>
      <c r="M224" s="86" t="s">
        <v>28</v>
      </c>
      <c r="N224" s="86" t="s">
        <v>3</v>
      </c>
      <c r="O224" s="87">
        <f>VLOOKUP($B224,BOM!$A$2:$K$94,10,0)</f>
        <v>0</v>
      </c>
      <c r="P224" s="87">
        <f t="shared" si="9"/>
        <v>0</v>
      </c>
    </row>
    <row r="225" spans="2:16" s="45" customFormat="1">
      <c r="B225" s="62" t="s">
        <v>225</v>
      </c>
      <c r="C225" s="21" t="s">
        <v>72</v>
      </c>
      <c r="D225" s="116" t="s">
        <v>64</v>
      </c>
      <c r="E225" s="85">
        <v>0</v>
      </c>
      <c r="F225" s="62"/>
      <c r="G225" s="62"/>
      <c r="H225" s="62"/>
      <c r="I225" s="62"/>
      <c r="J225" s="86"/>
      <c r="K225" s="62"/>
      <c r="L225" s="62" t="s">
        <v>5</v>
      </c>
      <c r="M225" s="86" t="s">
        <v>28</v>
      </c>
      <c r="N225" s="86" t="s">
        <v>3</v>
      </c>
      <c r="O225" s="87">
        <f>VLOOKUP($B225,BOM!$A$2:$K$94,10,0)</f>
        <v>0</v>
      </c>
      <c r="P225" s="87">
        <f t="shared" si="9"/>
        <v>0</v>
      </c>
    </row>
    <row r="226" spans="2:16">
      <c r="B226" s="81"/>
      <c r="C226" s="82" t="s">
        <v>31</v>
      </c>
      <c r="D226" s="72" t="s">
        <v>0</v>
      </c>
      <c r="E226" s="72">
        <v>1</v>
      </c>
      <c r="F226" s="72"/>
      <c r="G226" s="72"/>
      <c r="H226" s="72"/>
      <c r="I226" s="72"/>
      <c r="J226" s="72"/>
      <c r="K226" s="83"/>
      <c r="L226" s="83"/>
      <c r="M226" s="83"/>
      <c r="N226" s="83"/>
      <c r="O226" s="87">
        <f>VLOOKUP($B226,BOM!$A$2:$K$94,10,0)</f>
        <v>0</v>
      </c>
      <c r="P226" s="87">
        <f t="shared" si="9"/>
        <v>0</v>
      </c>
    </row>
    <row r="227" spans="2:16">
      <c r="B227" s="81"/>
      <c r="C227" s="82" t="s">
        <v>32</v>
      </c>
      <c r="D227" s="72"/>
      <c r="E227" s="72"/>
      <c r="F227" s="72"/>
      <c r="G227" s="72"/>
      <c r="H227" s="72"/>
      <c r="I227" s="72"/>
      <c r="J227" s="72"/>
      <c r="K227" s="83"/>
      <c r="L227" s="83"/>
      <c r="M227" s="83"/>
      <c r="N227" s="83"/>
      <c r="O227" s="87">
        <f>VLOOKUP($B227,BOM!$A$2:$K$94,10,0)</f>
        <v>0</v>
      </c>
      <c r="P227" s="87">
        <f t="shared" si="9"/>
        <v>0</v>
      </c>
    </row>
    <row r="228" spans="2:16" s="45" customFormat="1" ht="20.45" customHeight="1">
      <c r="B228" s="62" t="s">
        <v>33</v>
      </c>
      <c r="C228" s="21" t="s">
        <v>34</v>
      </c>
      <c r="D228" s="85" t="s">
        <v>3</v>
      </c>
      <c r="E228" s="90">
        <f>E229</f>
        <v>0</v>
      </c>
      <c r="F228" s="62"/>
      <c r="G228" s="62"/>
      <c r="H228" s="62"/>
      <c r="I228" s="62"/>
      <c r="J228" s="86"/>
      <c r="K228" s="62" t="s">
        <v>35</v>
      </c>
      <c r="L228" s="62" t="s">
        <v>5</v>
      </c>
      <c r="M228" s="86" t="s">
        <v>6</v>
      </c>
      <c r="N228" s="86" t="s">
        <v>3</v>
      </c>
      <c r="O228" s="87">
        <f>VLOOKUP($B228,BOM!$A$2:$K$94,10,0)</f>
        <v>0</v>
      </c>
      <c r="P228" s="87">
        <f t="shared" si="9"/>
        <v>0</v>
      </c>
    </row>
    <row r="229" spans="2:16" s="45" customFormat="1">
      <c r="B229" s="62" t="s">
        <v>330</v>
      </c>
      <c r="C229" s="21" t="s">
        <v>36</v>
      </c>
      <c r="D229" s="85" t="s">
        <v>3</v>
      </c>
      <c r="E229" s="90">
        <f>G227+H227</f>
        <v>0</v>
      </c>
      <c r="F229" s="62"/>
      <c r="G229" s="62"/>
      <c r="H229" s="62"/>
      <c r="I229" s="62"/>
      <c r="J229" s="86"/>
      <c r="K229" s="62" t="s">
        <v>37</v>
      </c>
      <c r="L229" s="62" t="s">
        <v>5</v>
      </c>
      <c r="M229" s="86" t="s">
        <v>37</v>
      </c>
      <c r="N229" s="86" t="s">
        <v>3</v>
      </c>
      <c r="O229" s="87">
        <f>VLOOKUP($B229,BOM!$A$2:$K$94,10,0)</f>
        <v>0</v>
      </c>
      <c r="P229" s="87">
        <f t="shared" si="9"/>
        <v>0</v>
      </c>
    </row>
    <row r="230" spans="2:16" s="45" customFormat="1" ht="30">
      <c r="B230" s="62" t="s">
        <v>38</v>
      </c>
      <c r="C230" s="21" t="s">
        <v>39</v>
      </c>
      <c r="D230" s="85" t="s">
        <v>3</v>
      </c>
      <c r="E230" s="90">
        <f>E229</f>
        <v>0</v>
      </c>
      <c r="F230" s="62"/>
      <c r="G230" s="62"/>
      <c r="H230" s="62"/>
      <c r="I230" s="62"/>
      <c r="J230" s="86"/>
      <c r="K230" s="62" t="s">
        <v>25</v>
      </c>
      <c r="L230" s="62" t="s">
        <v>5</v>
      </c>
      <c r="M230" s="86" t="s">
        <v>6</v>
      </c>
      <c r="N230" s="86" t="s">
        <v>3</v>
      </c>
      <c r="O230" s="87">
        <f>VLOOKUP($B230,BOM!$A$2:$K$94,10,0)</f>
        <v>0</v>
      </c>
      <c r="P230" s="87">
        <f t="shared" si="9"/>
        <v>0</v>
      </c>
    </row>
    <row r="231" spans="2:16">
      <c r="B231" s="81"/>
      <c r="C231" s="82" t="s">
        <v>40</v>
      </c>
      <c r="D231" s="72"/>
      <c r="E231" s="72"/>
      <c r="F231" s="72"/>
      <c r="G231" s="72"/>
      <c r="H231" s="72">
        <v>34</v>
      </c>
      <c r="I231" s="72"/>
      <c r="J231" s="72"/>
      <c r="K231" s="83"/>
      <c r="L231" s="83"/>
      <c r="M231" s="83"/>
      <c r="N231" s="83"/>
      <c r="O231" s="87">
        <f>VLOOKUP($B231,BOM!$A$2:$K$94,10,0)</f>
        <v>0</v>
      </c>
      <c r="P231" s="87">
        <f t="shared" si="9"/>
        <v>0</v>
      </c>
    </row>
    <row r="232" spans="2:16" s="45" customFormat="1">
      <c r="B232" s="62" t="s">
        <v>41</v>
      </c>
      <c r="C232" s="21" t="s">
        <v>42</v>
      </c>
      <c r="D232" s="85" t="s">
        <v>3</v>
      </c>
      <c r="E232" s="85">
        <f>G231+H231</f>
        <v>34</v>
      </c>
      <c r="F232" s="62"/>
      <c r="G232" s="62"/>
      <c r="H232" s="62"/>
      <c r="I232" s="62"/>
      <c r="J232" s="86"/>
      <c r="K232" s="62" t="s">
        <v>4</v>
      </c>
      <c r="L232" s="62" t="s">
        <v>5</v>
      </c>
      <c r="M232" s="86" t="s">
        <v>6</v>
      </c>
      <c r="N232" s="86" t="s">
        <v>3</v>
      </c>
      <c r="O232" s="87">
        <f>VLOOKUP($B232,BOM!$A$2:$K$94,10,0)</f>
        <v>0</v>
      </c>
      <c r="P232" s="87">
        <f t="shared" si="9"/>
        <v>0</v>
      </c>
    </row>
    <row r="233" spans="2:16" s="45" customFormat="1">
      <c r="B233" s="65" t="s">
        <v>43</v>
      </c>
      <c r="C233" s="103" t="s">
        <v>44</v>
      </c>
      <c r="D233" s="85" t="s">
        <v>3</v>
      </c>
      <c r="E233" s="85">
        <f>E232</f>
        <v>34</v>
      </c>
      <c r="F233" s="62"/>
      <c r="G233" s="62"/>
      <c r="H233" s="62"/>
      <c r="I233" s="62"/>
      <c r="J233" s="86"/>
      <c r="K233" s="62" t="s">
        <v>4</v>
      </c>
      <c r="L233" s="62" t="s">
        <v>5</v>
      </c>
      <c r="M233" s="86" t="s">
        <v>6</v>
      </c>
      <c r="N233" s="86" t="s">
        <v>3</v>
      </c>
      <c r="O233" s="87">
        <f>VLOOKUP($B233,BOM!$A$2:$K$94,10,0)</f>
        <v>0</v>
      </c>
      <c r="P233" s="87">
        <f t="shared" si="9"/>
        <v>0</v>
      </c>
    </row>
    <row r="234" spans="2:16">
      <c r="B234" s="81"/>
      <c r="C234" s="82" t="s">
        <v>45</v>
      </c>
      <c r="D234" s="72"/>
      <c r="E234" s="72"/>
      <c r="F234" s="72"/>
      <c r="G234" s="72"/>
      <c r="H234" s="72"/>
      <c r="I234" s="72"/>
      <c r="J234" s="72"/>
      <c r="K234" s="83"/>
      <c r="L234" s="83"/>
      <c r="M234" s="83"/>
      <c r="N234" s="83"/>
      <c r="O234" s="87">
        <f>VLOOKUP($B234,BOM!$A$2:$K$94,10,0)</f>
        <v>0</v>
      </c>
      <c r="P234" s="87">
        <f t="shared" si="9"/>
        <v>0</v>
      </c>
    </row>
    <row r="235" spans="2:16" s="45" customFormat="1" ht="30">
      <c r="B235" s="62" t="s">
        <v>48</v>
      </c>
      <c r="C235" s="21" t="s">
        <v>49</v>
      </c>
      <c r="D235" s="85" t="s">
        <v>14</v>
      </c>
      <c r="E235" s="85">
        <f>E232+1</f>
        <v>35</v>
      </c>
      <c r="F235" s="62"/>
      <c r="G235" s="62"/>
      <c r="H235" s="62"/>
      <c r="I235" s="62"/>
      <c r="J235" s="86"/>
      <c r="K235" s="62"/>
      <c r="L235" s="62" t="s">
        <v>5</v>
      </c>
      <c r="M235" s="86" t="s">
        <v>6</v>
      </c>
      <c r="N235" s="86" t="s">
        <v>15</v>
      </c>
      <c r="O235" s="87">
        <f>VLOOKUP($B235,BOM!$A$2:$K$94,10,0)</f>
        <v>0</v>
      </c>
      <c r="P235" s="87">
        <f t="shared" si="9"/>
        <v>0</v>
      </c>
    </row>
    <row r="236" spans="2:16" s="45" customFormat="1" ht="30">
      <c r="B236" s="62" t="s">
        <v>48</v>
      </c>
      <c r="C236" s="21" t="s">
        <v>49</v>
      </c>
      <c r="D236" s="85" t="s">
        <v>14</v>
      </c>
      <c r="E236" s="90">
        <f>ROUNDUP(E235*0.2,0)</f>
        <v>7</v>
      </c>
      <c r="F236" s="62"/>
      <c r="G236" s="62"/>
      <c r="H236" s="62"/>
      <c r="I236" s="62"/>
      <c r="J236" s="86"/>
      <c r="K236" s="62" t="s">
        <v>4</v>
      </c>
      <c r="L236" s="62" t="s">
        <v>5</v>
      </c>
      <c r="M236" s="86" t="s">
        <v>6</v>
      </c>
      <c r="N236" s="86" t="s">
        <v>15</v>
      </c>
      <c r="O236" s="87">
        <f>VLOOKUP($B236,BOM!$A$2:$K$94,10,0)</f>
        <v>0</v>
      </c>
      <c r="P236" s="87">
        <f t="shared" si="9"/>
        <v>0</v>
      </c>
    </row>
    <row r="237" spans="2:16">
      <c r="B237" s="81"/>
      <c r="C237" s="82" t="s">
        <v>50</v>
      </c>
      <c r="D237" s="72"/>
      <c r="E237" s="72"/>
      <c r="F237" s="72"/>
      <c r="G237" s="72"/>
      <c r="H237" s="72"/>
      <c r="I237" s="72"/>
      <c r="J237" s="72"/>
      <c r="K237" s="83"/>
      <c r="L237" s="83"/>
      <c r="M237" s="83"/>
      <c r="N237" s="83"/>
      <c r="O237" s="87">
        <f>VLOOKUP($B237,BOM!$A$2:$K$94,10,0)</f>
        <v>0</v>
      </c>
      <c r="P237" s="87">
        <f t="shared" si="9"/>
        <v>0</v>
      </c>
    </row>
    <row r="238" spans="2:16" s="45" customFormat="1">
      <c r="B238" s="62" t="s">
        <v>332</v>
      </c>
      <c r="C238" s="21" t="s">
        <v>332</v>
      </c>
      <c r="D238" s="85" t="s">
        <v>51</v>
      </c>
      <c r="E238" s="85">
        <f>E222+E224</f>
        <v>1</v>
      </c>
      <c r="F238" s="62"/>
      <c r="G238" s="62"/>
      <c r="H238" s="62"/>
      <c r="I238" s="62"/>
      <c r="J238" s="86"/>
      <c r="K238" s="62"/>
      <c r="L238" s="62"/>
      <c r="M238" s="86"/>
      <c r="N238" s="86" t="s">
        <v>51</v>
      </c>
      <c r="O238" s="87">
        <f>VLOOKUP($B238,BOM!$A$2:$K$94,10,0)</f>
        <v>0</v>
      </c>
      <c r="P238" s="87">
        <f t="shared" si="9"/>
        <v>0</v>
      </c>
    </row>
    <row r="239" spans="2:16" s="45" customFormat="1">
      <c r="B239" s="62" t="s">
        <v>52</v>
      </c>
      <c r="C239" s="21" t="s">
        <v>53</v>
      </c>
      <c r="D239" s="86" t="s">
        <v>54</v>
      </c>
      <c r="E239" s="105">
        <f>E236+E235</f>
        <v>42</v>
      </c>
      <c r="F239" s="62"/>
      <c r="G239" s="62"/>
      <c r="H239" s="62"/>
      <c r="I239" s="62"/>
      <c r="J239" s="86"/>
      <c r="K239" s="62"/>
      <c r="L239" s="62"/>
      <c r="M239" s="86" t="s">
        <v>55</v>
      </c>
      <c r="N239" s="86" t="s">
        <v>54</v>
      </c>
      <c r="O239" s="87">
        <f>VLOOKUP($B239,BOM!$A$2:$K$94,10,0)</f>
        <v>0</v>
      </c>
      <c r="P239" s="87">
        <f t="shared" si="9"/>
        <v>0</v>
      </c>
    </row>
    <row r="240" spans="2:16" s="45" customFormat="1" ht="30">
      <c r="B240" s="62" t="s">
        <v>56</v>
      </c>
      <c r="C240" s="21" t="s">
        <v>57</v>
      </c>
      <c r="D240" s="86" t="s">
        <v>14</v>
      </c>
      <c r="E240" s="105">
        <f>E208+E204</f>
        <v>4</v>
      </c>
      <c r="F240" s="62"/>
      <c r="G240" s="62"/>
      <c r="H240" s="62"/>
      <c r="I240" s="62"/>
      <c r="J240" s="86"/>
      <c r="K240" s="62"/>
      <c r="L240" s="62"/>
      <c r="M240" s="86" t="s">
        <v>55</v>
      </c>
      <c r="N240" s="86" t="s">
        <v>14</v>
      </c>
      <c r="O240" s="87">
        <f>VLOOKUP($B240,BOM!$A$2:$K$94,10,0)</f>
        <v>0</v>
      </c>
      <c r="P240" s="87">
        <f t="shared" si="9"/>
        <v>0</v>
      </c>
    </row>
    <row r="241" spans="1:16" s="45" customFormat="1" ht="30">
      <c r="B241" s="62" t="s">
        <v>58</v>
      </c>
      <c r="C241" s="21" t="s">
        <v>59</v>
      </c>
      <c r="D241" s="86" t="s">
        <v>60</v>
      </c>
      <c r="E241" s="105">
        <f>E240*2</f>
        <v>8</v>
      </c>
      <c r="F241" s="62"/>
      <c r="G241" s="62"/>
      <c r="H241" s="62"/>
      <c r="I241" s="62"/>
      <c r="J241" s="86"/>
      <c r="K241" s="62"/>
      <c r="L241" s="62"/>
      <c r="M241" s="86" t="s">
        <v>61</v>
      </c>
      <c r="N241" s="86" t="s">
        <v>60</v>
      </c>
      <c r="O241" s="87">
        <f>VLOOKUP($B241,BOM!$A$2:$K$94,10,0)</f>
        <v>0</v>
      </c>
      <c r="P241" s="87">
        <f t="shared" si="9"/>
        <v>0</v>
      </c>
    </row>
    <row r="242" spans="1:16" s="45" customFormat="1" ht="45">
      <c r="B242" s="62" t="s">
        <v>62</v>
      </c>
      <c r="C242" s="21" t="s">
        <v>63</v>
      </c>
      <c r="D242" s="86" t="s">
        <v>64</v>
      </c>
      <c r="E242" s="105">
        <f>E218</f>
        <v>2</v>
      </c>
      <c r="F242" s="62"/>
      <c r="G242" s="62"/>
      <c r="H242" s="62"/>
      <c r="I242" s="62"/>
      <c r="J242" s="86"/>
      <c r="K242" s="62"/>
      <c r="L242" s="62"/>
      <c r="M242" s="86" t="s">
        <v>61</v>
      </c>
      <c r="N242" s="86" t="s">
        <v>64</v>
      </c>
      <c r="O242" s="87">
        <f>VLOOKUP($B242,BOM!$A$2:$K$94,10,0)</f>
        <v>0</v>
      </c>
      <c r="P242" s="87">
        <f t="shared" si="9"/>
        <v>0</v>
      </c>
    </row>
    <row r="243" spans="1:16">
      <c r="A243" s="35">
        <v>5</v>
      </c>
      <c r="B243" s="36"/>
      <c r="C243" s="37" t="s">
        <v>75</v>
      </c>
      <c r="D243" s="38" t="s">
        <v>0</v>
      </c>
      <c r="E243" s="36">
        <v>1</v>
      </c>
      <c r="F243" s="36"/>
      <c r="G243" s="36">
        <v>8</v>
      </c>
      <c r="H243" s="36"/>
      <c r="I243" s="36"/>
      <c r="J243" s="36">
        <f>SUBTOTAL(9,J246:J270)</f>
        <v>12</v>
      </c>
      <c r="K243" s="39"/>
      <c r="L243" s="39"/>
      <c r="M243" s="39"/>
      <c r="N243" s="39"/>
      <c r="O243" s="87">
        <f>VLOOKUP($B243,BOM!$A$2:$K$94,10,0)</f>
        <v>0</v>
      </c>
      <c r="P243" s="87">
        <f t="shared" si="9"/>
        <v>0</v>
      </c>
    </row>
    <row r="244" spans="1:16">
      <c r="B244" s="81"/>
      <c r="C244" s="82" t="s">
        <v>124</v>
      </c>
      <c r="D244" s="72" t="s">
        <v>0</v>
      </c>
      <c r="E244" s="72">
        <v>1</v>
      </c>
      <c r="F244" s="72"/>
      <c r="G244" s="72"/>
      <c r="H244" s="72"/>
      <c r="I244" s="72"/>
      <c r="J244" s="72"/>
      <c r="K244" s="83"/>
      <c r="L244" s="83"/>
      <c r="M244" s="83"/>
      <c r="N244" s="83"/>
      <c r="O244" s="87">
        <f>VLOOKUP($B244,BOM!$A$2:$K$94,10,0)</f>
        <v>0</v>
      </c>
      <c r="P244" s="87">
        <f t="shared" si="9"/>
        <v>0</v>
      </c>
    </row>
    <row r="245" spans="1:16" s="19" customFormat="1">
      <c r="B245" s="20" t="s">
        <v>226</v>
      </c>
      <c r="C245" s="20" t="s">
        <v>227</v>
      </c>
      <c r="D245" s="21"/>
      <c r="E245" s="22">
        <v>1</v>
      </c>
      <c r="F245" s="21"/>
      <c r="G245" s="21"/>
      <c r="H245" s="21"/>
      <c r="I245" s="21"/>
      <c r="J245" s="22"/>
      <c r="K245" s="21" t="s">
        <v>4</v>
      </c>
      <c r="L245" s="21" t="s">
        <v>203</v>
      </c>
      <c r="M245" s="22" t="s">
        <v>22</v>
      </c>
      <c r="N245" s="22" t="s">
        <v>3</v>
      </c>
      <c r="O245" s="87">
        <f>VLOOKUP($B245,BOM!$A$2:$K$94,10,0)</f>
        <v>0</v>
      </c>
      <c r="P245" s="87">
        <f t="shared" si="9"/>
        <v>0</v>
      </c>
    </row>
    <row r="246" spans="1:16" s="19" customFormat="1">
      <c r="B246" s="21" t="s">
        <v>122</v>
      </c>
      <c r="C246" s="21" t="s">
        <v>123</v>
      </c>
      <c r="D246" s="21"/>
      <c r="E246" s="22">
        <v>1</v>
      </c>
      <c r="F246" s="21"/>
      <c r="G246" s="21"/>
      <c r="H246" s="21"/>
      <c r="I246" s="21"/>
      <c r="J246" s="22">
        <f>E246</f>
        <v>1</v>
      </c>
      <c r="K246" s="21" t="s">
        <v>4</v>
      </c>
      <c r="L246" s="21" t="s">
        <v>5</v>
      </c>
      <c r="M246" s="22" t="s">
        <v>22</v>
      </c>
      <c r="N246" s="22" t="s">
        <v>3</v>
      </c>
      <c r="O246" s="87">
        <f>VLOOKUP($B246,BOM!$A$2:$K$94,10,0)</f>
        <v>0</v>
      </c>
      <c r="P246" s="87">
        <f t="shared" si="9"/>
        <v>0</v>
      </c>
    </row>
    <row r="247" spans="1:16">
      <c r="B247" s="81"/>
      <c r="C247" s="82" t="s">
        <v>1</v>
      </c>
      <c r="D247" s="72" t="s">
        <v>0</v>
      </c>
      <c r="E247" s="72">
        <v>1</v>
      </c>
      <c r="F247" s="72"/>
      <c r="G247" s="72">
        <f>ROUNDUP(G243/24,0)</f>
        <v>1</v>
      </c>
      <c r="H247" s="72">
        <f t="shared" ref="H247" si="12">ROUNDUP(H243/24,0)</f>
        <v>0</v>
      </c>
      <c r="I247" s="72"/>
      <c r="J247" s="72"/>
      <c r="K247" s="83"/>
      <c r="L247" s="83"/>
      <c r="M247" s="83"/>
      <c r="N247" s="83"/>
      <c r="O247" s="87">
        <f>VLOOKUP($B247,BOM!$A$2:$K$94,10,0)</f>
        <v>0</v>
      </c>
      <c r="P247" s="87">
        <f t="shared" si="9"/>
        <v>0</v>
      </c>
    </row>
    <row r="248" spans="1:16" s="45" customFormat="1">
      <c r="B248" s="62">
        <v>760249997</v>
      </c>
      <c r="C248" s="21" t="s">
        <v>2</v>
      </c>
      <c r="D248" s="85" t="s">
        <v>3</v>
      </c>
      <c r="E248" s="85">
        <f>ROUNDUP((E250+E254)/3,0)</f>
        <v>1</v>
      </c>
      <c r="F248" s="62"/>
      <c r="G248" s="62"/>
      <c r="H248" s="62"/>
      <c r="I248" s="62"/>
      <c r="J248" s="86">
        <f>E248</f>
        <v>1</v>
      </c>
      <c r="K248" s="62" t="s">
        <v>4</v>
      </c>
      <c r="L248" s="62" t="s">
        <v>5</v>
      </c>
      <c r="M248" s="86" t="s">
        <v>6</v>
      </c>
      <c r="N248" s="86" t="s">
        <v>3</v>
      </c>
      <c r="O248" s="87">
        <f>VLOOKUP($B248,BOM!$A$2:$K$94,10,0)</f>
        <v>0</v>
      </c>
      <c r="P248" s="87">
        <f t="shared" si="9"/>
        <v>0</v>
      </c>
    </row>
    <row r="249" spans="1:16" s="45" customFormat="1">
      <c r="B249" s="62">
        <v>760241378</v>
      </c>
      <c r="C249" s="21" t="s">
        <v>7</v>
      </c>
      <c r="D249" s="85" t="s">
        <v>3</v>
      </c>
      <c r="E249" s="85">
        <f>IF(E250&lt;=2,1,ROUNDUP(E248*1.5,0))</f>
        <v>1</v>
      </c>
      <c r="F249" s="62"/>
      <c r="G249" s="62"/>
      <c r="H249" s="62"/>
      <c r="I249" s="62"/>
      <c r="J249" s="86"/>
      <c r="K249" s="62" t="s">
        <v>4</v>
      </c>
      <c r="L249" s="62" t="s">
        <v>5</v>
      </c>
      <c r="M249" s="86" t="s">
        <v>6</v>
      </c>
      <c r="N249" s="86" t="s">
        <v>3</v>
      </c>
      <c r="O249" s="87">
        <f>VLOOKUP($B249,BOM!$A$2:$K$94,10,0)</f>
        <v>0</v>
      </c>
      <c r="P249" s="87">
        <f t="shared" si="9"/>
        <v>0</v>
      </c>
    </row>
    <row r="250" spans="1:16" s="45" customFormat="1">
      <c r="B250" s="62" t="s">
        <v>8</v>
      </c>
      <c r="C250" s="21" t="s">
        <v>9</v>
      </c>
      <c r="D250" s="85" t="s">
        <v>3</v>
      </c>
      <c r="E250" s="85">
        <f>G247</f>
        <v>1</v>
      </c>
      <c r="F250" s="62"/>
      <c r="G250" s="62"/>
      <c r="H250" s="62"/>
      <c r="I250" s="62"/>
      <c r="J250" s="86"/>
      <c r="K250" s="62" t="s">
        <v>4</v>
      </c>
      <c r="L250" s="62" t="s">
        <v>5</v>
      </c>
      <c r="M250" s="86" t="s">
        <v>6</v>
      </c>
      <c r="N250" s="86" t="s">
        <v>3</v>
      </c>
      <c r="O250" s="87">
        <f>VLOOKUP($B250,BOM!$A$2:$K$94,10,0)</f>
        <v>0</v>
      </c>
      <c r="P250" s="87">
        <f t="shared" si="9"/>
        <v>0</v>
      </c>
    </row>
    <row r="251" spans="1:16" s="45" customFormat="1">
      <c r="B251" s="62" t="s">
        <v>10</v>
      </c>
      <c r="C251" s="21" t="s">
        <v>11</v>
      </c>
      <c r="D251" s="85" t="s">
        <v>3</v>
      </c>
      <c r="E251" s="85">
        <f>E248*3-E250-E254</f>
        <v>2</v>
      </c>
      <c r="F251" s="62"/>
      <c r="G251" s="62"/>
      <c r="H251" s="62"/>
      <c r="I251" s="62"/>
      <c r="J251" s="86"/>
      <c r="K251" s="62" t="s">
        <v>4</v>
      </c>
      <c r="L251" s="62" t="s">
        <v>5</v>
      </c>
      <c r="M251" s="86" t="s">
        <v>6</v>
      </c>
      <c r="N251" s="86" t="s">
        <v>3</v>
      </c>
      <c r="O251" s="87">
        <f>VLOOKUP($B251,BOM!$A$2:$K$94,10,0)</f>
        <v>0</v>
      </c>
      <c r="P251" s="87">
        <f t="shared" si="9"/>
        <v>0</v>
      </c>
    </row>
    <row r="252" spans="1:16" s="45" customFormat="1">
      <c r="B252" s="62" t="s">
        <v>12</v>
      </c>
      <c r="C252" s="21" t="s">
        <v>13</v>
      </c>
      <c r="D252" s="85" t="s">
        <v>14</v>
      </c>
      <c r="E252" s="85">
        <f>G243/2</f>
        <v>4</v>
      </c>
      <c r="F252" s="62"/>
      <c r="G252" s="62"/>
      <c r="H252" s="62"/>
      <c r="I252" s="62"/>
      <c r="J252" s="86"/>
      <c r="K252" s="62" t="s">
        <v>4</v>
      </c>
      <c r="L252" s="62" t="s">
        <v>5</v>
      </c>
      <c r="M252" s="86" t="s">
        <v>6</v>
      </c>
      <c r="N252" s="86" t="s">
        <v>15</v>
      </c>
      <c r="O252" s="87">
        <f>VLOOKUP($B252,BOM!$A$2:$K$94,10,0)</f>
        <v>0</v>
      </c>
      <c r="P252" s="87">
        <f t="shared" si="9"/>
        <v>0</v>
      </c>
    </row>
    <row r="253" spans="1:16" s="45" customFormat="1" ht="30">
      <c r="B253" s="62" t="s">
        <v>16</v>
      </c>
      <c r="C253" s="21" t="s">
        <v>17</v>
      </c>
      <c r="D253" s="85" t="s">
        <v>14</v>
      </c>
      <c r="E253" s="85">
        <f>ROUNDUP((E259+E262)*1.3,0)</f>
        <v>2</v>
      </c>
      <c r="F253" s="62"/>
      <c r="G253" s="62"/>
      <c r="H253" s="62"/>
      <c r="I253" s="62"/>
      <c r="J253" s="86"/>
      <c r="K253" s="62" t="s">
        <v>4</v>
      </c>
      <c r="L253" s="62" t="s">
        <v>5</v>
      </c>
      <c r="M253" s="86" t="s">
        <v>6</v>
      </c>
      <c r="N253" s="86" t="s">
        <v>15</v>
      </c>
      <c r="O253" s="87">
        <f>VLOOKUP($B253,BOM!$A$2:$K$94,10,0)</f>
        <v>0</v>
      </c>
      <c r="P253" s="87">
        <f t="shared" si="9"/>
        <v>0</v>
      </c>
    </row>
    <row r="254" spans="1:16" s="110" customFormat="1">
      <c r="B254" s="66" t="s">
        <v>198</v>
      </c>
      <c r="C254" s="106" t="s">
        <v>199</v>
      </c>
      <c r="D254" s="89" t="s">
        <v>3</v>
      </c>
      <c r="E254" s="89">
        <f>H247</f>
        <v>0</v>
      </c>
      <c r="F254" s="66"/>
      <c r="G254" s="66"/>
      <c r="H254" s="66"/>
      <c r="I254" s="66"/>
      <c r="J254" s="107"/>
      <c r="K254" s="108" t="s">
        <v>4</v>
      </c>
      <c r="L254" s="108" t="s">
        <v>5</v>
      </c>
      <c r="M254" s="109" t="s">
        <v>6</v>
      </c>
      <c r="N254" s="109" t="s">
        <v>15</v>
      </c>
      <c r="O254" s="87">
        <f>VLOOKUP($B254,BOM!$A$2:$K$94,10,0)</f>
        <v>0</v>
      </c>
      <c r="P254" s="87">
        <f t="shared" si="9"/>
        <v>0</v>
      </c>
    </row>
    <row r="255" spans="1:16" s="111" customFormat="1">
      <c r="B255" s="66" t="s">
        <v>194</v>
      </c>
      <c r="C255" s="106" t="s">
        <v>195</v>
      </c>
      <c r="D255" s="89" t="s">
        <v>14</v>
      </c>
      <c r="E255" s="89">
        <v>0</v>
      </c>
      <c r="F255" s="108"/>
      <c r="G255" s="108"/>
      <c r="H255" s="108"/>
      <c r="I255" s="108"/>
      <c r="J255" s="109"/>
      <c r="K255" s="108" t="s">
        <v>4</v>
      </c>
      <c r="L255" s="108" t="s">
        <v>5</v>
      </c>
      <c r="M255" s="109" t="s">
        <v>6</v>
      </c>
      <c r="N255" s="109" t="s">
        <v>15</v>
      </c>
      <c r="O255" s="87">
        <f>VLOOKUP($B255,BOM!$A$2:$K$94,10,0)</f>
        <v>0</v>
      </c>
      <c r="P255" s="87">
        <f t="shared" si="9"/>
        <v>0</v>
      </c>
    </row>
    <row r="256" spans="1:16" s="110" customFormat="1">
      <c r="B256" s="66" t="s">
        <v>196</v>
      </c>
      <c r="C256" s="106" t="s">
        <v>197</v>
      </c>
      <c r="D256" s="89" t="s">
        <v>14</v>
      </c>
      <c r="E256" s="89">
        <f>H243/2</f>
        <v>0</v>
      </c>
      <c r="F256" s="66"/>
      <c r="G256" s="66"/>
      <c r="H256" s="66"/>
      <c r="I256" s="66"/>
      <c r="J256" s="107"/>
      <c r="K256" s="108" t="s">
        <v>4</v>
      </c>
      <c r="L256" s="108" t="s">
        <v>5</v>
      </c>
      <c r="M256" s="109" t="s">
        <v>6</v>
      </c>
      <c r="N256" s="109" t="s">
        <v>15</v>
      </c>
      <c r="O256" s="87">
        <f>VLOOKUP($B256,BOM!$A$2:$K$94,10,0)</f>
        <v>0</v>
      </c>
      <c r="P256" s="87">
        <f t="shared" si="9"/>
        <v>0</v>
      </c>
    </row>
    <row r="257" spans="2:16">
      <c r="B257" s="81"/>
      <c r="C257" s="82" t="s">
        <v>26</v>
      </c>
      <c r="D257" s="72" t="s">
        <v>0</v>
      </c>
      <c r="E257" s="72">
        <v>1</v>
      </c>
      <c r="F257" s="72"/>
      <c r="G257" s="72"/>
      <c r="H257" s="72"/>
      <c r="I257" s="72"/>
      <c r="J257" s="72"/>
      <c r="K257" s="83"/>
      <c r="L257" s="83"/>
      <c r="M257" s="83"/>
      <c r="N257" s="83"/>
      <c r="O257" s="87">
        <f>VLOOKUP($B257,BOM!$A$2:$K$94,10,0)</f>
        <v>0</v>
      </c>
      <c r="P257" s="87">
        <f t="shared" si="9"/>
        <v>0</v>
      </c>
    </row>
    <row r="258" spans="2:16" s="45" customFormat="1">
      <c r="B258" s="62"/>
      <c r="C258" s="21"/>
      <c r="D258" s="85"/>
      <c r="E258" s="90"/>
      <c r="F258" s="62"/>
      <c r="G258" s="62"/>
      <c r="H258" s="62"/>
      <c r="I258" s="62"/>
      <c r="J258" s="86"/>
      <c r="K258" s="62"/>
      <c r="L258" s="62"/>
      <c r="M258" s="86"/>
      <c r="N258" s="86"/>
      <c r="O258" s="87">
        <f>VLOOKUP($B258,BOM!$A$2:$K$94,10,0)</f>
        <v>0</v>
      </c>
      <c r="P258" s="87">
        <f t="shared" si="9"/>
        <v>0</v>
      </c>
    </row>
    <row r="259" spans="2:16" s="45" customFormat="1">
      <c r="B259" s="62"/>
      <c r="C259" s="21"/>
      <c r="D259" s="85"/>
      <c r="E259" s="90"/>
      <c r="F259" s="62"/>
      <c r="G259" s="62"/>
      <c r="H259" s="62"/>
      <c r="I259" s="62"/>
      <c r="J259" s="86"/>
      <c r="K259" s="62"/>
      <c r="L259" s="62"/>
      <c r="M259" s="86"/>
      <c r="N259" s="86"/>
      <c r="O259" s="87">
        <f>VLOOKUP($B259,BOM!$A$2:$K$94,10,0)</f>
        <v>0</v>
      </c>
      <c r="P259" s="87">
        <f t="shared" si="9"/>
        <v>0</v>
      </c>
    </row>
    <row r="260" spans="2:16">
      <c r="B260" s="81"/>
      <c r="C260" s="82" t="s">
        <v>145</v>
      </c>
      <c r="D260" s="72" t="s">
        <v>0</v>
      </c>
      <c r="E260" s="72">
        <v>2</v>
      </c>
      <c r="F260" s="72"/>
      <c r="G260" s="72"/>
      <c r="H260" s="72"/>
      <c r="I260" s="72"/>
      <c r="J260" s="72"/>
      <c r="K260" s="83"/>
      <c r="L260" s="83"/>
      <c r="M260" s="83"/>
      <c r="N260" s="83"/>
      <c r="O260" s="87">
        <f>VLOOKUP($B260,BOM!$A$2:$K$94,10,0)</f>
        <v>0</v>
      </c>
      <c r="P260" s="87">
        <f t="shared" ref="P260:P323" si="13">O260*E260</f>
        <v>0</v>
      </c>
    </row>
    <row r="261" spans="2:16" s="45" customFormat="1">
      <c r="B261" s="41" t="s">
        <v>152</v>
      </c>
      <c r="C261" s="41" t="s">
        <v>153</v>
      </c>
      <c r="D261" s="42" t="s">
        <v>64</v>
      </c>
      <c r="E261" s="43">
        <v>1</v>
      </c>
      <c r="F261" s="41"/>
      <c r="G261" s="41"/>
      <c r="H261" s="41"/>
      <c r="I261" s="41"/>
      <c r="J261" s="44">
        <f>E261</f>
        <v>1</v>
      </c>
      <c r="K261" s="41"/>
      <c r="L261" s="41"/>
      <c r="M261" s="44" t="s">
        <v>144</v>
      </c>
      <c r="N261" s="44" t="s">
        <v>64</v>
      </c>
      <c r="O261" s="87">
        <f>VLOOKUP($B261,BOM!$A$2:$K$94,10,0)</f>
        <v>0</v>
      </c>
      <c r="P261" s="87">
        <f t="shared" si="13"/>
        <v>0</v>
      </c>
    </row>
    <row r="262" spans="2:16" s="45" customFormat="1">
      <c r="B262" s="41" t="s">
        <v>137</v>
      </c>
      <c r="C262" s="41" t="s">
        <v>138</v>
      </c>
      <c r="D262" s="42" t="s">
        <v>64</v>
      </c>
      <c r="E262" s="47">
        <f>E261</f>
        <v>1</v>
      </c>
      <c r="F262" s="41"/>
      <c r="G262" s="41"/>
      <c r="H262" s="41"/>
      <c r="I262" s="41"/>
      <c r="J262" s="44"/>
      <c r="K262" s="41" t="s">
        <v>143</v>
      </c>
      <c r="L262" s="41" t="s">
        <v>151</v>
      </c>
      <c r="M262" s="44" t="s">
        <v>144</v>
      </c>
      <c r="N262" s="44" t="s">
        <v>64</v>
      </c>
      <c r="O262" s="87">
        <f>VLOOKUP($B262,BOM!$A$2:$K$94,10,0)</f>
        <v>0</v>
      </c>
      <c r="P262" s="87">
        <f t="shared" si="13"/>
        <v>0</v>
      </c>
    </row>
    <row r="263" spans="2:16" ht="15" customHeight="1" outlineLevel="1">
      <c r="B263" s="117"/>
      <c r="C263" s="118" t="s">
        <v>67</v>
      </c>
      <c r="D263" s="119" t="s">
        <v>0</v>
      </c>
      <c r="E263" s="120">
        <v>0</v>
      </c>
      <c r="F263" s="121"/>
      <c r="G263" s="121"/>
      <c r="H263" s="121" t="s">
        <v>69</v>
      </c>
      <c r="I263" s="122"/>
      <c r="J263" s="122">
        <f t="shared" ref="J263:J264" si="14">E263</f>
        <v>0</v>
      </c>
      <c r="K263" s="63"/>
      <c r="L263" s="63"/>
      <c r="M263" s="63"/>
      <c r="N263" s="63"/>
      <c r="O263" s="87">
        <f>VLOOKUP($B263,BOM!$A$2:$K$94,10,0)</f>
        <v>0</v>
      </c>
      <c r="P263" s="87">
        <f t="shared" si="13"/>
        <v>0</v>
      </c>
    </row>
    <row r="264" spans="2:16" outlineLevel="1">
      <c r="B264" s="117"/>
      <c r="C264" s="118" t="s">
        <v>70</v>
      </c>
      <c r="D264" s="119" t="s">
        <v>0</v>
      </c>
      <c r="E264" s="120">
        <v>1</v>
      </c>
      <c r="F264" s="121"/>
      <c r="G264" s="121"/>
      <c r="H264" s="121" t="s">
        <v>69</v>
      </c>
      <c r="I264" s="122"/>
      <c r="J264" s="122">
        <f t="shared" si="14"/>
        <v>1</v>
      </c>
      <c r="K264" s="63"/>
      <c r="L264" s="63"/>
      <c r="M264" s="63"/>
      <c r="N264" s="63"/>
      <c r="O264" s="87">
        <f>VLOOKUP($B264,BOM!$A$2:$K$94,10,0)</f>
        <v>0</v>
      </c>
      <c r="P264" s="87">
        <f t="shared" si="13"/>
        <v>0</v>
      </c>
    </row>
    <row r="265" spans="2:16">
      <c r="B265" s="81"/>
      <c r="C265" s="82" t="s">
        <v>18</v>
      </c>
      <c r="D265" s="72" t="s">
        <v>0</v>
      </c>
      <c r="E265" s="72">
        <v>1</v>
      </c>
      <c r="F265" s="72"/>
      <c r="G265" s="72"/>
      <c r="H265" s="72"/>
      <c r="I265" s="72"/>
      <c r="J265" s="72"/>
      <c r="K265" s="83"/>
      <c r="L265" s="83"/>
      <c r="M265" s="83"/>
      <c r="N265" s="83"/>
      <c r="O265" s="87">
        <f>VLOOKUP($B265,BOM!$A$2:$K$94,10,0)</f>
        <v>0</v>
      </c>
      <c r="P265" s="87">
        <f t="shared" si="13"/>
        <v>0</v>
      </c>
    </row>
    <row r="266" spans="2:16" s="45" customFormat="1" ht="30">
      <c r="B266" s="62">
        <v>760237046</v>
      </c>
      <c r="C266" s="21" t="s">
        <v>19</v>
      </c>
      <c r="D266" s="85" t="s">
        <v>3</v>
      </c>
      <c r="E266" s="85">
        <f>E258+E261</f>
        <v>1</v>
      </c>
      <c r="F266" s="62"/>
      <c r="G266" s="62"/>
      <c r="H266" s="62"/>
      <c r="I266" s="62"/>
      <c r="J266" s="86">
        <f>E266</f>
        <v>1</v>
      </c>
      <c r="K266" s="62" t="s">
        <v>4</v>
      </c>
      <c r="L266" s="62" t="s">
        <v>5</v>
      </c>
      <c r="M266" s="86" t="s">
        <v>6</v>
      </c>
      <c r="N266" s="86" t="s">
        <v>3</v>
      </c>
      <c r="O266" s="87">
        <f>VLOOKUP($B266,BOM!$A$2:$K$94,10,0)</f>
        <v>0</v>
      </c>
      <c r="P266" s="87">
        <f t="shared" si="13"/>
        <v>0</v>
      </c>
    </row>
    <row r="267" spans="2:16" s="45" customFormat="1" ht="30">
      <c r="B267" s="62" t="s">
        <v>23</v>
      </c>
      <c r="C267" s="21" t="s">
        <v>24</v>
      </c>
      <c r="D267" s="85" t="s">
        <v>3</v>
      </c>
      <c r="E267" s="85">
        <f>E266*24</f>
        <v>24</v>
      </c>
      <c r="F267" s="62"/>
      <c r="G267" s="62"/>
      <c r="H267" s="62"/>
      <c r="I267" s="62"/>
      <c r="J267" s="86"/>
      <c r="K267" s="62" t="s">
        <v>25</v>
      </c>
      <c r="L267" s="62" t="s">
        <v>5</v>
      </c>
      <c r="M267" s="86" t="s">
        <v>6</v>
      </c>
      <c r="N267" s="86" t="s">
        <v>3</v>
      </c>
      <c r="O267" s="87">
        <f>VLOOKUP($B267,BOM!$A$2:$K$94,10,0)</f>
        <v>0</v>
      </c>
      <c r="P267" s="87">
        <f t="shared" si="13"/>
        <v>0</v>
      </c>
    </row>
    <row r="268" spans="2:16" s="45" customFormat="1">
      <c r="B268" s="62" t="s">
        <v>20</v>
      </c>
      <c r="C268" s="21" t="s">
        <v>21</v>
      </c>
      <c r="D268" s="85" t="s">
        <v>3</v>
      </c>
      <c r="E268" s="85">
        <f>E266</f>
        <v>1</v>
      </c>
      <c r="F268" s="62"/>
      <c r="G268" s="62"/>
      <c r="H268" s="62"/>
      <c r="I268" s="62"/>
      <c r="J268" s="86">
        <f>E268</f>
        <v>1</v>
      </c>
      <c r="K268" s="62" t="s">
        <v>4</v>
      </c>
      <c r="L268" s="62" t="s">
        <v>5</v>
      </c>
      <c r="M268" s="86" t="s">
        <v>22</v>
      </c>
      <c r="N268" s="86" t="s">
        <v>3</v>
      </c>
      <c r="O268" s="87">
        <f>VLOOKUP($B268,BOM!$A$2:$K$94,10,0)</f>
        <v>0</v>
      </c>
      <c r="P268" s="87">
        <f t="shared" si="13"/>
        <v>0</v>
      </c>
    </row>
    <row r="269" spans="2:16">
      <c r="B269" s="81"/>
      <c r="C269" s="82" t="s">
        <v>71</v>
      </c>
      <c r="D269" s="72" t="s">
        <v>0</v>
      </c>
      <c r="E269" s="72">
        <v>1</v>
      </c>
      <c r="F269" s="72"/>
      <c r="G269" s="72"/>
      <c r="H269" s="72"/>
      <c r="I269" s="72"/>
      <c r="J269" s="72"/>
      <c r="K269" s="83"/>
      <c r="L269" s="83"/>
      <c r="M269" s="83"/>
      <c r="N269" s="83"/>
      <c r="O269" s="87">
        <f>VLOOKUP($B269,BOM!$A$2:$K$94,10,0)</f>
        <v>0</v>
      </c>
      <c r="P269" s="87">
        <f t="shared" si="13"/>
        <v>0</v>
      </c>
    </row>
    <row r="270" spans="2:16" s="45" customFormat="1">
      <c r="B270" s="62" t="s">
        <v>312</v>
      </c>
      <c r="C270" s="21" t="s">
        <v>315</v>
      </c>
      <c r="D270" s="116" t="s">
        <v>51</v>
      </c>
      <c r="E270" s="85">
        <v>1</v>
      </c>
      <c r="F270" s="62"/>
      <c r="G270" s="62"/>
      <c r="H270" s="62"/>
      <c r="I270" s="62"/>
      <c r="J270" s="86">
        <f>E270*6</f>
        <v>6</v>
      </c>
      <c r="K270" s="62"/>
      <c r="L270" s="62" t="s">
        <v>5</v>
      </c>
      <c r="M270" s="86" t="s">
        <v>28</v>
      </c>
      <c r="N270" s="86" t="s">
        <v>3</v>
      </c>
      <c r="O270" s="87">
        <f>VLOOKUP($B270,BOM!$A$2:$K$94,10,0)</f>
        <v>0</v>
      </c>
      <c r="P270" s="87">
        <f t="shared" si="13"/>
        <v>0</v>
      </c>
    </row>
    <row r="271" spans="2:16" s="45" customFormat="1">
      <c r="B271" s="62"/>
      <c r="C271" s="21"/>
      <c r="D271" s="116"/>
      <c r="E271" s="85"/>
      <c r="F271" s="62"/>
      <c r="G271" s="62"/>
      <c r="H271" s="62"/>
      <c r="I271" s="62"/>
      <c r="J271" s="86"/>
      <c r="K271" s="62"/>
      <c r="L271" s="62"/>
      <c r="M271" s="86"/>
      <c r="N271" s="86"/>
      <c r="O271" s="87">
        <f>VLOOKUP($B271,BOM!$A$2:$K$94,10,0)</f>
        <v>0</v>
      </c>
      <c r="P271" s="87">
        <f t="shared" si="13"/>
        <v>0</v>
      </c>
    </row>
    <row r="272" spans="2:16" s="45" customFormat="1">
      <c r="B272" s="62" t="s">
        <v>225</v>
      </c>
      <c r="C272" s="21" t="s">
        <v>72</v>
      </c>
      <c r="D272" s="116" t="s">
        <v>64</v>
      </c>
      <c r="E272" s="85">
        <v>0</v>
      </c>
      <c r="F272" s="62"/>
      <c r="G272" s="62"/>
      <c r="H272" s="62"/>
      <c r="I272" s="62"/>
      <c r="J272" s="86"/>
      <c r="K272" s="62"/>
      <c r="L272" s="62" t="s">
        <v>5</v>
      </c>
      <c r="M272" s="86" t="s">
        <v>28</v>
      </c>
      <c r="N272" s="86" t="s">
        <v>3</v>
      </c>
      <c r="O272" s="87">
        <f>VLOOKUP($B272,BOM!$A$2:$K$94,10,0)</f>
        <v>0</v>
      </c>
      <c r="P272" s="87">
        <f t="shared" si="13"/>
        <v>0</v>
      </c>
    </row>
    <row r="273" spans="2:16">
      <c r="B273" s="81"/>
      <c r="C273" s="82" t="s">
        <v>31</v>
      </c>
      <c r="D273" s="72" t="s">
        <v>0</v>
      </c>
      <c r="E273" s="72">
        <v>1</v>
      </c>
      <c r="F273" s="72"/>
      <c r="G273" s="72"/>
      <c r="H273" s="72"/>
      <c r="I273" s="72"/>
      <c r="J273" s="72"/>
      <c r="K273" s="83"/>
      <c r="L273" s="83"/>
      <c r="M273" s="83"/>
      <c r="N273" s="83"/>
      <c r="O273" s="87">
        <f>VLOOKUP($B273,BOM!$A$2:$K$94,10,0)</f>
        <v>0</v>
      </c>
      <c r="P273" s="87">
        <f t="shared" si="13"/>
        <v>0</v>
      </c>
    </row>
    <row r="274" spans="2:16">
      <c r="B274" s="81"/>
      <c r="C274" s="82" t="s">
        <v>32</v>
      </c>
      <c r="D274" s="72"/>
      <c r="E274" s="72"/>
      <c r="F274" s="72"/>
      <c r="G274" s="72"/>
      <c r="H274" s="72"/>
      <c r="I274" s="72"/>
      <c r="J274" s="72"/>
      <c r="K274" s="83"/>
      <c r="L274" s="83"/>
      <c r="M274" s="83"/>
      <c r="N274" s="83"/>
      <c r="O274" s="87">
        <f>VLOOKUP($B274,BOM!$A$2:$K$94,10,0)</f>
        <v>0</v>
      </c>
      <c r="P274" s="87">
        <f t="shared" si="13"/>
        <v>0</v>
      </c>
    </row>
    <row r="275" spans="2:16" s="45" customFormat="1" ht="20.45" customHeight="1">
      <c r="B275" s="62" t="s">
        <v>33</v>
      </c>
      <c r="C275" s="21" t="s">
        <v>34</v>
      </c>
      <c r="D275" s="85" t="s">
        <v>3</v>
      </c>
      <c r="E275" s="90">
        <f>E276</f>
        <v>0</v>
      </c>
      <c r="F275" s="62"/>
      <c r="G275" s="62"/>
      <c r="H275" s="62"/>
      <c r="I275" s="62"/>
      <c r="J275" s="86"/>
      <c r="K275" s="62" t="s">
        <v>35</v>
      </c>
      <c r="L275" s="62" t="s">
        <v>5</v>
      </c>
      <c r="M275" s="86" t="s">
        <v>6</v>
      </c>
      <c r="N275" s="86" t="s">
        <v>3</v>
      </c>
      <c r="O275" s="87">
        <f>VLOOKUP($B275,BOM!$A$2:$K$94,10,0)</f>
        <v>0</v>
      </c>
      <c r="P275" s="87">
        <f t="shared" si="13"/>
        <v>0</v>
      </c>
    </row>
    <row r="276" spans="2:16" s="45" customFormat="1">
      <c r="B276" s="62" t="s">
        <v>330</v>
      </c>
      <c r="C276" s="21" t="s">
        <v>36</v>
      </c>
      <c r="D276" s="85" t="s">
        <v>3</v>
      </c>
      <c r="E276" s="90">
        <f>G274+H274</f>
        <v>0</v>
      </c>
      <c r="F276" s="62"/>
      <c r="G276" s="62"/>
      <c r="H276" s="62"/>
      <c r="I276" s="62"/>
      <c r="J276" s="86"/>
      <c r="K276" s="62" t="s">
        <v>37</v>
      </c>
      <c r="L276" s="62" t="s">
        <v>5</v>
      </c>
      <c r="M276" s="86" t="s">
        <v>37</v>
      </c>
      <c r="N276" s="86" t="s">
        <v>3</v>
      </c>
      <c r="O276" s="87">
        <f>VLOOKUP($B276,BOM!$A$2:$K$94,10,0)</f>
        <v>0</v>
      </c>
      <c r="P276" s="87">
        <f t="shared" si="13"/>
        <v>0</v>
      </c>
    </row>
    <row r="277" spans="2:16" s="45" customFormat="1" ht="30">
      <c r="B277" s="62" t="s">
        <v>38</v>
      </c>
      <c r="C277" s="21" t="s">
        <v>39</v>
      </c>
      <c r="D277" s="85" t="s">
        <v>3</v>
      </c>
      <c r="E277" s="90">
        <f>E276</f>
        <v>0</v>
      </c>
      <c r="F277" s="62"/>
      <c r="G277" s="62"/>
      <c r="H277" s="62"/>
      <c r="I277" s="62"/>
      <c r="J277" s="86"/>
      <c r="K277" s="62" t="s">
        <v>25</v>
      </c>
      <c r="L277" s="62" t="s">
        <v>5</v>
      </c>
      <c r="M277" s="86" t="s">
        <v>6</v>
      </c>
      <c r="N277" s="86" t="s">
        <v>3</v>
      </c>
      <c r="O277" s="87">
        <f>VLOOKUP($B277,BOM!$A$2:$K$94,10,0)</f>
        <v>0</v>
      </c>
      <c r="P277" s="87">
        <f t="shared" si="13"/>
        <v>0</v>
      </c>
    </row>
    <row r="278" spans="2:16">
      <c r="B278" s="81"/>
      <c r="C278" s="82" t="s">
        <v>40</v>
      </c>
      <c r="D278" s="72"/>
      <c r="E278" s="72"/>
      <c r="F278" s="72"/>
      <c r="G278" s="72"/>
      <c r="H278" s="72">
        <v>10</v>
      </c>
      <c r="I278" s="72"/>
      <c r="J278" s="72"/>
      <c r="K278" s="83"/>
      <c r="L278" s="83"/>
      <c r="M278" s="83"/>
      <c r="N278" s="83"/>
      <c r="O278" s="87">
        <f>VLOOKUP($B278,BOM!$A$2:$K$94,10,0)</f>
        <v>0</v>
      </c>
      <c r="P278" s="87">
        <f t="shared" si="13"/>
        <v>0</v>
      </c>
    </row>
    <row r="279" spans="2:16" s="45" customFormat="1">
      <c r="B279" s="62" t="s">
        <v>41</v>
      </c>
      <c r="C279" s="21" t="s">
        <v>42</v>
      </c>
      <c r="D279" s="85" t="s">
        <v>3</v>
      </c>
      <c r="E279" s="85">
        <f>G278+H278</f>
        <v>10</v>
      </c>
      <c r="F279" s="62"/>
      <c r="G279" s="62"/>
      <c r="H279" s="62"/>
      <c r="I279" s="62"/>
      <c r="J279" s="86"/>
      <c r="K279" s="62" t="s">
        <v>4</v>
      </c>
      <c r="L279" s="62" t="s">
        <v>5</v>
      </c>
      <c r="M279" s="86" t="s">
        <v>6</v>
      </c>
      <c r="N279" s="86" t="s">
        <v>3</v>
      </c>
      <c r="O279" s="87">
        <f>VLOOKUP($B279,BOM!$A$2:$K$94,10,0)</f>
        <v>0</v>
      </c>
      <c r="P279" s="87">
        <f t="shared" si="13"/>
        <v>0</v>
      </c>
    </row>
    <row r="280" spans="2:16" s="45" customFormat="1">
      <c r="B280" s="65" t="s">
        <v>43</v>
      </c>
      <c r="C280" s="103" t="s">
        <v>44</v>
      </c>
      <c r="D280" s="85" t="s">
        <v>3</v>
      </c>
      <c r="E280" s="85">
        <f>E279</f>
        <v>10</v>
      </c>
      <c r="F280" s="62"/>
      <c r="G280" s="62"/>
      <c r="H280" s="62"/>
      <c r="I280" s="62"/>
      <c r="J280" s="86"/>
      <c r="K280" s="62" t="s">
        <v>4</v>
      </c>
      <c r="L280" s="62" t="s">
        <v>5</v>
      </c>
      <c r="M280" s="86" t="s">
        <v>6</v>
      </c>
      <c r="N280" s="86" t="s">
        <v>3</v>
      </c>
      <c r="O280" s="87">
        <f>VLOOKUP($B280,BOM!$A$2:$K$94,10,0)</f>
        <v>0</v>
      </c>
      <c r="P280" s="87">
        <f t="shared" si="13"/>
        <v>0</v>
      </c>
    </row>
    <row r="281" spans="2:16">
      <c r="B281" s="81"/>
      <c r="C281" s="82" t="s">
        <v>45</v>
      </c>
      <c r="D281" s="72"/>
      <c r="E281" s="72"/>
      <c r="F281" s="72"/>
      <c r="G281" s="72"/>
      <c r="H281" s="72"/>
      <c r="I281" s="72"/>
      <c r="J281" s="72"/>
      <c r="K281" s="83"/>
      <c r="L281" s="83"/>
      <c r="M281" s="83"/>
      <c r="N281" s="83"/>
      <c r="O281" s="87">
        <f>VLOOKUP($B281,BOM!$A$2:$K$94,10,0)</f>
        <v>0</v>
      </c>
      <c r="P281" s="87">
        <f t="shared" si="13"/>
        <v>0</v>
      </c>
    </row>
    <row r="282" spans="2:16" s="45" customFormat="1" ht="30">
      <c r="B282" s="62" t="s">
        <v>48</v>
      </c>
      <c r="C282" s="21" t="s">
        <v>49</v>
      </c>
      <c r="D282" s="85" t="s">
        <v>14</v>
      </c>
      <c r="E282" s="85">
        <f>E279+1</f>
        <v>11</v>
      </c>
      <c r="F282" s="62"/>
      <c r="G282" s="62"/>
      <c r="H282" s="62"/>
      <c r="I282" s="62"/>
      <c r="J282" s="86"/>
      <c r="K282" s="62"/>
      <c r="L282" s="62" t="s">
        <v>5</v>
      </c>
      <c r="M282" s="86" t="s">
        <v>6</v>
      </c>
      <c r="N282" s="86" t="s">
        <v>15</v>
      </c>
      <c r="O282" s="87">
        <f>VLOOKUP($B282,BOM!$A$2:$K$94,10,0)</f>
        <v>0</v>
      </c>
      <c r="P282" s="87">
        <f t="shared" si="13"/>
        <v>0</v>
      </c>
    </row>
    <row r="283" spans="2:16" s="45" customFormat="1" ht="30">
      <c r="B283" s="62" t="s">
        <v>48</v>
      </c>
      <c r="C283" s="21" t="s">
        <v>49</v>
      </c>
      <c r="D283" s="85" t="s">
        <v>14</v>
      </c>
      <c r="E283" s="90">
        <f>ROUNDUP(E282*0.2,0)</f>
        <v>3</v>
      </c>
      <c r="F283" s="62"/>
      <c r="G283" s="62"/>
      <c r="H283" s="62"/>
      <c r="I283" s="62"/>
      <c r="J283" s="86"/>
      <c r="K283" s="62" t="s">
        <v>4</v>
      </c>
      <c r="L283" s="62" t="s">
        <v>5</v>
      </c>
      <c r="M283" s="86" t="s">
        <v>6</v>
      </c>
      <c r="N283" s="86" t="s">
        <v>15</v>
      </c>
      <c r="O283" s="87">
        <f>VLOOKUP($B283,BOM!$A$2:$K$94,10,0)</f>
        <v>0</v>
      </c>
      <c r="P283" s="87">
        <f t="shared" si="13"/>
        <v>0</v>
      </c>
    </row>
    <row r="284" spans="2:16">
      <c r="B284" s="81"/>
      <c r="C284" s="82" t="s">
        <v>50</v>
      </c>
      <c r="D284" s="72"/>
      <c r="E284" s="72"/>
      <c r="F284" s="72"/>
      <c r="G284" s="72"/>
      <c r="H284" s="72"/>
      <c r="I284" s="72"/>
      <c r="J284" s="72"/>
      <c r="K284" s="83"/>
      <c r="L284" s="83"/>
      <c r="M284" s="83"/>
      <c r="N284" s="83"/>
      <c r="O284" s="87">
        <f>VLOOKUP($B284,BOM!$A$2:$K$94,10,0)</f>
        <v>0</v>
      </c>
      <c r="P284" s="87">
        <f t="shared" si="13"/>
        <v>0</v>
      </c>
    </row>
    <row r="285" spans="2:16" s="45" customFormat="1">
      <c r="B285" s="62" t="s">
        <v>332</v>
      </c>
      <c r="C285" s="21" t="s">
        <v>332</v>
      </c>
      <c r="D285" s="85" t="s">
        <v>51</v>
      </c>
      <c r="E285" s="85">
        <f>E270</f>
        <v>1</v>
      </c>
      <c r="F285" s="62"/>
      <c r="G285" s="62"/>
      <c r="H285" s="62"/>
      <c r="I285" s="62"/>
      <c r="J285" s="86"/>
      <c r="K285" s="62"/>
      <c r="L285" s="62"/>
      <c r="M285" s="86"/>
      <c r="N285" s="86" t="s">
        <v>51</v>
      </c>
      <c r="O285" s="87">
        <f>VLOOKUP($B285,BOM!$A$2:$K$94,10,0)</f>
        <v>0</v>
      </c>
      <c r="P285" s="87">
        <f t="shared" si="13"/>
        <v>0</v>
      </c>
    </row>
    <row r="286" spans="2:16" s="45" customFormat="1">
      <c r="B286" s="62" t="s">
        <v>52</v>
      </c>
      <c r="C286" s="21" t="s">
        <v>53</v>
      </c>
      <c r="D286" s="86" t="s">
        <v>54</v>
      </c>
      <c r="E286" s="105">
        <f>E283+E282</f>
        <v>14</v>
      </c>
      <c r="F286" s="62"/>
      <c r="G286" s="62"/>
      <c r="H286" s="62"/>
      <c r="I286" s="62"/>
      <c r="J286" s="86"/>
      <c r="K286" s="62"/>
      <c r="L286" s="62"/>
      <c r="M286" s="86" t="s">
        <v>55</v>
      </c>
      <c r="N286" s="86" t="s">
        <v>54</v>
      </c>
      <c r="O286" s="87">
        <f>VLOOKUP($B286,BOM!$A$2:$K$94,10,0)</f>
        <v>0</v>
      </c>
      <c r="P286" s="87">
        <f t="shared" si="13"/>
        <v>0</v>
      </c>
    </row>
    <row r="287" spans="2:16" s="45" customFormat="1" ht="30">
      <c r="B287" s="62" t="s">
        <v>56</v>
      </c>
      <c r="C287" s="21" t="s">
        <v>57</v>
      </c>
      <c r="D287" s="86" t="s">
        <v>14</v>
      </c>
      <c r="E287" s="105">
        <f>E256+E252</f>
        <v>4</v>
      </c>
      <c r="F287" s="62"/>
      <c r="G287" s="62"/>
      <c r="H287" s="62"/>
      <c r="I287" s="62"/>
      <c r="J287" s="86"/>
      <c r="K287" s="62"/>
      <c r="L287" s="62"/>
      <c r="M287" s="86" t="s">
        <v>55</v>
      </c>
      <c r="N287" s="86" t="s">
        <v>14</v>
      </c>
      <c r="O287" s="87">
        <f>VLOOKUP($B287,BOM!$A$2:$K$94,10,0)</f>
        <v>0</v>
      </c>
      <c r="P287" s="87">
        <f t="shared" si="13"/>
        <v>0</v>
      </c>
    </row>
    <row r="288" spans="2:16" s="45" customFormat="1" ht="30">
      <c r="B288" s="62" t="s">
        <v>58</v>
      </c>
      <c r="C288" s="21" t="s">
        <v>59</v>
      </c>
      <c r="D288" s="86" t="s">
        <v>60</v>
      </c>
      <c r="E288" s="105">
        <f>E287*2</f>
        <v>8</v>
      </c>
      <c r="F288" s="62"/>
      <c r="G288" s="62"/>
      <c r="H288" s="62"/>
      <c r="I288" s="62"/>
      <c r="J288" s="86"/>
      <c r="K288" s="62"/>
      <c r="L288" s="62"/>
      <c r="M288" s="86" t="s">
        <v>61</v>
      </c>
      <c r="N288" s="86" t="s">
        <v>60</v>
      </c>
      <c r="O288" s="87">
        <f>VLOOKUP($B288,BOM!$A$2:$K$94,10,0)</f>
        <v>0</v>
      </c>
      <c r="P288" s="87">
        <f t="shared" si="13"/>
        <v>0</v>
      </c>
    </row>
    <row r="289" spans="1:16" s="45" customFormat="1" ht="45">
      <c r="B289" s="62" t="s">
        <v>62</v>
      </c>
      <c r="C289" s="21" t="s">
        <v>63</v>
      </c>
      <c r="D289" s="86" t="s">
        <v>64</v>
      </c>
      <c r="E289" s="105">
        <f>E266</f>
        <v>1</v>
      </c>
      <c r="F289" s="62"/>
      <c r="G289" s="62"/>
      <c r="H289" s="62"/>
      <c r="I289" s="62"/>
      <c r="J289" s="86"/>
      <c r="K289" s="62"/>
      <c r="L289" s="62"/>
      <c r="M289" s="86" t="s">
        <v>61</v>
      </c>
      <c r="N289" s="86" t="s">
        <v>64</v>
      </c>
      <c r="O289" s="87">
        <f>VLOOKUP($B289,BOM!$A$2:$K$94,10,0)</f>
        <v>0</v>
      </c>
      <c r="P289" s="87">
        <f t="shared" si="13"/>
        <v>0</v>
      </c>
    </row>
    <row r="290" spans="1:16">
      <c r="A290" s="35">
        <v>6</v>
      </c>
      <c r="B290" s="36"/>
      <c r="C290" s="37" t="s">
        <v>76</v>
      </c>
      <c r="D290" s="38" t="s">
        <v>0</v>
      </c>
      <c r="E290" s="36">
        <v>1</v>
      </c>
      <c r="F290" s="36"/>
      <c r="G290" s="36">
        <v>8</v>
      </c>
      <c r="H290" s="36"/>
      <c r="I290" s="36"/>
      <c r="J290" s="36">
        <f>SUBTOTAL(9,J293:J317)</f>
        <v>12</v>
      </c>
      <c r="K290" s="39"/>
      <c r="L290" s="39"/>
      <c r="M290" s="39"/>
      <c r="N290" s="39"/>
      <c r="O290" s="87">
        <f>VLOOKUP($B290,BOM!$A$2:$K$94,10,0)</f>
        <v>0</v>
      </c>
      <c r="P290" s="87">
        <f t="shared" si="13"/>
        <v>0</v>
      </c>
    </row>
    <row r="291" spans="1:16">
      <c r="B291" s="81"/>
      <c r="C291" s="82" t="s">
        <v>124</v>
      </c>
      <c r="D291" s="72" t="s">
        <v>0</v>
      </c>
      <c r="E291" s="72">
        <v>1</v>
      </c>
      <c r="F291" s="72"/>
      <c r="G291" s="72"/>
      <c r="H291" s="72"/>
      <c r="I291" s="72"/>
      <c r="J291" s="72"/>
      <c r="K291" s="83"/>
      <c r="L291" s="83"/>
      <c r="M291" s="83"/>
      <c r="N291" s="83"/>
      <c r="O291" s="87">
        <f>VLOOKUP($B291,BOM!$A$2:$K$94,10,0)</f>
        <v>0</v>
      </c>
      <c r="P291" s="87">
        <f t="shared" si="13"/>
        <v>0</v>
      </c>
    </row>
    <row r="292" spans="1:16" s="19" customFormat="1">
      <c r="B292" s="20" t="s">
        <v>226</v>
      </c>
      <c r="C292" s="20" t="s">
        <v>227</v>
      </c>
      <c r="D292" s="21"/>
      <c r="E292" s="22">
        <v>1</v>
      </c>
      <c r="F292" s="21"/>
      <c r="G292" s="21"/>
      <c r="H292" s="21"/>
      <c r="I292" s="21"/>
      <c r="J292" s="22"/>
      <c r="K292" s="21" t="s">
        <v>4</v>
      </c>
      <c r="L292" s="21" t="s">
        <v>203</v>
      </c>
      <c r="M292" s="22" t="s">
        <v>22</v>
      </c>
      <c r="N292" s="22" t="s">
        <v>3</v>
      </c>
      <c r="O292" s="87">
        <f>VLOOKUP($B292,BOM!$A$2:$K$94,10,0)</f>
        <v>0</v>
      </c>
      <c r="P292" s="87">
        <f t="shared" si="13"/>
        <v>0</v>
      </c>
    </row>
    <row r="293" spans="1:16" s="19" customFormat="1">
      <c r="B293" s="21" t="s">
        <v>122</v>
      </c>
      <c r="C293" s="21" t="s">
        <v>123</v>
      </c>
      <c r="D293" s="21"/>
      <c r="E293" s="22">
        <v>1</v>
      </c>
      <c r="F293" s="21"/>
      <c r="G293" s="21"/>
      <c r="H293" s="21"/>
      <c r="I293" s="21"/>
      <c r="J293" s="22">
        <f>E293</f>
        <v>1</v>
      </c>
      <c r="K293" s="21" t="s">
        <v>4</v>
      </c>
      <c r="L293" s="21" t="s">
        <v>5</v>
      </c>
      <c r="M293" s="22" t="s">
        <v>22</v>
      </c>
      <c r="N293" s="22" t="s">
        <v>3</v>
      </c>
      <c r="O293" s="87">
        <f>VLOOKUP($B293,BOM!$A$2:$K$94,10,0)</f>
        <v>0</v>
      </c>
      <c r="P293" s="87">
        <f t="shared" si="13"/>
        <v>0</v>
      </c>
    </row>
    <row r="294" spans="1:16">
      <c r="B294" s="81"/>
      <c r="C294" s="82" t="s">
        <v>1</v>
      </c>
      <c r="D294" s="72" t="s">
        <v>0</v>
      </c>
      <c r="E294" s="72">
        <v>1</v>
      </c>
      <c r="F294" s="72"/>
      <c r="G294" s="72">
        <f>ROUNDUP(G290/24,0)</f>
        <v>1</v>
      </c>
      <c r="H294" s="72">
        <f t="shared" ref="H294" si="15">ROUNDUP(H290/24,0)</f>
        <v>0</v>
      </c>
      <c r="I294" s="72"/>
      <c r="J294" s="72"/>
      <c r="K294" s="83"/>
      <c r="L294" s="83"/>
      <c r="M294" s="83"/>
      <c r="N294" s="83"/>
      <c r="O294" s="87">
        <f>VLOOKUP($B294,BOM!$A$2:$K$94,10,0)</f>
        <v>0</v>
      </c>
      <c r="P294" s="87">
        <f t="shared" si="13"/>
        <v>0</v>
      </c>
    </row>
    <row r="295" spans="1:16" s="45" customFormat="1">
      <c r="B295" s="62">
        <v>760249997</v>
      </c>
      <c r="C295" s="21" t="s">
        <v>2</v>
      </c>
      <c r="D295" s="85" t="s">
        <v>3</v>
      </c>
      <c r="E295" s="85">
        <f>ROUNDUP((E297+E301)/3,0)</f>
        <v>1</v>
      </c>
      <c r="F295" s="62"/>
      <c r="G295" s="62"/>
      <c r="H295" s="62"/>
      <c r="I295" s="62"/>
      <c r="J295" s="86">
        <f>E295</f>
        <v>1</v>
      </c>
      <c r="K295" s="62" t="s">
        <v>4</v>
      </c>
      <c r="L295" s="62" t="s">
        <v>5</v>
      </c>
      <c r="M295" s="86" t="s">
        <v>6</v>
      </c>
      <c r="N295" s="86" t="s">
        <v>3</v>
      </c>
      <c r="O295" s="87">
        <f>VLOOKUP($B295,BOM!$A$2:$K$94,10,0)</f>
        <v>0</v>
      </c>
      <c r="P295" s="87">
        <f t="shared" si="13"/>
        <v>0</v>
      </c>
    </row>
    <row r="296" spans="1:16" s="45" customFormat="1">
      <c r="B296" s="62">
        <v>760241378</v>
      </c>
      <c r="C296" s="21" t="s">
        <v>7</v>
      </c>
      <c r="D296" s="85" t="s">
        <v>3</v>
      </c>
      <c r="E296" s="85">
        <f>IF(E297&lt;=2,1,ROUNDUP(E295*1.5,0))</f>
        <v>1</v>
      </c>
      <c r="F296" s="62"/>
      <c r="G296" s="62"/>
      <c r="H296" s="62"/>
      <c r="I296" s="62"/>
      <c r="J296" s="86"/>
      <c r="K296" s="62" t="s">
        <v>4</v>
      </c>
      <c r="L296" s="62" t="s">
        <v>5</v>
      </c>
      <c r="M296" s="86" t="s">
        <v>6</v>
      </c>
      <c r="N296" s="86" t="s">
        <v>3</v>
      </c>
      <c r="O296" s="87">
        <f>VLOOKUP($B296,BOM!$A$2:$K$94,10,0)</f>
        <v>0</v>
      </c>
      <c r="P296" s="87">
        <f t="shared" si="13"/>
        <v>0</v>
      </c>
    </row>
    <row r="297" spans="1:16" s="45" customFormat="1">
      <c r="B297" s="62" t="s">
        <v>8</v>
      </c>
      <c r="C297" s="21" t="s">
        <v>9</v>
      </c>
      <c r="D297" s="85" t="s">
        <v>3</v>
      </c>
      <c r="E297" s="85">
        <f>G294</f>
        <v>1</v>
      </c>
      <c r="F297" s="62"/>
      <c r="G297" s="62"/>
      <c r="H297" s="62"/>
      <c r="I297" s="62"/>
      <c r="J297" s="86"/>
      <c r="K297" s="62" t="s">
        <v>4</v>
      </c>
      <c r="L297" s="62" t="s">
        <v>5</v>
      </c>
      <c r="M297" s="86" t="s">
        <v>6</v>
      </c>
      <c r="N297" s="86" t="s">
        <v>3</v>
      </c>
      <c r="O297" s="87">
        <f>VLOOKUP($B297,BOM!$A$2:$K$94,10,0)</f>
        <v>0</v>
      </c>
      <c r="P297" s="87">
        <f t="shared" si="13"/>
        <v>0</v>
      </c>
    </row>
    <row r="298" spans="1:16" s="45" customFormat="1">
      <c r="B298" s="62" t="s">
        <v>10</v>
      </c>
      <c r="C298" s="21" t="s">
        <v>11</v>
      </c>
      <c r="D298" s="85" t="s">
        <v>3</v>
      </c>
      <c r="E298" s="85">
        <f>E295*3-E297-E301</f>
        <v>2</v>
      </c>
      <c r="F298" s="62"/>
      <c r="G298" s="62"/>
      <c r="H298" s="62"/>
      <c r="I298" s="62"/>
      <c r="J298" s="86"/>
      <c r="K298" s="62" t="s">
        <v>4</v>
      </c>
      <c r="L298" s="62" t="s">
        <v>5</v>
      </c>
      <c r="M298" s="86" t="s">
        <v>6</v>
      </c>
      <c r="N298" s="86" t="s">
        <v>3</v>
      </c>
      <c r="O298" s="87">
        <f>VLOOKUP($B298,BOM!$A$2:$K$94,10,0)</f>
        <v>0</v>
      </c>
      <c r="P298" s="87">
        <f t="shared" si="13"/>
        <v>0</v>
      </c>
    </row>
    <row r="299" spans="1:16" s="45" customFormat="1">
      <c r="B299" s="62" t="s">
        <v>12</v>
      </c>
      <c r="C299" s="21" t="s">
        <v>13</v>
      </c>
      <c r="D299" s="85" t="s">
        <v>14</v>
      </c>
      <c r="E299" s="85">
        <f>G290/2</f>
        <v>4</v>
      </c>
      <c r="F299" s="62"/>
      <c r="G299" s="62"/>
      <c r="H299" s="62"/>
      <c r="I299" s="62"/>
      <c r="J299" s="86"/>
      <c r="K299" s="62" t="s">
        <v>4</v>
      </c>
      <c r="L299" s="62" t="s">
        <v>5</v>
      </c>
      <c r="M299" s="86" t="s">
        <v>6</v>
      </c>
      <c r="N299" s="86" t="s">
        <v>15</v>
      </c>
      <c r="O299" s="87">
        <f>VLOOKUP($B299,BOM!$A$2:$K$94,10,0)</f>
        <v>0</v>
      </c>
      <c r="P299" s="87">
        <f t="shared" si="13"/>
        <v>0</v>
      </c>
    </row>
    <row r="300" spans="1:16" s="45" customFormat="1" ht="30">
      <c r="B300" s="62" t="s">
        <v>16</v>
      </c>
      <c r="C300" s="21" t="s">
        <v>17</v>
      </c>
      <c r="D300" s="85" t="s">
        <v>14</v>
      </c>
      <c r="E300" s="85">
        <f>ROUNDUP((E306+E309)*1.3,0)</f>
        <v>2</v>
      </c>
      <c r="F300" s="62"/>
      <c r="G300" s="62"/>
      <c r="H300" s="62"/>
      <c r="I300" s="62"/>
      <c r="J300" s="86"/>
      <c r="K300" s="62" t="s">
        <v>4</v>
      </c>
      <c r="L300" s="62" t="s">
        <v>5</v>
      </c>
      <c r="M300" s="86" t="s">
        <v>6</v>
      </c>
      <c r="N300" s="86" t="s">
        <v>15</v>
      </c>
      <c r="O300" s="87">
        <f>VLOOKUP($B300,BOM!$A$2:$K$94,10,0)</f>
        <v>0</v>
      </c>
      <c r="P300" s="87">
        <f t="shared" si="13"/>
        <v>0</v>
      </c>
    </row>
    <row r="301" spans="1:16" s="110" customFormat="1">
      <c r="B301" s="66" t="s">
        <v>198</v>
      </c>
      <c r="C301" s="106" t="s">
        <v>199</v>
      </c>
      <c r="D301" s="89" t="s">
        <v>3</v>
      </c>
      <c r="E301" s="89">
        <f>H294</f>
        <v>0</v>
      </c>
      <c r="F301" s="66"/>
      <c r="G301" s="66"/>
      <c r="H301" s="66"/>
      <c r="I301" s="66"/>
      <c r="J301" s="107"/>
      <c r="K301" s="108" t="s">
        <v>4</v>
      </c>
      <c r="L301" s="108" t="s">
        <v>5</v>
      </c>
      <c r="M301" s="109" t="s">
        <v>6</v>
      </c>
      <c r="N301" s="109" t="s">
        <v>15</v>
      </c>
      <c r="O301" s="87">
        <f>VLOOKUP($B301,BOM!$A$2:$K$94,10,0)</f>
        <v>0</v>
      </c>
      <c r="P301" s="87">
        <f t="shared" si="13"/>
        <v>0</v>
      </c>
    </row>
    <row r="302" spans="1:16" s="111" customFormat="1">
      <c r="B302" s="66" t="s">
        <v>194</v>
      </c>
      <c r="C302" s="106" t="s">
        <v>195</v>
      </c>
      <c r="D302" s="89" t="s">
        <v>14</v>
      </c>
      <c r="E302" s="89">
        <v>0</v>
      </c>
      <c r="F302" s="108"/>
      <c r="G302" s="108"/>
      <c r="H302" s="108"/>
      <c r="I302" s="108"/>
      <c r="J302" s="109"/>
      <c r="K302" s="108" t="s">
        <v>4</v>
      </c>
      <c r="L302" s="108" t="s">
        <v>5</v>
      </c>
      <c r="M302" s="109" t="s">
        <v>6</v>
      </c>
      <c r="N302" s="109" t="s">
        <v>15</v>
      </c>
      <c r="O302" s="87">
        <f>VLOOKUP($B302,BOM!$A$2:$K$94,10,0)</f>
        <v>0</v>
      </c>
      <c r="P302" s="87">
        <f t="shared" si="13"/>
        <v>0</v>
      </c>
    </row>
    <row r="303" spans="1:16" s="110" customFormat="1">
      <c r="B303" s="66" t="s">
        <v>196</v>
      </c>
      <c r="C303" s="106" t="s">
        <v>197</v>
      </c>
      <c r="D303" s="89" t="s">
        <v>14</v>
      </c>
      <c r="E303" s="89">
        <f>H290/2</f>
        <v>0</v>
      </c>
      <c r="F303" s="66"/>
      <c r="G303" s="66"/>
      <c r="H303" s="66"/>
      <c r="I303" s="66"/>
      <c r="J303" s="107"/>
      <c r="K303" s="108" t="s">
        <v>4</v>
      </c>
      <c r="L303" s="108" t="s">
        <v>5</v>
      </c>
      <c r="M303" s="109" t="s">
        <v>6</v>
      </c>
      <c r="N303" s="109" t="s">
        <v>15</v>
      </c>
      <c r="O303" s="87">
        <f>VLOOKUP($B303,BOM!$A$2:$K$94,10,0)</f>
        <v>0</v>
      </c>
      <c r="P303" s="87">
        <f t="shared" si="13"/>
        <v>0</v>
      </c>
    </row>
    <row r="304" spans="1:16">
      <c r="B304" s="81"/>
      <c r="C304" s="82" t="s">
        <v>26</v>
      </c>
      <c r="D304" s="72" t="s">
        <v>0</v>
      </c>
      <c r="E304" s="72">
        <v>1</v>
      </c>
      <c r="F304" s="72"/>
      <c r="G304" s="72"/>
      <c r="H304" s="72"/>
      <c r="I304" s="72"/>
      <c r="J304" s="72"/>
      <c r="K304" s="83"/>
      <c r="L304" s="83"/>
      <c r="M304" s="83"/>
      <c r="N304" s="83"/>
      <c r="O304" s="87">
        <f>VLOOKUP($B304,BOM!$A$2:$K$94,10,0)</f>
        <v>0</v>
      </c>
      <c r="P304" s="87">
        <f t="shared" si="13"/>
        <v>0</v>
      </c>
    </row>
    <row r="305" spans="2:16" s="45" customFormat="1">
      <c r="B305" s="62"/>
      <c r="C305" s="21"/>
      <c r="D305" s="85"/>
      <c r="E305" s="90"/>
      <c r="F305" s="62"/>
      <c r="G305" s="62"/>
      <c r="H305" s="62"/>
      <c r="I305" s="62"/>
      <c r="J305" s="86"/>
      <c r="K305" s="62"/>
      <c r="L305" s="62"/>
      <c r="M305" s="86"/>
      <c r="N305" s="86"/>
      <c r="O305" s="87">
        <f>VLOOKUP($B305,BOM!$A$2:$K$94,10,0)</f>
        <v>0</v>
      </c>
      <c r="P305" s="87">
        <f t="shared" si="13"/>
        <v>0</v>
      </c>
    </row>
    <row r="306" spans="2:16" s="45" customFormat="1">
      <c r="B306" s="62"/>
      <c r="C306" s="21"/>
      <c r="D306" s="85"/>
      <c r="E306" s="90"/>
      <c r="F306" s="62"/>
      <c r="G306" s="62"/>
      <c r="H306" s="62"/>
      <c r="I306" s="62"/>
      <c r="J306" s="86"/>
      <c r="K306" s="62"/>
      <c r="L306" s="62"/>
      <c r="M306" s="86"/>
      <c r="N306" s="86"/>
      <c r="O306" s="87">
        <f>VLOOKUP($B306,BOM!$A$2:$K$94,10,0)</f>
        <v>0</v>
      </c>
      <c r="P306" s="87">
        <f t="shared" si="13"/>
        <v>0</v>
      </c>
    </row>
    <row r="307" spans="2:16">
      <c r="B307" s="81"/>
      <c r="C307" s="82" t="s">
        <v>145</v>
      </c>
      <c r="D307" s="72" t="s">
        <v>0</v>
      </c>
      <c r="E307" s="72">
        <v>2</v>
      </c>
      <c r="F307" s="72"/>
      <c r="G307" s="72"/>
      <c r="H307" s="72"/>
      <c r="I307" s="72"/>
      <c r="J307" s="72"/>
      <c r="K307" s="83"/>
      <c r="L307" s="83"/>
      <c r="M307" s="83"/>
      <c r="N307" s="83"/>
      <c r="O307" s="87">
        <f>VLOOKUP($B307,BOM!$A$2:$K$94,10,0)</f>
        <v>0</v>
      </c>
      <c r="P307" s="87">
        <f t="shared" si="13"/>
        <v>0</v>
      </c>
    </row>
    <row r="308" spans="2:16" s="45" customFormat="1">
      <c r="B308" s="41" t="s">
        <v>152</v>
      </c>
      <c r="C308" s="41" t="s">
        <v>153</v>
      </c>
      <c r="D308" s="42" t="s">
        <v>64</v>
      </c>
      <c r="E308" s="43">
        <v>1</v>
      </c>
      <c r="F308" s="41"/>
      <c r="G308" s="41"/>
      <c r="H308" s="41"/>
      <c r="I308" s="41"/>
      <c r="J308" s="44">
        <f>E308</f>
        <v>1</v>
      </c>
      <c r="K308" s="41" t="s">
        <v>143</v>
      </c>
      <c r="L308" s="41" t="s">
        <v>151</v>
      </c>
      <c r="M308" s="44" t="s">
        <v>144</v>
      </c>
      <c r="N308" s="44" t="s">
        <v>64</v>
      </c>
      <c r="O308" s="87">
        <f>VLOOKUP($B308,BOM!$A$2:$K$94,10,0)</f>
        <v>0</v>
      </c>
      <c r="P308" s="87">
        <f t="shared" si="13"/>
        <v>0</v>
      </c>
    </row>
    <row r="309" spans="2:16" s="45" customFormat="1">
      <c r="B309" s="41" t="s">
        <v>137</v>
      </c>
      <c r="C309" s="41" t="s">
        <v>138</v>
      </c>
      <c r="D309" s="42" t="s">
        <v>64</v>
      </c>
      <c r="E309" s="47">
        <f>E308</f>
        <v>1</v>
      </c>
      <c r="F309" s="41"/>
      <c r="G309" s="41"/>
      <c r="H309" s="41"/>
      <c r="I309" s="41"/>
      <c r="J309" s="44"/>
      <c r="K309" s="41" t="s">
        <v>143</v>
      </c>
      <c r="L309" s="41" t="s">
        <v>151</v>
      </c>
      <c r="M309" s="44" t="s">
        <v>144</v>
      </c>
      <c r="N309" s="44" t="s">
        <v>64</v>
      </c>
      <c r="O309" s="87">
        <f>VLOOKUP($B309,BOM!$A$2:$K$94,10,0)</f>
        <v>0</v>
      </c>
      <c r="P309" s="87">
        <f t="shared" si="13"/>
        <v>0</v>
      </c>
    </row>
    <row r="310" spans="2:16" outlineLevel="1">
      <c r="B310" s="117"/>
      <c r="C310" s="118" t="s">
        <v>67</v>
      </c>
      <c r="D310" s="119" t="s">
        <v>0</v>
      </c>
      <c r="E310" s="120">
        <v>0</v>
      </c>
      <c r="F310" s="121"/>
      <c r="G310" s="121"/>
      <c r="H310" s="121" t="s">
        <v>69</v>
      </c>
      <c r="I310" s="122"/>
      <c r="J310" s="122">
        <f t="shared" ref="J310:J311" si="16">E310</f>
        <v>0</v>
      </c>
      <c r="K310" s="63"/>
      <c r="L310" s="63"/>
      <c r="M310" s="63"/>
      <c r="N310" s="63"/>
      <c r="O310" s="87">
        <f>VLOOKUP($B310,BOM!$A$2:$K$94,10,0)</f>
        <v>0</v>
      </c>
      <c r="P310" s="87">
        <f t="shared" si="13"/>
        <v>0</v>
      </c>
    </row>
    <row r="311" spans="2:16" outlineLevel="1">
      <c r="B311" s="117"/>
      <c r="C311" s="118" t="s">
        <v>70</v>
      </c>
      <c r="D311" s="119" t="s">
        <v>0</v>
      </c>
      <c r="E311" s="120">
        <v>1</v>
      </c>
      <c r="F311" s="121"/>
      <c r="G311" s="121"/>
      <c r="H311" s="121" t="s">
        <v>69</v>
      </c>
      <c r="I311" s="122"/>
      <c r="J311" s="122">
        <f t="shared" si="16"/>
        <v>1</v>
      </c>
      <c r="K311" s="63"/>
      <c r="L311" s="63"/>
      <c r="M311" s="63"/>
      <c r="N311" s="63"/>
      <c r="O311" s="87">
        <f>VLOOKUP($B311,BOM!$A$2:$K$94,10,0)</f>
        <v>0</v>
      </c>
      <c r="P311" s="87">
        <f t="shared" si="13"/>
        <v>0</v>
      </c>
    </row>
    <row r="312" spans="2:16">
      <c r="B312" s="81"/>
      <c r="C312" s="82" t="s">
        <v>18</v>
      </c>
      <c r="D312" s="72" t="s">
        <v>0</v>
      </c>
      <c r="E312" s="72">
        <v>1</v>
      </c>
      <c r="F312" s="72"/>
      <c r="G312" s="72"/>
      <c r="H312" s="72"/>
      <c r="I312" s="72"/>
      <c r="J312" s="72"/>
      <c r="K312" s="83"/>
      <c r="L312" s="83"/>
      <c r="M312" s="83"/>
      <c r="N312" s="83"/>
      <c r="O312" s="87">
        <f>VLOOKUP($B312,BOM!$A$2:$K$94,10,0)</f>
        <v>0</v>
      </c>
      <c r="P312" s="87">
        <f t="shared" si="13"/>
        <v>0</v>
      </c>
    </row>
    <row r="313" spans="2:16" s="45" customFormat="1" ht="30">
      <c r="B313" s="62">
        <v>760237046</v>
      </c>
      <c r="C313" s="21" t="s">
        <v>19</v>
      </c>
      <c r="D313" s="85" t="s">
        <v>3</v>
      </c>
      <c r="E313" s="85">
        <f>E305+E308</f>
        <v>1</v>
      </c>
      <c r="F313" s="62"/>
      <c r="G313" s="62"/>
      <c r="H313" s="62"/>
      <c r="I313" s="62"/>
      <c r="J313" s="86">
        <f>E313</f>
        <v>1</v>
      </c>
      <c r="K313" s="62" t="s">
        <v>4</v>
      </c>
      <c r="L313" s="62" t="s">
        <v>5</v>
      </c>
      <c r="M313" s="86" t="s">
        <v>6</v>
      </c>
      <c r="N313" s="86" t="s">
        <v>3</v>
      </c>
      <c r="O313" s="87">
        <f>VLOOKUP($B313,BOM!$A$2:$K$94,10,0)</f>
        <v>0</v>
      </c>
      <c r="P313" s="87">
        <f t="shared" si="13"/>
        <v>0</v>
      </c>
    </row>
    <row r="314" spans="2:16" s="45" customFormat="1" ht="30">
      <c r="B314" s="62" t="s">
        <v>23</v>
      </c>
      <c r="C314" s="21" t="s">
        <v>24</v>
      </c>
      <c r="D314" s="85" t="s">
        <v>3</v>
      </c>
      <c r="E314" s="85">
        <f>E313*24</f>
        <v>24</v>
      </c>
      <c r="F314" s="62"/>
      <c r="G314" s="62"/>
      <c r="H314" s="62"/>
      <c r="I314" s="62"/>
      <c r="J314" s="86"/>
      <c r="K314" s="62" t="s">
        <v>25</v>
      </c>
      <c r="L314" s="62" t="s">
        <v>5</v>
      </c>
      <c r="M314" s="86" t="s">
        <v>6</v>
      </c>
      <c r="N314" s="86" t="s">
        <v>3</v>
      </c>
      <c r="O314" s="87">
        <f>VLOOKUP($B314,BOM!$A$2:$K$94,10,0)</f>
        <v>0</v>
      </c>
      <c r="P314" s="87">
        <f t="shared" si="13"/>
        <v>0</v>
      </c>
    </row>
    <row r="315" spans="2:16" s="45" customFormat="1">
      <c r="B315" s="62" t="s">
        <v>20</v>
      </c>
      <c r="C315" s="21" t="s">
        <v>21</v>
      </c>
      <c r="D315" s="85" t="s">
        <v>3</v>
      </c>
      <c r="E315" s="85">
        <f>E313</f>
        <v>1</v>
      </c>
      <c r="F315" s="62"/>
      <c r="G315" s="62"/>
      <c r="H315" s="62"/>
      <c r="I315" s="62"/>
      <c r="J315" s="86">
        <f>E315</f>
        <v>1</v>
      </c>
      <c r="K315" s="62" t="s">
        <v>4</v>
      </c>
      <c r="L315" s="62" t="s">
        <v>5</v>
      </c>
      <c r="M315" s="86" t="s">
        <v>22</v>
      </c>
      <c r="N315" s="86" t="s">
        <v>3</v>
      </c>
      <c r="O315" s="87">
        <f>VLOOKUP($B315,BOM!$A$2:$K$94,10,0)</f>
        <v>0</v>
      </c>
      <c r="P315" s="87">
        <f t="shared" si="13"/>
        <v>0</v>
      </c>
    </row>
    <row r="316" spans="2:16">
      <c r="B316" s="81"/>
      <c r="C316" s="82" t="s">
        <v>71</v>
      </c>
      <c r="D316" s="72" t="s">
        <v>0</v>
      </c>
      <c r="E316" s="72">
        <v>1</v>
      </c>
      <c r="F316" s="72"/>
      <c r="G316" s="72"/>
      <c r="H316" s="72"/>
      <c r="I316" s="72"/>
      <c r="J316" s="72"/>
      <c r="K316" s="83"/>
      <c r="L316" s="83"/>
      <c r="M316" s="83"/>
      <c r="N316" s="83"/>
      <c r="O316" s="87">
        <f>VLOOKUP($B316,BOM!$A$2:$K$94,10,0)</f>
        <v>0</v>
      </c>
      <c r="P316" s="87">
        <f t="shared" si="13"/>
        <v>0</v>
      </c>
    </row>
    <row r="317" spans="2:16" s="45" customFormat="1">
      <c r="B317" s="62" t="s">
        <v>312</v>
      </c>
      <c r="C317" s="21" t="s">
        <v>315</v>
      </c>
      <c r="D317" s="116" t="s">
        <v>51</v>
      </c>
      <c r="E317" s="85">
        <v>1</v>
      </c>
      <c r="F317" s="62"/>
      <c r="G317" s="62"/>
      <c r="H317" s="62"/>
      <c r="I317" s="62"/>
      <c r="J317" s="86">
        <f>E317*6</f>
        <v>6</v>
      </c>
      <c r="K317" s="62"/>
      <c r="L317" s="62" t="s">
        <v>5</v>
      </c>
      <c r="M317" s="86" t="s">
        <v>28</v>
      </c>
      <c r="N317" s="86" t="s">
        <v>3</v>
      </c>
      <c r="O317" s="87">
        <f>VLOOKUP($B317,BOM!$A$2:$K$94,10,0)</f>
        <v>0</v>
      </c>
      <c r="P317" s="87">
        <f t="shared" si="13"/>
        <v>0</v>
      </c>
    </row>
    <row r="318" spans="2:16" s="45" customFormat="1">
      <c r="B318" s="62"/>
      <c r="C318" s="21"/>
      <c r="D318" s="116"/>
      <c r="E318" s="85"/>
      <c r="F318" s="62"/>
      <c r="G318" s="62"/>
      <c r="H318" s="62"/>
      <c r="I318" s="62"/>
      <c r="J318" s="86"/>
      <c r="K318" s="62"/>
      <c r="L318" s="62"/>
      <c r="M318" s="86"/>
      <c r="N318" s="86"/>
      <c r="O318" s="87">
        <f>VLOOKUP($B318,BOM!$A$2:$K$94,10,0)</f>
        <v>0</v>
      </c>
      <c r="P318" s="87">
        <f t="shared" si="13"/>
        <v>0</v>
      </c>
    </row>
    <row r="319" spans="2:16" s="45" customFormat="1">
      <c r="B319" s="62" t="s">
        <v>225</v>
      </c>
      <c r="C319" s="21" t="s">
        <v>72</v>
      </c>
      <c r="D319" s="116" t="s">
        <v>64</v>
      </c>
      <c r="E319" s="85">
        <v>0</v>
      </c>
      <c r="F319" s="62"/>
      <c r="G319" s="62"/>
      <c r="H319" s="62"/>
      <c r="I319" s="62"/>
      <c r="J319" s="86"/>
      <c r="K319" s="62"/>
      <c r="L319" s="62" t="s">
        <v>5</v>
      </c>
      <c r="M319" s="86" t="s">
        <v>28</v>
      </c>
      <c r="N319" s="86" t="s">
        <v>3</v>
      </c>
      <c r="O319" s="87">
        <f>VLOOKUP($B319,BOM!$A$2:$K$94,10,0)</f>
        <v>0</v>
      </c>
      <c r="P319" s="87">
        <f t="shared" si="13"/>
        <v>0</v>
      </c>
    </row>
    <row r="320" spans="2:16">
      <c r="B320" s="81"/>
      <c r="C320" s="82" t="s">
        <v>31</v>
      </c>
      <c r="D320" s="72" t="s">
        <v>0</v>
      </c>
      <c r="E320" s="72">
        <v>1</v>
      </c>
      <c r="F320" s="72"/>
      <c r="G320" s="72"/>
      <c r="H320" s="72"/>
      <c r="I320" s="72"/>
      <c r="J320" s="72"/>
      <c r="K320" s="83"/>
      <c r="L320" s="83"/>
      <c r="M320" s="83"/>
      <c r="N320" s="83"/>
      <c r="O320" s="87">
        <f>VLOOKUP($B320,BOM!$A$2:$K$94,10,0)</f>
        <v>0</v>
      </c>
      <c r="P320" s="87">
        <f t="shared" si="13"/>
        <v>0</v>
      </c>
    </row>
    <row r="321" spans="2:16">
      <c r="B321" s="81"/>
      <c r="C321" s="82" t="s">
        <v>32</v>
      </c>
      <c r="D321" s="72"/>
      <c r="E321" s="72"/>
      <c r="F321" s="72"/>
      <c r="G321" s="72"/>
      <c r="H321" s="72"/>
      <c r="I321" s="72"/>
      <c r="J321" s="72"/>
      <c r="K321" s="83"/>
      <c r="L321" s="83"/>
      <c r="M321" s="83"/>
      <c r="N321" s="83"/>
      <c r="O321" s="87">
        <f>VLOOKUP($B321,BOM!$A$2:$K$94,10,0)</f>
        <v>0</v>
      </c>
      <c r="P321" s="87">
        <f t="shared" si="13"/>
        <v>0</v>
      </c>
    </row>
    <row r="322" spans="2:16" s="45" customFormat="1" ht="20.45" customHeight="1">
      <c r="B322" s="62" t="s">
        <v>33</v>
      </c>
      <c r="C322" s="21" t="s">
        <v>34</v>
      </c>
      <c r="D322" s="85" t="s">
        <v>3</v>
      </c>
      <c r="E322" s="90">
        <f>E323</f>
        <v>0</v>
      </c>
      <c r="F322" s="62"/>
      <c r="G322" s="62"/>
      <c r="H322" s="62"/>
      <c r="I322" s="62"/>
      <c r="J322" s="86"/>
      <c r="K322" s="62" t="s">
        <v>35</v>
      </c>
      <c r="L322" s="62" t="s">
        <v>5</v>
      </c>
      <c r="M322" s="86" t="s">
        <v>6</v>
      </c>
      <c r="N322" s="86" t="s">
        <v>3</v>
      </c>
      <c r="O322" s="87">
        <f>VLOOKUP($B322,BOM!$A$2:$K$94,10,0)</f>
        <v>0</v>
      </c>
      <c r="P322" s="87">
        <f t="shared" si="13"/>
        <v>0</v>
      </c>
    </row>
    <row r="323" spans="2:16" s="45" customFormat="1">
      <c r="B323" s="62" t="s">
        <v>330</v>
      </c>
      <c r="C323" s="21" t="s">
        <v>36</v>
      </c>
      <c r="D323" s="85" t="s">
        <v>3</v>
      </c>
      <c r="E323" s="90">
        <f>G321+H321</f>
        <v>0</v>
      </c>
      <c r="F323" s="62"/>
      <c r="G323" s="62"/>
      <c r="H323" s="62"/>
      <c r="I323" s="62"/>
      <c r="J323" s="86"/>
      <c r="K323" s="62" t="s">
        <v>37</v>
      </c>
      <c r="L323" s="62" t="s">
        <v>5</v>
      </c>
      <c r="M323" s="86" t="s">
        <v>37</v>
      </c>
      <c r="N323" s="86" t="s">
        <v>3</v>
      </c>
      <c r="O323" s="87">
        <f>VLOOKUP($B323,BOM!$A$2:$K$94,10,0)</f>
        <v>0</v>
      </c>
      <c r="P323" s="87">
        <f t="shared" si="13"/>
        <v>0</v>
      </c>
    </row>
    <row r="324" spans="2:16" s="45" customFormat="1" ht="30">
      <c r="B324" s="62" t="s">
        <v>38</v>
      </c>
      <c r="C324" s="21" t="s">
        <v>39</v>
      </c>
      <c r="D324" s="85" t="s">
        <v>3</v>
      </c>
      <c r="E324" s="90">
        <f>E323</f>
        <v>0</v>
      </c>
      <c r="F324" s="62"/>
      <c r="G324" s="62"/>
      <c r="H324" s="62"/>
      <c r="I324" s="62"/>
      <c r="J324" s="86"/>
      <c r="K324" s="62" t="s">
        <v>25</v>
      </c>
      <c r="L324" s="62" t="s">
        <v>5</v>
      </c>
      <c r="M324" s="86" t="s">
        <v>6</v>
      </c>
      <c r="N324" s="86" t="s">
        <v>3</v>
      </c>
      <c r="O324" s="87">
        <f>VLOOKUP($B324,BOM!$A$2:$K$94,10,0)</f>
        <v>0</v>
      </c>
      <c r="P324" s="87">
        <f t="shared" ref="P324:P387" si="17">O324*E324</f>
        <v>0</v>
      </c>
    </row>
    <row r="325" spans="2:16">
      <c r="B325" s="81"/>
      <c r="C325" s="82" t="s">
        <v>40</v>
      </c>
      <c r="D325" s="72"/>
      <c r="E325" s="72"/>
      <c r="F325" s="72"/>
      <c r="G325" s="72"/>
      <c r="H325" s="72">
        <v>13</v>
      </c>
      <c r="I325" s="72"/>
      <c r="J325" s="72"/>
      <c r="K325" s="83"/>
      <c r="L325" s="83"/>
      <c r="M325" s="83"/>
      <c r="N325" s="83"/>
      <c r="O325" s="87">
        <f>VLOOKUP($B325,BOM!$A$2:$K$94,10,0)</f>
        <v>0</v>
      </c>
      <c r="P325" s="87">
        <f t="shared" si="17"/>
        <v>0</v>
      </c>
    </row>
    <row r="326" spans="2:16" s="45" customFormat="1">
      <c r="B326" s="62" t="s">
        <v>41</v>
      </c>
      <c r="C326" s="21" t="s">
        <v>42</v>
      </c>
      <c r="D326" s="85" t="s">
        <v>3</v>
      </c>
      <c r="E326" s="85">
        <f>G325+H325</f>
        <v>13</v>
      </c>
      <c r="F326" s="62"/>
      <c r="G326" s="62"/>
      <c r="H326" s="62"/>
      <c r="I326" s="62"/>
      <c r="J326" s="86"/>
      <c r="K326" s="62" t="s">
        <v>4</v>
      </c>
      <c r="L326" s="62" t="s">
        <v>5</v>
      </c>
      <c r="M326" s="86" t="s">
        <v>6</v>
      </c>
      <c r="N326" s="86" t="s">
        <v>3</v>
      </c>
      <c r="O326" s="87">
        <f>VLOOKUP($B326,BOM!$A$2:$K$94,10,0)</f>
        <v>0</v>
      </c>
      <c r="P326" s="87">
        <f t="shared" si="17"/>
        <v>0</v>
      </c>
    </row>
    <row r="327" spans="2:16" s="45" customFormat="1">
      <c r="B327" s="65" t="s">
        <v>43</v>
      </c>
      <c r="C327" s="103" t="s">
        <v>44</v>
      </c>
      <c r="D327" s="85" t="s">
        <v>3</v>
      </c>
      <c r="E327" s="85">
        <f>E326</f>
        <v>13</v>
      </c>
      <c r="F327" s="62"/>
      <c r="G327" s="62"/>
      <c r="H327" s="62"/>
      <c r="I327" s="62"/>
      <c r="J327" s="86"/>
      <c r="K327" s="62" t="s">
        <v>4</v>
      </c>
      <c r="L327" s="62" t="s">
        <v>5</v>
      </c>
      <c r="M327" s="86" t="s">
        <v>6</v>
      </c>
      <c r="N327" s="86" t="s">
        <v>3</v>
      </c>
      <c r="O327" s="87">
        <f>VLOOKUP($B327,BOM!$A$2:$K$94,10,0)</f>
        <v>0</v>
      </c>
      <c r="P327" s="87">
        <f t="shared" si="17"/>
        <v>0</v>
      </c>
    </row>
    <row r="328" spans="2:16">
      <c r="B328" s="81"/>
      <c r="C328" s="82" t="s">
        <v>45</v>
      </c>
      <c r="D328" s="72"/>
      <c r="E328" s="72"/>
      <c r="F328" s="72"/>
      <c r="G328" s="72"/>
      <c r="H328" s="72"/>
      <c r="I328" s="72"/>
      <c r="J328" s="72"/>
      <c r="K328" s="83"/>
      <c r="L328" s="83"/>
      <c r="M328" s="83"/>
      <c r="N328" s="83"/>
      <c r="O328" s="87">
        <f>VLOOKUP($B328,BOM!$A$2:$K$94,10,0)</f>
        <v>0</v>
      </c>
      <c r="P328" s="87">
        <f t="shared" si="17"/>
        <v>0</v>
      </c>
    </row>
    <row r="329" spans="2:16" s="45" customFormat="1" ht="30">
      <c r="B329" s="62" t="s">
        <v>48</v>
      </c>
      <c r="C329" s="21" t="s">
        <v>49</v>
      </c>
      <c r="D329" s="85" t="s">
        <v>14</v>
      </c>
      <c r="E329" s="85">
        <f>E326+1</f>
        <v>14</v>
      </c>
      <c r="F329" s="62"/>
      <c r="G329" s="62"/>
      <c r="H329" s="62"/>
      <c r="I329" s="62"/>
      <c r="J329" s="86"/>
      <c r="K329" s="62"/>
      <c r="L329" s="62" t="s">
        <v>5</v>
      </c>
      <c r="M329" s="86" t="s">
        <v>6</v>
      </c>
      <c r="N329" s="86" t="s">
        <v>15</v>
      </c>
      <c r="O329" s="87">
        <f>VLOOKUP($B329,BOM!$A$2:$K$94,10,0)</f>
        <v>0</v>
      </c>
      <c r="P329" s="87">
        <f t="shared" si="17"/>
        <v>0</v>
      </c>
    </row>
    <row r="330" spans="2:16" s="45" customFormat="1" ht="30">
      <c r="B330" s="62" t="s">
        <v>48</v>
      </c>
      <c r="C330" s="21" t="s">
        <v>49</v>
      </c>
      <c r="D330" s="85" t="s">
        <v>14</v>
      </c>
      <c r="E330" s="90">
        <f>ROUNDUP(E329*0.2,0)</f>
        <v>3</v>
      </c>
      <c r="F330" s="62"/>
      <c r="G330" s="62"/>
      <c r="H330" s="62"/>
      <c r="I330" s="62"/>
      <c r="J330" s="86"/>
      <c r="K330" s="62" t="s">
        <v>4</v>
      </c>
      <c r="L330" s="62" t="s">
        <v>5</v>
      </c>
      <c r="M330" s="86" t="s">
        <v>6</v>
      </c>
      <c r="N330" s="86" t="s">
        <v>15</v>
      </c>
      <c r="O330" s="87">
        <f>VLOOKUP($B330,BOM!$A$2:$K$94,10,0)</f>
        <v>0</v>
      </c>
      <c r="P330" s="87">
        <f t="shared" si="17"/>
        <v>0</v>
      </c>
    </row>
    <row r="331" spans="2:16">
      <c r="B331" s="81"/>
      <c r="C331" s="82" t="s">
        <v>50</v>
      </c>
      <c r="D331" s="72"/>
      <c r="E331" s="72"/>
      <c r="F331" s="72"/>
      <c r="G331" s="72"/>
      <c r="H331" s="72"/>
      <c r="I331" s="72"/>
      <c r="J331" s="72"/>
      <c r="K331" s="83"/>
      <c r="L331" s="83"/>
      <c r="M331" s="83"/>
      <c r="N331" s="83"/>
      <c r="O331" s="87">
        <f>VLOOKUP($B331,BOM!$A$2:$K$94,10,0)</f>
        <v>0</v>
      </c>
      <c r="P331" s="87">
        <f t="shared" si="17"/>
        <v>0</v>
      </c>
    </row>
    <row r="332" spans="2:16" s="45" customFormat="1">
      <c r="B332" s="62" t="s">
        <v>332</v>
      </c>
      <c r="C332" s="21" t="s">
        <v>332</v>
      </c>
      <c r="D332" s="85" t="s">
        <v>51</v>
      </c>
      <c r="E332" s="85">
        <f>E317</f>
        <v>1</v>
      </c>
      <c r="F332" s="62"/>
      <c r="G332" s="62"/>
      <c r="H332" s="62"/>
      <c r="I332" s="62"/>
      <c r="J332" s="86"/>
      <c r="K332" s="62"/>
      <c r="L332" s="62"/>
      <c r="M332" s="86"/>
      <c r="N332" s="86" t="s">
        <v>51</v>
      </c>
      <c r="O332" s="87">
        <f>VLOOKUP($B332,BOM!$A$2:$K$94,10,0)</f>
        <v>0</v>
      </c>
      <c r="P332" s="87">
        <f t="shared" si="17"/>
        <v>0</v>
      </c>
    </row>
    <row r="333" spans="2:16" s="45" customFormat="1">
      <c r="B333" s="62" t="s">
        <v>52</v>
      </c>
      <c r="C333" s="21" t="s">
        <v>53</v>
      </c>
      <c r="D333" s="86" t="s">
        <v>54</v>
      </c>
      <c r="E333" s="105">
        <f>E330+E329</f>
        <v>17</v>
      </c>
      <c r="F333" s="62"/>
      <c r="G333" s="62"/>
      <c r="H333" s="62"/>
      <c r="I333" s="62"/>
      <c r="J333" s="86"/>
      <c r="K333" s="62"/>
      <c r="L333" s="62"/>
      <c r="M333" s="86" t="s">
        <v>55</v>
      </c>
      <c r="N333" s="86" t="s">
        <v>54</v>
      </c>
      <c r="O333" s="87">
        <f>VLOOKUP($B333,BOM!$A$2:$K$94,10,0)</f>
        <v>0</v>
      </c>
      <c r="P333" s="87">
        <f t="shared" si="17"/>
        <v>0</v>
      </c>
    </row>
    <row r="334" spans="2:16" s="45" customFormat="1" ht="30">
      <c r="B334" s="62" t="s">
        <v>56</v>
      </c>
      <c r="C334" s="21" t="s">
        <v>57</v>
      </c>
      <c r="D334" s="86" t="s">
        <v>14</v>
      </c>
      <c r="E334" s="105">
        <f>E303+E299</f>
        <v>4</v>
      </c>
      <c r="F334" s="62"/>
      <c r="G334" s="62"/>
      <c r="H334" s="62"/>
      <c r="I334" s="62"/>
      <c r="J334" s="86"/>
      <c r="K334" s="62"/>
      <c r="L334" s="62"/>
      <c r="M334" s="86" t="s">
        <v>55</v>
      </c>
      <c r="N334" s="86" t="s">
        <v>14</v>
      </c>
      <c r="O334" s="87">
        <f>VLOOKUP($B334,BOM!$A$2:$K$94,10,0)</f>
        <v>0</v>
      </c>
      <c r="P334" s="87">
        <f t="shared" si="17"/>
        <v>0</v>
      </c>
    </row>
    <row r="335" spans="2:16" s="45" customFormat="1" ht="30">
      <c r="B335" s="62" t="s">
        <v>58</v>
      </c>
      <c r="C335" s="21" t="s">
        <v>59</v>
      </c>
      <c r="D335" s="86" t="s">
        <v>60</v>
      </c>
      <c r="E335" s="105">
        <f>E334*2</f>
        <v>8</v>
      </c>
      <c r="F335" s="62"/>
      <c r="G335" s="62"/>
      <c r="H335" s="62"/>
      <c r="I335" s="62"/>
      <c r="J335" s="86"/>
      <c r="K335" s="62"/>
      <c r="L335" s="62"/>
      <c r="M335" s="86" t="s">
        <v>61</v>
      </c>
      <c r="N335" s="86" t="s">
        <v>60</v>
      </c>
      <c r="O335" s="87">
        <f>VLOOKUP($B335,BOM!$A$2:$K$94,10,0)</f>
        <v>0</v>
      </c>
      <c r="P335" s="87">
        <f t="shared" si="17"/>
        <v>0</v>
      </c>
    </row>
    <row r="336" spans="2:16" s="45" customFormat="1" ht="45">
      <c r="B336" s="62" t="s">
        <v>62</v>
      </c>
      <c r="C336" s="21" t="s">
        <v>63</v>
      </c>
      <c r="D336" s="86" t="s">
        <v>64</v>
      </c>
      <c r="E336" s="105">
        <f>E313</f>
        <v>1</v>
      </c>
      <c r="F336" s="62"/>
      <c r="G336" s="62"/>
      <c r="H336" s="62"/>
      <c r="I336" s="62"/>
      <c r="J336" s="86"/>
      <c r="K336" s="62"/>
      <c r="L336" s="62"/>
      <c r="M336" s="86" t="s">
        <v>61</v>
      </c>
      <c r="N336" s="86" t="s">
        <v>64</v>
      </c>
      <c r="O336" s="87">
        <f>VLOOKUP($B336,BOM!$A$2:$K$94,10,0)</f>
        <v>0</v>
      </c>
      <c r="P336" s="87">
        <f t="shared" si="17"/>
        <v>0</v>
      </c>
    </row>
    <row r="337" spans="1:16">
      <c r="A337" s="35">
        <v>7</v>
      </c>
      <c r="B337" s="36"/>
      <c r="C337" s="37" t="s">
        <v>77</v>
      </c>
      <c r="D337" s="38" t="s">
        <v>0</v>
      </c>
      <c r="E337" s="36">
        <v>1</v>
      </c>
      <c r="F337" s="36"/>
      <c r="G337" s="36">
        <v>8</v>
      </c>
      <c r="H337" s="36"/>
      <c r="I337" s="36"/>
      <c r="J337" s="36">
        <f>SUBTOTAL(9,J340:J364)</f>
        <v>13</v>
      </c>
      <c r="K337" s="39"/>
      <c r="L337" s="39"/>
      <c r="M337" s="39"/>
      <c r="N337" s="39"/>
      <c r="O337" s="87">
        <f>VLOOKUP($B337,BOM!$A$2:$K$94,10,0)</f>
        <v>0</v>
      </c>
      <c r="P337" s="87">
        <f t="shared" si="17"/>
        <v>0</v>
      </c>
    </row>
    <row r="338" spans="1:16">
      <c r="B338" s="81"/>
      <c r="C338" s="82" t="s">
        <v>124</v>
      </c>
      <c r="D338" s="72" t="s">
        <v>0</v>
      </c>
      <c r="E338" s="72">
        <v>1</v>
      </c>
      <c r="F338" s="72"/>
      <c r="G338" s="72"/>
      <c r="H338" s="72"/>
      <c r="I338" s="72"/>
      <c r="J338" s="72"/>
      <c r="K338" s="83"/>
      <c r="L338" s="83"/>
      <c r="M338" s="83"/>
      <c r="N338" s="83"/>
      <c r="O338" s="87">
        <f>VLOOKUP($B338,BOM!$A$2:$K$94,10,0)</f>
        <v>0</v>
      </c>
      <c r="P338" s="87">
        <f t="shared" si="17"/>
        <v>0</v>
      </c>
    </row>
    <row r="339" spans="1:16" s="19" customFormat="1">
      <c r="B339" s="20" t="s">
        <v>226</v>
      </c>
      <c r="C339" s="20" t="s">
        <v>227</v>
      </c>
      <c r="D339" s="21"/>
      <c r="E339" s="22">
        <v>1</v>
      </c>
      <c r="F339" s="21"/>
      <c r="G339" s="21"/>
      <c r="H339" s="21"/>
      <c r="I339" s="21"/>
      <c r="J339" s="22"/>
      <c r="K339" s="21" t="s">
        <v>4</v>
      </c>
      <c r="L339" s="21" t="s">
        <v>203</v>
      </c>
      <c r="M339" s="22" t="s">
        <v>22</v>
      </c>
      <c r="N339" s="22" t="s">
        <v>3</v>
      </c>
      <c r="O339" s="87">
        <f>VLOOKUP($B339,BOM!$A$2:$K$94,10,0)</f>
        <v>0</v>
      </c>
      <c r="P339" s="87">
        <f t="shared" si="17"/>
        <v>0</v>
      </c>
    </row>
    <row r="340" spans="1:16" s="19" customFormat="1">
      <c r="B340" s="21" t="s">
        <v>122</v>
      </c>
      <c r="C340" s="21" t="s">
        <v>123</v>
      </c>
      <c r="D340" s="21"/>
      <c r="E340" s="22">
        <v>1</v>
      </c>
      <c r="F340" s="21"/>
      <c r="G340" s="21"/>
      <c r="H340" s="21"/>
      <c r="I340" s="21"/>
      <c r="J340" s="22">
        <f>E340</f>
        <v>1</v>
      </c>
      <c r="K340" s="21" t="s">
        <v>4</v>
      </c>
      <c r="L340" s="21" t="s">
        <v>5</v>
      </c>
      <c r="M340" s="22" t="s">
        <v>22</v>
      </c>
      <c r="N340" s="22" t="s">
        <v>3</v>
      </c>
      <c r="O340" s="87">
        <f>VLOOKUP($B340,BOM!$A$2:$K$94,10,0)</f>
        <v>0</v>
      </c>
      <c r="P340" s="87">
        <f t="shared" si="17"/>
        <v>0</v>
      </c>
    </row>
    <row r="341" spans="1:16">
      <c r="B341" s="81"/>
      <c r="C341" s="82" t="s">
        <v>1</v>
      </c>
      <c r="D341" s="72" t="s">
        <v>0</v>
      </c>
      <c r="E341" s="72">
        <v>1</v>
      </c>
      <c r="F341" s="72"/>
      <c r="G341" s="72">
        <f>ROUNDUP(G337/24,0)</f>
        <v>1</v>
      </c>
      <c r="H341" s="72">
        <f t="shared" ref="H341" si="18">ROUNDUP(H337/24,0)</f>
        <v>0</v>
      </c>
      <c r="I341" s="72"/>
      <c r="J341" s="72"/>
      <c r="K341" s="83"/>
      <c r="L341" s="83"/>
      <c r="M341" s="83"/>
      <c r="N341" s="83"/>
      <c r="O341" s="87">
        <f>VLOOKUP($B341,BOM!$A$2:$K$94,10,0)</f>
        <v>0</v>
      </c>
      <c r="P341" s="87">
        <f t="shared" si="17"/>
        <v>0</v>
      </c>
    </row>
    <row r="342" spans="1:16" s="45" customFormat="1">
      <c r="B342" s="62">
        <v>760249997</v>
      </c>
      <c r="C342" s="21" t="s">
        <v>2</v>
      </c>
      <c r="D342" s="85" t="s">
        <v>3</v>
      </c>
      <c r="E342" s="85">
        <f>ROUNDUP((E344+E348)/3,0)</f>
        <v>1</v>
      </c>
      <c r="F342" s="62"/>
      <c r="G342" s="62"/>
      <c r="H342" s="62"/>
      <c r="I342" s="62"/>
      <c r="J342" s="86">
        <f>E342</f>
        <v>1</v>
      </c>
      <c r="K342" s="62" t="s">
        <v>4</v>
      </c>
      <c r="L342" s="62" t="s">
        <v>5</v>
      </c>
      <c r="M342" s="86" t="s">
        <v>6</v>
      </c>
      <c r="N342" s="86" t="s">
        <v>3</v>
      </c>
      <c r="O342" s="87">
        <f>VLOOKUP($B342,BOM!$A$2:$K$94,10,0)</f>
        <v>0</v>
      </c>
      <c r="P342" s="87">
        <f t="shared" si="17"/>
        <v>0</v>
      </c>
    </row>
    <row r="343" spans="1:16" s="45" customFormat="1">
      <c r="B343" s="62">
        <v>760241378</v>
      </c>
      <c r="C343" s="21" t="s">
        <v>7</v>
      </c>
      <c r="D343" s="85" t="s">
        <v>3</v>
      </c>
      <c r="E343" s="85">
        <f>IF(E344&lt;=2,1,ROUNDUP(E342*1.5,0))</f>
        <v>1</v>
      </c>
      <c r="F343" s="62"/>
      <c r="G343" s="62"/>
      <c r="H343" s="62"/>
      <c r="I343" s="62"/>
      <c r="J343" s="86"/>
      <c r="K343" s="62" t="s">
        <v>4</v>
      </c>
      <c r="L343" s="62" t="s">
        <v>5</v>
      </c>
      <c r="M343" s="86" t="s">
        <v>6</v>
      </c>
      <c r="N343" s="86" t="s">
        <v>3</v>
      </c>
      <c r="O343" s="87">
        <f>VLOOKUP($B343,BOM!$A$2:$K$94,10,0)</f>
        <v>0</v>
      </c>
      <c r="P343" s="87">
        <f t="shared" si="17"/>
        <v>0</v>
      </c>
    </row>
    <row r="344" spans="1:16" s="45" customFormat="1">
      <c r="B344" s="62" t="s">
        <v>8</v>
      </c>
      <c r="C344" s="21" t="s">
        <v>9</v>
      </c>
      <c r="D344" s="85" t="s">
        <v>3</v>
      </c>
      <c r="E344" s="85">
        <f>G341</f>
        <v>1</v>
      </c>
      <c r="F344" s="62"/>
      <c r="G344" s="62"/>
      <c r="H344" s="62"/>
      <c r="I344" s="62"/>
      <c r="J344" s="86"/>
      <c r="K344" s="62" t="s">
        <v>4</v>
      </c>
      <c r="L344" s="62" t="s">
        <v>5</v>
      </c>
      <c r="M344" s="86" t="s">
        <v>6</v>
      </c>
      <c r="N344" s="86" t="s">
        <v>3</v>
      </c>
      <c r="O344" s="87">
        <f>VLOOKUP($B344,BOM!$A$2:$K$94,10,0)</f>
        <v>0</v>
      </c>
      <c r="P344" s="87">
        <f t="shared" si="17"/>
        <v>0</v>
      </c>
    </row>
    <row r="345" spans="1:16" s="45" customFormat="1">
      <c r="B345" s="62" t="s">
        <v>10</v>
      </c>
      <c r="C345" s="21" t="s">
        <v>11</v>
      </c>
      <c r="D345" s="85" t="s">
        <v>3</v>
      </c>
      <c r="E345" s="85">
        <f>E342*3-E344-E348</f>
        <v>2</v>
      </c>
      <c r="F345" s="62"/>
      <c r="G345" s="62"/>
      <c r="H345" s="62"/>
      <c r="I345" s="62"/>
      <c r="J345" s="86"/>
      <c r="K345" s="62" t="s">
        <v>4</v>
      </c>
      <c r="L345" s="62" t="s">
        <v>5</v>
      </c>
      <c r="M345" s="86" t="s">
        <v>6</v>
      </c>
      <c r="N345" s="86" t="s">
        <v>3</v>
      </c>
      <c r="O345" s="87">
        <f>VLOOKUP($B345,BOM!$A$2:$K$94,10,0)</f>
        <v>0</v>
      </c>
      <c r="P345" s="87">
        <f t="shared" si="17"/>
        <v>0</v>
      </c>
    </row>
    <row r="346" spans="1:16" s="45" customFormat="1">
      <c r="B346" s="62" t="s">
        <v>12</v>
      </c>
      <c r="C346" s="21" t="s">
        <v>13</v>
      </c>
      <c r="D346" s="85" t="s">
        <v>14</v>
      </c>
      <c r="E346" s="85">
        <f>G337/2</f>
        <v>4</v>
      </c>
      <c r="F346" s="62"/>
      <c r="G346" s="62"/>
      <c r="H346" s="62"/>
      <c r="I346" s="62"/>
      <c r="J346" s="86"/>
      <c r="K346" s="62" t="s">
        <v>4</v>
      </c>
      <c r="L346" s="62" t="s">
        <v>5</v>
      </c>
      <c r="M346" s="86" t="s">
        <v>6</v>
      </c>
      <c r="N346" s="86" t="s">
        <v>15</v>
      </c>
      <c r="O346" s="87">
        <f>VLOOKUP($B346,BOM!$A$2:$K$94,10,0)</f>
        <v>0</v>
      </c>
      <c r="P346" s="87">
        <f t="shared" si="17"/>
        <v>0</v>
      </c>
    </row>
    <row r="347" spans="1:16" s="45" customFormat="1" ht="30">
      <c r="B347" s="62" t="s">
        <v>16</v>
      </c>
      <c r="C347" s="21" t="s">
        <v>17</v>
      </c>
      <c r="D347" s="85" t="s">
        <v>14</v>
      </c>
      <c r="E347" s="85">
        <f>ROUNDUP((E353+E356)*1.3,0)</f>
        <v>2</v>
      </c>
      <c r="F347" s="62"/>
      <c r="G347" s="62"/>
      <c r="H347" s="62"/>
      <c r="I347" s="62"/>
      <c r="J347" s="86"/>
      <c r="K347" s="62" t="s">
        <v>4</v>
      </c>
      <c r="L347" s="62" t="s">
        <v>5</v>
      </c>
      <c r="M347" s="86" t="s">
        <v>6</v>
      </c>
      <c r="N347" s="86" t="s">
        <v>15</v>
      </c>
      <c r="O347" s="87">
        <f>VLOOKUP($B347,BOM!$A$2:$K$94,10,0)</f>
        <v>0</v>
      </c>
      <c r="P347" s="87">
        <f t="shared" si="17"/>
        <v>0</v>
      </c>
    </row>
    <row r="348" spans="1:16" s="110" customFormat="1">
      <c r="B348" s="66" t="s">
        <v>198</v>
      </c>
      <c r="C348" s="106" t="s">
        <v>199</v>
      </c>
      <c r="D348" s="89" t="s">
        <v>3</v>
      </c>
      <c r="E348" s="89">
        <f>H341</f>
        <v>0</v>
      </c>
      <c r="F348" s="66"/>
      <c r="G348" s="66"/>
      <c r="H348" s="66"/>
      <c r="I348" s="66"/>
      <c r="J348" s="107"/>
      <c r="K348" s="108" t="s">
        <v>4</v>
      </c>
      <c r="L348" s="108" t="s">
        <v>5</v>
      </c>
      <c r="M348" s="109" t="s">
        <v>6</v>
      </c>
      <c r="N348" s="109" t="s">
        <v>15</v>
      </c>
      <c r="O348" s="87">
        <f>VLOOKUP($B348,BOM!$A$2:$K$94,10,0)</f>
        <v>0</v>
      </c>
      <c r="P348" s="87">
        <f t="shared" si="17"/>
        <v>0</v>
      </c>
    </row>
    <row r="349" spans="1:16" s="111" customFormat="1">
      <c r="B349" s="66" t="s">
        <v>194</v>
      </c>
      <c r="C349" s="106" t="s">
        <v>195</v>
      </c>
      <c r="D349" s="89" t="s">
        <v>14</v>
      </c>
      <c r="E349" s="89">
        <v>0</v>
      </c>
      <c r="F349" s="108"/>
      <c r="G349" s="108"/>
      <c r="H349" s="108"/>
      <c r="I349" s="108"/>
      <c r="J349" s="109"/>
      <c r="K349" s="108" t="s">
        <v>4</v>
      </c>
      <c r="L349" s="108" t="s">
        <v>5</v>
      </c>
      <c r="M349" s="109" t="s">
        <v>6</v>
      </c>
      <c r="N349" s="109" t="s">
        <v>15</v>
      </c>
      <c r="O349" s="87">
        <f>VLOOKUP($B349,BOM!$A$2:$K$94,10,0)</f>
        <v>0</v>
      </c>
      <c r="P349" s="87">
        <f t="shared" si="17"/>
        <v>0</v>
      </c>
    </row>
    <row r="350" spans="1:16" s="110" customFormat="1">
      <c r="B350" s="66" t="s">
        <v>196</v>
      </c>
      <c r="C350" s="106" t="s">
        <v>197</v>
      </c>
      <c r="D350" s="89" t="s">
        <v>14</v>
      </c>
      <c r="E350" s="89">
        <f>H337/2</f>
        <v>0</v>
      </c>
      <c r="F350" s="66"/>
      <c r="G350" s="66"/>
      <c r="H350" s="66"/>
      <c r="I350" s="66"/>
      <c r="J350" s="107"/>
      <c r="K350" s="108" t="s">
        <v>4</v>
      </c>
      <c r="L350" s="108" t="s">
        <v>5</v>
      </c>
      <c r="M350" s="109" t="s">
        <v>6</v>
      </c>
      <c r="N350" s="109" t="s">
        <v>15</v>
      </c>
      <c r="O350" s="87">
        <f>VLOOKUP($B350,BOM!$A$2:$K$94,10,0)</f>
        <v>0</v>
      </c>
      <c r="P350" s="87">
        <f t="shared" si="17"/>
        <v>0</v>
      </c>
    </row>
    <row r="351" spans="1:16">
      <c r="B351" s="81"/>
      <c r="C351" s="82" t="s">
        <v>26</v>
      </c>
      <c r="D351" s="72" t="s">
        <v>0</v>
      </c>
      <c r="E351" s="72">
        <v>1</v>
      </c>
      <c r="F351" s="72"/>
      <c r="G351" s="72"/>
      <c r="H351" s="72"/>
      <c r="I351" s="72"/>
      <c r="J351" s="72"/>
      <c r="K351" s="83"/>
      <c r="L351" s="83"/>
      <c r="M351" s="83"/>
      <c r="N351" s="83"/>
      <c r="O351" s="87">
        <f>VLOOKUP($B351,BOM!$A$2:$K$94,10,0)</f>
        <v>0</v>
      </c>
      <c r="P351" s="87">
        <f t="shared" si="17"/>
        <v>0</v>
      </c>
    </row>
    <row r="352" spans="1:16" s="45" customFormat="1">
      <c r="B352" s="62"/>
      <c r="C352" s="21"/>
      <c r="D352" s="85"/>
      <c r="E352" s="90"/>
      <c r="F352" s="62"/>
      <c r="G352" s="62"/>
      <c r="H352" s="62"/>
      <c r="I352" s="62"/>
      <c r="J352" s="86"/>
      <c r="K352" s="62"/>
      <c r="L352" s="62"/>
      <c r="M352" s="86"/>
      <c r="N352" s="86"/>
      <c r="O352" s="87">
        <f>VLOOKUP($B352,BOM!$A$2:$K$94,10,0)</f>
        <v>0</v>
      </c>
      <c r="P352" s="87">
        <f t="shared" si="17"/>
        <v>0</v>
      </c>
    </row>
    <row r="353" spans="2:16" s="45" customFormat="1">
      <c r="B353" s="62"/>
      <c r="C353" s="21"/>
      <c r="D353" s="85"/>
      <c r="E353" s="90"/>
      <c r="F353" s="62"/>
      <c r="G353" s="62"/>
      <c r="H353" s="62"/>
      <c r="I353" s="62"/>
      <c r="J353" s="86"/>
      <c r="K353" s="62"/>
      <c r="L353" s="62"/>
      <c r="M353" s="86"/>
      <c r="N353" s="86"/>
      <c r="O353" s="87">
        <f>VLOOKUP($B353,BOM!$A$2:$K$94,10,0)</f>
        <v>0</v>
      </c>
      <c r="P353" s="87">
        <f t="shared" si="17"/>
        <v>0</v>
      </c>
    </row>
    <row r="354" spans="2:16">
      <c r="B354" s="81"/>
      <c r="C354" s="82" t="s">
        <v>145</v>
      </c>
      <c r="D354" s="72" t="s">
        <v>0</v>
      </c>
      <c r="E354" s="72">
        <v>2</v>
      </c>
      <c r="F354" s="72"/>
      <c r="G354" s="72"/>
      <c r="H354" s="72"/>
      <c r="I354" s="72"/>
      <c r="J354" s="72"/>
      <c r="K354" s="83"/>
      <c r="L354" s="83"/>
      <c r="M354" s="83"/>
      <c r="N354" s="83"/>
      <c r="O354" s="87">
        <f>VLOOKUP($B354,BOM!$A$2:$K$94,10,0)</f>
        <v>0</v>
      </c>
      <c r="P354" s="87">
        <f t="shared" si="17"/>
        <v>0</v>
      </c>
    </row>
    <row r="355" spans="2:16" s="45" customFormat="1">
      <c r="B355" s="41" t="s">
        <v>152</v>
      </c>
      <c r="C355" s="41" t="s">
        <v>153</v>
      </c>
      <c r="D355" s="42" t="s">
        <v>64</v>
      </c>
      <c r="E355" s="43">
        <v>1</v>
      </c>
      <c r="F355" s="41"/>
      <c r="G355" s="41"/>
      <c r="H355" s="41"/>
      <c r="I355" s="41"/>
      <c r="J355" s="44">
        <f>E355</f>
        <v>1</v>
      </c>
      <c r="K355" s="41" t="s">
        <v>143</v>
      </c>
      <c r="L355" s="41" t="s">
        <v>151</v>
      </c>
      <c r="M355" s="44" t="s">
        <v>144</v>
      </c>
      <c r="N355" s="44" t="s">
        <v>64</v>
      </c>
      <c r="O355" s="87">
        <f>VLOOKUP($B355,BOM!$A$2:$K$94,10,0)</f>
        <v>0</v>
      </c>
      <c r="P355" s="87">
        <f t="shared" si="17"/>
        <v>0</v>
      </c>
    </row>
    <row r="356" spans="2:16" s="45" customFormat="1">
      <c r="B356" s="41" t="s">
        <v>137</v>
      </c>
      <c r="C356" s="41" t="s">
        <v>138</v>
      </c>
      <c r="D356" s="42" t="s">
        <v>64</v>
      </c>
      <c r="E356" s="47">
        <f>E355</f>
        <v>1</v>
      </c>
      <c r="F356" s="41"/>
      <c r="G356" s="41"/>
      <c r="H356" s="41"/>
      <c r="I356" s="41"/>
      <c r="J356" s="44"/>
      <c r="K356" s="41" t="s">
        <v>143</v>
      </c>
      <c r="L356" s="41" t="s">
        <v>151</v>
      </c>
      <c r="M356" s="44" t="s">
        <v>144</v>
      </c>
      <c r="N356" s="44" t="s">
        <v>64</v>
      </c>
      <c r="O356" s="87">
        <f>VLOOKUP($B356,BOM!$A$2:$K$94,10,0)</f>
        <v>0</v>
      </c>
      <c r="P356" s="87">
        <f t="shared" si="17"/>
        <v>0</v>
      </c>
    </row>
    <row r="357" spans="2:16" outlineLevel="1">
      <c r="B357" s="117"/>
      <c r="C357" s="118" t="s">
        <v>67</v>
      </c>
      <c r="D357" s="119" t="s">
        <v>0</v>
      </c>
      <c r="E357" s="120">
        <v>1</v>
      </c>
      <c r="F357" s="121"/>
      <c r="G357" s="121"/>
      <c r="H357" s="121" t="s">
        <v>69</v>
      </c>
      <c r="I357" s="122"/>
      <c r="J357" s="122">
        <f t="shared" ref="J357:J358" si="19">E357</f>
        <v>1</v>
      </c>
      <c r="K357" s="63"/>
      <c r="L357" s="63"/>
      <c r="M357" s="63"/>
      <c r="N357" s="63"/>
      <c r="O357" s="87">
        <f>VLOOKUP($B357,BOM!$A$2:$K$94,10,0)</f>
        <v>0</v>
      </c>
      <c r="P357" s="87">
        <f t="shared" si="17"/>
        <v>0</v>
      </c>
    </row>
    <row r="358" spans="2:16" outlineLevel="1">
      <c r="B358" s="117"/>
      <c r="C358" s="118" t="s">
        <v>70</v>
      </c>
      <c r="D358" s="119" t="s">
        <v>0</v>
      </c>
      <c r="E358" s="120">
        <v>1</v>
      </c>
      <c r="F358" s="121"/>
      <c r="G358" s="121"/>
      <c r="H358" s="121" t="s">
        <v>69</v>
      </c>
      <c r="I358" s="122"/>
      <c r="J358" s="122">
        <f t="shared" si="19"/>
        <v>1</v>
      </c>
      <c r="K358" s="63"/>
      <c r="L358" s="63"/>
      <c r="M358" s="63"/>
      <c r="N358" s="63"/>
      <c r="O358" s="87">
        <f>VLOOKUP($B358,BOM!$A$2:$K$94,10,0)</f>
        <v>0</v>
      </c>
      <c r="P358" s="87">
        <f t="shared" si="17"/>
        <v>0</v>
      </c>
    </row>
    <row r="359" spans="2:16">
      <c r="B359" s="81"/>
      <c r="C359" s="82" t="s">
        <v>18</v>
      </c>
      <c r="D359" s="72" t="s">
        <v>0</v>
      </c>
      <c r="E359" s="72">
        <v>1</v>
      </c>
      <c r="F359" s="72"/>
      <c r="G359" s="72"/>
      <c r="H359" s="72"/>
      <c r="I359" s="72"/>
      <c r="J359" s="72"/>
      <c r="K359" s="83"/>
      <c r="L359" s="83"/>
      <c r="M359" s="83"/>
      <c r="N359" s="83"/>
      <c r="O359" s="87">
        <f>VLOOKUP($B359,BOM!$A$2:$K$94,10,0)</f>
        <v>0</v>
      </c>
      <c r="P359" s="87">
        <f t="shared" si="17"/>
        <v>0</v>
      </c>
    </row>
    <row r="360" spans="2:16" s="45" customFormat="1" ht="30">
      <c r="B360" s="62">
        <v>760237046</v>
      </c>
      <c r="C360" s="21" t="s">
        <v>19</v>
      </c>
      <c r="D360" s="85" t="s">
        <v>3</v>
      </c>
      <c r="E360" s="85">
        <f>E352+E355</f>
        <v>1</v>
      </c>
      <c r="F360" s="62"/>
      <c r="G360" s="62"/>
      <c r="H360" s="62"/>
      <c r="I360" s="62"/>
      <c r="J360" s="86">
        <f>E360</f>
        <v>1</v>
      </c>
      <c r="K360" s="62" t="s">
        <v>4</v>
      </c>
      <c r="L360" s="62" t="s">
        <v>5</v>
      </c>
      <c r="M360" s="86" t="s">
        <v>6</v>
      </c>
      <c r="N360" s="86" t="s">
        <v>3</v>
      </c>
      <c r="O360" s="87">
        <f>VLOOKUP($B360,BOM!$A$2:$K$94,10,0)</f>
        <v>0</v>
      </c>
      <c r="P360" s="87">
        <f t="shared" si="17"/>
        <v>0</v>
      </c>
    </row>
    <row r="361" spans="2:16" s="45" customFormat="1" ht="30">
      <c r="B361" s="62" t="s">
        <v>23</v>
      </c>
      <c r="C361" s="21" t="s">
        <v>24</v>
      </c>
      <c r="D361" s="85" t="s">
        <v>3</v>
      </c>
      <c r="E361" s="85">
        <f>E360*24</f>
        <v>24</v>
      </c>
      <c r="F361" s="62"/>
      <c r="G361" s="62"/>
      <c r="H361" s="62"/>
      <c r="I361" s="62"/>
      <c r="J361" s="86"/>
      <c r="K361" s="62" t="s">
        <v>25</v>
      </c>
      <c r="L361" s="62" t="s">
        <v>5</v>
      </c>
      <c r="M361" s="86" t="s">
        <v>6</v>
      </c>
      <c r="N361" s="86" t="s">
        <v>3</v>
      </c>
      <c r="O361" s="87">
        <f>VLOOKUP($B361,BOM!$A$2:$K$94,10,0)</f>
        <v>0</v>
      </c>
      <c r="P361" s="87">
        <f t="shared" si="17"/>
        <v>0</v>
      </c>
    </row>
    <row r="362" spans="2:16" s="45" customFormat="1">
      <c r="B362" s="62" t="s">
        <v>20</v>
      </c>
      <c r="C362" s="21" t="s">
        <v>21</v>
      </c>
      <c r="D362" s="85" t="s">
        <v>3</v>
      </c>
      <c r="E362" s="85">
        <f>E360</f>
        <v>1</v>
      </c>
      <c r="F362" s="62"/>
      <c r="G362" s="62"/>
      <c r="H362" s="62"/>
      <c r="I362" s="62"/>
      <c r="J362" s="86">
        <f>E362</f>
        <v>1</v>
      </c>
      <c r="K362" s="62" t="s">
        <v>4</v>
      </c>
      <c r="L362" s="62" t="s">
        <v>5</v>
      </c>
      <c r="M362" s="86" t="s">
        <v>22</v>
      </c>
      <c r="N362" s="86" t="s">
        <v>3</v>
      </c>
      <c r="O362" s="87">
        <f>VLOOKUP($B362,BOM!$A$2:$K$94,10,0)</f>
        <v>0</v>
      </c>
      <c r="P362" s="87">
        <f t="shared" si="17"/>
        <v>0</v>
      </c>
    </row>
    <row r="363" spans="2:16">
      <c r="B363" s="81"/>
      <c r="C363" s="82" t="s">
        <v>71</v>
      </c>
      <c r="D363" s="72" t="s">
        <v>0</v>
      </c>
      <c r="E363" s="72">
        <v>1</v>
      </c>
      <c r="F363" s="72"/>
      <c r="G363" s="72"/>
      <c r="H363" s="72"/>
      <c r="I363" s="72"/>
      <c r="J363" s="72"/>
      <c r="K363" s="83"/>
      <c r="L363" s="83"/>
      <c r="M363" s="83"/>
      <c r="N363" s="83"/>
      <c r="O363" s="87">
        <f>VLOOKUP($B363,BOM!$A$2:$K$94,10,0)</f>
        <v>0</v>
      </c>
      <c r="P363" s="87">
        <f t="shared" si="17"/>
        <v>0</v>
      </c>
    </row>
    <row r="364" spans="2:16" s="45" customFormat="1">
      <c r="B364" s="62" t="s">
        <v>312</v>
      </c>
      <c r="C364" s="21" t="s">
        <v>315</v>
      </c>
      <c r="D364" s="116" t="s">
        <v>51</v>
      </c>
      <c r="E364" s="85">
        <v>1</v>
      </c>
      <c r="F364" s="62"/>
      <c r="G364" s="62"/>
      <c r="H364" s="62"/>
      <c r="I364" s="62"/>
      <c r="J364" s="86">
        <f>E364*6</f>
        <v>6</v>
      </c>
      <c r="K364" s="62"/>
      <c r="L364" s="62" t="s">
        <v>5</v>
      </c>
      <c r="M364" s="86" t="s">
        <v>28</v>
      </c>
      <c r="N364" s="86" t="s">
        <v>3</v>
      </c>
      <c r="O364" s="87">
        <f>VLOOKUP($B364,BOM!$A$2:$K$94,10,0)</f>
        <v>0</v>
      </c>
      <c r="P364" s="87">
        <f t="shared" si="17"/>
        <v>0</v>
      </c>
    </row>
    <row r="365" spans="2:16" s="45" customFormat="1">
      <c r="B365" s="62"/>
      <c r="C365" s="21"/>
      <c r="D365" s="116"/>
      <c r="E365" s="85"/>
      <c r="F365" s="62"/>
      <c r="G365" s="62"/>
      <c r="H365" s="62"/>
      <c r="I365" s="62"/>
      <c r="J365" s="86"/>
      <c r="K365" s="62"/>
      <c r="L365" s="62"/>
      <c r="M365" s="86"/>
      <c r="N365" s="86"/>
      <c r="O365" s="87">
        <f>VLOOKUP($B365,BOM!$A$2:$K$94,10,0)</f>
        <v>0</v>
      </c>
      <c r="P365" s="87">
        <f t="shared" si="17"/>
        <v>0</v>
      </c>
    </row>
    <row r="366" spans="2:16" s="45" customFormat="1">
      <c r="B366" s="62" t="s">
        <v>225</v>
      </c>
      <c r="C366" s="21" t="s">
        <v>72</v>
      </c>
      <c r="D366" s="116" t="s">
        <v>64</v>
      </c>
      <c r="E366" s="85">
        <v>0</v>
      </c>
      <c r="F366" s="62"/>
      <c r="G366" s="62"/>
      <c r="H366" s="62"/>
      <c r="I366" s="62"/>
      <c r="J366" s="86"/>
      <c r="K366" s="62"/>
      <c r="L366" s="62" t="s">
        <v>5</v>
      </c>
      <c r="M366" s="86" t="s">
        <v>28</v>
      </c>
      <c r="N366" s="86" t="s">
        <v>3</v>
      </c>
      <c r="O366" s="87">
        <f>VLOOKUP($B366,BOM!$A$2:$K$94,10,0)</f>
        <v>0</v>
      </c>
      <c r="P366" s="87">
        <f t="shared" si="17"/>
        <v>0</v>
      </c>
    </row>
    <row r="367" spans="2:16">
      <c r="B367" s="81"/>
      <c r="C367" s="82" t="s">
        <v>31</v>
      </c>
      <c r="D367" s="72" t="s">
        <v>0</v>
      </c>
      <c r="E367" s="72">
        <v>1</v>
      </c>
      <c r="F367" s="72"/>
      <c r="G367" s="72"/>
      <c r="H367" s="72"/>
      <c r="I367" s="72"/>
      <c r="J367" s="72"/>
      <c r="K367" s="83"/>
      <c r="L367" s="83"/>
      <c r="M367" s="83"/>
      <c r="N367" s="83"/>
      <c r="O367" s="87">
        <f>VLOOKUP($B367,BOM!$A$2:$K$94,10,0)</f>
        <v>0</v>
      </c>
      <c r="P367" s="87">
        <f t="shared" si="17"/>
        <v>0</v>
      </c>
    </row>
    <row r="368" spans="2:16">
      <c r="B368" s="81"/>
      <c r="C368" s="82" t="s">
        <v>32</v>
      </c>
      <c r="D368" s="72"/>
      <c r="E368" s="72"/>
      <c r="F368" s="72"/>
      <c r="G368" s="72"/>
      <c r="H368" s="72"/>
      <c r="I368" s="72"/>
      <c r="J368" s="72"/>
      <c r="K368" s="83"/>
      <c r="L368" s="83"/>
      <c r="M368" s="83"/>
      <c r="N368" s="83"/>
      <c r="O368" s="87">
        <f>VLOOKUP($B368,BOM!$A$2:$K$94,10,0)</f>
        <v>0</v>
      </c>
      <c r="P368" s="87">
        <f t="shared" si="17"/>
        <v>0</v>
      </c>
    </row>
    <row r="369" spans="1:16" s="45" customFormat="1" ht="20.45" customHeight="1">
      <c r="B369" s="62" t="s">
        <v>33</v>
      </c>
      <c r="C369" s="21" t="s">
        <v>34</v>
      </c>
      <c r="D369" s="85" t="s">
        <v>3</v>
      </c>
      <c r="E369" s="90">
        <f>E370</f>
        <v>0</v>
      </c>
      <c r="F369" s="62"/>
      <c r="G369" s="62"/>
      <c r="H369" s="62"/>
      <c r="I369" s="62"/>
      <c r="J369" s="86"/>
      <c r="K369" s="62" t="s">
        <v>35</v>
      </c>
      <c r="L369" s="62" t="s">
        <v>5</v>
      </c>
      <c r="M369" s="86" t="s">
        <v>6</v>
      </c>
      <c r="N369" s="86" t="s">
        <v>3</v>
      </c>
      <c r="O369" s="87">
        <f>VLOOKUP($B369,BOM!$A$2:$K$94,10,0)</f>
        <v>0</v>
      </c>
      <c r="P369" s="87">
        <f t="shared" si="17"/>
        <v>0</v>
      </c>
    </row>
    <row r="370" spans="1:16" s="45" customFormat="1">
      <c r="B370" s="62" t="s">
        <v>330</v>
      </c>
      <c r="C370" s="21" t="s">
        <v>36</v>
      </c>
      <c r="D370" s="85" t="s">
        <v>3</v>
      </c>
      <c r="E370" s="90">
        <f>G368+H368</f>
        <v>0</v>
      </c>
      <c r="F370" s="62"/>
      <c r="G370" s="62"/>
      <c r="H370" s="62"/>
      <c r="I370" s="62"/>
      <c r="J370" s="86"/>
      <c r="K370" s="62" t="s">
        <v>37</v>
      </c>
      <c r="L370" s="62" t="s">
        <v>5</v>
      </c>
      <c r="M370" s="86" t="s">
        <v>37</v>
      </c>
      <c r="N370" s="86" t="s">
        <v>3</v>
      </c>
      <c r="O370" s="87">
        <f>VLOOKUP($B370,BOM!$A$2:$K$94,10,0)</f>
        <v>0</v>
      </c>
      <c r="P370" s="87">
        <f t="shared" si="17"/>
        <v>0</v>
      </c>
    </row>
    <row r="371" spans="1:16" s="45" customFormat="1" ht="30">
      <c r="B371" s="62" t="s">
        <v>38</v>
      </c>
      <c r="C371" s="21" t="s">
        <v>39</v>
      </c>
      <c r="D371" s="85" t="s">
        <v>3</v>
      </c>
      <c r="E371" s="90">
        <f>E370</f>
        <v>0</v>
      </c>
      <c r="F371" s="62"/>
      <c r="G371" s="62"/>
      <c r="H371" s="62"/>
      <c r="I371" s="62"/>
      <c r="J371" s="86"/>
      <c r="K371" s="62" t="s">
        <v>25</v>
      </c>
      <c r="L371" s="62" t="s">
        <v>5</v>
      </c>
      <c r="M371" s="86" t="s">
        <v>6</v>
      </c>
      <c r="N371" s="86" t="s">
        <v>3</v>
      </c>
      <c r="O371" s="87">
        <f>VLOOKUP($B371,BOM!$A$2:$K$94,10,0)</f>
        <v>0</v>
      </c>
      <c r="P371" s="87">
        <f t="shared" si="17"/>
        <v>0</v>
      </c>
    </row>
    <row r="372" spans="1:16">
      <c r="B372" s="81"/>
      <c r="C372" s="82" t="s">
        <v>40</v>
      </c>
      <c r="D372" s="72"/>
      <c r="E372" s="72"/>
      <c r="F372" s="72"/>
      <c r="G372" s="72"/>
      <c r="H372" s="72">
        <v>9</v>
      </c>
      <c r="I372" s="72"/>
      <c r="J372" s="72"/>
      <c r="K372" s="83"/>
      <c r="L372" s="83"/>
      <c r="M372" s="83"/>
      <c r="N372" s="83"/>
      <c r="O372" s="87">
        <f>VLOOKUP($B372,BOM!$A$2:$K$94,10,0)</f>
        <v>0</v>
      </c>
      <c r="P372" s="87">
        <f t="shared" si="17"/>
        <v>0</v>
      </c>
    </row>
    <row r="373" spans="1:16" s="45" customFormat="1">
      <c r="B373" s="62" t="s">
        <v>41</v>
      </c>
      <c r="C373" s="21" t="s">
        <v>42</v>
      </c>
      <c r="D373" s="85" t="s">
        <v>3</v>
      </c>
      <c r="E373" s="85">
        <f>G372+H372</f>
        <v>9</v>
      </c>
      <c r="F373" s="62"/>
      <c r="G373" s="62"/>
      <c r="H373" s="62"/>
      <c r="I373" s="62"/>
      <c r="J373" s="86"/>
      <c r="K373" s="62" t="s">
        <v>4</v>
      </c>
      <c r="L373" s="62" t="s">
        <v>5</v>
      </c>
      <c r="M373" s="86" t="s">
        <v>6</v>
      </c>
      <c r="N373" s="86" t="s">
        <v>3</v>
      </c>
      <c r="O373" s="87">
        <f>VLOOKUP($B373,BOM!$A$2:$K$94,10,0)</f>
        <v>0</v>
      </c>
      <c r="P373" s="87">
        <f t="shared" si="17"/>
        <v>0</v>
      </c>
    </row>
    <row r="374" spans="1:16" s="45" customFormat="1">
      <c r="B374" s="65" t="s">
        <v>43</v>
      </c>
      <c r="C374" s="103" t="s">
        <v>44</v>
      </c>
      <c r="D374" s="85" t="s">
        <v>3</v>
      </c>
      <c r="E374" s="85">
        <f>E373</f>
        <v>9</v>
      </c>
      <c r="F374" s="62"/>
      <c r="G374" s="62"/>
      <c r="H374" s="62"/>
      <c r="I374" s="62"/>
      <c r="J374" s="86"/>
      <c r="K374" s="62" t="s">
        <v>4</v>
      </c>
      <c r="L374" s="62" t="s">
        <v>5</v>
      </c>
      <c r="M374" s="86" t="s">
        <v>6</v>
      </c>
      <c r="N374" s="86" t="s">
        <v>3</v>
      </c>
      <c r="O374" s="87">
        <f>VLOOKUP($B374,BOM!$A$2:$K$94,10,0)</f>
        <v>0</v>
      </c>
      <c r="P374" s="87">
        <f t="shared" si="17"/>
        <v>0</v>
      </c>
    </row>
    <row r="375" spans="1:16">
      <c r="B375" s="81"/>
      <c r="C375" s="82" t="s">
        <v>45</v>
      </c>
      <c r="D375" s="72"/>
      <c r="E375" s="72"/>
      <c r="F375" s="72"/>
      <c r="G375" s="72"/>
      <c r="H375" s="72"/>
      <c r="I375" s="72"/>
      <c r="J375" s="72"/>
      <c r="K375" s="83"/>
      <c r="L375" s="83"/>
      <c r="M375" s="83"/>
      <c r="N375" s="83"/>
      <c r="O375" s="87">
        <f>VLOOKUP($B375,BOM!$A$2:$K$94,10,0)</f>
        <v>0</v>
      </c>
      <c r="P375" s="87">
        <f t="shared" si="17"/>
        <v>0</v>
      </c>
    </row>
    <row r="376" spans="1:16" s="45" customFormat="1" ht="30">
      <c r="B376" s="62" t="s">
        <v>48</v>
      </c>
      <c r="C376" s="21" t="s">
        <v>49</v>
      </c>
      <c r="D376" s="85" t="s">
        <v>14</v>
      </c>
      <c r="E376" s="85">
        <f>E373+1</f>
        <v>10</v>
      </c>
      <c r="F376" s="62"/>
      <c r="G376" s="62"/>
      <c r="H376" s="62"/>
      <c r="I376" s="62"/>
      <c r="J376" s="86"/>
      <c r="K376" s="62"/>
      <c r="L376" s="62" t="s">
        <v>5</v>
      </c>
      <c r="M376" s="86" t="s">
        <v>6</v>
      </c>
      <c r="N376" s="86" t="s">
        <v>15</v>
      </c>
      <c r="O376" s="87">
        <f>VLOOKUP($B376,BOM!$A$2:$K$94,10,0)</f>
        <v>0</v>
      </c>
      <c r="P376" s="87">
        <f t="shared" si="17"/>
        <v>0</v>
      </c>
    </row>
    <row r="377" spans="1:16" s="45" customFormat="1" ht="30">
      <c r="B377" s="62" t="s">
        <v>48</v>
      </c>
      <c r="C377" s="21" t="s">
        <v>49</v>
      </c>
      <c r="D377" s="85" t="s">
        <v>14</v>
      </c>
      <c r="E377" s="90">
        <f>ROUNDUP(E376*0.2,0)</f>
        <v>2</v>
      </c>
      <c r="F377" s="62"/>
      <c r="G377" s="62"/>
      <c r="H377" s="62"/>
      <c r="I377" s="62"/>
      <c r="J377" s="86"/>
      <c r="K377" s="62" t="s">
        <v>4</v>
      </c>
      <c r="L377" s="62" t="s">
        <v>5</v>
      </c>
      <c r="M377" s="86" t="s">
        <v>6</v>
      </c>
      <c r="N377" s="86" t="s">
        <v>15</v>
      </c>
      <c r="O377" s="87">
        <f>VLOOKUP($B377,BOM!$A$2:$K$94,10,0)</f>
        <v>0</v>
      </c>
      <c r="P377" s="87">
        <f t="shared" si="17"/>
        <v>0</v>
      </c>
    </row>
    <row r="378" spans="1:16">
      <c r="B378" s="81"/>
      <c r="C378" s="82" t="s">
        <v>50</v>
      </c>
      <c r="D378" s="72"/>
      <c r="E378" s="72"/>
      <c r="F378" s="72"/>
      <c r="G378" s="72"/>
      <c r="H378" s="72"/>
      <c r="I378" s="72"/>
      <c r="J378" s="72"/>
      <c r="K378" s="83"/>
      <c r="L378" s="83"/>
      <c r="M378" s="83"/>
      <c r="N378" s="83"/>
      <c r="O378" s="87">
        <f>VLOOKUP($B378,BOM!$A$2:$K$94,10,0)</f>
        <v>0</v>
      </c>
      <c r="P378" s="87">
        <f t="shared" si="17"/>
        <v>0</v>
      </c>
    </row>
    <row r="379" spans="1:16" s="45" customFormat="1">
      <c r="B379" s="62" t="s">
        <v>332</v>
      </c>
      <c r="C379" s="21" t="s">
        <v>332</v>
      </c>
      <c r="D379" s="85" t="s">
        <v>51</v>
      </c>
      <c r="E379" s="85">
        <f>E364</f>
        <v>1</v>
      </c>
      <c r="F379" s="62"/>
      <c r="G379" s="62"/>
      <c r="H379" s="62"/>
      <c r="I379" s="62"/>
      <c r="J379" s="86"/>
      <c r="K379" s="62"/>
      <c r="L379" s="62"/>
      <c r="M379" s="86"/>
      <c r="N379" s="86" t="s">
        <v>51</v>
      </c>
      <c r="O379" s="87">
        <f>VLOOKUP($B379,BOM!$A$2:$K$94,10,0)</f>
        <v>0</v>
      </c>
      <c r="P379" s="87">
        <f t="shared" si="17"/>
        <v>0</v>
      </c>
    </row>
    <row r="380" spans="1:16" s="45" customFormat="1">
      <c r="B380" s="62" t="s">
        <v>52</v>
      </c>
      <c r="C380" s="21" t="s">
        <v>53</v>
      </c>
      <c r="D380" s="86" t="s">
        <v>54</v>
      </c>
      <c r="E380" s="105">
        <f>E377+E376</f>
        <v>12</v>
      </c>
      <c r="F380" s="62"/>
      <c r="G380" s="62"/>
      <c r="H380" s="62"/>
      <c r="I380" s="62"/>
      <c r="J380" s="86"/>
      <c r="K380" s="62"/>
      <c r="L380" s="62"/>
      <c r="M380" s="86" t="s">
        <v>55</v>
      </c>
      <c r="N380" s="86" t="s">
        <v>54</v>
      </c>
      <c r="O380" s="87">
        <f>VLOOKUP($B380,BOM!$A$2:$K$94,10,0)</f>
        <v>0</v>
      </c>
      <c r="P380" s="87">
        <f t="shared" si="17"/>
        <v>0</v>
      </c>
    </row>
    <row r="381" spans="1:16" s="45" customFormat="1" ht="30">
      <c r="B381" s="62" t="s">
        <v>56</v>
      </c>
      <c r="C381" s="21" t="s">
        <v>57</v>
      </c>
      <c r="D381" s="86" t="s">
        <v>14</v>
      </c>
      <c r="E381" s="105">
        <f>E350+E346</f>
        <v>4</v>
      </c>
      <c r="F381" s="62"/>
      <c r="G381" s="62"/>
      <c r="H381" s="62"/>
      <c r="I381" s="62"/>
      <c r="J381" s="86"/>
      <c r="K381" s="62"/>
      <c r="L381" s="62"/>
      <c r="M381" s="86" t="s">
        <v>55</v>
      </c>
      <c r="N381" s="86" t="s">
        <v>14</v>
      </c>
      <c r="O381" s="87">
        <f>VLOOKUP($B381,BOM!$A$2:$K$94,10,0)</f>
        <v>0</v>
      </c>
      <c r="P381" s="87">
        <f t="shared" si="17"/>
        <v>0</v>
      </c>
    </row>
    <row r="382" spans="1:16" s="45" customFormat="1" ht="30">
      <c r="B382" s="62" t="s">
        <v>58</v>
      </c>
      <c r="C382" s="21" t="s">
        <v>59</v>
      </c>
      <c r="D382" s="86" t="s">
        <v>60</v>
      </c>
      <c r="E382" s="105">
        <f>E381*2</f>
        <v>8</v>
      </c>
      <c r="F382" s="62"/>
      <c r="G382" s="62"/>
      <c r="H382" s="62"/>
      <c r="I382" s="62"/>
      <c r="J382" s="86"/>
      <c r="K382" s="62"/>
      <c r="L382" s="62"/>
      <c r="M382" s="86" t="s">
        <v>61</v>
      </c>
      <c r="N382" s="86" t="s">
        <v>60</v>
      </c>
      <c r="O382" s="87">
        <f>VLOOKUP($B382,BOM!$A$2:$K$94,10,0)</f>
        <v>0</v>
      </c>
      <c r="P382" s="87">
        <f t="shared" si="17"/>
        <v>0</v>
      </c>
    </row>
    <row r="383" spans="1:16" s="45" customFormat="1" ht="45">
      <c r="B383" s="62" t="s">
        <v>62</v>
      </c>
      <c r="C383" s="21" t="s">
        <v>63</v>
      </c>
      <c r="D383" s="86" t="s">
        <v>64</v>
      </c>
      <c r="E383" s="105">
        <f>E360</f>
        <v>1</v>
      </c>
      <c r="F383" s="62"/>
      <c r="G383" s="62"/>
      <c r="H383" s="62"/>
      <c r="I383" s="62"/>
      <c r="J383" s="86"/>
      <c r="K383" s="62"/>
      <c r="L383" s="62"/>
      <c r="M383" s="86" t="s">
        <v>61</v>
      </c>
      <c r="N383" s="86" t="s">
        <v>64</v>
      </c>
      <c r="O383" s="87">
        <f>VLOOKUP($B383,BOM!$A$2:$K$94,10,0)</f>
        <v>0</v>
      </c>
      <c r="P383" s="87">
        <f t="shared" si="17"/>
        <v>0</v>
      </c>
    </row>
    <row r="384" spans="1:16">
      <c r="A384" s="35">
        <v>8</v>
      </c>
      <c r="B384" s="36"/>
      <c r="C384" s="37" t="s">
        <v>78</v>
      </c>
      <c r="D384" s="38" t="s">
        <v>0</v>
      </c>
      <c r="E384" s="36">
        <v>1</v>
      </c>
      <c r="F384" s="36"/>
      <c r="G384" s="36">
        <v>8</v>
      </c>
      <c r="H384" s="36"/>
      <c r="I384" s="36"/>
      <c r="J384" s="36">
        <f>SUBTOTAL(9,J387:J411)</f>
        <v>12</v>
      </c>
      <c r="K384" s="39"/>
      <c r="L384" s="39"/>
      <c r="M384" s="39"/>
      <c r="N384" s="39"/>
      <c r="O384" s="87">
        <f>VLOOKUP($B384,BOM!$A$2:$K$94,10,0)</f>
        <v>0</v>
      </c>
      <c r="P384" s="87">
        <f t="shared" si="17"/>
        <v>0</v>
      </c>
    </row>
    <row r="385" spans="2:16">
      <c r="B385" s="81"/>
      <c r="C385" s="82" t="s">
        <v>124</v>
      </c>
      <c r="D385" s="72" t="s">
        <v>0</v>
      </c>
      <c r="E385" s="72">
        <v>1</v>
      </c>
      <c r="F385" s="72"/>
      <c r="G385" s="72"/>
      <c r="H385" s="72"/>
      <c r="I385" s="72"/>
      <c r="J385" s="72"/>
      <c r="K385" s="83"/>
      <c r="L385" s="83"/>
      <c r="M385" s="83"/>
      <c r="N385" s="83"/>
      <c r="O385" s="87">
        <f>VLOOKUP($B385,BOM!$A$2:$K$94,10,0)</f>
        <v>0</v>
      </c>
      <c r="P385" s="87">
        <f t="shared" si="17"/>
        <v>0</v>
      </c>
    </row>
    <row r="386" spans="2:16" s="19" customFormat="1">
      <c r="B386" s="20" t="s">
        <v>226</v>
      </c>
      <c r="C386" s="20" t="s">
        <v>227</v>
      </c>
      <c r="D386" s="21"/>
      <c r="E386" s="22">
        <v>1</v>
      </c>
      <c r="F386" s="21"/>
      <c r="G386" s="21"/>
      <c r="H386" s="21"/>
      <c r="I386" s="21"/>
      <c r="J386" s="22"/>
      <c r="K386" s="21" t="s">
        <v>4</v>
      </c>
      <c r="L386" s="21" t="s">
        <v>203</v>
      </c>
      <c r="M386" s="22" t="s">
        <v>22</v>
      </c>
      <c r="N386" s="22" t="s">
        <v>3</v>
      </c>
      <c r="O386" s="87">
        <f>VLOOKUP($B386,BOM!$A$2:$K$94,10,0)</f>
        <v>0</v>
      </c>
      <c r="P386" s="87">
        <f t="shared" si="17"/>
        <v>0</v>
      </c>
    </row>
    <row r="387" spans="2:16" s="19" customFormat="1">
      <c r="B387" s="21" t="s">
        <v>122</v>
      </c>
      <c r="C387" s="21" t="s">
        <v>123</v>
      </c>
      <c r="D387" s="21"/>
      <c r="E387" s="22">
        <v>1</v>
      </c>
      <c r="F387" s="21"/>
      <c r="G387" s="21"/>
      <c r="H387" s="21"/>
      <c r="I387" s="21"/>
      <c r="J387" s="22">
        <f>E387</f>
        <v>1</v>
      </c>
      <c r="K387" s="21" t="s">
        <v>4</v>
      </c>
      <c r="L387" s="21" t="s">
        <v>5</v>
      </c>
      <c r="M387" s="22" t="s">
        <v>22</v>
      </c>
      <c r="N387" s="22" t="s">
        <v>3</v>
      </c>
      <c r="O387" s="87">
        <f>VLOOKUP($B387,BOM!$A$2:$K$94,10,0)</f>
        <v>0</v>
      </c>
      <c r="P387" s="87">
        <f t="shared" si="17"/>
        <v>0</v>
      </c>
    </row>
    <row r="388" spans="2:16">
      <c r="B388" s="81"/>
      <c r="C388" s="82" t="s">
        <v>1</v>
      </c>
      <c r="D388" s="72" t="s">
        <v>0</v>
      </c>
      <c r="E388" s="72">
        <v>1</v>
      </c>
      <c r="F388" s="72"/>
      <c r="G388" s="72">
        <f>ROUNDUP(G384/24,0)</f>
        <v>1</v>
      </c>
      <c r="H388" s="72">
        <f t="shared" ref="H388" si="20">ROUNDUP(H384/24,0)</f>
        <v>0</v>
      </c>
      <c r="I388" s="72"/>
      <c r="J388" s="72"/>
      <c r="K388" s="83"/>
      <c r="L388" s="83"/>
      <c r="M388" s="83"/>
      <c r="N388" s="83"/>
      <c r="O388" s="87">
        <f>VLOOKUP($B388,BOM!$A$2:$K$94,10,0)</f>
        <v>0</v>
      </c>
      <c r="P388" s="87">
        <f t="shared" ref="P388:P451" si="21">O388*E388</f>
        <v>0</v>
      </c>
    </row>
    <row r="389" spans="2:16" s="45" customFormat="1">
      <c r="B389" s="62">
        <v>760249997</v>
      </c>
      <c r="C389" s="21" t="s">
        <v>2</v>
      </c>
      <c r="D389" s="85" t="s">
        <v>3</v>
      </c>
      <c r="E389" s="85">
        <f>ROUNDUP((E391+E395)/3,0)</f>
        <v>1</v>
      </c>
      <c r="F389" s="62"/>
      <c r="G389" s="62"/>
      <c r="H389" s="62"/>
      <c r="I389" s="62"/>
      <c r="J389" s="86">
        <f>E389</f>
        <v>1</v>
      </c>
      <c r="K389" s="62" t="s">
        <v>4</v>
      </c>
      <c r="L389" s="62" t="s">
        <v>5</v>
      </c>
      <c r="M389" s="86" t="s">
        <v>6</v>
      </c>
      <c r="N389" s="86" t="s">
        <v>3</v>
      </c>
      <c r="O389" s="87">
        <f>VLOOKUP($B389,BOM!$A$2:$K$94,10,0)</f>
        <v>0</v>
      </c>
      <c r="P389" s="87">
        <f t="shared" si="21"/>
        <v>0</v>
      </c>
    </row>
    <row r="390" spans="2:16" s="45" customFormat="1">
      <c r="B390" s="62">
        <v>760241378</v>
      </c>
      <c r="C390" s="21" t="s">
        <v>7</v>
      </c>
      <c r="D390" s="85" t="s">
        <v>3</v>
      </c>
      <c r="E390" s="85">
        <f>IF(E391&lt;=2,1,ROUNDUP(E389*1.5,0))</f>
        <v>1</v>
      </c>
      <c r="F390" s="62"/>
      <c r="G390" s="62"/>
      <c r="H390" s="62"/>
      <c r="I390" s="62"/>
      <c r="J390" s="86"/>
      <c r="K390" s="62" t="s">
        <v>4</v>
      </c>
      <c r="L390" s="62" t="s">
        <v>5</v>
      </c>
      <c r="M390" s="86" t="s">
        <v>6</v>
      </c>
      <c r="N390" s="86" t="s">
        <v>3</v>
      </c>
      <c r="O390" s="87">
        <f>VLOOKUP($B390,BOM!$A$2:$K$94,10,0)</f>
        <v>0</v>
      </c>
      <c r="P390" s="87">
        <f t="shared" si="21"/>
        <v>0</v>
      </c>
    </row>
    <row r="391" spans="2:16" s="45" customFormat="1">
      <c r="B391" s="62" t="s">
        <v>8</v>
      </c>
      <c r="C391" s="21" t="s">
        <v>9</v>
      </c>
      <c r="D391" s="85" t="s">
        <v>3</v>
      </c>
      <c r="E391" s="85">
        <f>G388</f>
        <v>1</v>
      </c>
      <c r="F391" s="62"/>
      <c r="G391" s="62"/>
      <c r="H391" s="62"/>
      <c r="I391" s="62"/>
      <c r="J391" s="86"/>
      <c r="K391" s="62" t="s">
        <v>4</v>
      </c>
      <c r="L391" s="62" t="s">
        <v>5</v>
      </c>
      <c r="M391" s="86" t="s">
        <v>6</v>
      </c>
      <c r="N391" s="86" t="s">
        <v>3</v>
      </c>
      <c r="O391" s="87">
        <f>VLOOKUP($B391,BOM!$A$2:$K$94,10,0)</f>
        <v>0</v>
      </c>
      <c r="P391" s="87">
        <f t="shared" si="21"/>
        <v>0</v>
      </c>
    </row>
    <row r="392" spans="2:16" s="45" customFormat="1">
      <c r="B392" s="62" t="s">
        <v>10</v>
      </c>
      <c r="C392" s="21" t="s">
        <v>11</v>
      </c>
      <c r="D392" s="85" t="s">
        <v>3</v>
      </c>
      <c r="E392" s="85">
        <f>E389*3-E391-E395</f>
        <v>2</v>
      </c>
      <c r="F392" s="62"/>
      <c r="G392" s="62"/>
      <c r="H392" s="62"/>
      <c r="I392" s="62"/>
      <c r="J392" s="86"/>
      <c r="K392" s="62" t="s">
        <v>4</v>
      </c>
      <c r="L392" s="62" t="s">
        <v>5</v>
      </c>
      <c r="M392" s="86" t="s">
        <v>6</v>
      </c>
      <c r="N392" s="86" t="s">
        <v>3</v>
      </c>
      <c r="O392" s="87">
        <f>VLOOKUP($B392,BOM!$A$2:$K$94,10,0)</f>
        <v>0</v>
      </c>
      <c r="P392" s="87">
        <f t="shared" si="21"/>
        <v>0</v>
      </c>
    </row>
    <row r="393" spans="2:16" s="45" customFormat="1">
      <c r="B393" s="62" t="s">
        <v>12</v>
      </c>
      <c r="C393" s="21" t="s">
        <v>13</v>
      </c>
      <c r="D393" s="85" t="s">
        <v>14</v>
      </c>
      <c r="E393" s="85">
        <f>G384/2</f>
        <v>4</v>
      </c>
      <c r="F393" s="62"/>
      <c r="G393" s="62"/>
      <c r="H393" s="62"/>
      <c r="I393" s="62"/>
      <c r="J393" s="86"/>
      <c r="K393" s="62" t="s">
        <v>4</v>
      </c>
      <c r="L393" s="62" t="s">
        <v>5</v>
      </c>
      <c r="M393" s="86" t="s">
        <v>6</v>
      </c>
      <c r="N393" s="86" t="s">
        <v>15</v>
      </c>
      <c r="O393" s="87">
        <f>VLOOKUP($B393,BOM!$A$2:$K$94,10,0)</f>
        <v>0</v>
      </c>
      <c r="P393" s="87">
        <f t="shared" si="21"/>
        <v>0</v>
      </c>
    </row>
    <row r="394" spans="2:16" s="45" customFormat="1" ht="30">
      <c r="B394" s="62" t="s">
        <v>16</v>
      </c>
      <c r="C394" s="21" t="s">
        <v>17</v>
      </c>
      <c r="D394" s="85" t="s">
        <v>14</v>
      </c>
      <c r="E394" s="85">
        <f>ROUNDUP((E400+E403)*1.3,0)</f>
        <v>2</v>
      </c>
      <c r="F394" s="62"/>
      <c r="G394" s="62"/>
      <c r="H394" s="62"/>
      <c r="I394" s="62"/>
      <c r="J394" s="86"/>
      <c r="K394" s="62" t="s">
        <v>4</v>
      </c>
      <c r="L394" s="62" t="s">
        <v>5</v>
      </c>
      <c r="M394" s="86" t="s">
        <v>6</v>
      </c>
      <c r="N394" s="86" t="s">
        <v>15</v>
      </c>
      <c r="O394" s="87">
        <f>VLOOKUP($B394,BOM!$A$2:$K$94,10,0)</f>
        <v>0</v>
      </c>
      <c r="P394" s="87">
        <f t="shared" si="21"/>
        <v>0</v>
      </c>
    </row>
    <row r="395" spans="2:16" s="110" customFormat="1">
      <c r="B395" s="66" t="s">
        <v>198</v>
      </c>
      <c r="C395" s="106" t="s">
        <v>199</v>
      </c>
      <c r="D395" s="89" t="s">
        <v>3</v>
      </c>
      <c r="E395" s="89">
        <f>H388</f>
        <v>0</v>
      </c>
      <c r="F395" s="66"/>
      <c r="G395" s="66"/>
      <c r="H395" s="66"/>
      <c r="I395" s="66"/>
      <c r="J395" s="107"/>
      <c r="K395" s="108" t="s">
        <v>4</v>
      </c>
      <c r="L395" s="108" t="s">
        <v>5</v>
      </c>
      <c r="M395" s="109" t="s">
        <v>6</v>
      </c>
      <c r="N395" s="109" t="s">
        <v>15</v>
      </c>
      <c r="O395" s="87">
        <f>VLOOKUP($B395,BOM!$A$2:$K$94,10,0)</f>
        <v>0</v>
      </c>
      <c r="P395" s="87">
        <f t="shared" si="21"/>
        <v>0</v>
      </c>
    </row>
    <row r="396" spans="2:16" s="111" customFormat="1">
      <c r="B396" s="66" t="s">
        <v>194</v>
      </c>
      <c r="C396" s="106" t="s">
        <v>195</v>
      </c>
      <c r="D396" s="89" t="s">
        <v>14</v>
      </c>
      <c r="E396" s="89">
        <v>0</v>
      </c>
      <c r="F396" s="108"/>
      <c r="G396" s="108"/>
      <c r="H396" s="108"/>
      <c r="I396" s="108"/>
      <c r="J396" s="109"/>
      <c r="K396" s="108" t="s">
        <v>4</v>
      </c>
      <c r="L396" s="108" t="s">
        <v>5</v>
      </c>
      <c r="M396" s="109" t="s">
        <v>6</v>
      </c>
      <c r="N396" s="109" t="s">
        <v>15</v>
      </c>
      <c r="O396" s="87">
        <f>VLOOKUP($B396,BOM!$A$2:$K$94,10,0)</f>
        <v>0</v>
      </c>
      <c r="P396" s="87">
        <f t="shared" si="21"/>
        <v>0</v>
      </c>
    </row>
    <row r="397" spans="2:16" s="110" customFormat="1">
      <c r="B397" s="66" t="s">
        <v>196</v>
      </c>
      <c r="C397" s="106" t="s">
        <v>197</v>
      </c>
      <c r="D397" s="89" t="s">
        <v>14</v>
      </c>
      <c r="E397" s="89">
        <f>H384/2</f>
        <v>0</v>
      </c>
      <c r="F397" s="66"/>
      <c r="G397" s="66"/>
      <c r="H397" s="66"/>
      <c r="I397" s="66"/>
      <c r="J397" s="107"/>
      <c r="K397" s="108" t="s">
        <v>4</v>
      </c>
      <c r="L397" s="108" t="s">
        <v>5</v>
      </c>
      <c r="M397" s="109" t="s">
        <v>6</v>
      </c>
      <c r="N397" s="109" t="s">
        <v>15</v>
      </c>
      <c r="O397" s="87">
        <f>VLOOKUP($B397,BOM!$A$2:$K$94,10,0)</f>
        <v>0</v>
      </c>
      <c r="P397" s="87">
        <f t="shared" si="21"/>
        <v>0</v>
      </c>
    </row>
    <row r="398" spans="2:16">
      <c r="B398" s="81"/>
      <c r="C398" s="82" t="s">
        <v>26</v>
      </c>
      <c r="D398" s="72" t="s">
        <v>0</v>
      </c>
      <c r="E398" s="72">
        <v>1</v>
      </c>
      <c r="F398" s="72"/>
      <c r="G398" s="72"/>
      <c r="H398" s="72"/>
      <c r="I398" s="72"/>
      <c r="J398" s="72"/>
      <c r="K398" s="83"/>
      <c r="L398" s="83"/>
      <c r="M398" s="83"/>
      <c r="N398" s="83"/>
      <c r="O398" s="87">
        <f>VLOOKUP($B398,BOM!$A$2:$K$94,10,0)</f>
        <v>0</v>
      </c>
      <c r="P398" s="87">
        <f t="shared" si="21"/>
        <v>0</v>
      </c>
    </row>
    <row r="399" spans="2:16" s="45" customFormat="1">
      <c r="B399" s="62"/>
      <c r="C399" s="21"/>
      <c r="D399" s="85"/>
      <c r="E399" s="90"/>
      <c r="F399" s="62"/>
      <c r="G399" s="62"/>
      <c r="H399" s="62"/>
      <c r="I399" s="62"/>
      <c r="J399" s="86"/>
      <c r="K399" s="62"/>
      <c r="L399" s="62"/>
      <c r="M399" s="86"/>
      <c r="N399" s="86"/>
      <c r="O399" s="87">
        <f>VLOOKUP($B399,BOM!$A$2:$K$94,10,0)</f>
        <v>0</v>
      </c>
      <c r="P399" s="87">
        <f t="shared" si="21"/>
        <v>0</v>
      </c>
    </row>
    <row r="400" spans="2:16" s="45" customFormat="1">
      <c r="B400" s="62"/>
      <c r="C400" s="21"/>
      <c r="D400" s="85"/>
      <c r="E400" s="90"/>
      <c r="F400" s="62"/>
      <c r="G400" s="62"/>
      <c r="H400" s="62"/>
      <c r="I400" s="62"/>
      <c r="J400" s="86"/>
      <c r="K400" s="62"/>
      <c r="L400" s="62"/>
      <c r="M400" s="86"/>
      <c r="N400" s="86"/>
      <c r="O400" s="87">
        <f>VLOOKUP($B400,BOM!$A$2:$K$94,10,0)</f>
        <v>0</v>
      </c>
      <c r="P400" s="87">
        <f t="shared" si="21"/>
        <v>0</v>
      </c>
    </row>
    <row r="401" spans="2:16">
      <c r="B401" s="81"/>
      <c r="C401" s="82" t="s">
        <v>145</v>
      </c>
      <c r="D401" s="72" t="s">
        <v>0</v>
      </c>
      <c r="E401" s="72">
        <v>2</v>
      </c>
      <c r="F401" s="72"/>
      <c r="G401" s="72"/>
      <c r="H401" s="72"/>
      <c r="I401" s="72"/>
      <c r="J401" s="72"/>
      <c r="K401" s="83"/>
      <c r="L401" s="83"/>
      <c r="M401" s="83"/>
      <c r="N401" s="83"/>
      <c r="O401" s="87">
        <f>VLOOKUP($B401,BOM!$A$2:$K$94,10,0)</f>
        <v>0</v>
      </c>
      <c r="P401" s="87">
        <f t="shared" si="21"/>
        <v>0</v>
      </c>
    </row>
    <row r="402" spans="2:16" s="45" customFormat="1">
      <c r="B402" s="41" t="s">
        <v>152</v>
      </c>
      <c r="C402" s="41" t="s">
        <v>153</v>
      </c>
      <c r="D402" s="42" t="s">
        <v>64</v>
      </c>
      <c r="E402" s="43">
        <v>1</v>
      </c>
      <c r="F402" s="41"/>
      <c r="G402" s="41"/>
      <c r="H402" s="41"/>
      <c r="I402" s="41"/>
      <c r="J402" s="44">
        <f>E402</f>
        <v>1</v>
      </c>
      <c r="K402" s="41" t="s">
        <v>143</v>
      </c>
      <c r="L402" s="41" t="s">
        <v>151</v>
      </c>
      <c r="M402" s="44" t="s">
        <v>144</v>
      </c>
      <c r="N402" s="44" t="s">
        <v>64</v>
      </c>
      <c r="O402" s="87">
        <f>VLOOKUP($B402,BOM!$A$2:$K$94,10,0)</f>
        <v>0</v>
      </c>
      <c r="P402" s="87">
        <f t="shared" si="21"/>
        <v>0</v>
      </c>
    </row>
    <row r="403" spans="2:16" s="45" customFormat="1" ht="30">
      <c r="B403" s="41" t="s">
        <v>137</v>
      </c>
      <c r="C403" s="46" t="s">
        <v>138</v>
      </c>
      <c r="D403" s="42" t="s">
        <v>64</v>
      </c>
      <c r="E403" s="47">
        <f>E402</f>
        <v>1</v>
      </c>
      <c r="F403" s="41"/>
      <c r="G403" s="41"/>
      <c r="H403" s="41"/>
      <c r="I403" s="41"/>
      <c r="J403" s="44"/>
      <c r="K403" s="41" t="s">
        <v>143</v>
      </c>
      <c r="L403" s="41" t="s">
        <v>151</v>
      </c>
      <c r="M403" s="44" t="s">
        <v>144</v>
      </c>
      <c r="N403" s="44" t="s">
        <v>64</v>
      </c>
      <c r="O403" s="87">
        <f>VLOOKUP($B403,BOM!$A$2:$K$94,10,0)</f>
        <v>0</v>
      </c>
      <c r="P403" s="87">
        <f t="shared" si="21"/>
        <v>0</v>
      </c>
    </row>
    <row r="404" spans="2:16" outlineLevel="1">
      <c r="B404" s="117"/>
      <c r="C404" s="118" t="s">
        <v>67</v>
      </c>
      <c r="D404" s="119" t="s">
        <v>0</v>
      </c>
      <c r="E404" s="120">
        <v>0</v>
      </c>
      <c r="F404" s="121"/>
      <c r="G404" s="121"/>
      <c r="H404" s="121" t="s">
        <v>69</v>
      </c>
      <c r="I404" s="122"/>
      <c r="J404" s="122">
        <f t="shared" ref="J404:J405" si="22">E404</f>
        <v>0</v>
      </c>
      <c r="K404" s="63"/>
      <c r="L404" s="63"/>
      <c r="M404" s="63"/>
      <c r="N404" s="63"/>
      <c r="O404" s="87">
        <f>VLOOKUP($B404,BOM!$A$2:$K$94,10,0)</f>
        <v>0</v>
      </c>
      <c r="P404" s="87">
        <f t="shared" si="21"/>
        <v>0</v>
      </c>
    </row>
    <row r="405" spans="2:16" outlineLevel="1">
      <c r="B405" s="117"/>
      <c r="C405" s="118" t="s">
        <v>70</v>
      </c>
      <c r="D405" s="119" t="s">
        <v>0</v>
      </c>
      <c r="E405" s="120">
        <v>1</v>
      </c>
      <c r="F405" s="121"/>
      <c r="G405" s="121"/>
      <c r="H405" s="121" t="s">
        <v>69</v>
      </c>
      <c r="I405" s="122"/>
      <c r="J405" s="122">
        <f t="shared" si="22"/>
        <v>1</v>
      </c>
      <c r="K405" s="63"/>
      <c r="L405" s="63"/>
      <c r="M405" s="63"/>
      <c r="N405" s="63"/>
      <c r="O405" s="87">
        <f>VLOOKUP($B405,BOM!$A$2:$K$94,10,0)</f>
        <v>0</v>
      </c>
      <c r="P405" s="87">
        <f t="shared" si="21"/>
        <v>0</v>
      </c>
    </row>
    <row r="406" spans="2:16">
      <c r="B406" s="81"/>
      <c r="C406" s="82" t="s">
        <v>18</v>
      </c>
      <c r="D406" s="72" t="s">
        <v>0</v>
      </c>
      <c r="E406" s="72">
        <v>1</v>
      </c>
      <c r="F406" s="72"/>
      <c r="G406" s="72"/>
      <c r="H406" s="72"/>
      <c r="I406" s="72"/>
      <c r="J406" s="72"/>
      <c r="K406" s="83"/>
      <c r="L406" s="83"/>
      <c r="M406" s="83"/>
      <c r="N406" s="83"/>
      <c r="O406" s="87">
        <f>VLOOKUP($B406,BOM!$A$2:$K$94,10,0)</f>
        <v>0</v>
      </c>
      <c r="P406" s="87">
        <f t="shared" si="21"/>
        <v>0</v>
      </c>
    </row>
    <row r="407" spans="2:16" s="45" customFormat="1" ht="30">
      <c r="B407" s="62">
        <v>760237046</v>
      </c>
      <c r="C407" s="21" t="s">
        <v>19</v>
      </c>
      <c r="D407" s="85" t="s">
        <v>3</v>
      </c>
      <c r="E407" s="85">
        <f>E399+E402</f>
        <v>1</v>
      </c>
      <c r="F407" s="62"/>
      <c r="G407" s="62"/>
      <c r="H407" s="62"/>
      <c r="I407" s="62"/>
      <c r="J407" s="86">
        <f>E407</f>
        <v>1</v>
      </c>
      <c r="K407" s="62" t="s">
        <v>4</v>
      </c>
      <c r="L407" s="62" t="s">
        <v>5</v>
      </c>
      <c r="M407" s="86" t="s">
        <v>6</v>
      </c>
      <c r="N407" s="86" t="s">
        <v>3</v>
      </c>
      <c r="O407" s="87">
        <f>VLOOKUP($B407,BOM!$A$2:$K$94,10,0)</f>
        <v>0</v>
      </c>
      <c r="P407" s="87">
        <f t="shared" si="21"/>
        <v>0</v>
      </c>
    </row>
    <row r="408" spans="2:16" s="45" customFormat="1" ht="30">
      <c r="B408" s="62" t="s">
        <v>23</v>
      </c>
      <c r="C408" s="21" t="s">
        <v>24</v>
      </c>
      <c r="D408" s="85" t="s">
        <v>3</v>
      </c>
      <c r="E408" s="85">
        <f>E407*24</f>
        <v>24</v>
      </c>
      <c r="F408" s="62"/>
      <c r="G408" s="62"/>
      <c r="H408" s="62"/>
      <c r="I408" s="62"/>
      <c r="J408" s="86"/>
      <c r="K408" s="62" t="s">
        <v>25</v>
      </c>
      <c r="L408" s="62" t="s">
        <v>5</v>
      </c>
      <c r="M408" s="86" t="s">
        <v>6</v>
      </c>
      <c r="N408" s="86" t="s">
        <v>3</v>
      </c>
      <c r="O408" s="87">
        <f>VLOOKUP($B408,BOM!$A$2:$K$94,10,0)</f>
        <v>0</v>
      </c>
      <c r="P408" s="87">
        <f t="shared" si="21"/>
        <v>0</v>
      </c>
    </row>
    <row r="409" spans="2:16" s="45" customFormat="1">
      <c r="B409" s="62" t="s">
        <v>20</v>
      </c>
      <c r="C409" s="21" t="s">
        <v>21</v>
      </c>
      <c r="D409" s="85" t="s">
        <v>3</v>
      </c>
      <c r="E409" s="85">
        <f>E407</f>
        <v>1</v>
      </c>
      <c r="F409" s="62"/>
      <c r="G409" s="62"/>
      <c r="H409" s="62"/>
      <c r="I409" s="62"/>
      <c r="J409" s="86">
        <f>E409</f>
        <v>1</v>
      </c>
      <c r="K409" s="62" t="s">
        <v>4</v>
      </c>
      <c r="L409" s="62" t="s">
        <v>5</v>
      </c>
      <c r="M409" s="86" t="s">
        <v>22</v>
      </c>
      <c r="N409" s="86" t="s">
        <v>3</v>
      </c>
      <c r="O409" s="87">
        <f>VLOOKUP($B409,BOM!$A$2:$K$94,10,0)</f>
        <v>0</v>
      </c>
      <c r="P409" s="87">
        <f t="shared" si="21"/>
        <v>0</v>
      </c>
    </row>
    <row r="410" spans="2:16">
      <c r="B410" s="81"/>
      <c r="C410" s="82" t="s">
        <v>71</v>
      </c>
      <c r="D410" s="72" t="s">
        <v>0</v>
      </c>
      <c r="E410" s="72">
        <v>1</v>
      </c>
      <c r="F410" s="72"/>
      <c r="G410" s="72"/>
      <c r="H410" s="72"/>
      <c r="I410" s="72"/>
      <c r="J410" s="72"/>
      <c r="K410" s="83"/>
      <c r="L410" s="83"/>
      <c r="M410" s="83"/>
      <c r="N410" s="83"/>
      <c r="O410" s="87">
        <f>VLOOKUP($B410,BOM!$A$2:$K$94,10,0)</f>
        <v>0</v>
      </c>
      <c r="P410" s="87">
        <f t="shared" si="21"/>
        <v>0</v>
      </c>
    </row>
    <row r="411" spans="2:16" s="45" customFormat="1">
      <c r="B411" s="62" t="s">
        <v>312</v>
      </c>
      <c r="C411" s="21" t="s">
        <v>315</v>
      </c>
      <c r="D411" s="116" t="s">
        <v>51</v>
      </c>
      <c r="E411" s="85">
        <v>1</v>
      </c>
      <c r="F411" s="62"/>
      <c r="G411" s="62"/>
      <c r="H411" s="62"/>
      <c r="I411" s="62"/>
      <c r="J411" s="86">
        <f>E411*6</f>
        <v>6</v>
      </c>
      <c r="K411" s="62"/>
      <c r="L411" s="62" t="s">
        <v>5</v>
      </c>
      <c r="M411" s="86" t="s">
        <v>28</v>
      </c>
      <c r="N411" s="86" t="s">
        <v>3</v>
      </c>
      <c r="O411" s="87">
        <f>VLOOKUP($B411,BOM!$A$2:$K$94,10,0)</f>
        <v>0</v>
      </c>
      <c r="P411" s="87">
        <f t="shared" si="21"/>
        <v>0</v>
      </c>
    </row>
    <row r="412" spans="2:16" s="45" customFormat="1">
      <c r="B412" s="62"/>
      <c r="C412" s="21"/>
      <c r="D412" s="116"/>
      <c r="E412" s="85"/>
      <c r="F412" s="62"/>
      <c r="G412" s="62"/>
      <c r="H412" s="62"/>
      <c r="I412" s="62"/>
      <c r="J412" s="86"/>
      <c r="K412" s="62"/>
      <c r="L412" s="62"/>
      <c r="M412" s="86"/>
      <c r="N412" s="86"/>
      <c r="O412" s="87">
        <f>VLOOKUP($B412,BOM!$A$2:$K$94,10,0)</f>
        <v>0</v>
      </c>
      <c r="P412" s="87">
        <f t="shared" si="21"/>
        <v>0</v>
      </c>
    </row>
    <row r="413" spans="2:16" s="45" customFormat="1">
      <c r="B413" s="62" t="s">
        <v>225</v>
      </c>
      <c r="C413" s="21" t="s">
        <v>72</v>
      </c>
      <c r="D413" s="116" t="s">
        <v>64</v>
      </c>
      <c r="E413" s="85">
        <v>0</v>
      </c>
      <c r="F413" s="62"/>
      <c r="G413" s="62"/>
      <c r="H413" s="62"/>
      <c r="I413" s="62"/>
      <c r="J413" s="86"/>
      <c r="K413" s="62"/>
      <c r="L413" s="62" t="s">
        <v>5</v>
      </c>
      <c r="M413" s="86" t="s">
        <v>28</v>
      </c>
      <c r="N413" s="86" t="s">
        <v>3</v>
      </c>
      <c r="O413" s="87">
        <f>VLOOKUP($B413,BOM!$A$2:$K$94,10,0)</f>
        <v>0</v>
      </c>
      <c r="P413" s="87">
        <f t="shared" si="21"/>
        <v>0</v>
      </c>
    </row>
    <row r="414" spans="2:16">
      <c r="B414" s="81"/>
      <c r="C414" s="82" t="s">
        <v>31</v>
      </c>
      <c r="D414" s="72" t="s">
        <v>0</v>
      </c>
      <c r="E414" s="72">
        <v>1</v>
      </c>
      <c r="F414" s="72"/>
      <c r="G414" s="72"/>
      <c r="H414" s="72"/>
      <c r="I414" s="72"/>
      <c r="J414" s="72"/>
      <c r="K414" s="83"/>
      <c r="L414" s="83"/>
      <c r="M414" s="83"/>
      <c r="N414" s="83"/>
      <c r="O414" s="87">
        <f>VLOOKUP($B414,BOM!$A$2:$K$94,10,0)</f>
        <v>0</v>
      </c>
      <c r="P414" s="87">
        <f t="shared" si="21"/>
        <v>0</v>
      </c>
    </row>
    <row r="415" spans="2:16">
      <c r="B415" s="81"/>
      <c r="C415" s="82" t="s">
        <v>32</v>
      </c>
      <c r="D415" s="72"/>
      <c r="E415" s="72"/>
      <c r="F415" s="72"/>
      <c r="G415" s="72"/>
      <c r="H415" s="72"/>
      <c r="I415" s="72"/>
      <c r="J415" s="72"/>
      <c r="K415" s="83"/>
      <c r="L415" s="83"/>
      <c r="M415" s="83"/>
      <c r="N415" s="83"/>
      <c r="O415" s="87">
        <f>VLOOKUP($B415,BOM!$A$2:$K$94,10,0)</f>
        <v>0</v>
      </c>
      <c r="P415" s="87">
        <f t="shared" si="21"/>
        <v>0</v>
      </c>
    </row>
    <row r="416" spans="2:16" s="45" customFormat="1" ht="20.45" customHeight="1">
      <c r="B416" s="62" t="s">
        <v>33</v>
      </c>
      <c r="C416" s="21" t="s">
        <v>34</v>
      </c>
      <c r="D416" s="85" t="s">
        <v>3</v>
      </c>
      <c r="E416" s="90">
        <f>E417</f>
        <v>0</v>
      </c>
      <c r="F416" s="62"/>
      <c r="G416" s="62"/>
      <c r="H416" s="62"/>
      <c r="I416" s="62"/>
      <c r="J416" s="86"/>
      <c r="K416" s="62" t="s">
        <v>35</v>
      </c>
      <c r="L416" s="62" t="s">
        <v>5</v>
      </c>
      <c r="M416" s="86" t="s">
        <v>6</v>
      </c>
      <c r="N416" s="86" t="s">
        <v>3</v>
      </c>
      <c r="O416" s="87">
        <f>VLOOKUP($B416,BOM!$A$2:$K$94,10,0)</f>
        <v>0</v>
      </c>
      <c r="P416" s="87">
        <f t="shared" si="21"/>
        <v>0</v>
      </c>
    </row>
    <row r="417" spans="1:16" s="45" customFormat="1">
      <c r="B417" s="62" t="s">
        <v>330</v>
      </c>
      <c r="C417" s="21" t="s">
        <v>36</v>
      </c>
      <c r="D417" s="85" t="s">
        <v>3</v>
      </c>
      <c r="E417" s="90">
        <f>G415+H415</f>
        <v>0</v>
      </c>
      <c r="F417" s="62"/>
      <c r="G417" s="62"/>
      <c r="H417" s="62"/>
      <c r="I417" s="62"/>
      <c r="J417" s="86"/>
      <c r="K417" s="62" t="s">
        <v>37</v>
      </c>
      <c r="L417" s="62" t="s">
        <v>5</v>
      </c>
      <c r="M417" s="86" t="s">
        <v>37</v>
      </c>
      <c r="N417" s="86" t="s">
        <v>3</v>
      </c>
      <c r="O417" s="87">
        <f>VLOOKUP($B417,BOM!$A$2:$K$94,10,0)</f>
        <v>0</v>
      </c>
      <c r="P417" s="87">
        <f t="shared" si="21"/>
        <v>0</v>
      </c>
    </row>
    <row r="418" spans="1:16" s="45" customFormat="1" ht="30">
      <c r="B418" s="62" t="s">
        <v>38</v>
      </c>
      <c r="C418" s="21" t="s">
        <v>39</v>
      </c>
      <c r="D418" s="85" t="s">
        <v>3</v>
      </c>
      <c r="E418" s="90">
        <f>E417</f>
        <v>0</v>
      </c>
      <c r="F418" s="62"/>
      <c r="G418" s="62"/>
      <c r="H418" s="62"/>
      <c r="I418" s="62"/>
      <c r="J418" s="86"/>
      <c r="K418" s="62" t="s">
        <v>25</v>
      </c>
      <c r="L418" s="62" t="s">
        <v>5</v>
      </c>
      <c r="M418" s="86" t="s">
        <v>6</v>
      </c>
      <c r="N418" s="86" t="s">
        <v>3</v>
      </c>
      <c r="O418" s="87">
        <f>VLOOKUP($B418,BOM!$A$2:$K$94,10,0)</f>
        <v>0</v>
      </c>
      <c r="P418" s="87">
        <f t="shared" si="21"/>
        <v>0</v>
      </c>
    </row>
    <row r="419" spans="1:16">
      <c r="B419" s="81"/>
      <c r="C419" s="82" t="s">
        <v>40</v>
      </c>
      <c r="D419" s="72"/>
      <c r="E419" s="72"/>
      <c r="F419" s="72"/>
      <c r="G419" s="72"/>
      <c r="H419" s="72">
        <v>15</v>
      </c>
      <c r="I419" s="72"/>
      <c r="J419" s="72"/>
      <c r="K419" s="83"/>
      <c r="L419" s="83"/>
      <c r="M419" s="83"/>
      <c r="N419" s="83"/>
      <c r="O419" s="87">
        <f>VLOOKUP($B419,BOM!$A$2:$K$94,10,0)</f>
        <v>0</v>
      </c>
      <c r="P419" s="87">
        <f t="shared" si="21"/>
        <v>0</v>
      </c>
    </row>
    <row r="420" spans="1:16" s="45" customFormat="1">
      <c r="B420" s="62" t="s">
        <v>41</v>
      </c>
      <c r="C420" s="21" t="s">
        <v>42</v>
      </c>
      <c r="D420" s="85" t="s">
        <v>3</v>
      </c>
      <c r="E420" s="85">
        <f>G419+H419</f>
        <v>15</v>
      </c>
      <c r="F420" s="62"/>
      <c r="G420" s="62"/>
      <c r="H420" s="62"/>
      <c r="I420" s="62"/>
      <c r="J420" s="86"/>
      <c r="K420" s="62" t="s">
        <v>4</v>
      </c>
      <c r="L420" s="62" t="s">
        <v>5</v>
      </c>
      <c r="M420" s="86" t="s">
        <v>6</v>
      </c>
      <c r="N420" s="86" t="s">
        <v>3</v>
      </c>
      <c r="O420" s="87">
        <f>VLOOKUP($B420,BOM!$A$2:$K$94,10,0)</f>
        <v>0</v>
      </c>
      <c r="P420" s="87">
        <f t="shared" si="21"/>
        <v>0</v>
      </c>
    </row>
    <row r="421" spans="1:16" s="45" customFormat="1">
      <c r="B421" s="65" t="s">
        <v>43</v>
      </c>
      <c r="C421" s="103" t="s">
        <v>44</v>
      </c>
      <c r="D421" s="85" t="s">
        <v>3</v>
      </c>
      <c r="E421" s="85">
        <f>E420</f>
        <v>15</v>
      </c>
      <c r="F421" s="62"/>
      <c r="G421" s="62"/>
      <c r="H421" s="62"/>
      <c r="I421" s="62"/>
      <c r="J421" s="86"/>
      <c r="K421" s="62" t="s">
        <v>4</v>
      </c>
      <c r="L421" s="62" t="s">
        <v>5</v>
      </c>
      <c r="M421" s="86" t="s">
        <v>6</v>
      </c>
      <c r="N421" s="86" t="s">
        <v>3</v>
      </c>
      <c r="O421" s="87">
        <f>VLOOKUP($B421,BOM!$A$2:$K$94,10,0)</f>
        <v>0</v>
      </c>
      <c r="P421" s="87">
        <f t="shared" si="21"/>
        <v>0</v>
      </c>
    </row>
    <row r="422" spans="1:16">
      <c r="B422" s="81"/>
      <c r="C422" s="82" t="s">
        <v>45</v>
      </c>
      <c r="D422" s="72"/>
      <c r="E422" s="72"/>
      <c r="F422" s="72"/>
      <c r="G422" s="72"/>
      <c r="H422" s="72"/>
      <c r="I422" s="72"/>
      <c r="J422" s="72"/>
      <c r="K422" s="83"/>
      <c r="L422" s="83"/>
      <c r="M422" s="83"/>
      <c r="N422" s="83"/>
      <c r="O422" s="87">
        <f>VLOOKUP($B422,BOM!$A$2:$K$94,10,0)</f>
        <v>0</v>
      </c>
      <c r="P422" s="87">
        <f t="shared" si="21"/>
        <v>0</v>
      </c>
    </row>
    <row r="423" spans="1:16" s="45" customFormat="1" ht="30">
      <c r="B423" s="62" t="s">
        <v>48</v>
      </c>
      <c r="C423" s="21" t="s">
        <v>49</v>
      </c>
      <c r="D423" s="85" t="s">
        <v>14</v>
      </c>
      <c r="E423" s="85">
        <f>E420+1</f>
        <v>16</v>
      </c>
      <c r="F423" s="62"/>
      <c r="G423" s="62"/>
      <c r="H423" s="62"/>
      <c r="I423" s="62"/>
      <c r="J423" s="86"/>
      <c r="K423" s="62"/>
      <c r="L423" s="62" t="s">
        <v>5</v>
      </c>
      <c r="M423" s="86" t="s">
        <v>6</v>
      </c>
      <c r="N423" s="86" t="s">
        <v>15</v>
      </c>
      <c r="O423" s="87">
        <f>VLOOKUP($B423,BOM!$A$2:$K$94,10,0)</f>
        <v>0</v>
      </c>
      <c r="P423" s="87">
        <f t="shared" si="21"/>
        <v>0</v>
      </c>
    </row>
    <row r="424" spans="1:16" s="45" customFormat="1" ht="30">
      <c r="B424" s="62" t="s">
        <v>48</v>
      </c>
      <c r="C424" s="21" t="s">
        <v>49</v>
      </c>
      <c r="D424" s="85" t="s">
        <v>14</v>
      </c>
      <c r="E424" s="90">
        <f>ROUNDUP(E423*0.2,0)</f>
        <v>4</v>
      </c>
      <c r="F424" s="62"/>
      <c r="G424" s="62"/>
      <c r="H424" s="62"/>
      <c r="I424" s="62"/>
      <c r="J424" s="86"/>
      <c r="K424" s="62" t="s">
        <v>4</v>
      </c>
      <c r="L424" s="62" t="s">
        <v>5</v>
      </c>
      <c r="M424" s="86" t="s">
        <v>6</v>
      </c>
      <c r="N424" s="86" t="s">
        <v>15</v>
      </c>
      <c r="O424" s="87">
        <f>VLOOKUP($B424,BOM!$A$2:$K$94,10,0)</f>
        <v>0</v>
      </c>
      <c r="P424" s="87">
        <f t="shared" si="21"/>
        <v>0</v>
      </c>
    </row>
    <row r="425" spans="1:16">
      <c r="B425" s="81"/>
      <c r="C425" s="82" t="s">
        <v>50</v>
      </c>
      <c r="D425" s="72"/>
      <c r="E425" s="72"/>
      <c r="F425" s="72"/>
      <c r="G425" s="72"/>
      <c r="H425" s="72"/>
      <c r="I425" s="72"/>
      <c r="J425" s="72"/>
      <c r="K425" s="83"/>
      <c r="L425" s="83"/>
      <c r="M425" s="83"/>
      <c r="N425" s="83"/>
      <c r="O425" s="87">
        <f>VLOOKUP($B425,BOM!$A$2:$K$94,10,0)</f>
        <v>0</v>
      </c>
      <c r="P425" s="87">
        <f t="shared" si="21"/>
        <v>0</v>
      </c>
    </row>
    <row r="426" spans="1:16" s="45" customFormat="1">
      <c r="B426" s="62" t="s">
        <v>332</v>
      </c>
      <c r="C426" s="21" t="s">
        <v>332</v>
      </c>
      <c r="D426" s="85" t="s">
        <v>51</v>
      </c>
      <c r="E426" s="85">
        <f>E411</f>
        <v>1</v>
      </c>
      <c r="F426" s="62"/>
      <c r="G426" s="62"/>
      <c r="H426" s="62"/>
      <c r="I426" s="62"/>
      <c r="J426" s="86"/>
      <c r="K426" s="62"/>
      <c r="L426" s="62"/>
      <c r="M426" s="86"/>
      <c r="N426" s="86" t="s">
        <v>51</v>
      </c>
      <c r="O426" s="87">
        <f>VLOOKUP($B426,BOM!$A$2:$K$94,10,0)</f>
        <v>0</v>
      </c>
      <c r="P426" s="87">
        <f t="shared" si="21"/>
        <v>0</v>
      </c>
    </row>
    <row r="427" spans="1:16" s="45" customFormat="1">
      <c r="B427" s="62" t="s">
        <v>52</v>
      </c>
      <c r="C427" s="21" t="s">
        <v>53</v>
      </c>
      <c r="D427" s="86" t="s">
        <v>54</v>
      </c>
      <c r="E427" s="105">
        <f>E424+E423</f>
        <v>20</v>
      </c>
      <c r="F427" s="62"/>
      <c r="G427" s="62"/>
      <c r="H427" s="62"/>
      <c r="I427" s="62"/>
      <c r="J427" s="86"/>
      <c r="K427" s="62"/>
      <c r="L427" s="62"/>
      <c r="M427" s="86" t="s">
        <v>55</v>
      </c>
      <c r="N427" s="86" t="s">
        <v>54</v>
      </c>
      <c r="O427" s="87">
        <f>VLOOKUP($B427,BOM!$A$2:$K$94,10,0)</f>
        <v>0</v>
      </c>
      <c r="P427" s="87">
        <f t="shared" si="21"/>
        <v>0</v>
      </c>
    </row>
    <row r="428" spans="1:16" s="45" customFormat="1" ht="30">
      <c r="B428" s="62" t="s">
        <v>56</v>
      </c>
      <c r="C428" s="21" t="s">
        <v>57</v>
      </c>
      <c r="D428" s="86" t="s">
        <v>14</v>
      </c>
      <c r="E428" s="105">
        <f>E397+E393</f>
        <v>4</v>
      </c>
      <c r="F428" s="62"/>
      <c r="G428" s="62"/>
      <c r="H428" s="62"/>
      <c r="I428" s="62"/>
      <c r="J428" s="86"/>
      <c r="K428" s="62"/>
      <c r="L428" s="62"/>
      <c r="M428" s="86" t="s">
        <v>55</v>
      </c>
      <c r="N428" s="86" t="s">
        <v>14</v>
      </c>
      <c r="O428" s="87">
        <f>VLOOKUP($B428,BOM!$A$2:$K$94,10,0)</f>
        <v>0</v>
      </c>
      <c r="P428" s="87">
        <f t="shared" si="21"/>
        <v>0</v>
      </c>
    </row>
    <row r="429" spans="1:16" s="45" customFormat="1" ht="30">
      <c r="B429" s="62" t="s">
        <v>58</v>
      </c>
      <c r="C429" s="21" t="s">
        <v>59</v>
      </c>
      <c r="D429" s="86" t="s">
        <v>60</v>
      </c>
      <c r="E429" s="105">
        <f>E428*2</f>
        <v>8</v>
      </c>
      <c r="F429" s="62"/>
      <c r="G429" s="62"/>
      <c r="H429" s="62"/>
      <c r="I429" s="62"/>
      <c r="J429" s="86"/>
      <c r="K429" s="62"/>
      <c r="L429" s="62"/>
      <c r="M429" s="86" t="s">
        <v>61</v>
      </c>
      <c r="N429" s="86" t="s">
        <v>60</v>
      </c>
      <c r="O429" s="87">
        <f>VLOOKUP($B429,BOM!$A$2:$K$94,10,0)</f>
        <v>0</v>
      </c>
      <c r="P429" s="87">
        <f t="shared" si="21"/>
        <v>0</v>
      </c>
    </row>
    <row r="430" spans="1:16" s="45" customFormat="1" ht="45">
      <c r="B430" s="62" t="s">
        <v>62</v>
      </c>
      <c r="C430" s="21" t="s">
        <v>63</v>
      </c>
      <c r="D430" s="86" t="s">
        <v>64</v>
      </c>
      <c r="E430" s="105">
        <f>E407</f>
        <v>1</v>
      </c>
      <c r="F430" s="62"/>
      <c r="G430" s="62"/>
      <c r="H430" s="62"/>
      <c r="I430" s="62"/>
      <c r="J430" s="86"/>
      <c r="K430" s="62"/>
      <c r="L430" s="62"/>
      <c r="M430" s="86" t="s">
        <v>61</v>
      </c>
      <c r="N430" s="86" t="s">
        <v>64</v>
      </c>
      <c r="O430" s="87">
        <f>VLOOKUP($B430,BOM!$A$2:$K$94,10,0)</f>
        <v>0</v>
      </c>
      <c r="P430" s="87">
        <f t="shared" si="21"/>
        <v>0</v>
      </c>
    </row>
    <row r="431" spans="1:16">
      <c r="A431" s="35">
        <v>9</v>
      </c>
      <c r="B431" s="36"/>
      <c r="C431" s="37" t="s">
        <v>79</v>
      </c>
      <c r="D431" s="38" t="s">
        <v>0</v>
      </c>
      <c r="E431" s="36">
        <v>1</v>
      </c>
      <c r="F431" s="36"/>
      <c r="G431" s="36">
        <v>8</v>
      </c>
      <c r="H431" s="36"/>
      <c r="I431" s="36"/>
      <c r="J431" s="36">
        <f>SUBTOTAL(9,J434:J458)</f>
        <v>14</v>
      </c>
      <c r="K431" s="39"/>
      <c r="L431" s="39"/>
      <c r="M431" s="39"/>
      <c r="N431" s="39"/>
      <c r="O431" s="87">
        <f>VLOOKUP($B431,BOM!$A$2:$K$94,10,0)</f>
        <v>0</v>
      </c>
      <c r="P431" s="87">
        <f t="shared" si="21"/>
        <v>0</v>
      </c>
    </row>
    <row r="432" spans="1:16">
      <c r="B432" s="81"/>
      <c r="C432" s="82" t="s">
        <v>124</v>
      </c>
      <c r="D432" s="72" t="s">
        <v>0</v>
      </c>
      <c r="E432" s="72">
        <v>1</v>
      </c>
      <c r="F432" s="72"/>
      <c r="G432" s="72"/>
      <c r="H432" s="72"/>
      <c r="I432" s="72"/>
      <c r="J432" s="72"/>
      <c r="K432" s="83"/>
      <c r="L432" s="83"/>
      <c r="M432" s="83"/>
      <c r="N432" s="83"/>
      <c r="O432" s="87">
        <f>VLOOKUP($B432,BOM!$A$2:$K$94,10,0)</f>
        <v>0</v>
      </c>
      <c r="P432" s="87">
        <f t="shared" si="21"/>
        <v>0</v>
      </c>
    </row>
    <row r="433" spans="2:16" s="19" customFormat="1">
      <c r="B433" s="20" t="s">
        <v>226</v>
      </c>
      <c r="C433" s="20" t="s">
        <v>227</v>
      </c>
      <c r="D433" s="21"/>
      <c r="E433" s="22">
        <v>1</v>
      </c>
      <c r="F433" s="21"/>
      <c r="G433" s="21"/>
      <c r="H433" s="21"/>
      <c r="I433" s="21"/>
      <c r="J433" s="22"/>
      <c r="K433" s="21" t="s">
        <v>4</v>
      </c>
      <c r="L433" s="21" t="s">
        <v>203</v>
      </c>
      <c r="M433" s="22" t="s">
        <v>22</v>
      </c>
      <c r="N433" s="22" t="s">
        <v>3</v>
      </c>
      <c r="O433" s="87">
        <f>VLOOKUP($B433,BOM!$A$2:$K$94,10,0)</f>
        <v>0</v>
      </c>
      <c r="P433" s="87">
        <f t="shared" si="21"/>
        <v>0</v>
      </c>
    </row>
    <row r="434" spans="2:16" s="19" customFormat="1">
      <c r="B434" s="21" t="s">
        <v>122</v>
      </c>
      <c r="C434" s="21" t="s">
        <v>123</v>
      </c>
      <c r="D434" s="21"/>
      <c r="E434" s="22">
        <v>1</v>
      </c>
      <c r="F434" s="21"/>
      <c r="G434" s="21"/>
      <c r="H434" s="21"/>
      <c r="I434" s="21"/>
      <c r="J434" s="22">
        <v>1</v>
      </c>
      <c r="K434" s="21" t="s">
        <v>4</v>
      </c>
      <c r="L434" s="21" t="s">
        <v>5</v>
      </c>
      <c r="M434" s="22" t="s">
        <v>22</v>
      </c>
      <c r="N434" s="22" t="s">
        <v>3</v>
      </c>
      <c r="O434" s="87">
        <f>VLOOKUP($B434,BOM!$A$2:$K$94,10,0)</f>
        <v>0</v>
      </c>
      <c r="P434" s="87">
        <f t="shared" si="21"/>
        <v>0</v>
      </c>
    </row>
    <row r="435" spans="2:16">
      <c r="B435" s="81"/>
      <c r="C435" s="82" t="s">
        <v>1</v>
      </c>
      <c r="D435" s="72" t="s">
        <v>0</v>
      </c>
      <c r="E435" s="72">
        <v>1</v>
      </c>
      <c r="F435" s="72"/>
      <c r="G435" s="72">
        <f>ROUNDUP(G431/24,0)</f>
        <v>1</v>
      </c>
      <c r="H435" s="72">
        <f t="shared" ref="H435" si="23">ROUNDUP(H431/24,0)</f>
        <v>0</v>
      </c>
      <c r="I435" s="72"/>
      <c r="J435" s="72">
        <v>1</v>
      </c>
      <c r="K435" s="83"/>
      <c r="L435" s="83"/>
      <c r="M435" s="83"/>
      <c r="N435" s="83"/>
      <c r="O435" s="87">
        <f>VLOOKUP($B435,BOM!$A$2:$K$94,10,0)</f>
        <v>0</v>
      </c>
      <c r="P435" s="87">
        <f t="shared" si="21"/>
        <v>0</v>
      </c>
    </row>
    <row r="436" spans="2:16" s="45" customFormat="1">
      <c r="B436" s="62">
        <v>760249997</v>
      </c>
      <c r="C436" s="21" t="s">
        <v>2</v>
      </c>
      <c r="D436" s="85" t="s">
        <v>3</v>
      </c>
      <c r="E436" s="85">
        <f>ROUNDUP((E438+E442)/3,0)</f>
        <v>1</v>
      </c>
      <c r="F436" s="62"/>
      <c r="G436" s="62"/>
      <c r="H436" s="62"/>
      <c r="I436" s="62"/>
      <c r="J436" s="86">
        <v>1</v>
      </c>
      <c r="K436" s="62" t="s">
        <v>4</v>
      </c>
      <c r="L436" s="62" t="s">
        <v>5</v>
      </c>
      <c r="M436" s="86" t="s">
        <v>6</v>
      </c>
      <c r="N436" s="86" t="s">
        <v>3</v>
      </c>
      <c r="O436" s="87">
        <f>VLOOKUP($B436,BOM!$A$2:$K$94,10,0)</f>
        <v>0</v>
      </c>
      <c r="P436" s="87">
        <f t="shared" si="21"/>
        <v>0</v>
      </c>
    </row>
    <row r="437" spans="2:16" s="45" customFormat="1">
      <c r="B437" s="62">
        <v>760241378</v>
      </c>
      <c r="C437" s="21" t="s">
        <v>7</v>
      </c>
      <c r="D437" s="85" t="s">
        <v>3</v>
      </c>
      <c r="E437" s="85">
        <f>IF(E438&lt;=2,1,ROUNDUP(E436*1.5,0))</f>
        <v>1</v>
      </c>
      <c r="F437" s="62"/>
      <c r="G437" s="62"/>
      <c r="H437" s="62"/>
      <c r="I437" s="62"/>
      <c r="J437" s="86"/>
      <c r="K437" s="62" t="s">
        <v>4</v>
      </c>
      <c r="L437" s="62" t="s">
        <v>5</v>
      </c>
      <c r="M437" s="86" t="s">
        <v>6</v>
      </c>
      <c r="N437" s="86" t="s">
        <v>3</v>
      </c>
      <c r="O437" s="87">
        <f>VLOOKUP($B437,BOM!$A$2:$K$94,10,0)</f>
        <v>0</v>
      </c>
      <c r="P437" s="87">
        <f t="shared" si="21"/>
        <v>0</v>
      </c>
    </row>
    <row r="438" spans="2:16" s="45" customFormat="1">
      <c r="B438" s="62" t="s">
        <v>8</v>
      </c>
      <c r="C438" s="21" t="s">
        <v>9</v>
      </c>
      <c r="D438" s="85" t="s">
        <v>3</v>
      </c>
      <c r="E438" s="85">
        <f>G435</f>
        <v>1</v>
      </c>
      <c r="F438" s="62"/>
      <c r="G438" s="62"/>
      <c r="H438" s="62"/>
      <c r="I438" s="62"/>
      <c r="J438" s="86"/>
      <c r="K438" s="62" t="s">
        <v>4</v>
      </c>
      <c r="L438" s="62" t="s">
        <v>5</v>
      </c>
      <c r="M438" s="86" t="s">
        <v>6</v>
      </c>
      <c r="N438" s="86" t="s">
        <v>3</v>
      </c>
      <c r="O438" s="87">
        <f>VLOOKUP($B438,BOM!$A$2:$K$94,10,0)</f>
        <v>0</v>
      </c>
      <c r="P438" s="87">
        <f t="shared" si="21"/>
        <v>0</v>
      </c>
    </row>
    <row r="439" spans="2:16" s="45" customFormat="1">
      <c r="B439" s="62" t="s">
        <v>10</v>
      </c>
      <c r="C439" s="21" t="s">
        <v>11</v>
      </c>
      <c r="D439" s="85" t="s">
        <v>3</v>
      </c>
      <c r="E439" s="85">
        <f>E436*3-E438-E442</f>
        <v>2</v>
      </c>
      <c r="F439" s="62"/>
      <c r="G439" s="62"/>
      <c r="H439" s="62"/>
      <c r="I439" s="62"/>
      <c r="J439" s="86"/>
      <c r="K439" s="62" t="s">
        <v>4</v>
      </c>
      <c r="L439" s="62" t="s">
        <v>5</v>
      </c>
      <c r="M439" s="86" t="s">
        <v>6</v>
      </c>
      <c r="N439" s="86" t="s">
        <v>3</v>
      </c>
      <c r="O439" s="87">
        <f>VLOOKUP($B439,BOM!$A$2:$K$94,10,0)</f>
        <v>0</v>
      </c>
      <c r="P439" s="87">
        <f t="shared" si="21"/>
        <v>0</v>
      </c>
    </row>
    <row r="440" spans="2:16" s="45" customFormat="1">
      <c r="B440" s="62" t="s">
        <v>12</v>
      </c>
      <c r="C440" s="21" t="s">
        <v>13</v>
      </c>
      <c r="D440" s="85" t="s">
        <v>14</v>
      </c>
      <c r="E440" s="85">
        <f>G431/2</f>
        <v>4</v>
      </c>
      <c r="F440" s="62"/>
      <c r="G440" s="62"/>
      <c r="H440" s="62"/>
      <c r="I440" s="62"/>
      <c r="J440" s="86"/>
      <c r="K440" s="62" t="s">
        <v>4</v>
      </c>
      <c r="L440" s="62" t="s">
        <v>5</v>
      </c>
      <c r="M440" s="86" t="s">
        <v>6</v>
      </c>
      <c r="N440" s="86" t="s">
        <v>15</v>
      </c>
      <c r="O440" s="87">
        <f>VLOOKUP($B440,BOM!$A$2:$K$94,10,0)</f>
        <v>0</v>
      </c>
      <c r="P440" s="87">
        <f t="shared" si="21"/>
        <v>0</v>
      </c>
    </row>
    <row r="441" spans="2:16" s="45" customFormat="1" ht="30">
      <c r="B441" s="62" t="s">
        <v>16</v>
      </c>
      <c r="C441" s="21" t="s">
        <v>17</v>
      </c>
      <c r="D441" s="85" t="s">
        <v>14</v>
      </c>
      <c r="E441" s="85">
        <f>ROUNDUP((E447+E450)*1.3,0)</f>
        <v>2</v>
      </c>
      <c r="F441" s="62"/>
      <c r="G441" s="62"/>
      <c r="H441" s="62"/>
      <c r="I441" s="62"/>
      <c r="J441" s="86"/>
      <c r="K441" s="62" t="s">
        <v>4</v>
      </c>
      <c r="L441" s="62" t="s">
        <v>5</v>
      </c>
      <c r="M441" s="86" t="s">
        <v>6</v>
      </c>
      <c r="N441" s="86" t="s">
        <v>15</v>
      </c>
      <c r="O441" s="87">
        <f>VLOOKUP($B441,BOM!$A$2:$K$94,10,0)</f>
        <v>0</v>
      </c>
      <c r="P441" s="87">
        <f t="shared" si="21"/>
        <v>0</v>
      </c>
    </row>
    <row r="442" spans="2:16" s="110" customFormat="1">
      <c r="B442" s="66" t="s">
        <v>198</v>
      </c>
      <c r="C442" s="106" t="s">
        <v>199</v>
      </c>
      <c r="D442" s="89" t="s">
        <v>3</v>
      </c>
      <c r="E442" s="89">
        <f>H435</f>
        <v>0</v>
      </c>
      <c r="F442" s="66"/>
      <c r="G442" s="66"/>
      <c r="H442" s="66"/>
      <c r="I442" s="66"/>
      <c r="J442" s="107"/>
      <c r="K442" s="108" t="s">
        <v>4</v>
      </c>
      <c r="L442" s="108" t="s">
        <v>5</v>
      </c>
      <c r="M442" s="109" t="s">
        <v>6</v>
      </c>
      <c r="N442" s="109" t="s">
        <v>15</v>
      </c>
      <c r="O442" s="87">
        <f>VLOOKUP($B442,BOM!$A$2:$K$94,10,0)</f>
        <v>0</v>
      </c>
      <c r="P442" s="87">
        <f t="shared" si="21"/>
        <v>0</v>
      </c>
    </row>
    <row r="443" spans="2:16" s="111" customFormat="1">
      <c r="B443" s="66" t="s">
        <v>194</v>
      </c>
      <c r="C443" s="106" t="s">
        <v>195</v>
      </c>
      <c r="D443" s="89" t="s">
        <v>14</v>
      </c>
      <c r="E443" s="89">
        <v>0</v>
      </c>
      <c r="F443" s="108"/>
      <c r="G443" s="108"/>
      <c r="H443" s="108"/>
      <c r="I443" s="108"/>
      <c r="J443" s="109"/>
      <c r="K443" s="108" t="s">
        <v>4</v>
      </c>
      <c r="L443" s="108" t="s">
        <v>5</v>
      </c>
      <c r="M443" s="109" t="s">
        <v>6</v>
      </c>
      <c r="N443" s="109" t="s">
        <v>15</v>
      </c>
      <c r="O443" s="87">
        <f>VLOOKUP($B443,BOM!$A$2:$K$94,10,0)</f>
        <v>0</v>
      </c>
      <c r="P443" s="87">
        <f t="shared" si="21"/>
        <v>0</v>
      </c>
    </row>
    <row r="444" spans="2:16" s="110" customFormat="1">
      <c r="B444" s="66" t="s">
        <v>196</v>
      </c>
      <c r="C444" s="106" t="s">
        <v>197</v>
      </c>
      <c r="D444" s="89" t="s">
        <v>14</v>
      </c>
      <c r="E444" s="89">
        <f>H431/2</f>
        <v>0</v>
      </c>
      <c r="F444" s="66"/>
      <c r="G444" s="66"/>
      <c r="H444" s="66"/>
      <c r="I444" s="66"/>
      <c r="J444" s="107"/>
      <c r="K444" s="108" t="s">
        <v>4</v>
      </c>
      <c r="L444" s="108" t="s">
        <v>5</v>
      </c>
      <c r="M444" s="109" t="s">
        <v>6</v>
      </c>
      <c r="N444" s="109" t="s">
        <v>15</v>
      </c>
      <c r="O444" s="87">
        <f>VLOOKUP($B444,BOM!$A$2:$K$94,10,0)</f>
        <v>0</v>
      </c>
      <c r="P444" s="87">
        <f t="shared" si="21"/>
        <v>0</v>
      </c>
    </row>
    <row r="445" spans="2:16">
      <c r="B445" s="81"/>
      <c r="C445" s="82" t="s">
        <v>26</v>
      </c>
      <c r="D445" s="72" t="s">
        <v>0</v>
      </c>
      <c r="E445" s="72">
        <v>1</v>
      </c>
      <c r="F445" s="72"/>
      <c r="G445" s="72"/>
      <c r="H445" s="72"/>
      <c r="I445" s="72"/>
      <c r="J445" s="72"/>
      <c r="K445" s="83"/>
      <c r="L445" s="83"/>
      <c r="M445" s="83"/>
      <c r="N445" s="83"/>
      <c r="O445" s="87">
        <f>VLOOKUP($B445,BOM!$A$2:$K$94,10,0)</f>
        <v>0</v>
      </c>
      <c r="P445" s="87">
        <f t="shared" si="21"/>
        <v>0</v>
      </c>
    </row>
    <row r="446" spans="2:16" s="45" customFormat="1">
      <c r="B446" s="62"/>
      <c r="C446" s="21"/>
      <c r="D446" s="85"/>
      <c r="E446" s="90"/>
      <c r="F446" s="62"/>
      <c r="G446" s="62"/>
      <c r="H446" s="62"/>
      <c r="I446" s="62"/>
      <c r="J446" s="86"/>
      <c r="K446" s="62"/>
      <c r="L446" s="62"/>
      <c r="M446" s="86"/>
      <c r="N446" s="86"/>
      <c r="O446" s="87">
        <f>VLOOKUP($B446,BOM!$A$2:$K$94,10,0)</f>
        <v>0</v>
      </c>
      <c r="P446" s="87">
        <f t="shared" si="21"/>
        <v>0</v>
      </c>
    </row>
    <row r="447" spans="2:16" s="45" customFormat="1">
      <c r="B447" s="62"/>
      <c r="C447" s="21"/>
      <c r="D447" s="85"/>
      <c r="E447" s="90"/>
      <c r="F447" s="62"/>
      <c r="G447" s="62"/>
      <c r="H447" s="62"/>
      <c r="I447" s="62"/>
      <c r="J447" s="86"/>
      <c r="K447" s="62"/>
      <c r="L447" s="62"/>
      <c r="M447" s="86"/>
      <c r="N447" s="86"/>
      <c r="O447" s="87">
        <f>VLOOKUP($B447,BOM!$A$2:$K$94,10,0)</f>
        <v>0</v>
      </c>
      <c r="P447" s="87">
        <f t="shared" si="21"/>
        <v>0</v>
      </c>
    </row>
    <row r="448" spans="2:16">
      <c r="B448" s="81"/>
      <c r="C448" s="82" t="s">
        <v>145</v>
      </c>
      <c r="D448" s="72" t="s">
        <v>0</v>
      </c>
      <c r="E448" s="72">
        <v>2</v>
      </c>
      <c r="F448" s="72"/>
      <c r="G448" s="72"/>
      <c r="H448" s="72"/>
      <c r="I448" s="72"/>
      <c r="J448" s="72"/>
      <c r="K448" s="83"/>
      <c r="L448" s="83"/>
      <c r="M448" s="83"/>
      <c r="N448" s="83"/>
      <c r="O448" s="87">
        <f>VLOOKUP($B448,BOM!$A$2:$K$94,10,0)</f>
        <v>0</v>
      </c>
      <c r="P448" s="87">
        <f t="shared" si="21"/>
        <v>0</v>
      </c>
    </row>
    <row r="449" spans="2:16" s="45" customFormat="1">
      <c r="B449" s="41" t="s">
        <v>152</v>
      </c>
      <c r="C449" s="41" t="s">
        <v>153</v>
      </c>
      <c r="D449" s="42" t="s">
        <v>64</v>
      </c>
      <c r="E449" s="43">
        <v>1</v>
      </c>
      <c r="F449" s="41"/>
      <c r="G449" s="41"/>
      <c r="H449" s="41"/>
      <c r="I449" s="41"/>
      <c r="J449" s="44">
        <v>1</v>
      </c>
      <c r="K449" s="41" t="s">
        <v>143</v>
      </c>
      <c r="L449" s="41" t="s">
        <v>151</v>
      </c>
      <c r="M449" s="44" t="s">
        <v>144</v>
      </c>
      <c r="N449" s="44" t="s">
        <v>64</v>
      </c>
      <c r="O449" s="87">
        <f>VLOOKUP($B449,BOM!$A$2:$K$94,10,0)</f>
        <v>0</v>
      </c>
      <c r="P449" s="87">
        <f t="shared" si="21"/>
        <v>0</v>
      </c>
    </row>
    <row r="450" spans="2:16" s="45" customFormat="1" ht="30">
      <c r="B450" s="41" t="s">
        <v>137</v>
      </c>
      <c r="C450" s="46" t="s">
        <v>138</v>
      </c>
      <c r="D450" s="42" t="s">
        <v>64</v>
      </c>
      <c r="E450" s="47">
        <f>E449</f>
        <v>1</v>
      </c>
      <c r="F450" s="41"/>
      <c r="G450" s="41"/>
      <c r="H450" s="41"/>
      <c r="I450" s="41"/>
      <c r="J450" s="44"/>
      <c r="K450" s="41" t="s">
        <v>143</v>
      </c>
      <c r="L450" s="41" t="s">
        <v>151</v>
      </c>
      <c r="M450" s="44" t="s">
        <v>144</v>
      </c>
      <c r="N450" s="44" t="s">
        <v>64</v>
      </c>
      <c r="O450" s="87">
        <f>VLOOKUP($B450,BOM!$A$2:$K$94,10,0)</f>
        <v>0</v>
      </c>
      <c r="P450" s="87">
        <f t="shared" si="21"/>
        <v>0</v>
      </c>
    </row>
    <row r="451" spans="2:16" outlineLevel="1">
      <c r="B451" s="117"/>
      <c r="C451" s="118" t="s">
        <v>67</v>
      </c>
      <c r="D451" s="119" t="s">
        <v>0</v>
      </c>
      <c r="E451" s="120">
        <v>1</v>
      </c>
      <c r="F451" s="121"/>
      <c r="G451" s="121"/>
      <c r="H451" s="121" t="s">
        <v>69</v>
      </c>
      <c r="I451" s="122"/>
      <c r="J451" s="122">
        <v>1</v>
      </c>
      <c r="K451" s="63"/>
      <c r="L451" s="63"/>
      <c r="M451" s="63"/>
      <c r="N451" s="63"/>
      <c r="O451" s="87">
        <f>VLOOKUP($B451,BOM!$A$2:$K$94,10,0)</f>
        <v>0</v>
      </c>
      <c r="P451" s="87">
        <f t="shared" si="21"/>
        <v>0</v>
      </c>
    </row>
    <row r="452" spans="2:16" outlineLevel="1">
      <c r="B452" s="117"/>
      <c r="C452" s="118" t="s">
        <v>70</v>
      </c>
      <c r="D452" s="119" t="s">
        <v>0</v>
      </c>
      <c r="E452" s="120">
        <v>1</v>
      </c>
      <c r="F452" s="121"/>
      <c r="G452" s="121"/>
      <c r="H452" s="121" t="s">
        <v>69</v>
      </c>
      <c r="I452" s="122"/>
      <c r="J452" s="122">
        <v>1</v>
      </c>
      <c r="K452" s="63"/>
      <c r="L452" s="63"/>
      <c r="M452" s="63"/>
      <c r="N452" s="63"/>
      <c r="O452" s="87">
        <f>VLOOKUP($B452,BOM!$A$2:$K$94,10,0)</f>
        <v>0</v>
      </c>
      <c r="P452" s="87">
        <f t="shared" ref="P452:P515" si="24">O452*E452</f>
        <v>0</v>
      </c>
    </row>
    <row r="453" spans="2:16">
      <c r="B453" s="81"/>
      <c r="C453" s="82" t="s">
        <v>18</v>
      </c>
      <c r="D453" s="72" t="s">
        <v>0</v>
      </c>
      <c r="E453" s="72">
        <v>1</v>
      </c>
      <c r="F453" s="72"/>
      <c r="G453" s="72"/>
      <c r="H453" s="72"/>
      <c r="I453" s="72"/>
      <c r="J453" s="72"/>
      <c r="K453" s="83"/>
      <c r="L453" s="83"/>
      <c r="M453" s="83"/>
      <c r="N453" s="83"/>
      <c r="O453" s="87">
        <f>VLOOKUP($B453,BOM!$A$2:$K$94,10,0)</f>
        <v>0</v>
      </c>
      <c r="P453" s="87">
        <f t="shared" si="24"/>
        <v>0</v>
      </c>
    </row>
    <row r="454" spans="2:16" s="45" customFormat="1" ht="30">
      <c r="B454" s="62">
        <v>760237046</v>
      </c>
      <c r="C454" s="21" t="s">
        <v>19</v>
      </c>
      <c r="D454" s="85" t="s">
        <v>3</v>
      </c>
      <c r="E454" s="85">
        <f>E446+E449</f>
        <v>1</v>
      </c>
      <c r="F454" s="62"/>
      <c r="G454" s="62"/>
      <c r="H454" s="62"/>
      <c r="I454" s="62"/>
      <c r="J454" s="86">
        <v>1</v>
      </c>
      <c r="K454" s="62" t="s">
        <v>4</v>
      </c>
      <c r="L454" s="62" t="s">
        <v>5</v>
      </c>
      <c r="M454" s="86" t="s">
        <v>6</v>
      </c>
      <c r="N454" s="86" t="s">
        <v>3</v>
      </c>
      <c r="O454" s="87">
        <f>VLOOKUP($B454,BOM!$A$2:$K$94,10,0)</f>
        <v>0</v>
      </c>
      <c r="P454" s="87">
        <f t="shared" si="24"/>
        <v>0</v>
      </c>
    </row>
    <row r="455" spans="2:16" s="45" customFormat="1" ht="30">
      <c r="B455" s="62" t="s">
        <v>23</v>
      </c>
      <c r="C455" s="21" t="s">
        <v>24</v>
      </c>
      <c r="D455" s="85" t="s">
        <v>3</v>
      </c>
      <c r="E455" s="85">
        <f>E454*24</f>
        <v>24</v>
      </c>
      <c r="F455" s="62"/>
      <c r="G455" s="62"/>
      <c r="H455" s="62"/>
      <c r="I455" s="62"/>
      <c r="J455" s="86"/>
      <c r="K455" s="62" t="s">
        <v>25</v>
      </c>
      <c r="L455" s="62" t="s">
        <v>5</v>
      </c>
      <c r="M455" s="86" t="s">
        <v>6</v>
      </c>
      <c r="N455" s="86" t="s">
        <v>3</v>
      </c>
      <c r="O455" s="87">
        <f>VLOOKUP($B455,BOM!$A$2:$K$94,10,0)</f>
        <v>0</v>
      </c>
      <c r="P455" s="87">
        <f t="shared" si="24"/>
        <v>0</v>
      </c>
    </row>
    <row r="456" spans="2:16" s="45" customFormat="1">
      <c r="B456" s="62" t="s">
        <v>20</v>
      </c>
      <c r="C456" s="21" t="s">
        <v>21</v>
      </c>
      <c r="D456" s="85" t="s">
        <v>3</v>
      </c>
      <c r="E456" s="85">
        <f>E454</f>
        <v>1</v>
      </c>
      <c r="F456" s="62"/>
      <c r="G456" s="62"/>
      <c r="H456" s="62"/>
      <c r="I456" s="62"/>
      <c r="J456" s="86">
        <v>1</v>
      </c>
      <c r="K456" s="62" t="s">
        <v>4</v>
      </c>
      <c r="L456" s="62" t="s">
        <v>5</v>
      </c>
      <c r="M456" s="86" t="s">
        <v>22</v>
      </c>
      <c r="N456" s="86" t="s">
        <v>3</v>
      </c>
      <c r="O456" s="87">
        <f>VLOOKUP($B456,BOM!$A$2:$K$94,10,0)</f>
        <v>0</v>
      </c>
      <c r="P456" s="87">
        <f t="shared" si="24"/>
        <v>0</v>
      </c>
    </row>
    <row r="457" spans="2:16">
      <c r="B457" s="81"/>
      <c r="C457" s="82" t="s">
        <v>71</v>
      </c>
      <c r="D457" s="72" t="s">
        <v>0</v>
      </c>
      <c r="E457" s="72">
        <v>1</v>
      </c>
      <c r="F457" s="72"/>
      <c r="G457" s="72"/>
      <c r="H457" s="72"/>
      <c r="I457" s="72"/>
      <c r="J457" s="72"/>
      <c r="K457" s="83"/>
      <c r="L457" s="83"/>
      <c r="M457" s="83"/>
      <c r="N457" s="83"/>
      <c r="O457" s="87">
        <f>VLOOKUP($B457,BOM!$A$2:$K$94,10,0)</f>
        <v>0</v>
      </c>
      <c r="P457" s="87">
        <f t="shared" si="24"/>
        <v>0</v>
      </c>
    </row>
    <row r="458" spans="2:16" s="45" customFormat="1">
      <c r="B458" s="62" t="s">
        <v>312</v>
      </c>
      <c r="C458" s="21" t="s">
        <v>315</v>
      </c>
      <c r="D458" s="116" t="s">
        <v>51</v>
      </c>
      <c r="E458" s="85">
        <v>1</v>
      </c>
      <c r="F458" s="62"/>
      <c r="G458" s="62"/>
      <c r="H458" s="62"/>
      <c r="I458" s="62"/>
      <c r="J458" s="86">
        <f>E458*6</f>
        <v>6</v>
      </c>
      <c r="K458" s="62"/>
      <c r="L458" s="62" t="s">
        <v>5</v>
      </c>
      <c r="M458" s="86" t="s">
        <v>28</v>
      </c>
      <c r="N458" s="86" t="s">
        <v>3</v>
      </c>
      <c r="O458" s="87">
        <f>VLOOKUP($B458,BOM!$A$2:$K$94,10,0)</f>
        <v>0</v>
      </c>
      <c r="P458" s="87">
        <f t="shared" si="24"/>
        <v>0</v>
      </c>
    </row>
    <row r="459" spans="2:16" s="45" customFormat="1">
      <c r="B459" s="62"/>
      <c r="C459" s="21"/>
      <c r="D459" s="116"/>
      <c r="E459" s="85"/>
      <c r="F459" s="62"/>
      <c r="G459" s="62"/>
      <c r="H459" s="62"/>
      <c r="I459" s="62"/>
      <c r="J459" s="86"/>
      <c r="K459" s="62"/>
      <c r="L459" s="62"/>
      <c r="M459" s="86"/>
      <c r="N459" s="86"/>
      <c r="O459" s="87">
        <f>VLOOKUP($B459,BOM!$A$2:$K$94,10,0)</f>
        <v>0</v>
      </c>
      <c r="P459" s="87">
        <f t="shared" si="24"/>
        <v>0</v>
      </c>
    </row>
    <row r="460" spans="2:16" s="45" customFormat="1">
      <c r="B460" s="62" t="s">
        <v>225</v>
      </c>
      <c r="C460" s="21" t="s">
        <v>72</v>
      </c>
      <c r="D460" s="116" t="s">
        <v>64</v>
      </c>
      <c r="E460" s="85">
        <v>0</v>
      </c>
      <c r="F460" s="62"/>
      <c r="G460" s="62"/>
      <c r="H460" s="62"/>
      <c r="I460" s="62"/>
      <c r="J460" s="86"/>
      <c r="K460" s="62"/>
      <c r="L460" s="62" t="s">
        <v>5</v>
      </c>
      <c r="M460" s="86" t="s">
        <v>28</v>
      </c>
      <c r="N460" s="86" t="s">
        <v>3</v>
      </c>
      <c r="O460" s="87">
        <f>VLOOKUP($B460,BOM!$A$2:$K$94,10,0)</f>
        <v>0</v>
      </c>
      <c r="P460" s="87">
        <f t="shared" si="24"/>
        <v>0</v>
      </c>
    </row>
    <row r="461" spans="2:16">
      <c r="B461" s="81"/>
      <c r="C461" s="82" t="s">
        <v>31</v>
      </c>
      <c r="D461" s="72" t="s">
        <v>0</v>
      </c>
      <c r="E461" s="72">
        <v>1</v>
      </c>
      <c r="F461" s="72"/>
      <c r="G461" s="72"/>
      <c r="H461" s="72"/>
      <c r="I461" s="72"/>
      <c r="J461" s="72"/>
      <c r="K461" s="83"/>
      <c r="L461" s="83"/>
      <c r="M461" s="83"/>
      <c r="N461" s="83"/>
      <c r="O461" s="87">
        <f>VLOOKUP($B461,BOM!$A$2:$K$94,10,0)</f>
        <v>0</v>
      </c>
      <c r="P461" s="87">
        <f t="shared" si="24"/>
        <v>0</v>
      </c>
    </row>
    <row r="462" spans="2:16">
      <c r="B462" s="81"/>
      <c r="C462" s="82" t="s">
        <v>32</v>
      </c>
      <c r="D462" s="72"/>
      <c r="E462" s="72"/>
      <c r="F462" s="72"/>
      <c r="G462" s="72"/>
      <c r="H462" s="72"/>
      <c r="I462" s="72"/>
      <c r="J462" s="72"/>
      <c r="K462" s="83"/>
      <c r="L462" s="83"/>
      <c r="M462" s="83"/>
      <c r="N462" s="83"/>
      <c r="O462" s="87">
        <f>VLOOKUP($B462,BOM!$A$2:$K$94,10,0)</f>
        <v>0</v>
      </c>
      <c r="P462" s="87">
        <f t="shared" si="24"/>
        <v>0</v>
      </c>
    </row>
    <row r="463" spans="2:16" s="45" customFormat="1" ht="20.45" customHeight="1">
      <c r="B463" s="62" t="s">
        <v>33</v>
      </c>
      <c r="C463" s="21" t="s">
        <v>34</v>
      </c>
      <c r="D463" s="85" t="s">
        <v>3</v>
      </c>
      <c r="E463" s="90">
        <f>E464</f>
        <v>0</v>
      </c>
      <c r="F463" s="62"/>
      <c r="G463" s="62"/>
      <c r="H463" s="62"/>
      <c r="I463" s="62"/>
      <c r="J463" s="86"/>
      <c r="K463" s="62" t="s">
        <v>35</v>
      </c>
      <c r="L463" s="62" t="s">
        <v>5</v>
      </c>
      <c r="M463" s="86" t="s">
        <v>6</v>
      </c>
      <c r="N463" s="86" t="s">
        <v>3</v>
      </c>
      <c r="O463" s="87">
        <f>VLOOKUP($B463,BOM!$A$2:$K$94,10,0)</f>
        <v>0</v>
      </c>
      <c r="P463" s="87">
        <f t="shared" si="24"/>
        <v>0</v>
      </c>
    </row>
    <row r="464" spans="2:16" s="45" customFormat="1">
      <c r="B464" s="62" t="s">
        <v>330</v>
      </c>
      <c r="C464" s="21" t="s">
        <v>36</v>
      </c>
      <c r="D464" s="85" t="s">
        <v>3</v>
      </c>
      <c r="E464" s="90">
        <f>G462+H462</f>
        <v>0</v>
      </c>
      <c r="F464" s="62"/>
      <c r="G464" s="62"/>
      <c r="H464" s="62"/>
      <c r="I464" s="62"/>
      <c r="J464" s="86"/>
      <c r="K464" s="62" t="s">
        <v>37</v>
      </c>
      <c r="L464" s="62" t="s">
        <v>5</v>
      </c>
      <c r="M464" s="86" t="s">
        <v>37</v>
      </c>
      <c r="N464" s="86" t="s">
        <v>3</v>
      </c>
      <c r="O464" s="87">
        <f>VLOOKUP($B464,BOM!$A$2:$K$94,10,0)</f>
        <v>0</v>
      </c>
      <c r="P464" s="87">
        <f t="shared" si="24"/>
        <v>0</v>
      </c>
    </row>
    <row r="465" spans="1:16" s="45" customFormat="1" ht="30">
      <c r="B465" s="62" t="s">
        <v>38</v>
      </c>
      <c r="C465" s="21" t="s">
        <v>39</v>
      </c>
      <c r="D465" s="85" t="s">
        <v>3</v>
      </c>
      <c r="E465" s="90">
        <f>E464</f>
        <v>0</v>
      </c>
      <c r="F465" s="62"/>
      <c r="G465" s="62"/>
      <c r="H465" s="62"/>
      <c r="I465" s="62"/>
      <c r="J465" s="86"/>
      <c r="K465" s="62" t="s">
        <v>25</v>
      </c>
      <c r="L465" s="62" t="s">
        <v>5</v>
      </c>
      <c r="M465" s="86" t="s">
        <v>6</v>
      </c>
      <c r="N465" s="86" t="s">
        <v>3</v>
      </c>
      <c r="O465" s="87">
        <f>VLOOKUP($B465,BOM!$A$2:$K$94,10,0)</f>
        <v>0</v>
      </c>
      <c r="P465" s="87">
        <f t="shared" si="24"/>
        <v>0</v>
      </c>
    </row>
    <row r="466" spans="1:16">
      <c r="B466" s="81"/>
      <c r="C466" s="82" t="s">
        <v>40</v>
      </c>
      <c r="D466" s="72"/>
      <c r="E466" s="72"/>
      <c r="F466" s="72"/>
      <c r="G466" s="72"/>
      <c r="H466" s="72">
        <v>11</v>
      </c>
      <c r="I466" s="72"/>
      <c r="J466" s="72"/>
      <c r="K466" s="83"/>
      <c r="L466" s="83"/>
      <c r="M466" s="83"/>
      <c r="N466" s="83"/>
      <c r="O466" s="87">
        <f>VLOOKUP($B466,BOM!$A$2:$K$94,10,0)</f>
        <v>0</v>
      </c>
      <c r="P466" s="87">
        <f t="shared" si="24"/>
        <v>0</v>
      </c>
    </row>
    <row r="467" spans="1:16" s="45" customFormat="1">
      <c r="B467" s="62" t="s">
        <v>41</v>
      </c>
      <c r="C467" s="21" t="s">
        <v>42</v>
      </c>
      <c r="D467" s="85" t="s">
        <v>3</v>
      </c>
      <c r="E467" s="85">
        <f>G466+H466</f>
        <v>11</v>
      </c>
      <c r="F467" s="62"/>
      <c r="G467" s="62"/>
      <c r="H467" s="62"/>
      <c r="I467" s="62"/>
      <c r="J467" s="86"/>
      <c r="K467" s="62" t="s">
        <v>4</v>
      </c>
      <c r="L467" s="62" t="s">
        <v>5</v>
      </c>
      <c r="M467" s="86" t="s">
        <v>6</v>
      </c>
      <c r="N467" s="86" t="s">
        <v>3</v>
      </c>
      <c r="O467" s="87">
        <f>VLOOKUP($B467,BOM!$A$2:$K$94,10,0)</f>
        <v>0</v>
      </c>
      <c r="P467" s="87">
        <f t="shared" si="24"/>
        <v>0</v>
      </c>
    </row>
    <row r="468" spans="1:16" s="45" customFormat="1">
      <c r="B468" s="65" t="s">
        <v>43</v>
      </c>
      <c r="C468" s="103" t="s">
        <v>44</v>
      </c>
      <c r="D468" s="85" t="s">
        <v>3</v>
      </c>
      <c r="E468" s="85">
        <f>E467</f>
        <v>11</v>
      </c>
      <c r="F468" s="62"/>
      <c r="G468" s="62"/>
      <c r="H468" s="62"/>
      <c r="I468" s="62"/>
      <c r="J468" s="86"/>
      <c r="K468" s="62" t="s">
        <v>4</v>
      </c>
      <c r="L468" s="62" t="s">
        <v>5</v>
      </c>
      <c r="M468" s="86" t="s">
        <v>6</v>
      </c>
      <c r="N468" s="86" t="s">
        <v>3</v>
      </c>
      <c r="O468" s="87">
        <f>VLOOKUP($B468,BOM!$A$2:$K$94,10,0)</f>
        <v>0</v>
      </c>
      <c r="P468" s="87">
        <f t="shared" si="24"/>
        <v>0</v>
      </c>
    </row>
    <row r="469" spans="1:16">
      <c r="B469" s="81"/>
      <c r="C469" s="82" t="s">
        <v>45</v>
      </c>
      <c r="D469" s="72"/>
      <c r="E469" s="72"/>
      <c r="F469" s="72"/>
      <c r="G469" s="72"/>
      <c r="H469" s="72"/>
      <c r="I469" s="72"/>
      <c r="J469" s="72"/>
      <c r="K469" s="83"/>
      <c r="L469" s="83"/>
      <c r="M469" s="83"/>
      <c r="N469" s="83"/>
      <c r="O469" s="87">
        <f>VLOOKUP($B469,BOM!$A$2:$K$94,10,0)</f>
        <v>0</v>
      </c>
      <c r="P469" s="87">
        <f t="shared" si="24"/>
        <v>0</v>
      </c>
    </row>
    <row r="470" spans="1:16" s="45" customFormat="1" ht="30">
      <c r="B470" s="62" t="s">
        <v>48</v>
      </c>
      <c r="C470" s="21" t="s">
        <v>49</v>
      </c>
      <c r="D470" s="85" t="s">
        <v>14</v>
      </c>
      <c r="E470" s="85">
        <f>E467+1</f>
        <v>12</v>
      </c>
      <c r="F470" s="62"/>
      <c r="G470" s="62"/>
      <c r="H470" s="62"/>
      <c r="I470" s="62"/>
      <c r="J470" s="86"/>
      <c r="K470" s="62"/>
      <c r="L470" s="62" t="s">
        <v>5</v>
      </c>
      <c r="M470" s="86" t="s">
        <v>6</v>
      </c>
      <c r="N470" s="86" t="s">
        <v>15</v>
      </c>
      <c r="O470" s="87">
        <f>VLOOKUP($B470,BOM!$A$2:$K$94,10,0)</f>
        <v>0</v>
      </c>
      <c r="P470" s="87">
        <f t="shared" si="24"/>
        <v>0</v>
      </c>
    </row>
    <row r="471" spans="1:16" s="45" customFormat="1" ht="30">
      <c r="B471" s="62" t="s">
        <v>48</v>
      </c>
      <c r="C471" s="21" t="s">
        <v>49</v>
      </c>
      <c r="D471" s="85" t="s">
        <v>14</v>
      </c>
      <c r="E471" s="90">
        <f>ROUNDUP(E470*0.2,0)</f>
        <v>3</v>
      </c>
      <c r="F471" s="62"/>
      <c r="G471" s="62"/>
      <c r="H471" s="62"/>
      <c r="I471" s="62"/>
      <c r="J471" s="86"/>
      <c r="K471" s="62" t="s">
        <v>4</v>
      </c>
      <c r="L471" s="62" t="s">
        <v>5</v>
      </c>
      <c r="M471" s="86" t="s">
        <v>6</v>
      </c>
      <c r="N471" s="86" t="s">
        <v>15</v>
      </c>
      <c r="O471" s="87">
        <f>VLOOKUP($B471,BOM!$A$2:$K$94,10,0)</f>
        <v>0</v>
      </c>
      <c r="P471" s="87">
        <f t="shared" si="24"/>
        <v>0</v>
      </c>
    </row>
    <row r="472" spans="1:16">
      <c r="B472" s="81"/>
      <c r="C472" s="82" t="s">
        <v>50</v>
      </c>
      <c r="D472" s="72"/>
      <c r="E472" s="72"/>
      <c r="F472" s="72"/>
      <c r="G472" s="72"/>
      <c r="H472" s="72"/>
      <c r="I472" s="72"/>
      <c r="J472" s="72"/>
      <c r="K472" s="83"/>
      <c r="L472" s="83"/>
      <c r="M472" s="83"/>
      <c r="N472" s="83"/>
      <c r="O472" s="87">
        <f>VLOOKUP($B472,BOM!$A$2:$K$94,10,0)</f>
        <v>0</v>
      </c>
      <c r="P472" s="87">
        <f t="shared" si="24"/>
        <v>0</v>
      </c>
    </row>
    <row r="473" spans="1:16" s="45" customFormat="1">
      <c r="B473" s="62" t="s">
        <v>332</v>
      </c>
      <c r="C473" s="21" t="s">
        <v>332</v>
      </c>
      <c r="D473" s="85" t="s">
        <v>51</v>
      </c>
      <c r="E473" s="85">
        <f>E458</f>
        <v>1</v>
      </c>
      <c r="F473" s="62"/>
      <c r="G473" s="62"/>
      <c r="H473" s="62"/>
      <c r="I473" s="62"/>
      <c r="J473" s="86"/>
      <c r="K473" s="62"/>
      <c r="L473" s="62"/>
      <c r="M473" s="86"/>
      <c r="N473" s="86" t="s">
        <v>51</v>
      </c>
      <c r="O473" s="87">
        <f>VLOOKUP($B473,BOM!$A$2:$K$94,10,0)</f>
        <v>0</v>
      </c>
      <c r="P473" s="87">
        <f t="shared" si="24"/>
        <v>0</v>
      </c>
    </row>
    <row r="474" spans="1:16" s="45" customFormat="1">
      <c r="B474" s="62" t="s">
        <v>52</v>
      </c>
      <c r="C474" s="21" t="s">
        <v>53</v>
      </c>
      <c r="D474" s="86" t="s">
        <v>54</v>
      </c>
      <c r="E474" s="105">
        <f>E471+E470</f>
        <v>15</v>
      </c>
      <c r="F474" s="62"/>
      <c r="G474" s="62"/>
      <c r="H474" s="62"/>
      <c r="I474" s="62"/>
      <c r="J474" s="86"/>
      <c r="K474" s="62"/>
      <c r="L474" s="62"/>
      <c r="M474" s="86" t="s">
        <v>55</v>
      </c>
      <c r="N474" s="86" t="s">
        <v>54</v>
      </c>
      <c r="O474" s="87">
        <f>VLOOKUP($B474,BOM!$A$2:$K$94,10,0)</f>
        <v>0</v>
      </c>
      <c r="P474" s="87">
        <f t="shared" si="24"/>
        <v>0</v>
      </c>
    </row>
    <row r="475" spans="1:16" s="45" customFormat="1" ht="30">
      <c r="B475" s="62" t="s">
        <v>56</v>
      </c>
      <c r="C475" s="21" t="s">
        <v>57</v>
      </c>
      <c r="D475" s="86" t="s">
        <v>14</v>
      </c>
      <c r="E475" s="105">
        <f>E444+E440</f>
        <v>4</v>
      </c>
      <c r="F475" s="62"/>
      <c r="G475" s="62"/>
      <c r="H475" s="62"/>
      <c r="I475" s="62"/>
      <c r="J475" s="86"/>
      <c r="K475" s="62"/>
      <c r="L475" s="62"/>
      <c r="M475" s="86" t="s">
        <v>55</v>
      </c>
      <c r="N475" s="86" t="s">
        <v>14</v>
      </c>
      <c r="O475" s="87">
        <f>VLOOKUP($B475,BOM!$A$2:$K$94,10,0)</f>
        <v>0</v>
      </c>
      <c r="P475" s="87">
        <f t="shared" si="24"/>
        <v>0</v>
      </c>
    </row>
    <row r="476" spans="1:16" s="45" customFormat="1" ht="30">
      <c r="B476" s="62" t="s">
        <v>58</v>
      </c>
      <c r="C476" s="21" t="s">
        <v>59</v>
      </c>
      <c r="D476" s="86" t="s">
        <v>60</v>
      </c>
      <c r="E476" s="105">
        <f>E475*2</f>
        <v>8</v>
      </c>
      <c r="F476" s="62"/>
      <c r="G476" s="62"/>
      <c r="H476" s="62"/>
      <c r="I476" s="62"/>
      <c r="J476" s="86"/>
      <c r="K476" s="62"/>
      <c r="L476" s="62"/>
      <c r="M476" s="86" t="s">
        <v>61</v>
      </c>
      <c r="N476" s="86" t="s">
        <v>60</v>
      </c>
      <c r="O476" s="87">
        <f>VLOOKUP($B476,BOM!$A$2:$K$94,10,0)</f>
        <v>0</v>
      </c>
      <c r="P476" s="87">
        <f t="shared" si="24"/>
        <v>0</v>
      </c>
    </row>
    <row r="477" spans="1:16" s="45" customFormat="1" ht="45">
      <c r="B477" s="62" t="s">
        <v>62</v>
      </c>
      <c r="C477" s="21" t="s">
        <v>63</v>
      </c>
      <c r="D477" s="86" t="s">
        <v>64</v>
      </c>
      <c r="E477" s="105">
        <f>E454</f>
        <v>1</v>
      </c>
      <c r="F477" s="62"/>
      <c r="G477" s="62"/>
      <c r="H477" s="62"/>
      <c r="I477" s="62"/>
      <c r="J477" s="86"/>
      <c r="K477" s="62"/>
      <c r="L477" s="62"/>
      <c r="M477" s="86" t="s">
        <v>61</v>
      </c>
      <c r="N477" s="86" t="s">
        <v>64</v>
      </c>
      <c r="O477" s="87">
        <f>VLOOKUP($B477,BOM!$A$2:$K$94,10,0)</f>
        <v>0</v>
      </c>
      <c r="P477" s="87">
        <f t="shared" si="24"/>
        <v>0</v>
      </c>
    </row>
    <row r="478" spans="1:16">
      <c r="A478" s="35">
        <v>10</v>
      </c>
      <c r="B478" s="36"/>
      <c r="C478" s="37" t="s">
        <v>80</v>
      </c>
      <c r="D478" s="38" t="s">
        <v>0</v>
      </c>
      <c r="E478" s="36">
        <v>1</v>
      </c>
      <c r="F478" s="36"/>
      <c r="G478" s="36">
        <v>8</v>
      </c>
      <c r="H478" s="36"/>
      <c r="I478" s="36"/>
      <c r="J478" s="36">
        <f>SUBTOTAL(9,J481:J505)</f>
        <v>15</v>
      </c>
      <c r="K478" s="39"/>
      <c r="L478" s="39"/>
      <c r="M478" s="39"/>
      <c r="N478" s="39"/>
      <c r="O478" s="87">
        <f>VLOOKUP($B478,BOM!$A$2:$K$94,10,0)</f>
        <v>0</v>
      </c>
      <c r="P478" s="87">
        <f t="shared" si="24"/>
        <v>0</v>
      </c>
    </row>
    <row r="479" spans="1:16">
      <c r="B479" s="81"/>
      <c r="C479" s="82" t="s">
        <v>124</v>
      </c>
      <c r="D479" s="72" t="s">
        <v>0</v>
      </c>
      <c r="E479" s="72">
        <v>1</v>
      </c>
      <c r="F479" s="72"/>
      <c r="G479" s="72"/>
      <c r="H479" s="72"/>
      <c r="I479" s="72"/>
      <c r="J479" s="72"/>
      <c r="K479" s="83"/>
      <c r="L479" s="83"/>
      <c r="M479" s="83"/>
      <c r="N479" s="83"/>
      <c r="O479" s="87">
        <f>VLOOKUP($B479,BOM!$A$2:$K$94,10,0)</f>
        <v>0</v>
      </c>
      <c r="P479" s="87">
        <f t="shared" si="24"/>
        <v>0</v>
      </c>
    </row>
    <row r="480" spans="1:16" s="19" customFormat="1">
      <c r="B480" s="20" t="s">
        <v>226</v>
      </c>
      <c r="C480" s="20" t="s">
        <v>227</v>
      </c>
      <c r="D480" s="21"/>
      <c r="E480" s="22">
        <v>1</v>
      </c>
      <c r="F480" s="21"/>
      <c r="G480" s="21"/>
      <c r="H480" s="21"/>
      <c r="I480" s="21"/>
      <c r="J480" s="22"/>
      <c r="K480" s="21" t="s">
        <v>4</v>
      </c>
      <c r="L480" s="21" t="s">
        <v>203</v>
      </c>
      <c r="M480" s="22" t="s">
        <v>22</v>
      </c>
      <c r="N480" s="22" t="s">
        <v>3</v>
      </c>
      <c r="O480" s="87">
        <f>VLOOKUP($B480,BOM!$A$2:$K$94,10,0)</f>
        <v>0</v>
      </c>
      <c r="P480" s="87">
        <f t="shared" si="24"/>
        <v>0</v>
      </c>
    </row>
    <row r="481" spans="2:16" s="19" customFormat="1">
      <c r="B481" s="21" t="s">
        <v>122</v>
      </c>
      <c r="C481" s="21" t="s">
        <v>123</v>
      </c>
      <c r="D481" s="21"/>
      <c r="E481" s="22">
        <v>1</v>
      </c>
      <c r="F481" s="21"/>
      <c r="G481" s="21"/>
      <c r="H481" s="21"/>
      <c r="I481" s="21"/>
      <c r="J481" s="22">
        <v>1</v>
      </c>
      <c r="K481" s="21" t="s">
        <v>4</v>
      </c>
      <c r="L481" s="21" t="s">
        <v>5</v>
      </c>
      <c r="M481" s="22" t="s">
        <v>22</v>
      </c>
      <c r="N481" s="22" t="s">
        <v>3</v>
      </c>
      <c r="O481" s="87">
        <f>VLOOKUP($B481,BOM!$A$2:$K$94,10,0)</f>
        <v>0</v>
      </c>
      <c r="P481" s="87">
        <f t="shared" si="24"/>
        <v>0</v>
      </c>
    </row>
    <row r="482" spans="2:16">
      <c r="B482" s="81"/>
      <c r="C482" s="82" t="s">
        <v>1</v>
      </c>
      <c r="D482" s="72" t="s">
        <v>0</v>
      </c>
      <c r="E482" s="72">
        <v>1</v>
      </c>
      <c r="F482" s="72"/>
      <c r="G482" s="72">
        <f>ROUNDUP(G478/24,0)</f>
        <v>1</v>
      </c>
      <c r="H482" s="72">
        <f t="shared" ref="H482" si="25">ROUNDUP(H478/24,0)</f>
        <v>0</v>
      </c>
      <c r="I482" s="72"/>
      <c r="J482" s="72"/>
      <c r="K482" s="83"/>
      <c r="L482" s="83"/>
      <c r="M482" s="83"/>
      <c r="N482" s="83"/>
      <c r="O482" s="87">
        <f>VLOOKUP($B482,BOM!$A$2:$K$94,10,0)</f>
        <v>0</v>
      </c>
      <c r="P482" s="87">
        <f t="shared" si="24"/>
        <v>0</v>
      </c>
    </row>
    <row r="483" spans="2:16" s="45" customFormat="1">
      <c r="B483" s="62">
        <v>760249997</v>
      </c>
      <c r="C483" s="21" t="s">
        <v>2</v>
      </c>
      <c r="D483" s="85" t="s">
        <v>3</v>
      </c>
      <c r="E483" s="85">
        <f>ROUNDUP((E485+E489)/3,0)</f>
        <v>1</v>
      </c>
      <c r="F483" s="62"/>
      <c r="G483" s="62"/>
      <c r="H483" s="62"/>
      <c r="I483" s="62"/>
      <c r="J483" s="86">
        <v>1</v>
      </c>
      <c r="K483" s="62" t="s">
        <v>4</v>
      </c>
      <c r="L483" s="62" t="s">
        <v>5</v>
      </c>
      <c r="M483" s="86" t="s">
        <v>6</v>
      </c>
      <c r="N483" s="86" t="s">
        <v>3</v>
      </c>
      <c r="O483" s="87">
        <f>VLOOKUP($B483,BOM!$A$2:$K$94,10,0)</f>
        <v>0</v>
      </c>
      <c r="P483" s="87">
        <f t="shared" si="24"/>
        <v>0</v>
      </c>
    </row>
    <row r="484" spans="2:16" s="45" customFormat="1">
      <c r="B484" s="62">
        <v>760241378</v>
      </c>
      <c r="C484" s="21" t="s">
        <v>7</v>
      </c>
      <c r="D484" s="85" t="s">
        <v>3</v>
      </c>
      <c r="E484" s="85">
        <f>IF(E485&lt;=2,1,ROUNDUP(E483*1.5,0))</f>
        <v>1</v>
      </c>
      <c r="F484" s="62"/>
      <c r="G484" s="62"/>
      <c r="H484" s="62"/>
      <c r="I484" s="62"/>
      <c r="J484" s="86"/>
      <c r="K484" s="62" t="s">
        <v>4</v>
      </c>
      <c r="L484" s="62" t="s">
        <v>5</v>
      </c>
      <c r="M484" s="86" t="s">
        <v>6</v>
      </c>
      <c r="N484" s="86" t="s">
        <v>3</v>
      </c>
      <c r="O484" s="87">
        <f>VLOOKUP($B484,BOM!$A$2:$K$94,10,0)</f>
        <v>0</v>
      </c>
      <c r="P484" s="87">
        <f t="shared" si="24"/>
        <v>0</v>
      </c>
    </row>
    <row r="485" spans="2:16" s="45" customFormat="1">
      <c r="B485" s="62" t="s">
        <v>8</v>
      </c>
      <c r="C485" s="21" t="s">
        <v>9</v>
      </c>
      <c r="D485" s="85" t="s">
        <v>3</v>
      </c>
      <c r="E485" s="85">
        <f>G482</f>
        <v>1</v>
      </c>
      <c r="F485" s="62"/>
      <c r="G485" s="62"/>
      <c r="H485" s="62"/>
      <c r="I485" s="62"/>
      <c r="J485" s="86"/>
      <c r="K485" s="62" t="s">
        <v>4</v>
      </c>
      <c r="L485" s="62" t="s">
        <v>5</v>
      </c>
      <c r="M485" s="86" t="s">
        <v>6</v>
      </c>
      <c r="N485" s="86" t="s">
        <v>3</v>
      </c>
      <c r="O485" s="87">
        <f>VLOOKUP($B485,BOM!$A$2:$K$94,10,0)</f>
        <v>0</v>
      </c>
      <c r="P485" s="87">
        <f t="shared" si="24"/>
        <v>0</v>
      </c>
    </row>
    <row r="486" spans="2:16" s="45" customFormat="1">
      <c r="B486" s="62" t="s">
        <v>10</v>
      </c>
      <c r="C486" s="21" t="s">
        <v>11</v>
      </c>
      <c r="D486" s="85" t="s">
        <v>3</v>
      </c>
      <c r="E486" s="85">
        <f>E483*3-E485-E489</f>
        <v>2</v>
      </c>
      <c r="F486" s="62"/>
      <c r="G486" s="62"/>
      <c r="H486" s="62"/>
      <c r="I486" s="62"/>
      <c r="J486" s="86"/>
      <c r="K486" s="62" t="s">
        <v>4</v>
      </c>
      <c r="L486" s="62" t="s">
        <v>5</v>
      </c>
      <c r="M486" s="86" t="s">
        <v>6</v>
      </c>
      <c r="N486" s="86" t="s">
        <v>3</v>
      </c>
      <c r="O486" s="87">
        <f>VLOOKUP($B486,BOM!$A$2:$K$94,10,0)</f>
        <v>0</v>
      </c>
      <c r="P486" s="87">
        <f t="shared" si="24"/>
        <v>0</v>
      </c>
    </row>
    <row r="487" spans="2:16" s="45" customFormat="1">
      <c r="B487" s="62" t="s">
        <v>12</v>
      </c>
      <c r="C487" s="21" t="s">
        <v>13</v>
      </c>
      <c r="D487" s="85" t="s">
        <v>14</v>
      </c>
      <c r="E487" s="85">
        <f>G478/2</f>
        <v>4</v>
      </c>
      <c r="F487" s="62"/>
      <c r="G487" s="62"/>
      <c r="H487" s="62"/>
      <c r="I487" s="62"/>
      <c r="J487" s="86"/>
      <c r="K487" s="62" t="s">
        <v>4</v>
      </c>
      <c r="L487" s="62" t="s">
        <v>5</v>
      </c>
      <c r="M487" s="86" t="s">
        <v>6</v>
      </c>
      <c r="N487" s="86" t="s">
        <v>15</v>
      </c>
      <c r="O487" s="87">
        <f>VLOOKUP($B487,BOM!$A$2:$K$94,10,0)</f>
        <v>0</v>
      </c>
      <c r="P487" s="87">
        <f t="shared" si="24"/>
        <v>0</v>
      </c>
    </row>
    <row r="488" spans="2:16" s="45" customFormat="1" ht="30">
      <c r="B488" s="62" t="s">
        <v>16</v>
      </c>
      <c r="C488" s="21" t="s">
        <v>17</v>
      </c>
      <c r="D488" s="85" t="s">
        <v>14</v>
      </c>
      <c r="E488" s="85">
        <f>ROUNDUP((E494+E497)*1.3,0)</f>
        <v>3</v>
      </c>
      <c r="F488" s="62"/>
      <c r="G488" s="62"/>
      <c r="H488" s="62"/>
      <c r="I488" s="62"/>
      <c r="J488" s="86"/>
      <c r="K488" s="62" t="s">
        <v>4</v>
      </c>
      <c r="L488" s="62" t="s">
        <v>5</v>
      </c>
      <c r="M488" s="86" t="s">
        <v>6</v>
      </c>
      <c r="N488" s="86" t="s">
        <v>15</v>
      </c>
      <c r="O488" s="87">
        <f>VLOOKUP($B488,BOM!$A$2:$K$94,10,0)</f>
        <v>0</v>
      </c>
      <c r="P488" s="87">
        <f t="shared" si="24"/>
        <v>0</v>
      </c>
    </row>
    <row r="489" spans="2:16" s="110" customFormat="1">
      <c r="B489" s="66" t="s">
        <v>198</v>
      </c>
      <c r="C489" s="106" t="s">
        <v>199</v>
      </c>
      <c r="D489" s="89" t="s">
        <v>3</v>
      </c>
      <c r="E489" s="89">
        <f>H482</f>
        <v>0</v>
      </c>
      <c r="F489" s="66"/>
      <c r="G489" s="66"/>
      <c r="H489" s="66"/>
      <c r="I489" s="66"/>
      <c r="J489" s="107"/>
      <c r="K489" s="108" t="s">
        <v>4</v>
      </c>
      <c r="L489" s="108" t="s">
        <v>5</v>
      </c>
      <c r="M489" s="109" t="s">
        <v>6</v>
      </c>
      <c r="N489" s="109" t="s">
        <v>15</v>
      </c>
      <c r="O489" s="87">
        <f>VLOOKUP($B489,BOM!$A$2:$K$94,10,0)</f>
        <v>0</v>
      </c>
      <c r="P489" s="87">
        <f t="shared" si="24"/>
        <v>0</v>
      </c>
    </row>
    <row r="490" spans="2:16" s="111" customFormat="1">
      <c r="B490" s="66" t="s">
        <v>194</v>
      </c>
      <c r="C490" s="106" t="s">
        <v>195</v>
      </c>
      <c r="D490" s="89" t="s">
        <v>14</v>
      </c>
      <c r="E490" s="89">
        <v>0</v>
      </c>
      <c r="F490" s="108"/>
      <c r="G490" s="108"/>
      <c r="H490" s="108"/>
      <c r="I490" s="108"/>
      <c r="J490" s="109"/>
      <c r="K490" s="108" t="s">
        <v>4</v>
      </c>
      <c r="L490" s="108" t="s">
        <v>5</v>
      </c>
      <c r="M490" s="109" t="s">
        <v>6</v>
      </c>
      <c r="N490" s="109" t="s">
        <v>15</v>
      </c>
      <c r="O490" s="87">
        <f>VLOOKUP($B490,BOM!$A$2:$K$94,10,0)</f>
        <v>0</v>
      </c>
      <c r="P490" s="87">
        <f t="shared" si="24"/>
        <v>0</v>
      </c>
    </row>
    <row r="491" spans="2:16" s="110" customFormat="1">
      <c r="B491" s="66" t="s">
        <v>196</v>
      </c>
      <c r="C491" s="106" t="s">
        <v>197</v>
      </c>
      <c r="D491" s="89" t="s">
        <v>14</v>
      </c>
      <c r="E491" s="89">
        <f>H478/2</f>
        <v>0</v>
      </c>
      <c r="F491" s="66"/>
      <c r="G491" s="66"/>
      <c r="H491" s="66"/>
      <c r="I491" s="66"/>
      <c r="J491" s="107"/>
      <c r="K491" s="108" t="s">
        <v>4</v>
      </c>
      <c r="L491" s="108" t="s">
        <v>5</v>
      </c>
      <c r="M491" s="109" t="s">
        <v>6</v>
      </c>
      <c r="N491" s="109" t="s">
        <v>15</v>
      </c>
      <c r="O491" s="87">
        <f>VLOOKUP($B491,BOM!$A$2:$K$94,10,0)</f>
        <v>0</v>
      </c>
      <c r="P491" s="87">
        <f t="shared" si="24"/>
        <v>0</v>
      </c>
    </row>
    <row r="492" spans="2:16">
      <c r="B492" s="81"/>
      <c r="C492" s="82" t="s">
        <v>26</v>
      </c>
      <c r="D492" s="72" t="s">
        <v>0</v>
      </c>
      <c r="E492" s="72">
        <v>1</v>
      </c>
      <c r="F492" s="72"/>
      <c r="G492" s="72"/>
      <c r="H492" s="72"/>
      <c r="I492" s="72"/>
      <c r="J492" s="72"/>
      <c r="K492" s="83"/>
      <c r="L492" s="83"/>
      <c r="M492" s="83"/>
      <c r="N492" s="83"/>
      <c r="O492" s="87">
        <f>VLOOKUP($B492,BOM!$A$2:$K$94,10,0)</f>
        <v>0</v>
      </c>
      <c r="P492" s="87">
        <f t="shared" si="24"/>
        <v>0</v>
      </c>
    </row>
    <row r="493" spans="2:16" s="45" customFormat="1">
      <c r="B493" s="62"/>
      <c r="C493" s="21"/>
      <c r="D493" s="85"/>
      <c r="E493" s="90"/>
      <c r="F493" s="62"/>
      <c r="G493" s="62"/>
      <c r="H493" s="62"/>
      <c r="I493" s="62"/>
      <c r="J493" s="86"/>
      <c r="K493" s="62"/>
      <c r="L493" s="62"/>
      <c r="M493" s="86"/>
      <c r="N493" s="86"/>
      <c r="O493" s="87">
        <f>VLOOKUP($B493,BOM!$A$2:$K$94,10,0)</f>
        <v>0</v>
      </c>
      <c r="P493" s="87">
        <f t="shared" si="24"/>
        <v>0</v>
      </c>
    </row>
    <row r="494" spans="2:16" s="45" customFormat="1">
      <c r="B494" s="62"/>
      <c r="C494" s="21"/>
      <c r="D494" s="85"/>
      <c r="E494" s="90"/>
      <c r="F494" s="62"/>
      <c r="G494" s="62"/>
      <c r="H494" s="62"/>
      <c r="I494" s="62"/>
      <c r="J494" s="86"/>
      <c r="K494" s="62"/>
      <c r="L494" s="62"/>
      <c r="M494" s="86"/>
      <c r="N494" s="86"/>
      <c r="O494" s="87">
        <f>VLOOKUP($B494,BOM!$A$2:$K$94,10,0)</f>
        <v>0</v>
      </c>
      <c r="P494" s="87">
        <f t="shared" si="24"/>
        <v>0</v>
      </c>
    </row>
    <row r="495" spans="2:16">
      <c r="B495" s="81"/>
      <c r="C495" s="82" t="s">
        <v>145</v>
      </c>
      <c r="D495" s="72" t="s">
        <v>0</v>
      </c>
      <c r="E495" s="72">
        <v>2</v>
      </c>
      <c r="F495" s="72"/>
      <c r="G495" s="72"/>
      <c r="H495" s="72"/>
      <c r="I495" s="72"/>
      <c r="J495" s="72"/>
      <c r="K495" s="83"/>
      <c r="L495" s="83"/>
      <c r="M495" s="83"/>
      <c r="N495" s="83"/>
      <c r="O495" s="87">
        <f>VLOOKUP($B495,BOM!$A$2:$K$94,10,0)</f>
        <v>0</v>
      </c>
      <c r="P495" s="87">
        <f t="shared" si="24"/>
        <v>0</v>
      </c>
    </row>
    <row r="496" spans="2:16" s="45" customFormat="1">
      <c r="B496" s="41" t="s">
        <v>152</v>
      </c>
      <c r="C496" s="41" t="s">
        <v>153</v>
      </c>
      <c r="D496" s="42" t="s">
        <v>64</v>
      </c>
      <c r="E496" s="43">
        <v>2</v>
      </c>
      <c r="F496" s="41"/>
      <c r="G496" s="41"/>
      <c r="H496" s="41"/>
      <c r="I496" s="41"/>
      <c r="J496" s="44">
        <v>1</v>
      </c>
      <c r="K496" s="41" t="s">
        <v>143</v>
      </c>
      <c r="L496" s="41" t="s">
        <v>151</v>
      </c>
      <c r="M496" s="44" t="s">
        <v>144</v>
      </c>
      <c r="N496" s="44" t="s">
        <v>64</v>
      </c>
      <c r="O496" s="87">
        <f>VLOOKUP($B496,BOM!$A$2:$K$94,10,0)</f>
        <v>0</v>
      </c>
      <c r="P496" s="87">
        <f t="shared" si="24"/>
        <v>0</v>
      </c>
    </row>
    <row r="497" spans="2:16" s="45" customFormat="1" ht="30">
      <c r="B497" s="41" t="s">
        <v>137</v>
      </c>
      <c r="C497" s="46" t="s">
        <v>138</v>
      </c>
      <c r="D497" s="42" t="s">
        <v>64</v>
      </c>
      <c r="E497" s="47">
        <f>E496</f>
        <v>2</v>
      </c>
      <c r="F497" s="41"/>
      <c r="G497" s="41"/>
      <c r="H497" s="41"/>
      <c r="I497" s="41"/>
      <c r="J497" s="44"/>
      <c r="K497" s="41" t="s">
        <v>143</v>
      </c>
      <c r="L497" s="41" t="s">
        <v>151</v>
      </c>
      <c r="M497" s="44" t="s">
        <v>144</v>
      </c>
      <c r="N497" s="44" t="s">
        <v>64</v>
      </c>
      <c r="O497" s="87">
        <f>VLOOKUP($B497,BOM!$A$2:$K$94,10,0)</f>
        <v>0</v>
      </c>
      <c r="P497" s="87">
        <f t="shared" si="24"/>
        <v>0</v>
      </c>
    </row>
    <row r="498" spans="2:16" outlineLevel="1">
      <c r="B498" s="117"/>
      <c r="C498" s="118" t="s">
        <v>67</v>
      </c>
      <c r="D498" s="119" t="s">
        <v>0</v>
      </c>
      <c r="E498" s="120"/>
      <c r="F498" s="121"/>
      <c r="G498" s="121"/>
      <c r="H498" s="121" t="s">
        <v>69</v>
      </c>
      <c r="I498" s="122"/>
      <c r="J498" s="122">
        <v>1</v>
      </c>
      <c r="K498" s="63"/>
      <c r="L498" s="63"/>
      <c r="M498" s="63"/>
      <c r="N498" s="63"/>
      <c r="O498" s="87">
        <f>VLOOKUP($B498,BOM!$A$2:$K$94,10,0)</f>
        <v>0</v>
      </c>
      <c r="P498" s="87">
        <f t="shared" si="24"/>
        <v>0</v>
      </c>
    </row>
    <row r="499" spans="2:16" outlineLevel="1">
      <c r="B499" s="117"/>
      <c r="C499" s="118" t="s">
        <v>70</v>
      </c>
      <c r="D499" s="119" t="s">
        <v>0</v>
      </c>
      <c r="E499" s="120">
        <v>1</v>
      </c>
      <c r="F499" s="121"/>
      <c r="G499" s="121"/>
      <c r="H499" s="121" t="s">
        <v>69</v>
      </c>
      <c r="I499" s="122"/>
      <c r="J499" s="122">
        <v>1</v>
      </c>
      <c r="K499" s="63"/>
      <c r="L499" s="63"/>
      <c r="M499" s="63"/>
      <c r="N499" s="63"/>
      <c r="O499" s="87">
        <f>VLOOKUP($B499,BOM!$A$2:$K$94,10,0)</f>
        <v>0</v>
      </c>
      <c r="P499" s="87">
        <f t="shared" si="24"/>
        <v>0</v>
      </c>
    </row>
    <row r="500" spans="2:16">
      <c r="B500" s="81"/>
      <c r="C500" s="82" t="s">
        <v>18</v>
      </c>
      <c r="D500" s="72" t="s">
        <v>0</v>
      </c>
      <c r="E500" s="72">
        <v>1</v>
      </c>
      <c r="F500" s="72"/>
      <c r="G500" s="72"/>
      <c r="H500" s="72"/>
      <c r="I500" s="72"/>
      <c r="J500" s="72"/>
      <c r="K500" s="83"/>
      <c r="L500" s="83"/>
      <c r="M500" s="83"/>
      <c r="N500" s="83"/>
      <c r="O500" s="87">
        <f>VLOOKUP($B500,BOM!$A$2:$K$94,10,0)</f>
        <v>0</v>
      </c>
      <c r="P500" s="87">
        <f t="shared" si="24"/>
        <v>0</v>
      </c>
    </row>
    <row r="501" spans="2:16" s="45" customFormat="1" ht="30">
      <c r="B501" s="62">
        <v>760237046</v>
      </c>
      <c r="C501" s="21" t="s">
        <v>19</v>
      </c>
      <c r="D501" s="85" t="s">
        <v>3</v>
      </c>
      <c r="E501" s="85">
        <f>E493+E496</f>
        <v>2</v>
      </c>
      <c r="F501" s="62"/>
      <c r="G501" s="62"/>
      <c r="H501" s="62"/>
      <c r="I501" s="62"/>
      <c r="J501" s="86">
        <v>1</v>
      </c>
      <c r="K501" s="62" t="s">
        <v>4</v>
      </c>
      <c r="L501" s="62" t="s">
        <v>5</v>
      </c>
      <c r="M501" s="86" t="s">
        <v>6</v>
      </c>
      <c r="N501" s="86" t="s">
        <v>3</v>
      </c>
      <c r="O501" s="87">
        <f>VLOOKUP($B501,BOM!$A$2:$K$94,10,0)</f>
        <v>0</v>
      </c>
      <c r="P501" s="87">
        <f t="shared" si="24"/>
        <v>0</v>
      </c>
    </row>
    <row r="502" spans="2:16" s="45" customFormat="1" ht="30">
      <c r="B502" s="62" t="s">
        <v>23</v>
      </c>
      <c r="C502" s="21" t="s">
        <v>24</v>
      </c>
      <c r="D502" s="85" t="s">
        <v>3</v>
      </c>
      <c r="E502" s="85">
        <f>E501*24</f>
        <v>48</v>
      </c>
      <c r="F502" s="62"/>
      <c r="G502" s="62"/>
      <c r="H502" s="62"/>
      <c r="I502" s="62"/>
      <c r="J502" s="86"/>
      <c r="K502" s="62" t="s">
        <v>25</v>
      </c>
      <c r="L502" s="62" t="s">
        <v>5</v>
      </c>
      <c r="M502" s="86" t="s">
        <v>6</v>
      </c>
      <c r="N502" s="86" t="s">
        <v>3</v>
      </c>
      <c r="O502" s="87">
        <f>VLOOKUP($B502,BOM!$A$2:$K$94,10,0)</f>
        <v>0</v>
      </c>
      <c r="P502" s="87">
        <f t="shared" si="24"/>
        <v>0</v>
      </c>
    </row>
    <row r="503" spans="2:16" s="45" customFormat="1">
      <c r="B503" s="62" t="s">
        <v>20</v>
      </c>
      <c r="C503" s="21" t="s">
        <v>21</v>
      </c>
      <c r="D503" s="85" t="s">
        <v>3</v>
      </c>
      <c r="E503" s="85">
        <f>E501</f>
        <v>2</v>
      </c>
      <c r="F503" s="62"/>
      <c r="G503" s="62"/>
      <c r="H503" s="62"/>
      <c r="I503" s="62"/>
      <c r="J503" s="86">
        <v>1</v>
      </c>
      <c r="K503" s="62" t="s">
        <v>4</v>
      </c>
      <c r="L503" s="62" t="s">
        <v>5</v>
      </c>
      <c r="M503" s="86" t="s">
        <v>22</v>
      </c>
      <c r="N503" s="86" t="s">
        <v>3</v>
      </c>
      <c r="O503" s="87">
        <f>VLOOKUP($B503,BOM!$A$2:$K$94,10,0)</f>
        <v>0</v>
      </c>
      <c r="P503" s="87">
        <f t="shared" si="24"/>
        <v>0</v>
      </c>
    </row>
    <row r="504" spans="2:16">
      <c r="B504" s="81"/>
      <c r="C504" s="82" t="s">
        <v>71</v>
      </c>
      <c r="D504" s="72" t="s">
        <v>0</v>
      </c>
      <c r="E504" s="72">
        <v>1</v>
      </c>
      <c r="F504" s="72"/>
      <c r="G504" s="72"/>
      <c r="H504" s="72"/>
      <c r="I504" s="72"/>
      <c r="J504" s="72"/>
      <c r="K504" s="83"/>
      <c r="L504" s="83"/>
      <c r="M504" s="83"/>
      <c r="N504" s="83"/>
      <c r="O504" s="87">
        <f>VLOOKUP($B504,BOM!$A$2:$K$94,10,0)</f>
        <v>0</v>
      </c>
      <c r="P504" s="87">
        <f t="shared" si="24"/>
        <v>0</v>
      </c>
    </row>
    <row r="505" spans="2:16" s="45" customFormat="1">
      <c r="B505" s="62" t="s">
        <v>314</v>
      </c>
      <c r="C505" s="21" t="s">
        <v>316</v>
      </c>
      <c r="D505" s="116" t="s">
        <v>51</v>
      </c>
      <c r="E505" s="85">
        <v>1</v>
      </c>
      <c r="F505" s="62"/>
      <c r="G505" s="62"/>
      <c r="H505" s="62"/>
      <c r="I505" s="62"/>
      <c r="J505" s="86">
        <f>E505*8</f>
        <v>8</v>
      </c>
      <c r="K505" s="62"/>
      <c r="L505" s="62" t="s">
        <v>5</v>
      </c>
      <c r="M505" s="86" t="s">
        <v>28</v>
      </c>
      <c r="N505" s="86" t="s">
        <v>3</v>
      </c>
      <c r="O505" s="87">
        <f>VLOOKUP($B505,BOM!$A$2:$K$94,10,0)</f>
        <v>0</v>
      </c>
      <c r="P505" s="87">
        <f t="shared" si="24"/>
        <v>0</v>
      </c>
    </row>
    <row r="506" spans="2:16" s="45" customFormat="1">
      <c r="B506" s="62"/>
      <c r="C506" s="21"/>
      <c r="D506" s="116"/>
      <c r="E506" s="85"/>
      <c r="F506" s="62"/>
      <c r="G506" s="62"/>
      <c r="H506" s="62"/>
      <c r="I506" s="62"/>
      <c r="J506" s="86"/>
      <c r="K506" s="62"/>
      <c r="L506" s="62"/>
      <c r="M506" s="86"/>
      <c r="N506" s="86"/>
      <c r="O506" s="87">
        <f>VLOOKUP($B506,BOM!$A$2:$K$94,10,0)</f>
        <v>0</v>
      </c>
      <c r="P506" s="87">
        <f t="shared" si="24"/>
        <v>0</v>
      </c>
    </row>
    <row r="507" spans="2:16" s="45" customFormat="1">
      <c r="B507" s="62" t="s">
        <v>225</v>
      </c>
      <c r="C507" s="21" t="s">
        <v>72</v>
      </c>
      <c r="D507" s="116" t="s">
        <v>64</v>
      </c>
      <c r="E507" s="85">
        <v>0</v>
      </c>
      <c r="F507" s="62"/>
      <c r="G507" s="62"/>
      <c r="H507" s="62"/>
      <c r="I507" s="62"/>
      <c r="J507" s="86"/>
      <c r="K507" s="62"/>
      <c r="L507" s="62" t="s">
        <v>5</v>
      </c>
      <c r="M507" s="86" t="s">
        <v>28</v>
      </c>
      <c r="N507" s="86" t="s">
        <v>3</v>
      </c>
      <c r="O507" s="87">
        <f>VLOOKUP($B507,BOM!$A$2:$K$94,10,0)</f>
        <v>0</v>
      </c>
      <c r="P507" s="87">
        <f t="shared" si="24"/>
        <v>0</v>
      </c>
    </row>
    <row r="508" spans="2:16">
      <c r="B508" s="81"/>
      <c r="C508" s="82" t="s">
        <v>31</v>
      </c>
      <c r="D508" s="72" t="s">
        <v>0</v>
      </c>
      <c r="E508" s="72">
        <v>1</v>
      </c>
      <c r="F508" s="72"/>
      <c r="G508" s="72"/>
      <c r="H508" s="72"/>
      <c r="I508" s="72"/>
      <c r="J508" s="72"/>
      <c r="K508" s="83"/>
      <c r="L508" s="83"/>
      <c r="M508" s="83"/>
      <c r="N508" s="83"/>
      <c r="O508" s="87">
        <f>VLOOKUP($B508,BOM!$A$2:$K$94,10,0)</f>
        <v>0</v>
      </c>
      <c r="P508" s="87">
        <f t="shared" si="24"/>
        <v>0</v>
      </c>
    </row>
    <row r="509" spans="2:16">
      <c r="B509" s="81"/>
      <c r="C509" s="82" t="s">
        <v>32</v>
      </c>
      <c r="D509" s="72"/>
      <c r="E509" s="72"/>
      <c r="F509" s="72"/>
      <c r="G509" s="72"/>
      <c r="H509" s="72"/>
      <c r="I509" s="72"/>
      <c r="J509" s="72"/>
      <c r="K509" s="83"/>
      <c r="L509" s="83"/>
      <c r="M509" s="83"/>
      <c r="N509" s="83"/>
      <c r="O509" s="87">
        <f>VLOOKUP($B509,BOM!$A$2:$K$94,10,0)</f>
        <v>0</v>
      </c>
      <c r="P509" s="87">
        <f t="shared" si="24"/>
        <v>0</v>
      </c>
    </row>
    <row r="510" spans="2:16" s="45" customFormat="1" ht="20.45" customHeight="1">
      <c r="B510" s="62" t="s">
        <v>33</v>
      </c>
      <c r="C510" s="21" t="s">
        <v>34</v>
      </c>
      <c r="D510" s="85" t="s">
        <v>3</v>
      </c>
      <c r="E510" s="90">
        <f>E511</f>
        <v>0</v>
      </c>
      <c r="F510" s="62"/>
      <c r="G510" s="62"/>
      <c r="H510" s="62"/>
      <c r="I510" s="62"/>
      <c r="J510" s="86"/>
      <c r="K510" s="62" t="s">
        <v>35</v>
      </c>
      <c r="L510" s="62" t="s">
        <v>5</v>
      </c>
      <c r="M510" s="86" t="s">
        <v>6</v>
      </c>
      <c r="N510" s="86" t="s">
        <v>3</v>
      </c>
      <c r="O510" s="87">
        <f>VLOOKUP($B510,BOM!$A$2:$K$94,10,0)</f>
        <v>0</v>
      </c>
      <c r="P510" s="87">
        <f t="shared" si="24"/>
        <v>0</v>
      </c>
    </row>
    <row r="511" spans="2:16" s="45" customFormat="1">
      <c r="B511" s="62" t="s">
        <v>330</v>
      </c>
      <c r="C511" s="21" t="s">
        <v>36</v>
      </c>
      <c r="D511" s="85" t="s">
        <v>3</v>
      </c>
      <c r="E511" s="90">
        <f>G509+H509</f>
        <v>0</v>
      </c>
      <c r="F511" s="62"/>
      <c r="G511" s="62"/>
      <c r="H511" s="62"/>
      <c r="I511" s="62"/>
      <c r="J511" s="86"/>
      <c r="K511" s="62" t="s">
        <v>37</v>
      </c>
      <c r="L511" s="62" t="s">
        <v>5</v>
      </c>
      <c r="M511" s="86" t="s">
        <v>37</v>
      </c>
      <c r="N511" s="86" t="s">
        <v>3</v>
      </c>
      <c r="O511" s="87">
        <f>VLOOKUP($B511,BOM!$A$2:$K$94,10,0)</f>
        <v>0</v>
      </c>
      <c r="P511" s="87">
        <f t="shared" si="24"/>
        <v>0</v>
      </c>
    </row>
    <row r="512" spans="2:16" s="45" customFormat="1" ht="30">
      <c r="B512" s="62" t="s">
        <v>38</v>
      </c>
      <c r="C512" s="21" t="s">
        <v>39</v>
      </c>
      <c r="D512" s="85" t="s">
        <v>3</v>
      </c>
      <c r="E512" s="90">
        <f>E511</f>
        <v>0</v>
      </c>
      <c r="F512" s="62"/>
      <c r="G512" s="62"/>
      <c r="H512" s="62"/>
      <c r="I512" s="62"/>
      <c r="J512" s="86"/>
      <c r="K512" s="62" t="s">
        <v>25</v>
      </c>
      <c r="L512" s="62" t="s">
        <v>5</v>
      </c>
      <c r="M512" s="86" t="s">
        <v>6</v>
      </c>
      <c r="N512" s="86" t="s">
        <v>3</v>
      </c>
      <c r="O512" s="87">
        <f>VLOOKUP($B512,BOM!$A$2:$K$94,10,0)</f>
        <v>0</v>
      </c>
      <c r="P512" s="87">
        <f t="shared" si="24"/>
        <v>0</v>
      </c>
    </row>
    <row r="513" spans="1:16">
      <c r="B513" s="81"/>
      <c r="C513" s="82" t="s">
        <v>40</v>
      </c>
      <c r="D513" s="72"/>
      <c r="E513" s="72"/>
      <c r="F513" s="72"/>
      <c r="G513" s="72"/>
      <c r="H513" s="72">
        <v>32</v>
      </c>
      <c r="I513" s="72"/>
      <c r="J513" s="72"/>
      <c r="K513" s="83"/>
      <c r="L513" s="83"/>
      <c r="M513" s="83"/>
      <c r="N513" s="83"/>
      <c r="O513" s="87">
        <f>VLOOKUP($B513,BOM!$A$2:$K$94,10,0)</f>
        <v>0</v>
      </c>
      <c r="P513" s="87">
        <f t="shared" si="24"/>
        <v>0</v>
      </c>
    </row>
    <row r="514" spans="1:16" s="45" customFormat="1">
      <c r="B514" s="62" t="s">
        <v>41</v>
      </c>
      <c r="C514" s="21" t="s">
        <v>42</v>
      </c>
      <c r="D514" s="85" t="s">
        <v>3</v>
      </c>
      <c r="E514" s="85">
        <f>G513+H513</f>
        <v>32</v>
      </c>
      <c r="F514" s="62"/>
      <c r="G514" s="62"/>
      <c r="H514" s="62"/>
      <c r="I514" s="62"/>
      <c r="J514" s="86"/>
      <c r="K514" s="62" t="s">
        <v>4</v>
      </c>
      <c r="L514" s="62" t="s">
        <v>5</v>
      </c>
      <c r="M514" s="86" t="s">
        <v>6</v>
      </c>
      <c r="N514" s="86" t="s">
        <v>3</v>
      </c>
      <c r="O514" s="87">
        <f>VLOOKUP($B514,BOM!$A$2:$K$94,10,0)</f>
        <v>0</v>
      </c>
      <c r="P514" s="87">
        <f t="shared" si="24"/>
        <v>0</v>
      </c>
    </row>
    <row r="515" spans="1:16" s="45" customFormat="1">
      <c r="B515" s="65" t="s">
        <v>43</v>
      </c>
      <c r="C515" s="103" t="s">
        <v>44</v>
      </c>
      <c r="D515" s="85" t="s">
        <v>3</v>
      </c>
      <c r="E515" s="85">
        <f>E514</f>
        <v>32</v>
      </c>
      <c r="F515" s="62"/>
      <c r="G515" s="62"/>
      <c r="H515" s="62"/>
      <c r="I515" s="62"/>
      <c r="J515" s="86"/>
      <c r="K515" s="62" t="s">
        <v>4</v>
      </c>
      <c r="L515" s="62" t="s">
        <v>5</v>
      </c>
      <c r="M515" s="86" t="s">
        <v>6</v>
      </c>
      <c r="N515" s="86" t="s">
        <v>3</v>
      </c>
      <c r="O515" s="87">
        <f>VLOOKUP($B515,BOM!$A$2:$K$94,10,0)</f>
        <v>0</v>
      </c>
      <c r="P515" s="87">
        <f t="shared" si="24"/>
        <v>0</v>
      </c>
    </row>
    <row r="516" spans="1:16">
      <c r="B516" s="81"/>
      <c r="C516" s="82" t="s">
        <v>45</v>
      </c>
      <c r="D516" s="72"/>
      <c r="E516" s="72"/>
      <c r="F516" s="72"/>
      <c r="G516" s="72"/>
      <c r="H516" s="72"/>
      <c r="I516" s="72"/>
      <c r="J516" s="72"/>
      <c r="K516" s="83"/>
      <c r="L516" s="83"/>
      <c r="M516" s="83"/>
      <c r="N516" s="83"/>
      <c r="O516" s="87">
        <f>VLOOKUP($B516,BOM!$A$2:$K$94,10,0)</f>
        <v>0</v>
      </c>
      <c r="P516" s="87">
        <f t="shared" ref="P516:P579" si="26">O516*E516</f>
        <v>0</v>
      </c>
    </row>
    <row r="517" spans="1:16" s="45" customFormat="1" ht="30">
      <c r="B517" s="62" t="s">
        <v>48</v>
      </c>
      <c r="C517" s="21" t="s">
        <v>49</v>
      </c>
      <c r="D517" s="85" t="s">
        <v>14</v>
      </c>
      <c r="E517" s="85">
        <f>E514+1</f>
        <v>33</v>
      </c>
      <c r="F517" s="62"/>
      <c r="G517" s="62"/>
      <c r="H517" s="62"/>
      <c r="I517" s="62"/>
      <c r="J517" s="86"/>
      <c r="K517" s="62"/>
      <c r="L517" s="62" t="s">
        <v>5</v>
      </c>
      <c r="M517" s="86" t="s">
        <v>6</v>
      </c>
      <c r="N517" s="86" t="s">
        <v>15</v>
      </c>
      <c r="O517" s="87">
        <f>VLOOKUP($B517,BOM!$A$2:$K$94,10,0)</f>
        <v>0</v>
      </c>
      <c r="P517" s="87">
        <f t="shared" si="26"/>
        <v>0</v>
      </c>
    </row>
    <row r="518" spans="1:16" s="45" customFormat="1" ht="30">
      <c r="B518" s="62" t="s">
        <v>48</v>
      </c>
      <c r="C518" s="21" t="s">
        <v>49</v>
      </c>
      <c r="D518" s="85" t="s">
        <v>14</v>
      </c>
      <c r="E518" s="90">
        <f>ROUNDUP(E517*0.2,0)</f>
        <v>7</v>
      </c>
      <c r="F518" s="62"/>
      <c r="G518" s="62"/>
      <c r="H518" s="62"/>
      <c r="I518" s="62"/>
      <c r="J518" s="86"/>
      <c r="K518" s="62" t="s">
        <v>4</v>
      </c>
      <c r="L518" s="62" t="s">
        <v>5</v>
      </c>
      <c r="M518" s="86" t="s">
        <v>6</v>
      </c>
      <c r="N518" s="86" t="s">
        <v>15</v>
      </c>
      <c r="O518" s="87">
        <f>VLOOKUP($B518,BOM!$A$2:$K$94,10,0)</f>
        <v>0</v>
      </c>
      <c r="P518" s="87">
        <f t="shared" si="26"/>
        <v>0</v>
      </c>
    </row>
    <row r="519" spans="1:16">
      <c r="B519" s="81"/>
      <c r="C519" s="82" t="s">
        <v>50</v>
      </c>
      <c r="D519" s="72"/>
      <c r="E519" s="72"/>
      <c r="F519" s="72"/>
      <c r="G519" s="72"/>
      <c r="H519" s="72"/>
      <c r="I519" s="72"/>
      <c r="J519" s="72"/>
      <c r="K519" s="83"/>
      <c r="L519" s="83"/>
      <c r="M519" s="83"/>
      <c r="N519" s="83"/>
      <c r="O519" s="87">
        <f>VLOOKUP($B519,BOM!$A$2:$K$94,10,0)</f>
        <v>0</v>
      </c>
      <c r="P519" s="87">
        <f t="shared" si="26"/>
        <v>0</v>
      </c>
    </row>
    <row r="520" spans="1:16" s="45" customFormat="1">
      <c r="B520" s="62" t="s">
        <v>332</v>
      </c>
      <c r="C520" s="21" t="s">
        <v>332</v>
      </c>
      <c r="D520" s="85" t="s">
        <v>51</v>
      </c>
      <c r="E520" s="85">
        <f>E505</f>
        <v>1</v>
      </c>
      <c r="F520" s="62"/>
      <c r="G520" s="62"/>
      <c r="H520" s="62"/>
      <c r="I520" s="62"/>
      <c r="J520" s="86"/>
      <c r="K520" s="62"/>
      <c r="L520" s="62"/>
      <c r="M520" s="86"/>
      <c r="N520" s="86" t="s">
        <v>51</v>
      </c>
      <c r="O520" s="87">
        <f>VLOOKUP($B520,BOM!$A$2:$K$94,10,0)</f>
        <v>0</v>
      </c>
      <c r="P520" s="87">
        <f t="shared" si="26"/>
        <v>0</v>
      </c>
    </row>
    <row r="521" spans="1:16" s="45" customFormat="1">
      <c r="B521" s="62" t="s">
        <v>52</v>
      </c>
      <c r="C521" s="21" t="s">
        <v>53</v>
      </c>
      <c r="D521" s="86" t="s">
        <v>54</v>
      </c>
      <c r="E521" s="105">
        <f>E518+E517</f>
        <v>40</v>
      </c>
      <c r="F521" s="62"/>
      <c r="G521" s="62"/>
      <c r="H521" s="62"/>
      <c r="I521" s="62"/>
      <c r="J521" s="86"/>
      <c r="K521" s="62"/>
      <c r="L521" s="62"/>
      <c r="M521" s="86" t="s">
        <v>55</v>
      </c>
      <c r="N521" s="86" t="s">
        <v>54</v>
      </c>
      <c r="O521" s="87">
        <f>VLOOKUP($B521,BOM!$A$2:$K$94,10,0)</f>
        <v>0</v>
      </c>
      <c r="P521" s="87">
        <f t="shared" si="26"/>
        <v>0</v>
      </c>
    </row>
    <row r="522" spans="1:16" s="45" customFormat="1" ht="30">
      <c r="B522" s="62" t="s">
        <v>56</v>
      </c>
      <c r="C522" s="21" t="s">
        <v>57</v>
      </c>
      <c r="D522" s="86" t="s">
        <v>14</v>
      </c>
      <c r="E522" s="105">
        <f>E491+E487</f>
        <v>4</v>
      </c>
      <c r="F522" s="62"/>
      <c r="G522" s="62"/>
      <c r="H522" s="62"/>
      <c r="I522" s="62"/>
      <c r="J522" s="86"/>
      <c r="K522" s="62"/>
      <c r="L522" s="62"/>
      <c r="M522" s="86" t="s">
        <v>55</v>
      </c>
      <c r="N522" s="86" t="s">
        <v>14</v>
      </c>
      <c r="O522" s="87">
        <f>VLOOKUP($B522,BOM!$A$2:$K$94,10,0)</f>
        <v>0</v>
      </c>
      <c r="P522" s="87">
        <f t="shared" si="26"/>
        <v>0</v>
      </c>
    </row>
    <row r="523" spans="1:16" s="45" customFormat="1" ht="30">
      <c r="B523" s="62" t="s">
        <v>58</v>
      </c>
      <c r="C523" s="21" t="s">
        <v>59</v>
      </c>
      <c r="D523" s="86" t="s">
        <v>60</v>
      </c>
      <c r="E523" s="105">
        <f>E522*2</f>
        <v>8</v>
      </c>
      <c r="F523" s="62"/>
      <c r="G523" s="62"/>
      <c r="H523" s="62"/>
      <c r="I523" s="62"/>
      <c r="J523" s="86"/>
      <c r="K523" s="62"/>
      <c r="L523" s="62"/>
      <c r="M523" s="86" t="s">
        <v>61</v>
      </c>
      <c r="N523" s="86" t="s">
        <v>60</v>
      </c>
      <c r="O523" s="87">
        <f>VLOOKUP($B523,BOM!$A$2:$K$94,10,0)</f>
        <v>0</v>
      </c>
      <c r="P523" s="87">
        <f t="shared" si="26"/>
        <v>0</v>
      </c>
    </row>
    <row r="524" spans="1:16" s="45" customFormat="1" ht="45">
      <c r="B524" s="62" t="s">
        <v>62</v>
      </c>
      <c r="C524" s="21" t="s">
        <v>63</v>
      </c>
      <c r="D524" s="86" t="s">
        <v>64</v>
      </c>
      <c r="E524" s="105">
        <f>E501</f>
        <v>2</v>
      </c>
      <c r="F524" s="62"/>
      <c r="G524" s="62"/>
      <c r="H524" s="62"/>
      <c r="I524" s="62"/>
      <c r="J524" s="86"/>
      <c r="K524" s="62"/>
      <c r="L524" s="62"/>
      <c r="M524" s="86" t="s">
        <v>61</v>
      </c>
      <c r="N524" s="86" t="s">
        <v>64</v>
      </c>
      <c r="O524" s="87">
        <f>VLOOKUP($B524,BOM!$A$2:$K$94,10,0)</f>
        <v>0</v>
      </c>
      <c r="P524" s="87">
        <f t="shared" si="26"/>
        <v>0</v>
      </c>
    </row>
    <row r="525" spans="1:16">
      <c r="A525" s="35">
        <v>11</v>
      </c>
      <c r="B525" s="36"/>
      <c r="C525" s="37" t="s">
        <v>81</v>
      </c>
      <c r="D525" s="38" t="s">
        <v>0</v>
      </c>
      <c r="E525" s="36">
        <v>1</v>
      </c>
      <c r="F525" s="36"/>
      <c r="G525" s="36">
        <v>8</v>
      </c>
      <c r="H525" s="36"/>
      <c r="I525" s="36"/>
      <c r="J525" s="36">
        <f>SUBTOTAL(9,J528:J552)</f>
        <v>17</v>
      </c>
      <c r="K525" s="39"/>
      <c r="L525" s="39"/>
      <c r="M525" s="39"/>
      <c r="N525" s="39"/>
      <c r="O525" s="87">
        <f>VLOOKUP($B525,BOM!$A$2:$K$94,10,0)</f>
        <v>0</v>
      </c>
      <c r="P525" s="87">
        <f t="shared" si="26"/>
        <v>0</v>
      </c>
    </row>
    <row r="526" spans="1:16">
      <c r="B526" s="81"/>
      <c r="C526" s="82" t="s">
        <v>124</v>
      </c>
      <c r="D526" s="72" t="s">
        <v>0</v>
      </c>
      <c r="E526" s="72">
        <v>1</v>
      </c>
      <c r="F526" s="72"/>
      <c r="G526" s="72"/>
      <c r="H526" s="72"/>
      <c r="I526" s="72"/>
      <c r="J526" s="72"/>
      <c r="K526" s="83"/>
      <c r="L526" s="83"/>
      <c r="M526" s="83"/>
      <c r="N526" s="83"/>
      <c r="O526" s="87">
        <f>VLOOKUP($B526,BOM!$A$2:$K$94,10,0)</f>
        <v>0</v>
      </c>
      <c r="P526" s="87">
        <f t="shared" si="26"/>
        <v>0</v>
      </c>
    </row>
    <row r="527" spans="1:16" s="19" customFormat="1">
      <c r="B527" s="41" t="s">
        <v>201</v>
      </c>
      <c r="C527" s="41" t="s">
        <v>202</v>
      </c>
      <c r="D527" s="21"/>
      <c r="E527" s="22">
        <v>1</v>
      </c>
      <c r="F527" s="21"/>
      <c r="G527" s="21"/>
      <c r="H527" s="21"/>
      <c r="I527" s="21"/>
      <c r="J527" s="22"/>
      <c r="K527" s="21" t="s">
        <v>4</v>
      </c>
      <c r="L527" s="21" t="s">
        <v>203</v>
      </c>
      <c r="M527" s="22" t="s">
        <v>22</v>
      </c>
      <c r="N527" s="22" t="s">
        <v>3</v>
      </c>
      <c r="O527" s="87">
        <f>VLOOKUP($B527,BOM!$A$2:$K$94,10,0)</f>
        <v>0</v>
      </c>
      <c r="P527" s="87">
        <f t="shared" si="26"/>
        <v>0</v>
      </c>
    </row>
    <row r="528" spans="1:16" s="19" customFormat="1">
      <c r="B528" s="21" t="s">
        <v>122</v>
      </c>
      <c r="C528" s="21" t="s">
        <v>123</v>
      </c>
      <c r="D528" s="21"/>
      <c r="E528" s="22">
        <v>1</v>
      </c>
      <c r="F528" s="21"/>
      <c r="G528" s="21"/>
      <c r="H528" s="21"/>
      <c r="I528" s="21"/>
      <c r="J528" s="22">
        <v>1</v>
      </c>
      <c r="K528" s="21" t="s">
        <v>4</v>
      </c>
      <c r="L528" s="21" t="s">
        <v>5</v>
      </c>
      <c r="M528" s="22" t="s">
        <v>22</v>
      </c>
      <c r="N528" s="22" t="s">
        <v>3</v>
      </c>
      <c r="O528" s="87">
        <f>VLOOKUP($B528,BOM!$A$2:$K$94,10,0)</f>
        <v>0</v>
      </c>
      <c r="P528" s="87">
        <f t="shared" si="26"/>
        <v>0</v>
      </c>
    </row>
    <row r="529" spans="2:16">
      <c r="B529" s="81"/>
      <c r="C529" s="82" t="s">
        <v>1</v>
      </c>
      <c r="D529" s="72" t="s">
        <v>0</v>
      </c>
      <c r="E529" s="72">
        <v>1</v>
      </c>
      <c r="F529" s="72"/>
      <c r="G529" s="72">
        <f>ROUNDUP(G525/24,0)</f>
        <v>1</v>
      </c>
      <c r="H529" s="72">
        <f t="shared" ref="H529" si="27">ROUNDUP(H525/24,0)</f>
        <v>0</v>
      </c>
      <c r="I529" s="72"/>
      <c r="J529" s="72"/>
      <c r="K529" s="83"/>
      <c r="L529" s="83"/>
      <c r="M529" s="83"/>
      <c r="N529" s="83"/>
      <c r="O529" s="87">
        <f>VLOOKUP($B529,BOM!$A$2:$K$94,10,0)</f>
        <v>0</v>
      </c>
      <c r="P529" s="87">
        <f t="shared" si="26"/>
        <v>0</v>
      </c>
    </row>
    <row r="530" spans="2:16" s="45" customFormat="1">
      <c r="B530" s="62">
        <v>760249997</v>
      </c>
      <c r="C530" s="21" t="s">
        <v>2</v>
      </c>
      <c r="D530" s="85" t="s">
        <v>3</v>
      </c>
      <c r="E530" s="85">
        <f>ROUNDUP((E532+E536)/3,0)</f>
        <v>1</v>
      </c>
      <c r="F530" s="62"/>
      <c r="G530" s="62"/>
      <c r="H530" s="62"/>
      <c r="I530" s="62"/>
      <c r="J530" s="86">
        <v>1</v>
      </c>
      <c r="K530" s="62" t="s">
        <v>4</v>
      </c>
      <c r="L530" s="62" t="s">
        <v>5</v>
      </c>
      <c r="M530" s="86" t="s">
        <v>6</v>
      </c>
      <c r="N530" s="86" t="s">
        <v>3</v>
      </c>
      <c r="O530" s="87">
        <f>VLOOKUP($B530,BOM!$A$2:$K$94,10,0)</f>
        <v>0</v>
      </c>
      <c r="P530" s="87">
        <f t="shared" si="26"/>
        <v>0</v>
      </c>
    </row>
    <row r="531" spans="2:16" s="45" customFormat="1">
      <c r="B531" s="62">
        <v>760241378</v>
      </c>
      <c r="C531" s="21" t="s">
        <v>7</v>
      </c>
      <c r="D531" s="85" t="s">
        <v>3</v>
      </c>
      <c r="E531" s="85">
        <f>IF(E532&lt;=2,1,ROUNDUP(E530*1.5,0))</f>
        <v>1</v>
      </c>
      <c r="F531" s="62"/>
      <c r="G531" s="62"/>
      <c r="H531" s="62"/>
      <c r="I531" s="62"/>
      <c r="J531" s="86"/>
      <c r="K531" s="62" t="s">
        <v>4</v>
      </c>
      <c r="L531" s="62" t="s">
        <v>5</v>
      </c>
      <c r="M531" s="86" t="s">
        <v>6</v>
      </c>
      <c r="N531" s="86" t="s">
        <v>3</v>
      </c>
      <c r="O531" s="87">
        <f>VLOOKUP($B531,BOM!$A$2:$K$94,10,0)</f>
        <v>0</v>
      </c>
      <c r="P531" s="87">
        <f t="shared" si="26"/>
        <v>0</v>
      </c>
    </row>
    <row r="532" spans="2:16" s="45" customFormat="1">
      <c r="B532" s="62" t="s">
        <v>8</v>
      </c>
      <c r="C532" s="21" t="s">
        <v>9</v>
      </c>
      <c r="D532" s="85" t="s">
        <v>3</v>
      </c>
      <c r="E532" s="85">
        <f>G529</f>
        <v>1</v>
      </c>
      <c r="F532" s="62"/>
      <c r="G532" s="62"/>
      <c r="H532" s="62"/>
      <c r="I532" s="62"/>
      <c r="J532" s="86"/>
      <c r="K532" s="62" t="s">
        <v>4</v>
      </c>
      <c r="L532" s="62" t="s">
        <v>5</v>
      </c>
      <c r="M532" s="86" t="s">
        <v>6</v>
      </c>
      <c r="N532" s="86" t="s">
        <v>3</v>
      </c>
      <c r="O532" s="87">
        <f>VLOOKUP($B532,BOM!$A$2:$K$94,10,0)</f>
        <v>0</v>
      </c>
      <c r="P532" s="87">
        <f t="shared" si="26"/>
        <v>0</v>
      </c>
    </row>
    <row r="533" spans="2:16" s="45" customFormat="1">
      <c r="B533" s="62" t="s">
        <v>10</v>
      </c>
      <c r="C533" s="21" t="s">
        <v>11</v>
      </c>
      <c r="D533" s="85" t="s">
        <v>3</v>
      </c>
      <c r="E533" s="85">
        <f>E530*3-E532-E536</f>
        <v>2</v>
      </c>
      <c r="F533" s="62"/>
      <c r="G533" s="62"/>
      <c r="H533" s="62"/>
      <c r="I533" s="62"/>
      <c r="J533" s="86"/>
      <c r="K533" s="62" t="s">
        <v>4</v>
      </c>
      <c r="L533" s="62" t="s">
        <v>5</v>
      </c>
      <c r="M533" s="86" t="s">
        <v>6</v>
      </c>
      <c r="N533" s="86" t="s">
        <v>3</v>
      </c>
      <c r="O533" s="87">
        <f>VLOOKUP($B533,BOM!$A$2:$K$94,10,0)</f>
        <v>0</v>
      </c>
      <c r="P533" s="87">
        <f t="shared" si="26"/>
        <v>0</v>
      </c>
    </row>
    <row r="534" spans="2:16" s="45" customFormat="1">
      <c r="B534" s="62" t="s">
        <v>12</v>
      </c>
      <c r="C534" s="21" t="s">
        <v>13</v>
      </c>
      <c r="D534" s="85" t="s">
        <v>14</v>
      </c>
      <c r="E534" s="85">
        <f>G525/2</f>
        <v>4</v>
      </c>
      <c r="F534" s="62"/>
      <c r="G534" s="62"/>
      <c r="H534" s="62"/>
      <c r="I534" s="62"/>
      <c r="J534" s="86"/>
      <c r="K534" s="62" t="s">
        <v>4</v>
      </c>
      <c r="L534" s="62" t="s">
        <v>5</v>
      </c>
      <c r="M534" s="86" t="s">
        <v>6</v>
      </c>
      <c r="N534" s="86" t="s">
        <v>15</v>
      </c>
      <c r="O534" s="87">
        <f>VLOOKUP($B534,BOM!$A$2:$K$94,10,0)</f>
        <v>0</v>
      </c>
      <c r="P534" s="87">
        <f t="shared" si="26"/>
        <v>0</v>
      </c>
    </row>
    <row r="535" spans="2:16" s="45" customFormat="1" ht="30">
      <c r="B535" s="62" t="s">
        <v>16</v>
      </c>
      <c r="C535" s="21" t="s">
        <v>17</v>
      </c>
      <c r="D535" s="85" t="s">
        <v>14</v>
      </c>
      <c r="E535" s="85">
        <f>ROUNDUP((E541+E544)*1.3,0)</f>
        <v>3</v>
      </c>
      <c r="F535" s="62"/>
      <c r="G535" s="62"/>
      <c r="H535" s="62"/>
      <c r="I535" s="62"/>
      <c r="J535" s="86"/>
      <c r="K535" s="62" t="s">
        <v>4</v>
      </c>
      <c r="L535" s="62" t="s">
        <v>5</v>
      </c>
      <c r="M535" s="86" t="s">
        <v>6</v>
      </c>
      <c r="N535" s="86" t="s">
        <v>15</v>
      </c>
      <c r="O535" s="87">
        <f>VLOOKUP($B535,BOM!$A$2:$K$94,10,0)</f>
        <v>0</v>
      </c>
      <c r="P535" s="87">
        <f t="shared" si="26"/>
        <v>0</v>
      </c>
    </row>
    <row r="536" spans="2:16" s="110" customFormat="1">
      <c r="B536" s="66" t="s">
        <v>198</v>
      </c>
      <c r="C536" s="106" t="s">
        <v>199</v>
      </c>
      <c r="D536" s="89" t="s">
        <v>3</v>
      </c>
      <c r="E536" s="89">
        <f>H529</f>
        <v>0</v>
      </c>
      <c r="F536" s="66"/>
      <c r="G536" s="66"/>
      <c r="H536" s="66"/>
      <c r="I536" s="66"/>
      <c r="J536" s="107"/>
      <c r="K536" s="108" t="s">
        <v>4</v>
      </c>
      <c r="L536" s="108" t="s">
        <v>5</v>
      </c>
      <c r="M536" s="109" t="s">
        <v>6</v>
      </c>
      <c r="N536" s="109" t="s">
        <v>15</v>
      </c>
      <c r="O536" s="87">
        <f>VLOOKUP($B536,BOM!$A$2:$K$94,10,0)</f>
        <v>0</v>
      </c>
      <c r="P536" s="87">
        <f t="shared" si="26"/>
        <v>0</v>
      </c>
    </row>
    <row r="537" spans="2:16" s="111" customFormat="1">
      <c r="B537" s="66" t="s">
        <v>194</v>
      </c>
      <c r="C537" s="106" t="s">
        <v>195</v>
      </c>
      <c r="D537" s="89" t="s">
        <v>14</v>
      </c>
      <c r="E537" s="89">
        <v>0</v>
      </c>
      <c r="F537" s="108"/>
      <c r="G537" s="108"/>
      <c r="H537" s="108"/>
      <c r="I537" s="108"/>
      <c r="J537" s="109"/>
      <c r="K537" s="108" t="s">
        <v>4</v>
      </c>
      <c r="L537" s="108" t="s">
        <v>5</v>
      </c>
      <c r="M537" s="109" t="s">
        <v>6</v>
      </c>
      <c r="N537" s="109" t="s">
        <v>15</v>
      </c>
      <c r="O537" s="87">
        <f>VLOOKUP($B537,BOM!$A$2:$K$94,10,0)</f>
        <v>0</v>
      </c>
      <c r="P537" s="87">
        <f t="shared" si="26"/>
        <v>0</v>
      </c>
    </row>
    <row r="538" spans="2:16" s="110" customFormat="1">
      <c r="B538" s="66" t="s">
        <v>196</v>
      </c>
      <c r="C538" s="106" t="s">
        <v>197</v>
      </c>
      <c r="D538" s="89" t="s">
        <v>14</v>
      </c>
      <c r="E538" s="89">
        <f>H525/2</f>
        <v>0</v>
      </c>
      <c r="F538" s="66"/>
      <c r="G538" s="66"/>
      <c r="H538" s="66"/>
      <c r="I538" s="66"/>
      <c r="J538" s="107"/>
      <c r="K538" s="108" t="s">
        <v>4</v>
      </c>
      <c r="L538" s="108" t="s">
        <v>5</v>
      </c>
      <c r="M538" s="109" t="s">
        <v>6</v>
      </c>
      <c r="N538" s="109" t="s">
        <v>15</v>
      </c>
      <c r="O538" s="87">
        <f>VLOOKUP($B538,BOM!$A$2:$K$94,10,0)</f>
        <v>0</v>
      </c>
      <c r="P538" s="87">
        <f t="shared" si="26"/>
        <v>0</v>
      </c>
    </row>
    <row r="539" spans="2:16">
      <c r="B539" s="81"/>
      <c r="C539" s="82" t="s">
        <v>26</v>
      </c>
      <c r="D539" s="72" t="s">
        <v>0</v>
      </c>
      <c r="E539" s="72">
        <v>1</v>
      </c>
      <c r="F539" s="72"/>
      <c r="G539" s="72"/>
      <c r="H539" s="72"/>
      <c r="I539" s="72"/>
      <c r="J539" s="72"/>
      <c r="K539" s="83"/>
      <c r="L539" s="83"/>
      <c r="M539" s="83"/>
      <c r="N539" s="83"/>
      <c r="O539" s="87">
        <f>VLOOKUP($B539,BOM!$A$2:$K$94,10,0)</f>
        <v>0</v>
      </c>
      <c r="P539" s="87">
        <f t="shared" si="26"/>
        <v>0</v>
      </c>
    </row>
    <row r="540" spans="2:16" s="45" customFormat="1">
      <c r="B540" s="62"/>
      <c r="C540" s="21"/>
      <c r="D540" s="85"/>
      <c r="E540" s="90"/>
      <c r="F540" s="62"/>
      <c r="G540" s="62"/>
      <c r="H540" s="62"/>
      <c r="I540" s="62"/>
      <c r="J540" s="86"/>
      <c r="K540" s="62"/>
      <c r="L540" s="62"/>
      <c r="M540" s="86"/>
      <c r="N540" s="86"/>
      <c r="O540" s="87">
        <f>VLOOKUP($B540,BOM!$A$2:$K$94,10,0)</f>
        <v>0</v>
      </c>
      <c r="P540" s="87">
        <f t="shared" si="26"/>
        <v>0</v>
      </c>
    </row>
    <row r="541" spans="2:16" s="45" customFormat="1">
      <c r="B541" s="62"/>
      <c r="C541" s="21"/>
      <c r="D541" s="85"/>
      <c r="E541" s="90"/>
      <c r="F541" s="62"/>
      <c r="G541" s="62"/>
      <c r="H541" s="62"/>
      <c r="I541" s="62"/>
      <c r="J541" s="86"/>
      <c r="K541" s="62"/>
      <c r="L541" s="62"/>
      <c r="M541" s="86"/>
      <c r="N541" s="86"/>
      <c r="O541" s="87">
        <f>VLOOKUP($B541,BOM!$A$2:$K$94,10,0)</f>
        <v>0</v>
      </c>
      <c r="P541" s="87">
        <f t="shared" si="26"/>
        <v>0</v>
      </c>
    </row>
    <row r="542" spans="2:16">
      <c r="B542" s="81"/>
      <c r="C542" s="82" t="s">
        <v>145</v>
      </c>
      <c r="D542" s="72" t="s">
        <v>0</v>
      </c>
      <c r="E542" s="72">
        <v>2</v>
      </c>
      <c r="F542" s="72"/>
      <c r="G542" s="72"/>
      <c r="H542" s="72"/>
      <c r="I542" s="72"/>
      <c r="J542" s="72"/>
      <c r="K542" s="83"/>
      <c r="L542" s="83"/>
      <c r="M542" s="83"/>
      <c r="N542" s="83"/>
      <c r="O542" s="87">
        <f>VLOOKUP($B542,BOM!$A$2:$K$94,10,0)</f>
        <v>0</v>
      </c>
      <c r="P542" s="87">
        <f t="shared" si="26"/>
        <v>0</v>
      </c>
    </row>
    <row r="543" spans="2:16" s="45" customFormat="1">
      <c r="B543" s="41" t="s">
        <v>152</v>
      </c>
      <c r="C543" s="41" t="s">
        <v>153</v>
      </c>
      <c r="D543" s="42" t="s">
        <v>64</v>
      </c>
      <c r="E543" s="43">
        <v>2</v>
      </c>
      <c r="F543" s="41"/>
      <c r="G543" s="41"/>
      <c r="H543" s="41"/>
      <c r="I543" s="41"/>
      <c r="J543" s="44">
        <v>1</v>
      </c>
      <c r="K543" s="41" t="s">
        <v>143</v>
      </c>
      <c r="L543" s="41" t="s">
        <v>151</v>
      </c>
      <c r="M543" s="44" t="s">
        <v>144</v>
      </c>
      <c r="N543" s="44" t="s">
        <v>64</v>
      </c>
      <c r="O543" s="87">
        <f>VLOOKUP($B543,BOM!$A$2:$K$94,10,0)</f>
        <v>0</v>
      </c>
      <c r="P543" s="87">
        <f t="shared" si="26"/>
        <v>0</v>
      </c>
    </row>
    <row r="544" spans="2:16" s="45" customFormat="1">
      <c r="B544" s="41" t="s">
        <v>137</v>
      </c>
      <c r="C544" s="41" t="s">
        <v>138</v>
      </c>
      <c r="D544" s="42" t="s">
        <v>64</v>
      </c>
      <c r="E544" s="47">
        <f>E543</f>
        <v>2</v>
      </c>
      <c r="F544" s="41"/>
      <c r="G544" s="41"/>
      <c r="H544" s="41"/>
      <c r="I544" s="41"/>
      <c r="J544" s="44"/>
      <c r="K544" s="41" t="s">
        <v>143</v>
      </c>
      <c r="L544" s="41" t="s">
        <v>151</v>
      </c>
      <c r="M544" s="44" t="s">
        <v>144</v>
      </c>
      <c r="N544" s="44" t="s">
        <v>64</v>
      </c>
      <c r="O544" s="87">
        <f>VLOOKUP($B544,BOM!$A$2:$K$94,10,0)</f>
        <v>0</v>
      </c>
      <c r="P544" s="87">
        <f t="shared" si="26"/>
        <v>0</v>
      </c>
    </row>
    <row r="545" spans="2:16" outlineLevel="1">
      <c r="B545" s="117"/>
      <c r="C545" s="118" t="s">
        <v>222</v>
      </c>
      <c r="D545" s="119" t="s">
        <v>0</v>
      </c>
      <c r="E545" s="120">
        <v>1</v>
      </c>
      <c r="F545" s="121"/>
      <c r="G545" s="121"/>
      <c r="H545" s="121" t="s">
        <v>69</v>
      </c>
      <c r="I545" s="122"/>
      <c r="J545" s="122">
        <f>E545*3</f>
        <v>3</v>
      </c>
      <c r="K545" s="63"/>
      <c r="L545" s="63"/>
      <c r="M545" s="63"/>
      <c r="N545" s="63"/>
      <c r="O545" s="87">
        <f>VLOOKUP($B545,BOM!$A$2:$K$94,10,0)</f>
        <v>0</v>
      </c>
      <c r="P545" s="87">
        <f t="shared" si="26"/>
        <v>0</v>
      </c>
    </row>
    <row r="546" spans="2:16" outlineLevel="1">
      <c r="B546" s="117"/>
      <c r="C546" s="118" t="s">
        <v>70</v>
      </c>
      <c r="D546" s="119" t="s">
        <v>0</v>
      </c>
      <c r="E546" s="120">
        <v>1</v>
      </c>
      <c r="F546" s="121"/>
      <c r="G546" s="121"/>
      <c r="H546" s="121" t="s">
        <v>69</v>
      </c>
      <c r="I546" s="122"/>
      <c r="J546" s="122">
        <v>1</v>
      </c>
      <c r="K546" s="63"/>
      <c r="L546" s="63"/>
      <c r="M546" s="63"/>
      <c r="N546" s="63"/>
      <c r="O546" s="87">
        <f>VLOOKUP($B546,BOM!$A$2:$K$94,10,0)</f>
        <v>0</v>
      </c>
      <c r="P546" s="87">
        <f t="shared" si="26"/>
        <v>0</v>
      </c>
    </row>
    <row r="547" spans="2:16">
      <c r="B547" s="81"/>
      <c r="C547" s="82" t="s">
        <v>18</v>
      </c>
      <c r="D547" s="72" t="s">
        <v>0</v>
      </c>
      <c r="E547" s="72">
        <v>1</v>
      </c>
      <c r="F547" s="72"/>
      <c r="G547" s="72"/>
      <c r="H547" s="72"/>
      <c r="I547" s="72"/>
      <c r="J547" s="72"/>
      <c r="K547" s="83"/>
      <c r="L547" s="83"/>
      <c r="M547" s="83"/>
      <c r="N547" s="83"/>
      <c r="O547" s="87">
        <f>VLOOKUP($B547,BOM!$A$2:$K$94,10,0)</f>
        <v>0</v>
      </c>
      <c r="P547" s="87">
        <f t="shared" si="26"/>
        <v>0</v>
      </c>
    </row>
    <row r="548" spans="2:16" s="45" customFormat="1" ht="30">
      <c r="B548" s="62">
        <v>760237046</v>
      </c>
      <c r="C548" s="21" t="s">
        <v>19</v>
      </c>
      <c r="D548" s="85" t="s">
        <v>3</v>
      </c>
      <c r="E548" s="85">
        <f>E540+E543</f>
        <v>2</v>
      </c>
      <c r="F548" s="62"/>
      <c r="G548" s="62"/>
      <c r="H548" s="62"/>
      <c r="I548" s="62"/>
      <c r="J548" s="86">
        <v>1</v>
      </c>
      <c r="K548" s="62" t="s">
        <v>4</v>
      </c>
      <c r="L548" s="62" t="s">
        <v>5</v>
      </c>
      <c r="M548" s="86" t="s">
        <v>6</v>
      </c>
      <c r="N548" s="86" t="s">
        <v>3</v>
      </c>
      <c r="O548" s="87">
        <f>VLOOKUP($B548,BOM!$A$2:$K$94,10,0)</f>
        <v>0</v>
      </c>
      <c r="P548" s="87">
        <f t="shared" si="26"/>
        <v>0</v>
      </c>
    </row>
    <row r="549" spans="2:16" s="45" customFormat="1" ht="30">
      <c r="B549" s="62" t="s">
        <v>23</v>
      </c>
      <c r="C549" s="21" t="s">
        <v>24</v>
      </c>
      <c r="D549" s="85" t="s">
        <v>3</v>
      </c>
      <c r="E549" s="85">
        <f>E548*24</f>
        <v>48</v>
      </c>
      <c r="F549" s="62"/>
      <c r="G549" s="62"/>
      <c r="H549" s="62"/>
      <c r="I549" s="62"/>
      <c r="J549" s="86"/>
      <c r="K549" s="62" t="s">
        <v>25</v>
      </c>
      <c r="L549" s="62" t="s">
        <v>5</v>
      </c>
      <c r="M549" s="86" t="s">
        <v>6</v>
      </c>
      <c r="N549" s="86" t="s">
        <v>3</v>
      </c>
      <c r="O549" s="87">
        <f>VLOOKUP($B549,BOM!$A$2:$K$94,10,0)</f>
        <v>0</v>
      </c>
      <c r="P549" s="87">
        <f t="shared" si="26"/>
        <v>0</v>
      </c>
    </row>
    <row r="550" spans="2:16" s="45" customFormat="1">
      <c r="B550" s="62" t="s">
        <v>20</v>
      </c>
      <c r="C550" s="21" t="s">
        <v>21</v>
      </c>
      <c r="D550" s="85" t="s">
        <v>3</v>
      </c>
      <c r="E550" s="85">
        <f>E548</f>
        <v>2</v>
      </c>
      <c r="F550" s="62"/>
      <c r="G550" s="62"/>
      <c r="H550" s="62"/>
      <c r="I550" s="62"/>
      <c r="J550" s="86">
        <v>1</v>
      </c>
      <c r="K550" s="62" t="s">
        <v>4</v>
      </c>
      <c r="L550" s="62" t="s">
        <v>5</v>
      </c>
      <c r="M550" s="86" t="s">
        <v>22</v>
      </c>
      <c r="N550" s="86" t="s">
        <v>3</v>
      </c>
      <c r="O550" s="87">
        <f>VLOOKUP($B550,BOM!$A$2:$K$94,10,0)</f>
        <v>0</v>
      </c>
      <c r="P550" s="87">
        <f t="shared" si="26"/>
        <v>0</v>
      </c>
    </row>
    <row r="551" spans="2:16">
      <c r="B551" s="81"/>
      <c r="C551" s="82" t="s">
        <v>71</v>
      </c>
      <c r="D551" s="72" t="s">
        <v>0</v>
      </c>
      <c r="E551" s="72">
        <v>1</v>
      </c>
      <c r="F551" s="72"/>
      <c r="G551" s="72"/>
      <c r="H551" s="72"/>
      <c r="I551" s="72"/>
      <c r="J551" s="72"/>
      <c r="K551" s="83"/>
      <c r="L551" s="83"/>
      <c r="M551" s="83"/>
      <c r="N551" s="83"/>
      <c r="O551" s="87">
        <f>VLOOKUP($B551,BOM!$A$2:$K$94,10,0)</f>
        <v>0</v>
      </c>
      <c r="P551" s="87">
        <f t="shared" si="26"/>
        <v>0</v>
      </c>
    </row>
    <row r="552" spans="2:16" s="45" customFormat="1">
      <c r="B552" s="41" t="s">
        <v>237</v>
      </c>
      <c r="C552" s="41" t="s">
        <v>238</v>
      </c>
      <c r="D552" s="116" t="s">
        <v>51</v>
      </c>
      <c r="E552" s="85">
        <v>1</v>
      </c>
      <c r="F552" s="62"/>
      <c r="G552" s="62"/>
      <c r="H552" s="62"/>
      <c r="I552" s="62"/>
      <c r="J552" s="86">
        <f>E552*8</f>
        <v>8</v>
      </c>
      <c r="K552" s="62"/>
      <c r="L552" s="62" t="s">
        <v>5</v>
      </c>
      <c r="M552" s="86" t="s">
        <v>28</v>
      </c>
      <c r="N552" s="86" t="s">
        <v>3</v>
      </c>
      <c r="O552" s="87">
        <f>VLOOKUP($B552,BOM!$A$2:$K$94,10,0)</f>
        <v>0</v>
      </c>
      <c r="P552" s="87">
        <f t="shared" si="26"/>
        <v>0</v>
      </c>
    </row>
    <row r="553" spans="2:16" s="45" customFormat="1">
      <c r="B553" s="62"/>
      <c r="C553" s="21"/>
      <c r="D553" s="116"/>
      <c r="E553" s="85"/>
      <c r="F553" s="62"/>
      <c r="G553" s="62"/>
      <c r="H553" s="62"/>
      <c r="I553" s="62"/>
      <c r="J553" s="86"/>
      <c r="K553" s="62"/>
      <c r="L553" s="62"/>
      <c r="M553" s="86"/>
      <c r="N553" s="86"/>
      <c r="O553" s="87">
        <f>VLOOKUP($B553,BOM!$A$2:$K$94,10,0)</f>
        <v>0</v>
      </c>
      <c r="P553" s="87">
        <f t="shared" si="26"/>
        <v>0</v>
      </c>
    </row>
    <row r="554" spans="2:16" s="45" customFormat="1">
      <c r="B554" s="62" t="s">
        <v>225</v>
      </c>
      <c r="C554" s="21" t="s">
        <v>72</v>
      </c>
      <c r="D554" s="116" t="s">
        <v>64</v>
      </c>
      <c r="E554" s="85">
        <v>0</v>
      </c>
      <c r="F554" s="62"/>
      <c r="G554" s="62"/>
      <c r="H554" s="62"/>
      <c r="I554" s="62"/>
      <c r="J554" s="86"/>
      <c r="K554" s="62"/>
      <c r="L554" s="62" t="s">
        <v>5</v>
      </c>
      <c r="M554" s="86" t="s">
        <v>28</v>
      </c>
      <c r="N554" s="86" t="s">
        <v>3</v>
      </c>
      <c r="O554" s="87">
        <f>VLOOKUP($B554,BOM!$A$2:$K$94,10,0)</f>
        <v>0</v>
      </c>
      <c r="P554" s="87">
        <f t="shared" si="26"/>
        <v>0</v>
      </c>
    </row>
    <row r="555" spans="2:16">
      <c r="B555" s="81"/>
      <c r="C555" s="82" t="s">
        <v>31</v>
      </c>
      <c r="D555" s="72" t="s">
        <v>0</v>
      </c>
      <c r="E555" s="72">
        <v>1</v>
      </c>
      <c r="F555" s="72"/>
      <c r="G555" s="72"/>
      <c r="H555" s="72"/>
      <c r="I555" s="72"/>
      <c r="J555" s="72"/>
      <c r="K555" s="83"/>
      <c r="L555" s="83"/>
      <c r="M555" s="83"/>
      <c r="N555" s="83"/>
      <c r="O555" s="87">
        <f>VLOOKUP($B555,BOM!$A$2:$K$94,10,0)</f>
        <v>0</v>
      </c>
      <c r="P555" s="87">
        <f t="shared" si="26"/>
        <v>0</v>
      </c>
    </row>
    <row r="556" spans="2:16">
      <c r="B556" s="81"/>
      <c r="C556" s="82" t="s">
        <v>32</v>
      </c>
      <c r="D556" s="72"/>
      <c r="E556" s="72"/>
      <c r="F556" s="72"/>
      <c r="G556" s="72"/>
      <c r="H556" s="72"/>
      <c r="I556" s="72"/>
      <c r="J556" s="72"/>
      <c r="K556" s="83"/>
      <c r="L556" s="83"/>
      <c r="M556" s="83"/>
      <c r="N556" s="83"/>
      <c r="O556" s="87">
        <f>VLOOKUP($B556,BOM!$A$2:$K$94,10,0)</f>
        <v>0</v>
      </c>
      <c r="P556" s="87">
        <f t="shared" si="26"/>
        <v>0</v>
      </c>
    </row>
    <row r="557" spans="2:16" s="45" customFormat="1" ht="20.45" customHeight="1">
      <c r="B557" s="62" t="s">
        <v>33</v>
      </c>
      <c r="C557" s="21" t="s">
        <v>34</v>
      </c>
      <c r="D557" s="85" t="s">
        <v>3</v>
      </c>
      <c r="E557" s="90">
        <f>E558</f>
        <v>0</v>
      </c>
      <c r="F557" s="62"/>
      <c r="G557" s="62"/>
      <c r="H557" s="62"/>
      <c r="I557" s="62"/>
      <c r="J557" s="86"/>
      <c r="K557" s="62" t="s">
        <v>35</v>
      </c>
      <c r="L557" s="62" t="s">
        <v>5</v>
      </c>
      <c r="M557" s="86" t="s">
        <v>6</v>
      </c>
      <c r="N557" s="86" t="s">
        <v>3</v>
      </c>
      <c r="O557" s="87">
        <f>VLOOKUP($B557,BOM!$A$2:$K$94,10,0)</f>
        <v>0</v>
      </c>
      <c r="P557" s="87">
        <f t="shared" si="26"/>
        <v>0</v>
      </c>
    </row>
    <row r="558" spans="2:16" s="45" customFormat="1">
      <c r="B558" s="62" t="s">
        <v>330</v>
      </c>
      <c r="C558" s="21" t="s">
        <v>36</v>
      </c>
      <c r="D558" s="85" t="s">
        <v>3</v>
      </c>
      <c r="E558" s="90">
        <f>G556+H556</f>
        <v>0</v>
      </c>
      <c r="F558" s="62"/>
      <c r="G558" s="62"/>
      <c r="H558" s="62"/>
      <c r="I558" s="62"/>
      <c r="J558" s="86"/>
      <c r="K558" s="62" t="s">
        <v>37</v>
      </c>
      <c r="L558" s="62" t="s">
        <v>5</v>
      </c>
      <c r="M558" s="86" t="s">
        <v>37</v>
      </c>
      <c r="N558" s="86" t="s">
        <v>3</v>
      </c>
      <c r="O558" s="87">
        <f>VLOOKUP($B558,BOM!$A$2:$K$94,10,0)</f>
        <v>0</v>
      </c>
      <c r="P558" s="87">
        <f t="shared" si="26"/>
        <v>0</v>
      </c>
    </row>
    <row r="559" spans="2:16" s="45" customFormat="1" ht="30">
      <c r="B559" s="62" t="s">
        <v>38</v>
      </c>
      <c r="C559" s="21" t="s">
        <v>39</v>
      </c>
      <c r="D559" s="85" t="s">
        <v>3</v>
      </c>
      <c r="E559" s="90">
        <f>E558</f>
        <v>0</v>
      </c>
      <c r="F559" s="62"/>
      <c r="G559" s="62"/>
      <c r="H559" s="62"/>
      <c r="I559" s="62"/>
      <c r="J559" s="86"/>
      <c r="K559" s="62" t="s">
        <v>25</v>
      </c>
      <c r="L559" s="62" t="s">
        <v>5</v>
      </c>
      <c r="M559" s="86" t="s">
        <v>6</v>
      </c>
      <c r="N559" s="86" t="s">
        <v>3</v>
      </c>
      <c r="O559" s="87">
        <f>VLOOKUP($B559,BOM!$A$2:$K$94,10,0)</f>
        <v>0</v>
      </c>
      <c r="P559" s="87">
        <f t="shared" si="26"/>
        <v>0</v>
      </c>
    </row>
    <row r="560" spans="2:16">
      <c r="B560" s="81"/>
      <c r="C560" s="82" t="s">
        <v>40</v>
      </c>
      <c r="D560" s="72"/>
      <c r="E560" s="72"/>
      <c r="F560" s="72"/>
      <c r="G560" s="72"/>
      <c r="H560" s="72">
        <v>33</v>
      </c>
      <c r="I560" s="72"/>
      <c r="J560" s="72"/>
      <c r="K560" s="83"/>
      <c r="L560" s="83"/>
      <c r="M560" s="83"/>
      <c r="N560" s="83"/>
      <c r="O560" s="87">
        <f>VLOOKUP($B560,BOM!$A$2:$K$94,10,0)</f>
        <v>0</v>
      </c>
      <c r="P560" s="87">
        <f t="shared" si="26"/>
        <v>0</v>
      </c>
    </row>
    <row r="561" spans="1:16" s="45" customFormat="1">
      <c r="B561" s="62" t="s">
        <v>41</v>
      </c>
      <c r="C561" s="21" t="s">
        <v>42</v>
      </c>
      <c r="D561" s="85" t="s">
        <v>3</v>
      </c>
      <c r="E561" s="85">
        <f>G560+H560</f>
        <v>33</v>
      </c>
      <c r="F561" s="62"/>
      <c r="G561" s="62"/>
      <c r="H561" s="62"/>
      <c r="I561" s="62"/>
      <c r="J561" s="86"/>
      <c r="K561" s="62" t="s">
        <v>4</v>
      </c>
      <c r="L561" s="62" t="s">
        <v>5</v>
      </c>
      <c r="M561" s="86" t="s">
        <v>6</v>
      </c>
      <c r="N561" s="86" t="s">
        <v>3</v>
      </c>
      <c r="O561" s="87">
        <f>VLOOKUP($B561,BOM!$A$2:$K$94,10,0)</f>
        <v>0</v>
      </c>
      <c r="P561" s="87">
        <f t="shared" si="26"/>
        <v>0</v>
      </c>
    </row>
    <row r="562" spans="1:16" s="45" customFormat="1">
      <c r="B562" s="65" t="s">
        <v>43</v>
      </c>
      <c r="C562" s="103" t="s">
        <v>44</v>
      </c>
      <c r="D562" s="85" t="s">
        <v>3</v>
      </c>
      <c r="E562" s="85">
        <f>E561</f>
        <v>33</v>
      </c>
      <c r="F562" s="62"/>
      <c r="G562" s="62"/>
      <c r="H562" s="62"/>
      <c r="I562" s="62"/>
      <c r="J562" s="86"/>
      <c r="K562" s="62" t="s">
        <v>4</v>
      </c>
      <c r="L562" s="62" t="s">
        <v>5</v>
      </c>
      <c r="M562" s="86" t="s">
        <v>6</v>
      </c>
      <c r="N562" s="86" t="s">
        <v>3</v>
      </c>
      <c r="O562" s="87">
        <f>VLOOKUP($B562,BOM!$A$2:$K$94,10,0)</f>
        <v>0</v>
      </c>
      <c r="P562" s="87">
        <f t="shared" si="26"/>
        <v>0</v>
      </c>
    </row>
    <row r="563" spans="1:16">
      <c r="B563" s="81"/>
      <c r="C563" s="82" t="s">
        <v>45</v>
      </c>
      <c r="D563" s="72"/>
      <c r="E563" s="72"/>
      <c r="F563" s="72"/>
      <c r="G563" s="72"/>
      <c r="H563" s="72"/>
      <c r="I563" s="72"/>
      <c r="J563" s="72"/>
      <c r="K563" s="83"/>
      <c r="L563" s="83"/>
      <c r="M563" s="83"/>
      <c r="N563" s="83"/>
      <c r="O563" s="87">
        <f>VLOOKUP($B563,BOM!$A$2:$K$94,10,0)</f>
        <v>0</v>
      </c>
      <c r="P563" s="87">
        <f t="shared" si="26"/>
        <v>0</v>
      </c>
    </row>
    <row r="564" spans="1:16" s="45" customFormat="1" ht="30">
      <c r="B564" s="62" t="s">
        <v>48</v>
      </c>
      <c r="C564" s="21" t="s">
        <v>49</v>
      </c>
      <c r="D564" s="85" t="s">
        <v>14</v>
      </c>
      <c r="E564" s="85">
        <f>E561+1</f>
        <v>34</v>
      </c>
      <c r="F564" s="62"/>
      <c r="G564" s="62"/>
      <c r="H564" s="62"/>
      <c r="I564" s="62"/>
      <c r="J564" s="86"/>
      <c r="K564" s="62"/>
      <c r="L564" s="62" t="s">
        <v>5</v>
      </c>
      <c r="M564" s="86" t="s">
        <v>6</v>
      </c>
      <c r="N564" s="86" t="s">
        <v>15</v>
      </c>
      <c r="O564" s="87">
        <f>VLOOKUP($B564,BOM!$A$2:$K$94,10,0)</f>
        <v>0</v>
      </c>
      <c r="P564" s="87">
        <f t="shared" si="26"/>
        <v>0</v>
      </c>
    </row>
    <row r="565" spans="1:16" s="45" customFormat="1" ht="30">
      <c r="B565" s="62" t="s">
        <v>48</v>
      </c>
      <c r="C565" s="21" t="s">
        <v>49</v>
      </c>
      <c r="D565" s="85" t="s">
        <v>14</v>
      </c>
      <c r="E565" s="90">
        <f>ROUNDUP(E564*0.2,0)</f>
        <v>7</v>
      </c>
      <c r="F565" s="62"/>
      <c r="G565" s="62"/>
      <c r="H565" s="62"/>
      <c r="I565" s="62"/>
      <c r="J565" s="86"/>
      <c r="K565" s="62" t="s">
        <v>4</v>
      </c>
      <c r="L565" s="62" t="s">
        <v>5</v>
      </c>
      <c r="M565" s="86" t="s">
        <v>6</v>
      </c>
      <c r="N565" s="86" t="s">
        <v>15</v>
      </c>
      <c r="O565" s="87">
        <f>VLOOKUP($B565,BOM!$A$2:$K$94,10,0)</f>
        <v>0</v>
      </c>
      <c r="P565" s="87">
        <f t="shared" si="26"/>
        <v>0</v>
      </c>
    </row>
    <row r="566" spans="1:16">
      <c r="B566" s="81"/>
      <c r="C566" s="82" t="s">
        <v>50</v>
      </c>
      <c r="D566" s="72"/>
      <c r="E566" s="72"/>
      <c r="F566" s="72"/>
      <c r="G566" s="72"/>
      <c r="H566" s="72"/>
      <c r="I566" s="72"/>
      <c r="J566" s="72"/>
      <c r="K566" s="83"/>
      <c r="L566" s="83"/>
      <c r="M566" s="83"/>
      <c r="N566" s="83"/>
      <c r="O566" s="87">
        <f>VLOOKUP($B566,BOM!$A$2:$K$94,10,0)</f>
        <v>0</v>
      </c>
      <c r="P566" s="87">
        <f t="shared" si="26"/>
        <v>0</v>
      </c>
    </row>
    <row r="567" spans="1:16" s="45" customFormat="1">
      <c r="B567" s="62" t="s">
        <v>332</v>
      </c>
      <c r="C567" s="21" t="s">
        <v>332</v>
      </c>
      <c r="D567" s="85" t="s">
        <v>51</v>
      </c>
      <c r="E567" s="85">
        <f>E552</f>
        <v>1</v>
      </c>
      <c r="F567" s="62"/>
      <c r="G567" s="62"/>
      <c r="H567" s="62"/>
      <c r="I567" s="62"/>
      <c r="J567" s="86"/>
      <c r="K567" s="62"/>
      <c r="L567" s="62"/>
      <c r="M567" s="86"/>
      <c r="N567" s="86" t="s">
        <v>51</v>
      </c>
      <c r="O567" s="87">
        <f>VLOOKUP($B567,BOM!$A$2:$K$94,10,0)</f>
        <v>0</v>
      </c>
      <c r="P567" s="87">
        <f t="shared" si="26"/>
        <v>0</v>
      </c>
    </row>
    <row r="568" spans="1:16" s="45" customFormat="1">
      <c r="B568" s="62" t="s">
        <v>52</v>
      </c>
      <c r="C568" s="21" t="s">
        <v>53</v>
      </c>
      <c r="D568" s="86" t="s">
        <v>54</v>
      </c>
      <c r="E568" s="105">
        <f>E565+E564</f>
        <v>41</v>
      </c>
      <c r="F568" s="62"/>
      <c r="G568" s="62"/>
      <c r="H568" s="62"/>
      <c r="I568" s="62"/>
      <c r="J568" s="86"/>
      <c r="K568" s="62"/>
      <c r="L568" s="62"/>
      <c r="M568" s="86" t="s">
        <v>55</v>
      </c>
      <c r="N568" s="86" t="s">
        <v>54</v>
      </c>
      <c r="O568" s="87">
        <f>VLOOKUP($B568,BOM!$A$2:$K$94,10,0)</f>
        <v>0</v>
      </c>
      <c r="P568" s="87">
        <f t="shared" si="26"/>
        <v>0</v>
      </c>
    </row>
    <row r="569" spans="1:16" s="45" customFormat="1" ht="30">
      <c r="B569" s="62" t="s">
        <v>56</v>
      </c>
      <c r="C569" s="21" t="s">
        <v>57</v>
      </c>
      <c r="D569" s="86" t="s">
        <v>14</v>
      </c>
      <c r="E569" s="105">
        <f>E538+E534</f>
        <v>4</v>
      </c>
      <c r="F569" s="62"/>
      <c r="G569" s="62"/>
      <c r="H569" s="62"/>
      <c r="I569" s="62"/>
      <c r="J569" s="86"/>
      <c r="K569" s="62"/>
      <c r="L569" s="62"/>
      <c r="M569" s="86" t="s">
        <v>55</v>
      </c>
      <c r="N569" s="86" t="s">
        <v>14</v>
      </c>
      <c r="O569" s="87">
        <f>VLOOKUP($B569,BOM!$A$2:$K$94,10,0)</f>
        <v>0</v>
      </c>
      <c r="P569" s="87">
        <f t="shared" si="26"/>
        <v>0</v>
      </c>
    </row>
    <row r="570" spans="1:16" s="45" customFormat="1" ht="30">
      <c r="B570" s="62" t="s">
        <v>58</v>
      </c>
      <c r="C570" s="21" t="s">
        <v>59</v>
      </c>
      <c r="D570" s="86" t="s">
        <v>60</v>
      </c>
      <c r="E570" s="105">
        <f>E569*2</f>
        <v>8</v>
      </c>
      <c r="F570" s="62"/>
      <c r="G570" s="62"/>
      <c r="H570" s="62"/>
      <c r="I570" s="62"/>
      <c r="J570" s="86"/>
      <c r="K570" s="62"/>
      <c r="L570" s="62"/>
      <c r="M570" s="86" t="s">
        <v>61</v>
      </c>
      <c r="N570" s="86" t="s">
        <v>60</v>
      </c>
      <c r="O570" s="87">
        <f>VLOOKUP($B570,BOM!$A$2:$K$94,10,0)</f>
        <v>0</v>
      </c>
      <c r="P570" s="87">
        <f t="shared" si="26"/>
        <v>0</v>
      </c>
    </row>
    <row r="571" spans="1:16" s="45" customFormat="1" ht="45">
      <c r="B571" s="62" t="s">
        <v>62</v>
      </c>
      <c r="C571" s="21" t="s">
        <v>63</v>
      </c>
      <c r="D571" s="86" t="s">
        <v>64</v>
      </c>
      <c r="E571" s="105">
        <f>E548</f>
        <v>2</v>
      </c>
      <c r="F571" s="62"/>
      <c r="G571" s="62"/>
      <c r="H571" s="62"/>
      <c r="I571" s="62"/>
      <c r="J571" s="86"/>
      <c r="K571" s="62"/>
      <c r="L571" s="62"/>
      <c r="M571" s="86" t="s">
        <v>61</v>
      </c>
      <c r="N571" s="86" t="s">
        <v>64</v>
      </c>
      <c r="O571" s="87">
        <f>VLOOKUP($B571,BOM!$A$2:$K$94,10,0)</f>
        <v>0</v>
      </c>
      <c r="P571" s="87">
        <f t="shared" si="26"/>
        <v>0</v>
      </c>
    </row>
    <row r="572" spans="1:16">
      <c r="A572" s="35">
        <v>12</v>
      </c>
      <c r="B572" s="36"/>
      <c r="C572" s="37" t="s">
        <v>82</v>
      </c>
      <c r="D572" s="38" t="s">
        <v>0</v>
      </c>
      <c r="E572" s="36">
        <v>1</v>
      </c>
      <c r="F572" s="36"/>
      <c r="G572" s="36">
        <v>8</v>
      </c>
      <c r="H572" s="36"/>
      <c r="I572" s="36"/>
      <c r="J572" s="36">
        <f>SUBTOTAL(9,J575:J599)</f>
        <v>14</v>
      </c>
      <c r="K572" s="39"/>
      <c r="L572" s="39"/>
      <c r="M572" s="39"/>
      <c r="N572" s="39"/>
      <c r="O572" s="87">
        <f>VLOOKUP($B572,BOM!$A$2:$K$94,10,0)</f>
        <v>0</v>
      </c>
      <c r="P572" s="87">
        <f t="shared" si="26"/>
        <v>0</v>
      </c>
    </row>
    <row r="573" spans="1:16">
      <c r="B573" s="81"/>
      <c r="C573" s="82" t="s">
        <v>124</v>
      </c>
      <c r="D573" s="72" t="s">
        <v>0</v>
      </c>
      <c r="E573" s="72">
        <v>1</v>
      </c>
      <c r="F573" s="72"/>
      <c r="G573" s="72"/>
      <c r="H573" s="72"/>
      <c r="I573" s="72"/>
      <c r="J573" s="72"/>
      <c r="K573" s="83"/>
      <c r="L573" s="83"/>
      <c r="M573" s="83"/>
      <c r="N573" s="83"/>
      <c r="O573" s="87">
        <f>VLOOKUP($B573,BOM!$A$2:$K$94,10,0)</f>
        <v>0</v>
      </c>
      <c r="P573" s="87">
        <f t="shared" si="26"/>
        <v>0</v>
      </c>
    </row>
    <row r="574" spans="1:16" s="19" customFormat="1">
      <c r="B574" s="41" t="s">
        <v>201</v>
      </c>
      <c r="C574" s="41" t="s">
        <v>202</v>
      </c>
      <c r="D574" s="21"/>
      <c r="E574" s="22">
        <v>1</v>
      </c>
      <c r="F574" s="21"/>
      <c r="G574" s="21"/>
      <c r="H574" s="21"/>
      <c r="I574" s="21"/>
      <c r="J574" s="22"/>
      <c r="K574" s="21" t="s">
        <v>4</v>
      </c>
      <c r="L574" s="21" t="s">
        <v>203</v>
      </c>
      <c r="M574" s="22" t="s">
        <v>22</v>
      </c>
      <c r="N574" s="22" t="s">
        <v>3</v>
      </c>
      <c r="O574" s="87">
        <f>VLOOKUP($B574,BOM!$A$2:$K$94,10,0)</f>
        <v>0</v>
      </c>
      <c r="P574" s="87">
        <f t="shared" si="26"/>
        <v>0</v>
      </c>
    </row>
    <row r="575" spans="1:16" s="19" customFormat="1">
      <c r="B575" s="21" t="s">
        <v>122</v>
      </c>
      <c r="C575" s="21" t="s">
        <v>123</v>
      </c>
      <c r="D575" s="21"/>
      <c r="E575" s="22">
        <v>1</v>
      </c>
      <c r="F575" s="21"/>
      <c r="G575" s="21"/>
      <c r="H575" s="21"/>
      <c r="I575" s="21"/>
      <c r="J575" s="22">
        <v>1</v>
      </c>
      <c r="K575" s="21" t="s">
        <v>4</v>
      </c>
      <c r="L575" s="21" t="s">
        <v>5</v>
      </c>
      <c r="M575" s="22" t="s">
        <v>22</v>
      </c>
      <c r="N575" s="22" t="s">
        <v>3</v>
      </c>
      <c r="O575" s="87">
        <f>VLOOKUP($B575,BOM!$A$2:$K$94,10,0)</f>
        <v>0</v>
      </c>
      <c r="P575" s="87">
        <f t="shared" si="26"/>
        <v>0</v>
      </c>
    </row>
    <row r="576" spans="1:16">
      <c r="B576" s="81"/>
      <c r="C576" s="82" t="s">
        <v>1</v>
      </c>
      <c r="D576" s="72" t="s">
        <v>0</v>
      </c>
      <c r="E576" s="72">
        <v>1</v>
      </c>
      <c r="F576" s="72"/>
      <c r="G576" s="72">
        <f>ROUNDUP(G572/24,0)</f>
        <v>1</v>
      </c>
      <c r="H576" s="72">
        <f t="shared" ref="H576" si="28">ROUNDUP(H572/24,0)</f>
        <v>0</v>
      </c>
      <c r="I576" s="72"/>
      <c r="J576" s="72"/>
      <c r="K576" s="83"/>
      <c r="L576" s="83"/>
      <c r="M576" s="83"/>
      <c r="N576" s="83"/>
      <c r="O576" s="87">
        <f>VLOOKUP($B576,BOM!$A$2:$K$94,10,0)</f>
        <v>0</v>
      </c>
      <c r="P576" s="87">
        <f t="shared" si="26"/>
        <v>0</v>
      </c>
    </row>
    <row r="577" spans="2:16" s="45" customFormat="1">
      <c r="B577" s="62">
        <v>760249997</v>
      </c>
      <c r="C577" s="21" t="s">
        <v>2</v>
      </c>
      <c r="D577" s="85" t="s">
        <v>3</v>
      </c>
      <c r="E577" s="85">
        <f>ROUNDUP((E579+E583)/3,0)</f>
        <v>1</v>
      </c>
      <c r="F577" s="62"/>
      <c r="G577" s="62"/>
      <c r="H577" s="62"/>
      <c r="I577" s="62"/>
      <c r="J577" s="86">
        <v>1</v>
      </c>
      <c r="K577" s="62" t="s">
        <v>4</v>
      </c>
      <c r="L577" s="62" t="s">
        <v>5</v>
      </c>
      <c r="M577" s="86" t="s">
        <v>6</v>
      </c>
      <c r="N577" s="86" t="s">
        <v>3</v>
      </c>
      <c r="O577" s="87">
        <f>VLOOKUP($B577,BOM!$A$2:$K$94,10,0)</f>
        <v>0</v>
      </c>
      <c r="P577" s="87">
        <f t="shared" si="26"/>
        <v>0</v>
      </c>
    </row>
    <row r="578" spans="2:16" s="45" customFormat="1">
      <c r="B578" s="62">
        <v>760241378</v>
      </c>
      <c r="C578" s="21" t="s">
        <v>7</v>
      </c>
      <c r="D578" s="85" t="s">
        <v>3</v>
      </c>
      <c r="E578" s="85">
        <f>IF(E579&lt;=2,1,ROUNDUP(E577*1.5,0))</f>
        <v>1</v>
      </c>
      <c r="F578" s="62"/>
      <c r="G578" s="62"/>
      <c r="H578" s="62"/>
      <c r="I578" s="62"/>
      <c r="J578" s="86"/>
      <c r="K578" s="62" t="s">
        <v>4</v>
      </c>
      <c r="L578" s="62" t="s">
        <v>5</v>
      </c>
      <c r="M578" s="86" t="s">
        <v>6</v>
      </c>
      <c r="N578" s="86" t="s">
        <v>3</v>
      </c>
      <c r="O578" s="87">
        <f>VLOOKUP($B578,BOM!$A$2:$K$94,10,0)</f>
        <v>0</v>
      </c>
      <c r="P578" s="87">
        <f t="shared" si="26"/>
        <v>0</v>
      </c>
    </row>
    <row r="579" spans="2:16" s="45" customFormat="1">
      <c r="B579" s="62" t="s">
        <v>8</v>
      </c>
      <c r="C579" s="21" t="s">
        <v>9</v>
      </c>
      <c r="D579" s="85" t="s">
        <v>3</v>
      </c>
      <c r="E579" s="85">
        <f>G576</f>
        <v>1</v>
      </c>
      <c r="F579" s="62"/>
      <c r="G579" s="62"/>
      <c r="H579" s="62"/>
      <c r="I579" s="62"/>
      <c r="J579" s="86"/>
      <c r="K579" s="62" t="s">
        <v>4</v>
      </c>
      <c r="L579" s="62" t="s">
        <v>5</v>
      </c>
      <c r="M579" s="86" t="s">
        <v>6</v>
      </c>
      <c r="N579" s="86" t="s">
        <v>3</v>
      </c>
      <c r="O579" s="87">
        <f>VLOOKUP($B579,BOM!$A$2:$K$94,10,0)</f>
        <v>0</v>
      </c>
      <c r="P579" s="87">
        <f t="shared" si="26"/>
        <v>0</v>
      </c>
    </row>
    <row r="580" spans="2:16" s="45" customFormat="1">
      <c r="B580" s="62" t="s">
        <v>10</v>
      </c>
      <c r="C580" s="21" t="s">
        <v>11</v>
      </c>
      <c r="D580" s="85" t="s">
        <v>3</v>
      </c>
      <c r="E580" s="85">
        <f>E577*3-E579-E583</f>
        <v>2</v>
      </c>
      <c r="F580" s="62"/>
      <c r="G580" s="62"/>
      <c r="H580" s="62"/>
      <c r="I580" s="62"/>
      <c r="J580" s="86"/>
      <c r="K580" s="62" t="s">
        <v>4</v>
      </c>
      <c r="L580" s="62" t="s">
        <v>5</v>
      </c>
      <c r="M580" s="86" t="s">
        <v>6</v>
      </c>
      <c r="N580" s="86" t="s">
        <v>3</v>
      </c>
      <c r="O580" s="87">
        <f>VLOOKUP($B580,BOM!$A$2:$K$94,10,0)</f>
        <v>0</v>
      </c>
      <c r="P580" s="87">
        <f t="shared" ref="P580:P643" si="29">O580*E580</f>
        <v>0</v>
      </c>
    </row>
    <row r="581" spans="2:16" s="45" customFormat="1">
      <c r="B581" s="62" t="s">
        <v>12</v>
      </c>
      <c r="C581" s="21" t="s">
        <v>13</v>
      </c>
      <c r="D581" s="85" t="s">
        <v>14</v>
      </c>
      <c r="E581" s="85">
        <f>G572/2</f>
        <v>4</v>
      </c>
      <c r="F581" s="62"/>
      <c r="G581" s="62"/>
      <c r="H581" s="62"/>
      <c r="I581" s="62"/>
      <c r="J581" s="86"/>
      <c r="K581" s="62" t="s">
        <v>4</v>
      </c>
      <c r="L581" s="62" t="s">
        <v>5</v>
      </c>
      <c r="M581" s="86" t="s">
        <v>6</v>
      </c>
      <c r="N581" s="86" t="s">
        <v>15</v>
      </c>
      <c r="O581" s="87">
        <f>VLOOKUP($B581,BOM!$A$2:$K$94,10,0)</f>
        <v>0</v>
      </c>
      <c r="P581" s="87">
        <f t="shared" si="29"/>
        <v>0</v>
      </c>
    </row>
    <row r="582" spans="2:16" s="45" customFormat="1" ht="30">
      <c r="B582" s="62" t="s">
        <v>16</v>
      </c>
      <c r="C582" s="21" t="s">
        <v>17</v>
      </c>
      <c r="D582" s="85" t="s">
        <v>14</v>
      </c>
      <c r="E582" s="85">
        <f>ROUNDUP((E588+E591)*1.3,0)</f>
        <v>2</v>
      </c>
      <c r="F582" s="62"/>
      <c r="G582" s="62"/>
      <c r="H582" s="62"/>
      <c r="I582" s="62"/>
      <c r="J582" s="86"/>
      <c r="K582" s="62" t="s">
        <v>4</v>
      </c>
      <c r="L582" s="62" t="s">
        <v>5</v>
      </c>
      <c r="M582" s="86" t="s">
        <v>6</v>
      </c>
      <c r="N582" s="86" t="s">
        <v>15</v>
      </c>
      <c r="O582" s="87">
        <f>VLOOKUP($B582,BOM!$A$2:$K$94,10,0)</f>
        <v>0</v>
      </c>
      <c r="P582" s="87">
        <f t="shared" si="29"/>
        <v>0</v>
      </c>
    </row>
    <row r="583" spans="2:16" s="110" customFormat="1">
      <c r="B583" s="66" t="s">
        <v>198</v>
      </c>
      <c r="C583" s="106" t="s">
        <v>199</v>
      </c>
      <c r="D583" s="89" t="s">
        <v>3</v>
      </c>
      <c r="E583" s="89">
        <f>H576</f>
        <v>0</v>
      </c>
      <c r="F583" s="66"/>
      <c r="G583" s="66"/>
      <c r="H583" s="66"/>
      <c r="I583" s="66"/>
      <c r="J583" s="107"/>
      <c r="K583" s="108" t="s">
        <v>4</v>
      </c>
      <c r="L583" s="108" t="s">
        <v>5</v>
      </c>
      <c r="M583" s="109" t="s">
        <v>6</v>
      </c>
      <c r="N583" s="109" t="s">
        <v>15</v>
      </c>
      <c r="O583" s="87">
        <f>VLOOKUP($B583,BOM!$A$2:$K$94,10,0)</f>
        <v>0</v>
      </c>
      <c r="P583" s="87">
        <f t="shared" si="29"/>
        <v>0</v>
      </c>
    </row>
    <row r="584" spans="2:16" s="111" customFormat="1">
      <c r="B584" s="66" t="s">
        <v>194</v>
      </c>
      <c r="C584" s="106" t="s">
        <v>195</v>
      </c>
      <c r="D584" s="89" t="s">
        <v>14</v>
      </c>
      <c r="E584" s="89">
        <v>0</v>
      </c>
      <c r="F584" s="108"/>
      <c r="G584" s="108"/>
      <c r="H584" s="108"/>
      <c r="I584" s="108"/>
      <c r="J584" s="109"/>
      <c r="K584" s="108" t="s">
        <v>4</v>
      </c>
      <c r="L584" s="108" t="s">
        <v>5</v>
      </c>
      <c r="M584" s="109" t="s">
        <v>6</v>
      </c>
      <c r="N584" s="109" t="s">
        <v>15</v>
      </c>
      <c r="O584" s="87">
        <f>VLOOKUP($B584,BOM!$A$2:$K$94,10,0)</f>
        <v>0</v>
      </c>
      <c r="P584" s="87">
        <f t="shared" si="29"/>
        <v>0</v>
      </c>
    </row>
    <row r="585" spans="2:16" s="110" customFormat="1">
      <c r="B585" s="66" t="s">
        <v>196</v>
      </c>
      <c r="C585" s="106" t="s">
        <v>197</v>
      </c>
      <c r="D585" s="89" t="s">
        <v>14</v>
      </c>
      <c r="E585" s="89">
        <f>H572/2</f>
        <v>0</v>
      </c>
      <c r="F585" s="66"/>
      <c r="G585" s="66"/>
      <c r="H585" s="66"/>
      <c r="I585" s="66"/>
      <c r="J585" s="107"/>
      <c r="K585" s="108" t="s">
        <v>4</v>
      </c>
      <c r="L585" s="108" t="s">
        <v>5</v>
      </c>
      <c r="M585" s="109" t="s">
        <v>6</v>
      </c>
      <c r="N585" s="109" t="s">
        <v>15</v>
      </c>
      <c r="O585" s="87">
        <f>VLOOKUP($B585,BOM!$A$2:$K$94,10,0)</f>
        <v>0</v>
      </c>
      <c r="P585" s="87">
        <f t="shared" si="29"/>
        <v>0</v>
      </c>
    </row>
    <row r="586" spans="2:16">
      <c r="B586" s="81"/>
      <c r="C586" s="82" t="s">
        <v>26</v>
      </c>
      <c r="D586" s="72" t="s">
        <v>0</v>
      </c>
      <c r="E586" s="72">
        <v>1</v>
      </c>
      <c r="F586" s="72"/>
      <c r="G586" s="72"/>
      <c r="H586" s="72"/>
      <c r="I586" s="72"/>
      <c r="J586" s="72"/>
      <c r="K586" s="83"/>
      <c r="L586" s="83"/>
      <c r="M586" s="83"/>
      <c r="N586" s="83"/>
      <c r="O586" s="87">
        <f>VLOOKUP($B586,BOM!$A$2:$K$94,10,0)</f>
        <v>0</v>
      </c>
      <c r="P586" s="87">
        <f t="shared" si="29"/>
        <v>0</v>
      </c>
    </row>
    <row r="587" spans="2:16" s="45" customFormat="1">
      <c r="B587" s="62"/>
      <c r="C587" s="21"/>
      <c r="D587" s="85"/>
      <c r="E587" s="90"/>
      <c r="F587" s="62"/>
      <c r="G587" s="62"/>
      <c r="H587" s="62"/>
      <c r="I587" s="62"/>
      <c r="J587" s="86"/>
      <c r="K587" s="62"/>
      <c r="L587" s="62"/>
      <c r="M587" s="86"/>
      <c r="N587" s="86"/>
      <c r="O587" s="87">
        <f>VLOOKUP($B587,BOM!$A$2:$K$94,10,0)</f>
        <v>0</v>
      </c>
      <c r="P587" s="87">
        <f t="shared" si="29"/>
        <v>0</v>
      </c>
    </row>
    <row r="588" spans="2:16" s="45" customFormat="1">
      <c r="B588" s="62"/>
      <c r="C588" s="21"/>
      <c r="D588" s="85"/>
      <c r="E588" s="90"/>
      <c r="F588" s="62"/>
      <c r="G588" s="62"/>
      <c r="H588" s="62"/>
      <c r="I588" s="62"/>
      <c r="J588" s="86"/>
      <c r="K588" s="62"/>
      <c r="L588" s="62"/>
      <c r="M588" s="86"/>
      <c r="N588" s="86"/>
      <c r="O588" s="87">
        <f>VLOOKUP($B588,BOM!$A$2:$K$94,10,0)</f>
        <v>0</v>
      </c>
      <c r="P588" s="87">
        <f t="shared" si="29"/>
        <v>0</v>
      </c>
    </row>
    <row r="589" spans="2:16">
      <c r="B589" s="81"/>
      <c r="C589" s="82" t="s">
        <v>145</v>
      </c>
      <c r="D589" s="72" t="s">
        <v>0</v>
      </c>
      <c r="E589" s="72">
        <v>2</v>
      </c>
      <c r="F589" s="72"/>
      <c r="G589" s="72"/>
      <c r="H589" s="72"/>
      <c r="I589" s="72"/>
      <c r="J589" s="72"/>
      <c r="K589" s="83"/>
      <c r="L589" s="83"/>
      <c r="M589" s="83"/>
      <c r="N589" s="83"/>
      <c r="O589" s="87">
        <f>VLOOKUP($B589,BOM!$A$2:$K$94,10,0)</f>
        <v>0</v>
      </c>
      <c r="P589" s="87">
        <f t="shared" si="29"/>
        <v>0</v>
      </c>
    </row>
    <row r="590" spans="2:16" s="45" customFormat="1">
      <c r="B590" s="41" t="s">
        <v>152</v>
      </c>
      <c r="C590" s="41" t="s">
        <v>153</v>
      </c>
      <c r="D590" s="42" t="s">
        <v>64</v>
      </c>
      <c r="E590" s="43">
        <v>1</v>
      </c>
      <c r="F590" s="41"/>
      <c r="G590" s="41"/>
      <c r="H590" s="41"/>
      <c r="I590" s="41"/>
      <c r="J590" s="44">
        <v>1</v>
      </c>
      <c r="K590" s="41" t="s">
        <v>143</v>
      </c>
      <c r="L590" s="41" t="s">
        <v>151</v>
      </c>
      <c r="M590" s="44" t="s">
        <v>144</v>
      </c>
      <c r="N590" s="44" t="s">
        <v>64</v>
      </c>
      <c r="O590" s="87">
        <f>VLOOKUP($B590,BOM!$A$2:$K$94,10,0)</f>
        <v>0</v>
      </c>
      <c r="P590" s="87">
        <f t="shared" si="29"/>
        <v>0</v>
      </c>
    </row>
    <row r="591" spans="2:16" s="45" customFormat="1">
      <c r="B591" s="41" t="s">
        <v>137</v>
      </c>
      <c r="C591" s="41" t="s">
        <v>138</v>
      </c>
      <c r="D591" s="42" t="s">
        <v>64</v>
      </c>
      <c r="E591" s="47">
        <f>E590</f>
        <v>1</v>
      </c>
      <c r="F591" s="41"/>
      <c r="G591" s="41"/>
      <c r="H591" s="41"/>
      <c r="I591" s="41"/>
      <c r="J591" s="44"/>
      <c r="K591" s="41" t="s">
        <v>143</v>
      </c>
      <c r="L591" s="41" t="s">
        <v>151</v>
      </c>
      <c r="M591" s="44" t="s">
        <v>144</v>
      </c>
      <c r="N591" s="44" t="s">
        <v>64</v>
      </c>
      <c r="O591" s="87">
        <f>VLOOKUP($B591,BOM!$A$2:$K$94,10,0)</f>
        <v>0</v>
      </c>
      <c r="P591" s="87">
        <f t="shared" si="29"/>
        <v>0</v>
      </c>
    </row>
    <row r="592" spans="2:16" outlineLevel="1">
      <c r="B592" s="117"/>
      <c r="C592" s="118" t="s">
        <v>222</v>
      </c>
      <c r="D592" s="119" t="s">
        <v>0</v>
      </c>
      <c r="E592" s="120">
        <v>0</v>
      </c>
      <c r="F592" s="121"/>
      <c r="G592" s="121"/>
      <c r="H592" s="121" t="s">
        <v>69</v>
      </c>
      <c r="I592" s="122"/>
      <c r="J592" s="122">
        <f>E592*3</f>
        <v>0</v>
      </c>
      <c r="K592" s="63"/>
      <c r="L592" s="63"/>
      <c r="M592" s="63"/>
      <c r="N592" s="63"/>
      <c r="O592" s="87">
        <f>VLOOKUP($B592,BOM!$A$2:$K$94,10,0)</f>
        <v>0</v>
      </c>
      <c r="P592" s="87">
        <f t="shared" si="29"/>
        <v>0</v>
      </c>
    </row>
    <row r="593" spans="2:16" outlineLevel="1">
      <c r="B593" s="117"/>
      <c r="C593" s="118" t="s">
        <v>70</v>
      </c>
      <c r="D593" s="119" t="s">
        <v>0</v>
      </c>
      <c r="E593" s="120">
        <v>1</v>
      </c>
      <c r="F593" s="121"/>
      <c r="G593" s="121"/>
      <c r="H593" s="121" t="s">
        <v>69</v>
      </c>
      <c r="I593" s="122"/>
      <c r="J593" s="122">
        <v>1</v>
      </c>
      <c r="K593" s="63"/>
      <c r="L593" s="63"/>
      <c r="M593" s="63"/>
      <c r="N593" s="63"/>
      <c r="O593" s="87">
        <f>VLOOKUP($B593,BOM!$A$2:$K$94,10,0)</f>
        <v>0</v>
      </c>
      <c r="P593" s="87">
        <f t="shared" si="29"/>
        <v>0</v>
      </c>
    </row>
    <row r="594" spans="2:16">
      <c r="B594" s="81"/>
      <c r="C594" s="82" t="s">
        <v>18</v>
      </c>
      <c r="D594" s="72" t="s">
        <v>0</v>
      </c>
      <c r="E594" s="72">
        <v>1</v>
      </c>
      <c r="F594" s="72"/>
      <c r="G594" s="72"/>
      <c r="H594" s="72"/>
      <c r="I594" s="72"/>
      <c r="J594" s="72"/>
      <c r="K594" s="83"/>
      <c r="L594" s="83"/>
      <c r="M594" s="83"/>
      <c r="N594" s="83"/>
      <c r="O594" s="87">
        <f>VLOOKUP($B594,BOM!$A$2:$K$94,10,0)</f>
        <v>0</v>
      </c>
      <c r="P594" s="87">
        <f t="shared" si="29"/>
        <v>0</v>
      </c>
    </row>
    <row r="595" spans="2:16" s="45" customFormat="1" ht="30">
      <c r="B595" s="62">
        <v>760237046</v>
      </c>
      <c r="C595" s="21" t="s">
        <v>19</v>
      </c>
      <c r="D595" s="85" t="s">
        <v>3</v>
      </c>
      <c r="E595" s="85">
        <f>E587+E590</f>
        <v>1</v>
      </c>
      <c r="F595" s="62"/>
      <c r="G595" s="62"/>
      <c r="H595" s="62"/>
      <c r="I595" s="62"/>
      <c r="J595" s="86">
        <v>1</v>
      </c>
      <c r="K595" s="62" t="s">
        <v>4</v>
      </c>
      <c r="L595" s="62" t="s">
        <v>5</v>
      </c>
      <c r="M595" s="86" t="s">
        <v>6</v>
      </c>
      <c r="N595" s="86" t="s">
        <v>3</v>
      </c>
      <c r="O595" s="87">
        <f>VLOOKUP($B595,BOM!$A$2:$K$94,10,0)</f>
        <v>0</v>
      </c>
      <c r="P595" s="87">
        <f t="shared" si="29"/>
        <v>0</v>
      </c>
    </row>
    <row r="596" spans="2:16" s="45" customFormat="1" ht="30">
      <c r="B596" s="62" t="s">
        <v>23</v>
      </c>
      <c r="C596" s="21" t="s">
        <v>24</v>
      </c>
      <c r="D596" s="85" t="s">
        <v>3</v>
      </c>
      <c r="E596" s="85">
        <f>E595*24</f>
        <v>24</v>
      </c>
      <c r="F596" s="62"/>
      <c r="G596" s="62"/>
      <c r="H596" s="62"/>
      <c r="I596" s="62"/>
      <c r="J596" s="86"/>
      <c r="K596" s="62" t="s">
        <v>25</v>
      </c>
      <c r="L596" s="62" t="s">
        <v>5</v>
      </c>
      <c r="M596" s="86" t="s">
        <v>6</v>
      </c>
      <c r="N596" s="86" t="s">
        <v>3</v>
      </c>
      <c r="O596" s="87">
        <f>VLOOKUP($B596,BOM!$A$2:$K$94,10,0)</f>
        <v>0</v>
      </c>
      <c r="P596" s="87">
        <f t="shared" si="29"/>
        <v>0</v>
      </c>
    </row>
    <row r="597" spans="2:16" s="45" customFormat="1">
      <c r="B597" s="62" t="s">
        <v>20</v>
      </c>
      <c r="C597" s="21" t="s">
        <v>21</v>
      </c>
      <c r="D597" s="85" t="s">
        <v>3</v>
      </c>
      <c r="E597" s="85">
        <f>E595</f>
        <v>1</v>
      </c>
      <c r="F597" s="62"/>
      <c r="G597" s="62"/>
      <c r="H597" s="62"/>
      <c r="I597" s="62"/>
      <c r="J597" s="86">
        <v>1</v>
      </c>
      <c r="K597" s="62" t="s">
        <v>4</v>
      </c>
      <c r="L597" s="62" t="s">
        <v>5</v>
      </c>
      <c r="M597" s="86" t="s">
        <v>22</v>
      </c>
      <c r="N597" s="86" t="s">
        <v>3</v>
      </c>
      <c r="O597" s="87">
        <f>VLOOKUP($B597,BOM!$A$2:$K$94,10,0)</f>
        <v>0</v>
      </c>
      <c r="P597" s="87">
        <f t="shared" si="29"/>
        <v>0</v>
      </c>
    </row>
    <row r="598" spans="2:16">
      <c r="B598" s="81"/>
      <c r="C598" s="82" t="s">
        <v>71</v>
      </c>
      <c r="D598" s="72" t="s">
        <v>0</v>
      </c>
      <c r="E598" s="72">
        <v>1</v>
      </c>
      <c r="F598" s="72"/>
      <c r="G598" s="72"/>
      <c r="H598" s="72"/>
      <c r="I598" s="72"/>
      <c r="J598" s="72"/>
      <c r="K598" s="83"/>
      <c r="L598" s="83"/>
      <c r="M598" s="83"/>
      <c r="N598" s="83"/>
      <c r="O598" s="87">
        <f>VLOOKUP($B598,BOM!$A$2:$K$94,10,0)</f>
        <v>0</v>
      </c>
      <c r="P598" s="87">
        <f t="shared" si="29"/>
        <v>0</v>
      </c>
    </row>
    <row r="599" spans="2:16" s="45" customFormat="1">
      <c r="B599" s="62" t="s">
        <v>235</v>
      </c>
      <c r="C599" s="62" t="s">
        <v>236</v>
      </c>
      <c r="D599" s="116" t="s">
        <v>51</v>
      </c>
      <c r="E599" s="85">
        <v>1</v>
      </c>
      <c r="F599" s="62"/>
      <c r="G599" s="62"/>
      <c r="H599" s="62"/>
      <c r="I599" s="62"/>
      <c r="J599" s="86">
        <f>E599*8</f>
        <v>8</v>
      </c>
      <c r="K599" s="62"/>
      <c r="L599" s="62" t="s">
        <v>5</v>
      </c>
      <c r="M599" s="86" t="s">
        <v>28</v>
      </c>
      <c r="N599" s="86" t="s">
        <v>3</v>
      </c>
      <c r="O599" s="87">
        <f>VLOOKUP($B599,BOM!$A$2:$K$94,10,0)</f>
        <v>0</v>
      </c>
      <c r="P599" s="87">
        <f t="shared" si="29"/>
        <v>0</v>
      </c>
    </row>
    <row r="600" spans="2:16" s="45" customFormat="1">
      <c r="B600" s="62"/>
      <c r="C600" s="21"/>
      <c r="D600" s="116"/>
      <c r="E600" s="85"/>
      <c r="F600" s="62"/>
      <c r="G600" s="62"/>
      <c r="H600" s="62"/>
      <c r="I600" s="62"/>
      <c r="J600" s="86"/>
      <c r="K600" s="62"/>
      <c r="L600" s="62"/>
      <c r="M600" s="86"/>
      <c r="N600" s="86"/>
      <c r="O600" s="87">
        <f>VLOOKUP($B600,BOM!$A$2:$K$94,10,0)</f>
        <v>0</v>
      </c>
      <c r="P600" s="87">
        <f t="shared" si="29"/>
        <v>0</v>
      </c>
    </row>
    <row r="601" spans="2:16" s="45" customFormat="1">
      <c r="B601" s="62" t="s">
        <v>225</v>
      </c>
      <c r="C601" s="21" t="s">
        <v>72</v>
      </c>
      <c r="D601" s="116" t="s">
        <v>64</v>
      </c>
      <c r="E601" s="85">
        <v>0</v>
      </c>
      <c r="F601" s="62"/>
      <c r="G601" s="62"/>
      <c r="H601" s="62"/>
      <c r="I601" s="62"/>
      <c r="J601" s="86"/>
      <c r="K601" s="62"/>
      <c r="L601" s="62" t="s">
        <v>5</v>
      </c>
      <c r="M601" s="86" t="s">
        <v>28</v>
      </c>
      <c r="N601" s="86" t="s">
        <v>3</v>
      </c>
      <c r="O601" s="87">
        <f>VLOOKUP($B601,BOM!$A$2:$K$94,10,0)</f>
        <v>0</v>
      </c>
      <c r="P601" s="87">
        <f t="shared" si="29"/>
        <v>0</v>
      </c>
    </row>
    <row r="602" spans="2:16">
      <c r="B602" s="81"/>
      <c r="C602" s="82" t="s">
        <v>31</v>
      </c>
      <c r="D602" s="72" t="s">
        <v>0</v>
      </c>
      <c r="E602" s="72">
        <v>1</v>
      </c>
      <c r="F602" s="72"/>
      <c r="G602" s="72"/>
      <c r="H602" s="72"/>
      <c r="I602" s="72"/>
      <c r="J602" s="72"/>
      <c r="K602" s="83"/>
      <c r="L602" s="83"/>
      <c r="M602" s="83"/>
      <c r="N602" s="83"/>
      <c r="O602" s="87">
        <f>VLOOKUP($B602,BOM!$A$2:$K$94,10,0)</f>
        <v>0</v>
      </c>
      <c r="P602" s="87">
        <f t="shared" si="29"/>
        <v>0</v>
      </c>
    </row>
    <row r="603" spans="2:16">
      <c r="B603" s="81"/>
      <c r="C603" s="82" t="s">
        <v>32</v>
      </c>
      <c r="D603" s="72"/>
      <c r="E603" s="72"/>
      <c r="F603" s="72"/>
      <c r="G603" s="72"/>
      <c r="H603" s="72"/>
      <c r="I603" s="72"/>
      <c r="J603" s="72"/>
      <c r="K603" s="83"/>
      <c r="L603" s="83"/>
      <c r="M603" s="83"/>
      <c r="N603" s="83"/>
      <c r="O603" s="87">
        <f>VLOOKUP($B603,BOM!$A$2:$K$94,10,0)</f>
        <v>0</v>
      </c>
      <c r="P603" s="87">
        <f t="shared" si="29"/>
        <v>0</v>
      </c>
    </row>
    <row r="604" spans="2:16" s="45" customFormat="1" ht="20.45" customHeight="1">
      <c r="B604" s="62" t="s">
        <v>33</v>
      </c>
      <c r="C604" s="21" t="s">
        <v>34</v>
      </c>
      <c r="D604" s="85" t="s">
        <v>3</v>
      </c>
      <c r="E604" s="90">
        <f>E605</f>
        <v>0</v>
      </c>
      <c r="F604" s="62"/>
      <c r="G604" s="62"/>
      <c r="H604" s="62"/>
      <c r="I604" s="62"/>
      <c r="J604" s="86"/>
      <c r="K604" s="62" t="s">
        <v>35</v>
      </c>
      <c r="L604" s="62" t="s">
        <v>5</v>
      </c>
      <c r="M604" s="86" t="s">
        <v>6</v>
      </c>
      <c r="N604" s="86" t="s">
        <v>3</v>
      </c>
      <c r="O604" s="87">
        <f>VLOOKUP($B604,BOM!$A$2:$K$94,10,0)</f>
        <v>0</v>
      </c>
      <c r="P604" s="87">
        <f t="shared" si="29"/>
        <v>0</v>
      </c>
    </row>
    <row r="605" spans="2:16" s="45" customFormat="1">
      <c r="B605" s="62" t="s">
        <v>330</v>
      </c>
      <c r="C605" s="21" t="s">
        <v>36</v>
      </c>
      <c r="D605" s="85" t="s">
        <v>3</v>
      </c>
      <c r="E605" s="90">
        <f>G603+H603</f>
        <v>0</v>
      </c>
      <c r="F605" s="62"/>
      <c r="G605" s="62"/>
      <c r="H605" s="62"/>
      <c r="I605" s="62"/>
      <c r="J605" s="86"/>
      <c r="K605" s="62" t="s">
        <v>37</v>
      </c>
      <c r="L605" s="62" t="s">
        <v>5</v>
      </c>
      <c r="M605" s="86" t="s">
        <v>37</v>
      </c>
      <c r="N605" s="86" t="s">
        <v>3</v>
      </c>
      <c r="O605" s="87">
        <f>VLOOKUP($B605,BOM!$A$2:$K$94,10,0)</f>
        <v>0</v>
      </c>
      <c r="P605" s="87">
        <f t="shared" si="29"/>
        <v>0</v>
      </c>
    </row>
    <row r="606" spans="2:16" s="45" customFormat="1" ht="30">
      <c r="B606" s="62" t="s">
        <v>38</v>
      </c>
      <c r="C606" s="21" t="s">
        <v>39</v>
      </c>
      <c r="D606" s="85" t="s">
        <v>3</v>
      </c>
      <c r="E606" s="90">
        <f>E605</f>
        <v>0</v>
      </c>
      <c r="F606" s="62"/>
      <c r="G606" s="62"/>
      <c r="H606" s="62"/>
      <c r="I606" s="62"/>
      <c r="J606" s="86"/>
      <c r="K606" s="62" t="s">
        <v>25</v>
      </c>
      <c r="L606" s="62" t="s">
        <v>5</v>
      </c>
      <c r="M606" s="86" t="s">
        <v>6</v>
      </c>
      <c r="N606" s="86" t="s">
        <v>3</v>
      </c>
      <c r="O606" s="87">
        <f>VLOOKUP($B606,BOM!$A$2:$K$94,10,0)</f>
        <v>0</v>
      </c>
      <c r="P606" s="87">
        <f t="shared" si="29"/>
        <v>0</v>
      </c>
    </row>
    <row r="607" spans="2:16">
      <c r="B607" s="81"/>
      <c r="C607" s="82" t="s">
        <v>40</v>
      </c>
      <c r="D607" s="72"/>
      <c r="E607" s="72"/>
      <c r="F607" s="72"/>
      <c r="G607" s="72"/>
      <c r="H607" s="72">
        <v>16</v>
      </c>
      <c r="I607" s="72"/>
      <c r="J607" s="72"/>
      <c r="K607" s="83"/>
      <c r="L607" s="83"/>
      <c r="M607" s="83"/>
      <c r="N607" s="83"/>
      <c r="O607" s="87">
        <f>VLOOKUP($B607,BOM!$A$2:$K$94,10,0)</f>
        <v>0</v>
      </c>
      <c r="P607" s="87">
        <f t="shared" si="29"/>
        <v>0</v>
      </c>
    </row>
    <row r="608" spans="2:16" s="45" customFormat="1">
      <c r="B608" s="62" t="s">
        <v>41</v>
      </c>
      <c r="C608" s="21" t="s">
        <v>42</v>
      </c>
      <c r="D608" s="85" t="s">
        <v>3</v>
      </c>
      <c r="E608" s="85">
        <f>G607+H607</f>
        <v>16</v>
      </c>
      <c r="F608" s="62"/>
      <c r="G608" s="62"/>
      <c r="H608" s="62"/>
      <c r="I608" s="62"/>
      <c r="J608" s="86"/>
      <c r="K608" s="62" t="s">
        <v>4</v>
      </c>
      <c r="L608" s="62" t="s">
        <v>5</v>
      </c>
      <c r="M608" s="86" t="s">
        <v>6</v>
      </c>
      <c r="N608" s="86" t="s">
        <v>3</v>
      </c>
      <c r="O608" s="87">
        <f>VLOOKUP($B608,BOM!$A$2:$K$94,10,0)</f>
        <v>0</v>
      </c>
      <c r="P608" s="87">
        <f t="shared" si="29"/>
        <v>0</v>
      </c>
    </row>
    <row r="609" spans="1:16" s="45" customFormat="1">
      <c r="B609" s="65" t="s">
        <v>43</v>
      </c>
      <c r="C609" s="103" t="s">
        <v>44</v>
      </c>
      <c r="D609" s="85" t="s">
        <v>3</v>
      </c>
      <c r="E609" s="85">
        <f>E608</f>
        <v>16</v>
      </c>
      <c r="F609" s="62"/>
      <c r="G609" s="62"/>
      <c r="H609" s="62"/>
      <c r="I609" s="62"/>
      <c r="J609" s="86"/>
      <c r="K609" s="62" t="s">
        <v>4</v>
      </c>
      <c r="L609" s="62" t="s">
        <v>5</v>
      </c>
      <c r="M609" s="86" t="s">
        <v>6</v>
      </c>
      <c r="N609" s="86" t="s">
        <v>3</v>
      </c>
      <c r="O609" s="87">
        <f>VLOOKUP($B609,BOM!$A$2:$K$94,10,0)</f>
        <v>0</v>
      </c>
      <c r="P609" s="87">
        <f t="shared" si="29"/>
        <v>0</v>
      </c>
    </row>
    <row r="610" spans="1:16">
      <c r="B610" s="81"/>
      <c r="C610" s="82" t="s">
        <v>45</v>
      </c>
      <c r="D610" s="72"/>
      <c r="E610" s="72"/>
      <c r="F610" s="72"/>
      <c r="G610" s="72"/>
      <c r="H610" s="72"/>
      <c r="I610" s="72"/>
      <c r="J610" s="72"/>
      <c r="K610" s="83"/>
      <c r="L610" s="83"/>
      <c r="M610" s="83"/>
      <c r="N610" s="83"/>
      <c r="O610" s="87">
        <f>VLOOKUP($B610,BOM!$A$2:$K$94,10,0)</f>
        <v>0</v>
      </c>
      <c r="P610" s="87">
        <f t="shared" si="29"/>
        <v>0</v>
      </c>
    </row>
    <row r="611" spans="1:16" s="45" customFormat="1" ht="30">
      <c r="B611" s="62" t="s">
        <v>48</v>
      </c>
      <c r="C611" s="21" t="s">
        <v>49</v>
      </c>
      <c r="D611" s="85" t="s">
        <v>14</v>
      </c>
      <c r="E611" s="85">
        <f>E608+1</f>
        <v>17</v>
      </c>
      <c r="F611" s="62"/>
      <c r="G611" s="62"/>
      <c r="H611" s="62"/>
      <c r="I611" s="62"/>
      <c r="J611" s="86"/>
      <c r="K611" s="62"/>
      <c r="L611" s="62" t="s">
        <v>5</v>
      </c>
      <c r="M611" s="86" t="s">
        <v>6</v>
      </c>
      <c r="N611" s="86" t="s">
        <v>15</v>
      </c>
      <c r="O611" s="87">
        <f>VLOOKUP($B611,BOM!$A$2:$K$94,10,0)</f>
        <v>0</v>
      </c>
      <c r="P611" s="87">
        <f t="shared" si="29"/>
        <v>0</v>
      </c>
    </row>
    <row r="612" spans="1:16" s="45" customFormat="1" ht="30">
      <c r="B612" s="62" t="s">
        <v>48</v>
      </c>
      <c r="C612" s="21" t="s">
        <v>49</v>
      </c>
      <c r="D612" s="85" t="s">
        <v>14</v>
      </c>
      <c r="E612" s="90">
        <f>ROUNDUP(E611*0.2,0)</f>
        <v>4</v>
      </c>
      <c r="F612" s="62"/>
      <c r="G612" s="62"/>
      <c r="H612" s="62"/>
      <c r="I612" s="62"/>
      <c r="J612" s="86"/>
      <c r="K612" s="62" t="s">
        <v>4</v>
      </c>
      <c r="L612" s="62" t="s">
        <v>5</v>
      </c>
      <c r="M612" s="86" t="s">
        <v>6</v>
      </c>
      <c r="N612" s="86" t="s">
        <v>15</v>
      </c>
      <c r="O612" s="87">
        <f>VLOOKUP($B612,BOM!$A$2:$K$94,10,0)</f>
        <v>0</v>
      </c>
      <c r="P612" s="87">
        <f t="shared" si="29"/>
        <v>0</v>
      </c>
    </row>
    <row r="613" spans="1:16">
      <c r="B613" s="81"/>
      <c r="C613" s="82" t="s">
        <v>50</v>
      </c>
      <c r="D613" s="72"/>
      <c r="E613" s="72"/>
      <c r="F613" s="72"/>
      <c r="G613" s="72"/>
      <c r="H613" s="72"/>
      <c r="I613" s="72"/>
      <c r="J613" s="72"/>
      <c r="K613" s="83"/>
      <c r="L613" s="83"/>
      <c r="M613" s="83"/>
      <c r="N613" s="83"/>
      <c r="O613" s="87">
        <f>VLOOKUP($B613,BOM!$A$2:$K$94,10,0)</f>
        <v>0</v>
      </c>
      <c r="P613" s="87">
        <f t="shared" si="29"/>
        <v>0</v>
      </c>
    </row>
    <row r="614" spans="1:16" s="45" customFormat="1">
      <c r="B614" s="62" t="s">
        <v>332</v>
      </c>
      <c r="C614" s="21" t="s">
        <v>332</v>
      </c>
      <c r="D614" s="85" t="s">
        <v>51</v>
      </c>
      <c r="E614" s="85">
        <f>E599</f>
        <v>1</v>
      </c>
      <c r="F614" s="62"/>
      <c r="G614" s="62"/>
      <c r="H614" s="62"/>
      <c r="I614" s="62"/>
      <c r="J614" s="86"/>
      <c r="K614" s="62"/>
      <c r="L614" s="62"/>
      <c r="M614" s="86"/>
      <c r="N614" s="86" t="s">
        <v>51</v>
      </c>
      <c r="O614" s="87">
        <f>VLOOKUP($B614,BOM!$A$2:$K$94,10,0)</f>
        <v>0</v>
      </c>
      <c r="P614" s="87">
        <f t="shared" si="29"/>
        <v>0</v>
      </c>
    </row>
    <row r="615" spans="1:16" s="45" customFormat="1">
      <c r="B615" s="62" t="s">
        <v>52</v>
      </c>
      <c r="C615" s="21" t="s">
        <v>53</v>
      </c>
      <c r="D615" s="86" t="s">
        <v>54</v>
      </c>
      <c r="E615" s="105">
        <f>E612+E611</f>
        <v>21</v>
      </c>
      <c r="F615" s="62"/>
      <c r="G615" s="62"/>
      <c r="H615" s="62"/>
      <c r="I615" s="62"/>
      <c r="J615" s="86"/>
      <c r="K615" s="62"/>
      <c r="L615" s="62"/>
      <c r="M615" s="86" t="s">
        <v>55</v>
      </c>
      <c r="N615" s="86" t="s">
        <v>54</v>
      </c>
      <c r="O615" s="87">
        <f>VLOOKUP($B615,BOM!$A$2:$K$94,10,0)</f>
        <v>0</v>
      </c>
      <c r="P615" s="87">
        <f t="shared" si="29"/>
        <v>0</v>
      </c>
    </row>
    <row r="616" spans="1:16" s="45" customFormat="1" ht="30">
      <c r="B616" s="62" t="s">
        <v>56</v>
      </c>
      <c r="C616" s="21" t="s">
        <v>57</v>
      </c>
      <c r="D616" s="86" t="s">
        <v>14</v>
      </c>
      <c r="E616" s="105">
        <f>E585+E581</f>
        <v>4</v>
      </c>
      <c r="F616" s="62"/>
      <c r="G616" s="62"/>
      <c r="H616" s="62"/>
      <c r="I616" s="62"/>
      <c r="J616" s="86"/>
      <c r="K616" s="62"/>
      <c r="L616" s="62"/>
      <c r="M616" s="86" t="s">
        <v>55</v>
      </c>
      <c r="N616" s="86" t="s">
        <v>14</v>
      </c>
      <c r="O616" s="87">
        <f>VLOOKUP($B616,BOM!$A$2:$K$94,10,0)</f>
        <v>0</v>
      </c>
      <c r="P616" s="87">
        <f t="shared" si="29"/>
        <v>0</v>
      </c>
    </row>
    <row r="617" spans="1:16" s="45" customFormat="1" ht="30">
      <c r="B617" s="62" t="s">
        <v>58</v>
      </c>
      <c r="C617" s="21" t="s">
        <v>59</v>
      </c>
      <c r="D617" s="86" t="s">
        <v>60</v>
      </c>
      <c r="E617" s="105">
        <f>E616*2</f>
        <v>8</v>
      </c>
      <c r="F617" s="62"/>
      <c r="G617" s="62"/>
      <c r="H617" s="62"/>
      <c r="I617" s="62"/>
      <c r="J617" s="86"/>
      <c r="K617" s="62"/>
      <c r="L617" s="62"/>
      <c r="M617" s="86" t="s">
        <v>61</v>
      </c>
      <c r="N617" s="86" t="s">
        <v>60</v>
      </c>
      <c r="O617" s="87">
        <f>VLOOKUP($B617,BOM!$A$2:$K$94,10,0)</f>
        <v>0</v>
      </c>
      <c r="P617" s="87">
        <f t="shared" si="29"/>
        <v>0</v>
      </c>
    </row>
    <row r="618" spans="1:16" s="45" customFormat="1" ht="45">
      <c r="B618" s="62" t="s">
        <v>62</v>
      </c>
      <c r="C618" s="21" t="s">
        <v>63</v>
      </c>
      <c r="D618" s="86" t="s">
        <v>64</v>
      </c>
      <c r="E618" s="105">
        <f>E595</f>
        <v>1</v>
      </c>
      <c r="F618" s="62"/>
      <c r="G618" s="62"/>
      <c r="H618" s="62"/>
      <c r="I618" s="62"/>
      <c r="J618" s="86"/>
      <c r="K618" s="62"/>
      <c r="L618" s="62"/>
      <c r="M618" s="86" t="s">
        <v>61</v>
      </c>
      <c r="N618" s="86" t="s">
        <v>64</v>
      </c>
      <c r="O618" s="87">
        <f>VLOOKUP($B618,BOM!$A$2:$K$94,10,0)</f>
        <v>0</v>
      </c>
      <c r="P618" s="87">
        <f t="shared" si="29"/>
        <v>0</v>
      </c>
    </row>
    <row r="619" spans="1:16">
      <c r="A619" s="35">
        <v>13</v>
      </c>
      <c r="B619" s="36"/>
      <c r="C619" s="37" t="s">
        <v>83</v>
      </c>
      <c r="D619" s="38" t="s">
        <v>0</v>
      </c>
      <c r="E619" s="36">
        <v>1</v>
      </c>
      <c r="F619" s="36"/>
      <c r="G619" s="36">
        <v>8</v>
      </c>
      <c r="H619" s="36"/>
      <c r="I619" s="36"/>
      <c r="J619" s="36">
        <f>SUBTOTAL(9,J622:J646)</f>
        <v>15</v>
      </c>
      <c r="K619" s="39"/>
      <c r="L619" s="39"/>
      <c r="M619" s="39"/>
      <c r="N619" s="39"/>
      <c r="O619" s="87">
        <f>VLOOKUP($B619,BOM!$A$2:$K$94,10,0)</f>
        <v>0</v>
      </c>
      <c r="P619" s="87">
        <f t="shared" si="29"/>
        <v>0</v>
      </c>
    </row>
    <row r="620" spans="1:16">
      <c r="B620" s="81"/>
      <c r="C620" s="82" t="s">
        <v>124</v>
      </c>
      <c r="D620" s="72" t="s">
        <v>0</v>
      </c>
      <c r="E620" s="72">
        <v>1</v>
      </c>
      <c r="F620" s="72"/>
      <c r="G620" s="72"/>
      <c r="H620" s="72"/>
      <c r="I620" s="72"/>
      <c r="J620" s="72"/>
      <c r="K620" s="83"/>
      <c r="L620" s="83"/>
      <c r="M620" s="83"/>
      <c r="N620" s="83"/>
      <c r="O620" s="87">
        <f>VLOOKUP($B620,BOM!$A$2:$K$94,10,0)</f>
        <v>0</v>
      </c>
      <c r="P620" s="87">
        <f t="shared" si="29"/>
        <v>0</v>
      </c>
    </row>
    <row r="621" spans="1:16" s="19" customFormat="1">
      <c r="B621" s="20" t="s">
        <v>226</v>
      </c>
      <c r="C621" s="20" t="s">
        <v>227</v>
      </c>
      <c r="D621" s="21"/>
      <c r="E621" s="22">
        <v>1</v>
      </c>
      <c r="F621" s="21"/>
      <c r="G621" s="21"/>
      <c r="H621" s="21"/>
      <c r="I621" s="21"/>
      <c r="J621" s="22"/>
      <c r="K621" s="21" t="s">
        <v>4</v>
      </c>
      <c r="L621" s="21" t="s">
        <v>203</v>
      </c>
      <c r="M621" s="22" t="s">
        <v>22</v>
      </c>
      <c r="N621" s="22" t="s">
        <v>3</v>
      </c>
      <c r="O621" s="87">
        <f>VLOOKUP($B621,BOM!$A$2:$K$94,10,0)</f>
        <v>0</v>
      </c>
      <c r="P621" s="87">
        <f t="shared" si="29"/>
        <v>0</v>
      </c>
    </row>
    <row r="622" spans="1:16" s="19" customFormat="1">
      <c r="B622" s="21" t="s">
        <v>122</v>
      </c>
      <c r="C622" s="21" t="s">
        <v>123</v>
      </c>
      <c r="D622" s="21"/>
      <c r="E622" s="22">
        <v>1</v>
      </c>
      <c r="F622" s="21"/>
      <c r="G622" s="21"/>
      <c r="H622" s="21"/>
      <c r="I622" s="21"/>
      <c r="J622" s="22">
        <v>1</v>
      </c>
      <c r="K622" s="21" t="s">
        <v>4</v>
      </c>
      <c r="L622" s="21" t="s">
        <v>5</v>
      </c>
      <c r="M622" s="22" t="s">
        <v>22</v>
      </c>
      <c r="N622" s="22" t="s">
        <v>3</v>
      </c>
      <c r="O622" s="87">
        <f>VLOOKUP($B622,BOM!$A$2:$K$94,10,0)</f>
        <v>0</v>
      </c>
      <c r="P622" s="87">
        <f t="shared" si="29"/>
        <v>0</v>
      </c>
    </row>
    <row r="623" spans="1:16">
      <c r="B623" s="81"/>
      <c r="C623" s="82" t="s">
        <v>1</v>
      </c>
      <c r="D623" s="72" t="s">
        <v>0</v>
      </c>
      <c r="E623" s="72">
        <v>1</v>
      </c>
      <c r="F623" s="72"/>
      <c r="G623" s="72">
        <f>ROUNDUP(G619/24,0)</f>
        <v>1</v>
      </c>
      <c r="H623" s="72">
        <f t="shared" ref="H623" si="30">ROUNDUP(H619/24,0)</f>
        <v>0</v>
      </c>
      <c r="I623" s="72"/>
      <c r="J623" s="72"/>
      <c r="K623" s="83"/>
      <c r="L623" s="83"/>
      <c r="M623" s="83"/>
      <c r="N623" s="83"/>
      <c r="O623" s="87">
        <f>VLOOKUP($B623,BOM!$A$2:$K$94,10,0)</f>
        <v>0</v>
      </c>
      <c r="P623" s="87">
        <f t="shared" si="29"/>
        <v>0</v>
      </c>
    </row>
    <row r="624" spans="1:16" s="45" customFormat="1">
      <c r="B624" s="62">
        <v>760249997</v>
      </c>
      <c r="C624" s="21" t="s">
        <v>2</v>
      </c>
      <c r="D624" s="85" t="s">
        <v>3</v>
      </c>
      <c r="E624" s="85">
        <f>ROUNDUP((E626+E630)/3,0)</f>
        <v>1</v>
      </c>
      <c r="F624" s="62"/>
      <c r="G624" s="62"/>
      <c r="H624" s="62"/>
      <c r="I624" s="62"/>
      <c r="J624" s="86">
        <v>1</v>
      </c>
      <c r="K624" s="62" t="s">
        <v>4</v>
      </c>
      <c r="L624" s="62" t="s">
        <v>5</v>
      </c>
      <c r="M624" s="86" t="s">
        <v>6</v>
      </c>
      <c r="N624" s="86" t="s">
        <v>3</v>
      </c>
      <c r="O624" s="87">
        <f>VLOOKUP($B624,BOM!$A$2:$K$94,10,0)</f>
        <v>0</v>
      </c>
      <c r="P624" s="87">
        <f t="shared" si="29"/>
        <v>0</v>
      </c>
    </row>
    <row r="625" spans="2:16" s="45" customFormat="1">
      <c r="B625" s="62">
        <v>760241378</v>
      </c>
      <c r="C625" s="21" t="s">
        <v>7</v>
      </c>
      <c r="D625" s="85" t="s">
        <v>3</v>
      </c>
      <c r="E625" s="85">
        <f>IF(E626&lt;=2,1,ROUNDUP(E624*1.5,0))</f>
        <v>1</v>
      </c>
      <c r="F625" s="62"/>
      <c r="G625" s="62"/>
      <c r="H625" s="62"/>
      <c r="I625" s="62"/>
      <c r="J625" s="86"/>
      <c r="K625" s="62" t="s">
        <v>4</v>
      </c>
      <c r="L625" s="62" t="s">
        <v>5</v>
      </c>
      <c r="M625" s="86" t="s">
        <v>6</v>
      </c>
      <c r="N625" s="86" t="s">
        <v>3</v>
      </c>
      <c r="O625" s="87">
        <f>VLOOKUP($B625,BOM!$A$2:$K$94,10,0)</f>
        <v>0</v>
      </c>
      <c r="P625" s="87">
        <f t="shared" si="29"/>
        <v>0</v>
      </c>
    </row>
    <row r="626" spans="2:16" s="45" customFormat="1">
      <c r="B626" s="62" t="s">
        <v>8</v>
      </c>
      <c r="C626" s="21" t="s">
        <v>9</v>
      </c>
      <c r="D626" s="85" t="s">
        <v>3</v>
      </c>
      <c r="E626" s="85">
        <f>G623</f>
        <v>1</v>
      </c>
      <c r="F626" s="62"/>
      <c r="G626" s="62"/>
      <c r="H626" s="62"/>
      <c r="I626" s="62"/>
      <c r="J626" s="86"/>
      <c r="K626" s="62" t="s">
        <v>4</v>
      </c>
      <c r="L626" s="62" t="s">
        <v>5</v>
      </c>
      <c r="M626" s="86" t="s">
        <v>6</v>
      </c>
      <c r="N626" s="86" t="s">
        <v>3</v>
      </c>
      <c r="O626" s="87">
        <f>VLOOKUP($B626,BOM!$A$2:$K$94,10,0)</f>
        <v>0</v>
      </c>
      <c r="P626" s="87">
        <f t="shared" si="29"/>
        <v>0</v>
      </c>
    </row>
    <row r="627" spans="2:16" s="45" customFormat="1">
      <c r="B627" s="62" t="s">
        <v>10</v>
      </c>
      <c r="C627" s="21" t="s">
        <v>11</v>
      </c>
      <c r="D627" s="85" t="s">
        <v>3</v>
      </c>
      <c r="E627" s="85">
        <f>E624*3-E626-E630</f>
        <v>2</v>
      </c>
      <c r="F627" s="62"/>
      <c r="G627" s="62"/>
      <c r="H627" s="62"/>
      <c r="I627" s="62"/>
      <c r="J627" s="86"/>
      <c r="K627" s="62" t="s">
        <v>4</v>
      </c>
      <c r="L627" s="62" t="s">
        <v>5</v>
      </c>
      <c r="M627" s="86" t="s">
        <v>6</v>
      </c>
      <c r="N627" s="86" t="s">
        <v>3</v>
      </c>
      <c r="O627" s="87">
        <f>VLOOKUP($B627,BOM!$A$2:$K$94,10,0)</f>
        <v>0</v>
      </c>
      <c r="P627" s="87">
        <f t="shared" si="29"/>
        <v>0</v>
      </c>
    </row>
    <row r="628" spans="2:16" s="45" customFormat="1">
      <c r="B628" s="62" t="s">
        <v>12</v>
      </c>
      <c r="C628" s="21" t="s">
        <v>13</v>
      </c>
      <c r="D628" s="85" t="s">
        <v>14</v>
      </c>
      <c r="E628" s="85">
        <f>G619/2</f>
        <v>4</v>
      </c>
      <c r="F628" s="62"/>
      <c r="G628" s="62"/>
      <c r="H628" s="62"/>
      <c r="I628" s="62"/>
      <c r="J628" s="86"/>
      <c r="K628" s="62" t="s">
        <v>4</v>
      </c>
      <c r="L628" s="62" t="s">
        <v>5</v>
      </c>
      <c r="M628" s="86" t="s">
        <v>6</v>
      </c>
      <c r="N628" s="86" t="s">
        <v>15</v>
      </c>
      <c r="O628" s="87">
        <f>VLOOKUP($B628,BOM!$A$2:$K$94,10,0)</f>
        <v>0</v>
      </c>
      <c r="P628" s="87">
        <f t="shared" si="29"/>
        <v>0</v>
      </c>
    </row>
    <row r="629" spans="2:16" s="45" customFormat="1" ht="30">
      <c r="B629" s="62" t="s">
        <v>16</v>
      </c>
      <c r="C629" s="21" t="s">
        <v>17</v>
      </c>
      <c r="D629" s="85" t="s">
        <v>14</v>
      </c>
      <c r="E629" s="85">
        <f>ROUNDUP((E635+E638)*1.3,0)</f>
        <v>4</v>
      </c>
      <c r="F629" s="62"/>
      <c r="G629" s="62"/>
      <c r="H629" s="62"/>
      <c r="I629" s="62"/>
      <c r="J629" s="86"/>
      <c r="K629" s="62" t="s">
        <v>4</v>
      </c>
      <c r="L629" s="62" t="s">
        <v>5</v>
      </c>
      <c r="M629" s="86" t="s">
        <v>6</v>
      </c>
      <c r="N629" s="86" t="s">
        <v>15</v>
      </c>
      <c r="O629" s="87">
        <f>VLOOKUP($B629,BOM!$A$2:$K$94,10,0)</f>
        <v>0</v>
      </c>
      <c r="P629" s="87">
        <f t="shared" si="29"/>
        <v>0</v>
      </c>
    </row>
    <row r="630" spans="2:16" s="110" customFormat="1">
      <c r="B630" s="66" t="s">
        <v>198</v>
      </c>
      <c r="C630" s="106" t="s">
        <v>199</v>
      </c>
      <c r="D630" s="89" t="s">
        <v>3</v>
      </c>
      <c r="E630" s="89">
        <f>H623</f>
        <v>0</v>
      </c>
      <c r="F630" s="66"/>
      <c r="G630" s="66"/>
      <c r="H630" s="66"/>
      <c r="I630" s="66"/>
      <c r="J630" s="107"/>
      <c r="K630" s="108" t="s">
        <v>4</v>
      </c>
      <c r="L630" s="108" t="s">
        <v>5</v>
      </c>
      <c r="M630" s="109" t="s">
        <v>6</v>
      </c>
      <c r="N630" s="109" t="s">
        <v>15</v>
      </c>
      <c r="O630" s="87">
        <f>VLOOKUP($B630,BOM!$A$2:$K$94,10,0)</f>
        <v>0</v>
      </c>
      <c r="P630" s="87">
        <f t="shared" si="29"/>
        <v>0</v>
      </c>
    </row>
    <row r="631" spans="2:16" s="111" customFormat="1">
      <c r="B631" s="66" t="s">
        <v>194</v>
      </c>
      <c r="C631" s="106" t="s">
        <v>195</v>
      </c>
      <c r="D631" s="89" t="s">
        <v>14</v>
      </c>
      <c r="E631" s="89">
        <v>0</v>
      </c>
      <c r="F631" s="108"/>
      <c r="G631" s="108"/>
      <c r="H631" s="108"/>
      <c r="I631" s="108"/>
      <c r="J631" s="109"/>
      <c r="K631" s="108" t="s">
        <v>4</v>
      </c>
      <c r="L631" s="108" t="s">
        <v>5</v>
      </c>
      <c r="M631" s="109" t="s">
        <v>6</v>
      </c>
      <c r="N631" s="109" t="s">
        <v>15</v>
      </c>
      <c r="O631" s="87">
        <f>VLOOKUP($B631,BOM!$A$2:$K$94,10,0)</f>
        <v>0</v>
      </c>
      <c r="P631" s="87">
        <f t="shared" si="29"/>
        <v>0</v>
      </c>
    </row>
    <row r="632" spans="2:16" s="110" customFormat="1">
      <c r="B632" s="66" t="s">
        <v>196</v>
      </c>
      <c r="C632" s="106" t="s">
        <v>197</v>
      </c>
      <c r="D632" s="89" t="s">
        <v>14</v>
      </c>
      <c r="E632" s="89">
        <f>H619/2</f>
        <v>0</v>
      </c>
      <c r="F632" s="66"/>
      <c r="G632" s="66"/>
      <c r="H632" s="66"/>
      <c r="I632" s="66"/>
      <c r="J632" s="107"/>
      <c r="K632" s="108" t="s">
        <v>4</v>
      </c>
      <c r="L632" s="108" t="s">
        <v>5</v>
      </c>
      <c r="M632" s="109" t="s">
        <v>6</v>
      </c>
      <c r="N632" s="109" t="s">
        <v>15</v>
      </c>
      <c r="O632" s="87">
        <f>VLOOKUP($B632,BOM!$A$2:$K$94,10,0)</f>
        <v>0</v>
      </c>
      <c r="P632" s="87">
        <f t="shared" si="29"/>
        <v>0</v>
      </c>
    </row>
    <row r="633" spans="2:16" ht="15.95" customHeight="1">
      <c r="B633" s="81"/>
      <c r="C633" s="82" t="s">
        <v>26</v>
      </c>
      <c r="D633" s="72" t="s">
        <v>0</v>
      </c>
      <c r="E633" s="72">
        <v>1</v>
      </c>
      <c r="F633" s="72"/>
      <c r="G633" s="72"/>
      <c r="H633" s="72"/>
      <c r="I633" s="72"/>
      <c r="J633" s="72"/>
      <c r="K633" s="83"/>
      <c r="L633" s="83"/>
      <c r="M633" s="83"/>
      <c r="N633" s="83"/>
      <c r="O633" s="87">
        <f>VLOOKUP($B633,BOM!$A$2:$K$94,10,0)</f>
        <v>0</v>
      </c>
      <c r="P633" s="87">
        <f t="shared" si="29"/>
        <v>0</v>
      </c>
    </row>
    <row r="634" spans="2:16" s="45" customFormat="1">
      <c r="B634" s="62"/>
      <c r="C634" s="21"/>
      <c r="D634" s="85"/>
      <c r="E634" s="90"/>
      <c r="F634" s="62"/>
      <c r="G634" s="62"/>
      <c r="H634" s="62"/>
      <c r="I634" s="62"/>
      <c r="J634" s="86"/>
      <c r="K634" s="62"/>
      <c r="L634" s="62"/>
      <c r="M634" s="86"/>
      <c r="N634" s="86"/>
      <c r="O634" s="87">
        <f>VLOOKUP($B634,BOM!$A$2:$K$94,10,0)</f>
        <v>0</v>
      </c>
      <c r="P634" s="87">
        <f t="shared" si="29"/>
        <v>0</v>
      </c>
    </row>
    <row r="635" spans="2:16" s="45" customFormat="1">
      <c r="B635" s="62"/>
      <c r="C635" s="21"/>
      <c r="D635" s="85"/>
      <c r="E635" s="90"/>
      <c r="F635" s="62"/>
      <c r="G635" s="62"/>
      <c r="H635" s="62"/>
      <c r="I635" s="62"/>
      <c r="J635" s="86"/>
      <c r="K635" s="62"/>
      <c r="L635" s="62"/>
      <c r="M635" s="86"/>
      <c r="N635" s="86"/>
      <c r="O635" s="87">
        <f>VLOOKUP($B635,BOM!$A$2:$K$94,10,0)</f>
        <v>0</v>
      </c>
      <c r="P635" s="87">
        <f t="shared" si="29"/>
        <v>0</v>
      </c>
    </row>
    <row r="636" spans="2:16">
      <c r="B636" s="81"/>
      <c r="C636" s="82" t="s">
        <v>145</v>
      </c>
      <c r="D636" s="72" t="s">
        <v>0</v>
      </c>
      <c r="E636" s="72">
        <v>2</v>
      </c>
      <c r="F636" s="72"/>
      <c r="G636" s="72"/>
      <c r="H636" s="72"/>
      <c r="I636" s="72"/>
      <c r="J636" s="72"/>
      <c r="K636" s="83"/>
      <c r="L636" s="83"/>
      <c r="M636" s="83"/>
      <c r="N636" s="83"/>
      <c r="O636" s="87">
        <f>VLOOKUP($B636,BOM!$A$2:$K$94,10,0)</f>
        <v>0</v>
      </c>
      <c r="P636" s="87">
        <f t="shared" si="29"/>
        <v>0</v>
      </c>
    </row>
    <row r="637" spans="2:16" s="45" customFormat="1">
      <c r="B637" s="41" t="s">
        <v>152</v>
      </c>
      <c r="C637" s="41" t="s">
        <v>153</v>
      </c>
      <c r="D637" s="42" t="s">
        <v>64</v>
      </c>
      <c r="E637" s="43">
        <v>3</v>
      </c>
      <c r="F637" s="41"/>
      <c r="G637" s="41"/>
      <c r="H637" s="41"/>
      <c r="I637" s="41"/>
      <c r="J637" s="44">
        <v>1</v>
      </c>
      <c r="K637" s="41" t="s">
        <v>143</v>
      </c>
      <c r="L637" s="41" t="s">
        <v>151</v>
      </c>
      <c r="M637" s="44" t="s">
        <v>144</v>
      </c>
      <c r="N637" s="44" t="s">
        <v>64</v>
      </c>
      <c r="O637" s="87">
        <f>VLOOKUP($B637,BOM!$A$2:$K$94,10,0)</f>
        <v>0</v>
      </c>
      <c r="P637" s="87">
        <f t="shared" si="29"/>
        <v>0</v>
      </c>
    </row>
    <row r="638" spans="2:16" s="45" customFormat="1">
      <c r="B638" s="41" t="s">
        <v>137</v>
      </c>
      <c r="C638" s="41" t="s">
        <v>138</v>
      </c>
      <c r="D638" s="42" t="s">
        <v>64</v>
      </c>
      <c r="E638" s="47">
        <f>E637</f>
        <v>3</v>
      </c>
      <c r="F638" s="41"/>
      <c r="G638" s="41"/>
      <c r="H638" s="41"/>
      <c r="I638" s="41"/>
      <c r="J638" s="44"/>
      <c r="K638" s="41" t="s">
        <v>143</v>
      </c>
      <c r="L638" s="41" t="s">
        <v>151</v>
      </c>
      <c r="M638" s="44" t="s">
        <v>144</v>
      </c>
      <c r="N638" s="44" t="s">
        <v>64</v>
      </c>
      <c r="O638" s="87">
        <f>VLOOKUP($B638,BOM!$A$2:$K$94,10,0)</f>
        <v>0</v>
      </c>
      <c r="P638" s="87">
        <f t="shared" si="29"/>
        <v>0</v>
      </c>
    </row>
    <row r="639" spans="2:16" outlineLevel="1">
      <c r="B639" s="117"/>
      <c r="C639" s="118" t="s">
        <v>67</v>
      </c>
      <c r="D639" s="119" t="s">
        <v>0</v>
      </c>
      <c r="E639" s="120"/>
      <c r="F639" s="121"/>
      <c r="G639" s="121"/>
      <c r="H639" s="121" t="s">
        <v>69</v>
      </c>
      <c r="I639" s="122"/>
      <c r="J639" s="122">
        <v>1</v>
      </c>
      <c r="K639" s="63"/>
      <c r="L639" s="63"/>
      <c r="M639" s="63"/>
      <c r="N639" s="63"/>
      <c r="O639" s="87">
        <f>VLOOKUP($B639,BOM!$A$2:$K$94,10,0)</f>
        <v>0</v>
      </c>
      <c r="P639" s="87">
        <f t="shared" si="29"/>
        <v>0</v>
      </c>
    </row>
    <row r="640" spans="2:16" outlineLevel="1">
      <c r="B640" s="117"/>
      <c r="C640" s="118" t="s">
        <v>70</v>
      </c>
      <c r="D640" s="119" t="s">
        <v>0</v>
      </c>
      <c r="E640" s="120">
        <v>1</v>
      </c>
      <c r="F640" s="121"/>
      <c r="G640" s="121"/>
      <c r="H640" s="121" t="s">
        <v>69</v>
      </c>
      <c r="I640" s="122"/>
      <c r="J640" s="122">
        <v>1</v>
      </c>
      <c r="K640" s="63"/>
      <c r="L640" s="63"/>
      <c r="M640" s="63"/>
      <c r="N640" s="63"/>
      <c r="O640" s="87">
        <f>VLOOKUP($B640,BOM!$A$2:$K$94,10,0)</f>
        <v>0</v>
      </c>
      <c r="P640" s="87">
        <f t="shared" si="29"/>
        <v>0</v>
      </c>
    </row>
    <row r="641" spans="2:16">
      <c r="B641" s="81"/>
      <c r="C641" s="82" t="s">
        <v>18</v>
      </c>
      <c r="D641" s="72" t="s">
        <v>0</v>
      </c>
      <c r="E641" s="72">
        <v>1</v>
      </c>
      <c r="F641" s="72"/>
      <c r="G641" s="72"/>
      <c r="H641" s="72"/>
      <c r="I641" s="72"/>
      <c r="J641" s="72"/>
      <c r="K641" s="83"/>
      <c r="L641" s="83"/>
      <c r="M641" s="83"/>
      <c r="N641" s="83"/>
      <c r="O641" s="87">
        <f>VLOOKUP($B641,BOM!$A$2:$K$94,10,0)</f>
        <v>0</v>
      </c>
      <c r="P641" s="87">
        <f t="shared" si="29"/>
        <v>0</v>
      </c>
    </row>
    <row r="642" spans="2:16" s="45" customFormat="1" ht="30">
      <c r="B642" s="62">
        <v>760237046</v>
      </c>
      <c r="C642" s="21" t="s">
        <v>19</v>
      </c>
      <c r="D642" s="85" t="s">
        <v>3</v>
      </c>
      <c r="E642" s="85">
        <f>E634+E637</f>
        <v>3</v>
      </c>
      <c r="F642" s="62"/>
      <c r="G642" s="62"/>
      <c r="H642" s="62"/>
      <c r="I642" s="62"/>
      <c r="J642" s="86">
        <v>1</v>
      </c>
      <c r="K642" s="62" t="s">
        <v>4</v>
      </c>
      <c r="L642" s="62" t="s">
        <v>5</v>
      </c>
      <c r="M642" s="86" t="s">
        <v>6</v>
      </c>
      <c r="N642" s="86" t="s">
        <v>3</v>
      </c>
      <c r="O642" s="87">
        <f>VLOOKUP($B642,BOM!$A$2:$K$94,10,0)</f>
        <v>0</v>
      </c>
      <c r="P642" s="87">
        <f t="shared" si="29"/>
        <v>0</v>
      </c>
    </row>
    <row r="643" spans="2:16" s="45" customFormat="1" ht="30">
      <c r="B643" s="62" t="s">
        <v>23</v>
      </c>
      <c r="C643" s="21" t="s">
        <v>24</v>
      </c>
      <c r="D643" s="85" t="s">
        <v>3</v>
      </c>
      <c r="E643" s="85">
        <f>E642*24</f>
        <v>72</v>
      </c>
      <c r="F643" s="62"/>
      <c r="G643" s="62"/>
      <c r="H643" s="62"/>
      <c r="I643" s="62"/>
      <c r="J643" s="86"/>
      <c r="K643" s="62" t="s">
        <v>25</v>
      </c>
      <c r="L643" s="62" t="s">
        <v>5</v>
      </c>
      <c r="M643" s="86" t="s">
        <v>6</v>
      </c>
      <c r="N643" s="86" t="s">
        <v>3</v>
      </c>
      <c r="O643" s="87">
        <f>VLOOKUP($B643,BOM!$A$2:$K$94,10,0)</f>
        <v>0</v>
      </c>
      <c r="P643" s="87">
        <f t="shared" si="29"/>
        <v>0</v>
      </c>
    </row>
    <row r="644" spans="2:16" s="45" customFormat="1">
      <c r="B644" s="62" t="s">
        <v>20</v>
      </c>
      <c r="C644" s="21" t="s">
        <v>21</v>
      </c>
      <c r="D644" s="85" t="s">
        <v>3</v>
      </c>
      <c r="E644" s="85">
        <f>E642</f>
        <v>3</v>
      </c>
      <c r="F644" s="62"/>
      <c r="G644" s="62"/>
      <c r="H644" s="62"/>
      <c r="I644" s="62"/>
      <c r="J644" s="86">
        <v>1</v>
      </c>
      <c r="K644" s="62" t="s">
        <v>4</v>
      </c>
      <c r="L644" s="62" t="s">
        <v>5</v>
      </c>
      <c r="M644" s="86" t="s">
        <v>22</v>
      </c>
      <c r="N644" s="86" t="s">
        <v>3</v>
      </c>
      <c r="O644" s="87">
        <f>VLOOKUP($B644,BOM!$A$2:$K$94,10,0)</f>
        <v>0</v>
      </c>
      <c r="P644" s="87">
        <f t="shared" ref="P644:P707" si="31">O644*E644</f>
        <v>0</v>
      </c>
    </row>
    <row r="645" spans="2:16">
      <c r="B645" s="81"/>
      <c r="C645" s="82" t="s">
        <v>71</v>
      </c>
      <c r="D645" s="72" t="s">
        <v>0</v>
      </c>
      <c r="E645" s="72">
        <v>1</v>
      </c>
      <c r="F645" s="72"/>
      <c r="G645" s="72"/>
      <c r="H645" s="72"/>
      <c r="I645" s="72"/>
      <c r="J645" s="72"/>
      <c r="K645" s="83"/>
      <c r="L645" s="83"/>
      <c r="M645" s="83"/>
      <c r="N645" s="83"/>
      <c r="O645" s="87">
        <f>VLOOKUP($B645,BOM!$A$2:$K$94,10,0)</f>
        <v>0</v>
      </c>
      <c r="P645" s="87">
        <f t="shared" si="31"/>
        <v>0</v>
      </c>
    </row>
    <row r="646" spans="2:16" s="45" customFormat="1">
      <c r="B646" s="62" t="s">
        <v>313</v>
      </c>
      <c r="C646" s="21" t="s">
        <v>317</v>
      </c>
      <c r="D646" s="116" t="s">
        <v>51</v>
      </c>
      <c r="E646" s="85">
        <v>1</v>
      </c>
      <c r="F646" s="62"/>
      <c r="G646" s="62"/>
      <c r="H646" s="62"/>
      <c r="I646" s="62"/>
      <c r="J646" s="86">
        <f>E646*8</f>
        <v>8</v>
      </c>
      <c r="K646" s="62"/>
      <c r="L646" s="62" t="s">
        <v>5</v>
      </c>
      <c r="M646" s="86" t="s">
        <v>28</v>
      </c>
      <c r="N646" s="86" t="s">
        <v>3</v>
      </c>
      <c r="O646" s="87">
        <f>VLOOKUP($B646,BOM!$A$2:$K$94,10,0)</f>
        <v>0</v>
      </c>
      <c r="P646" s="87">
        <f t="shared" si="31"/>
        <v>0</v>
      </c>
    </row>
    <row r="647" spans="2:16" s="45" customFormat="1">
      <c r="B647" s="62"/>
      <c r="C647" s="21"/>
      <c r="D647" s="116"/>
      <c r="E647" s="85"/>
      <c r="F647" s="62"/>
      <c r="G647" s="62"/>
      <c r="H647" s="62"/>
      <c r="I647" s="62"/>
      <c r="J647" s="86"/>
      <c r="K647" s="62"/>
      <c r="L647" s="62"/>
      <c r="M647" s="86"/>
      <c r="N647" s="86"/>
      <c r="O647" s="87">
        <f>VLOOKUP($B647,BOM!$A$2:$K$94,10,0)</f>
        <v>0</v>
      </c>
      <c r="P647" s="87">
        <f t="shared" si="31"/>
        <v>0</v>
      </c>
    </row>
    <row r="648" spans="2:16" s="45" customFormat="1">
      <c r="B648" s="62" t="s">
        <v>225</v>
      </c>
      <c r="C648" s="21" t="s">
        <v>72</v>
      </c>
      <c r="D648" s="116" t="s">
        <v>64</v>
      </c>
      <c r="E648" s="85">
        <v>0</v>
      </c>
      <c r="F648" s="62"/>
      <c r="G648" s="62"/>
      <c r="H648" s="62"/>
      <c r="I648" s="62"/>
      <c r="J648" s="86"/>
      <c r="K648" s="62"/>
      <c r="L648" s="62" t="s">
        <v>5</v>
      </c>
      <c r="M648" s="86" t="s">
        <v>28</v>
      </c>
      <c r="N648" s="86" t="s">
        <v>3</v>
      </c>
      <c r="O648" s="87">
        <f>VLOOKUP($B648,BOM!$A$2:$K$94,10,0)</f>
        <v>0</v>
      </c>
      <c r="P648" s="87">
        <f t="shared" si="31"/>
        <v>0</v>
      </c>
    </row>
    <row r="649" spans="2:16">
      <c r="B649" s="81"/>
      <c r="C649" s="82" t="s">
        <v>31</v>
      </c>
      <c r="D649" s="72" t="s">
        <v>0</v>
      </c>
      <c r="E649" s="72">
        <v>1</v>
      </c>
      <c r="F649" s="72"/>
      <c r="G649" s="72"/>
      <c r="H649" s="72"/>
      <c r="I649" s="72"/>
      <c r="J649" s="72"/>
      <c r="K649" s="83"/>
      <c r="L649" s="83"/>
      <c r="M649" s="83"/>
      <c r="N649" s="83"/>
      <c r="O649" s="87">
        <f>VLOOKUP($B649,BOM!$A$2:$K$94,10,0)</f>
        <v>0</v>
      </c>
      <c r="P649" s="87">
        <f t="shared" si="31"/>
        <v>0</v>
      </c>
    </row>
    <row r="650" spans="2:16">
      <c r="B650" s="81"/>
      <c r="C650" s="82" t="s">
        <v>32</v>
      </c>
      <c r="D650" s="72"/>
      <c r="E650" s="72"/>
      <c r="F650" s="72"/>
      <c r="G650" s="72"/>
      <c r="H650" s="72"/>
      <c r="I650" s="72"/>
      <c r="J650" s="72"/>
      <c r="K650" s="83"/>
      <c r="L650" s="83"/>
      <c r="M650" s="83"/>
      <c r="N650" s="83"/>
      <c r="O650" s="87">
        <f>VLOOKUP($B650,BOM!$A$2:$K$94,10,0)</f>
        <v>0</v>
      </c>
      <c r="P650" s="87">
        <f t="shared" si="31"/>
        <v>0</v>
      </c>
    </row>
    <row r="651" spans="2:16" s="45" customFormat="1" ht="20.45" customHeight="1">
      <c r="B651" s="62" t="s">
        <v>33</v>
      </c>
      <c r="C651" s="21" t="s">
        <v>34</v>
      </c>
      <c r="D651" s="85" t="s">
        <v>3</v>
      </c>
      <c r="E651" s="90">
        <f>E652</f>
        <v>0</v>
      </c>
      <c r="F651" s="62"/>
      <c r="G651" s="62"/>
      <c r="H651" s="62"/>
      <c r="I651" s="62"/>
      <c r="J651" s="86"/>
      <c r="K651" s="62" t="s">
        <v>35</v>
      </c>
      <c r="L651" s="62" t="s">
        <v>5</v>
      </c>
      <c r="M651" s="86" t="s">
        <v>6</v>
      </c>
      <c r="N651" s="86" t="s">
        <v>3</v>
      </c>
      <c r="O651" s="87">
        <f>VLOOKUP($B651,BOM!$A$2:$K$94,10,0)</f>
        <v>0</v>
      </c>
      <c r="P651" s="87">
        <f t="shared" si="31"/>
        <v>0</v>
      </c>
    </row>
    <row r="652" spans="2:16" s="45" customFormat="1">
      <c r="B652" s="62" t="s">
        <v>330</v>
      </c>
      <c r="C652" s="21" t="s">
        <v>36</v>
      </c>
      <c r="D652" s="85" t="s">
        <v>3</v>
      </c>
      <c r="E652" s="90">
        <f>G650+H650</f>
        <v>0</v>
      </c>
      <c r="F652" s="62"/>
      <c r="G652" s="62"/>
      <c r="H652" s="62"/>
      <c r="I652" s="62"/>
      <c r="J652" s="86"/>
      <c r="K652" s="62" t="s">
        <v>37</v>
      </c>
      <c r="L652" s="62" t="s">
        <v>5</v>
      </c>
      <c r="M652" s="86" t="s">
        <v>37</v>
      </c>
      <c r="N652" s="86" t="s">
        <v>3</v>
      </c>
      <c r="O652" s="87">
        <f>VLOOKUP($B652,BOM!$A$2:$K$94,10,0)</f>
        <v>0</v>
      </c>
      <c r="P652" s="87">
        <f t="shared" si="31"/>
        <v>0</v>
      </c>
    </row>
    <row r="653" spans="2:16" s="45" customFormat="1" ht="30">
      <c r="B653" s="62" t="s">
        <v>38</v>
      </c>
      <c r="C653" s="21" t="s">
        <v>39</v>
      </c>
      <c r="D653" s="85" t="s">
        <v>3</v>
      </c>
      <c r="E653" s="90">
        <f>E652</f>
        <v>0</v>
      </c>
      <c r="F653" s="62"/>
      <c r="G653" s="62"/>
      <c r="H653" s="62"/>
      <c r="I653" s="62"/>
      <c r="J653" s="86"/>
      <c r="K653" s="62" t="s">
        <v>25</v>
      </c>
      <c r="L653" s="62" t="s">
        <v>5</v>
      </c>
      <c r="M653" s="86" t="s">
        <v>6</v>
      </c>
      <c r="N653" s="86" t="s">
        <v>3</v>
      </c>
      <c r="O653" s="87">
        <f>VLOOKUP($B653,BOM!$A$2:$K$94,10,0)</f>
        <v>0</v>
      </c>
      <c r="P653" s="87">
        <f t="shared" si="31"/>
        <v>0</v>
      </c>
    </row>
    <row r="654" spans="2:16">
      <c r="B654" s="81"/>
      <c r="C654" s="82" t="s">
        <v>40</v>
      </c>
      <c r="D654" s="72"/>
      <c r="E654" s="72"/>
      <c r="F654" s="72"/>
      <c r="G654" s="72"/>
      <c r="H654" s="72">
        <v>47</v>
      </c>
      <c r="I654" s="72"/>
      <c r="J654" s="72"/>
      <c r="K654" s="83"/>
      <c r="L654" s="83"/>
      <c r="M654" s="83"/>
      <c r="N654" s="83"/>
      <c r="O654" s="87">
        <f>VLOOKUP($B654,BOM!$A$2:$K$94,10,0)</f>
        <v>0</v>
      </c>
      <c r="P654" s="87">
        <f t="shared" si="31"/>
        <v>0</v>
      </c>
    </row>
    <row r="655" spans="2:16" s="45" customFormat="1">
      <c r="B655" s="62" t="s">
        <v>41</v>
      </c>
      <c r="C655" s="21" t="s">
        <v>42</v>
      </c>
      <c r="D655" s="85" t="s">
        <v>3</v>
      </c>
      <c r="E655" s="85">
        <f>G654+H654</f>
        <v>47</v>
      </c>
      <c r="F655" s="62"/>
      <c r="G655" s="62"/>
      <c r="H655" s="62"/>
      <c r="I655" s="62"/>
      <c r="J655" s="86"/>
      <c r="K655" s="62" t="s">
        <v>4</v>
      </c>
      <c r="L655" s="62" t="s">
        <v>5</v>
      </c>
      <c r="M655" s="86" t="s">
        <v>6</v>
      </c>
      <c r="N655" s="86" t="s">
        <v>3</v>
      </c>
      <c r="O655" s="87">
        <f>VLOOKUP($B655,BOM!$A$2:$K$94,10,0)</f>
        <v>0</v>
      </c>
      <c r="P655" s="87">
        <f t="shared" si="31"/>
        <v>0</v>
      </c>
    </row>
    <row r="656" spans="2:16" s="45" customFormat="1">
      <c r="B656" s="65" t="s">
        <v>43</v>
      </c>
      <c r="C656" s="103" t="s">
        <v>44</v>
      </c>
      <c r="D656" s="85" t="s">
        <v>3</v>
      </c>
      <c r="E656" s="85">
        <f>E655</f>
        <v>47</v>
      </c>
      <c r="F656" s="62"/>
      <c r="G656" s="62"/>
      <c r="H656" s="62"/>
      <c r="I656" s="62"/>
      <c r="J656" s="86"/>
      <c r="K656" s="62" t="s">
        <v>4</v>
      </c>
      <c r="L656" s="62" t="s">
        <v>5</v>
      </c>
      <c r="M656" s="86" t="s">
        <v>6</v>
      </c>
      <c r="N656" s="86" t="s">
        <v>3</v>
      </c>
      <c r="O656" s="87">
        <f>VLOOKUP($B656,BOM!$A$2:$K$94,10,0)</f>
        <v>0</v>
      </c>
      <c r="P656" s="87">
        <f t="shared" si="31"/>
        <v>0</v>
      </c>
    </row>
    <row r="657" spans="1:16">
      <c r="B657" s="81"/>
      <c r="C657" s="82" t="s">
        <v>45</v>
      </c>
      <c r="D657" s="72"/>
      <c r="E657" s="72"/>
      <c r="F657" s="72"/>
      <c r="G657" s="72"/>
      <c r="H657" s="72"/>
      <c r="I657" s="72"/>
      <c r="J657" s="72"/>
      <c r="K657" s="83"/>
      <c r="L657" s="83"/>
      <c r="M657" s="83"/>
      <c r="N657" s="83"/>
      <c r="O657" s="87">
        <f>VLOOKUP($B657,BOM!$A$2:$K$94,10,0)</f>
        <v>0</v>
      </c>
      <c r="P657" s="87">
        <f t="shared" si="31"/>
        <v>0</v>
      </c>
    </row>
    <row r="658" spans="1:16" s="45" customFormat="1" ht="30">
      <c r="B658" s="62" t="s">
        <v>48</v>
      </c>
      <c r="C658" s="21" t="s">
        <v>49</v>
      </c>
      <c r="D658" s="85" t="s">
        <v>14</v>
      </c>
      <c r="E658" s="85">
        <f>E655+1</f>
        <v>48</v>
      </c>
      <c r="F658" s="62"/>
      <c r="G658" s="62"/>
      <c r="H658" s="62"/>
      <c r="I658" s="62"/>
      <c r="J658" s="86"/>
      <c r="K658" s="62"/>
      <c r="L658" s="62" t="s">
        <v>5</v>
      </c>
      <c r="M658" s="86" t="s">
        <v>6</v>
      </c>
      <c r="N658" s="86" t="s">
        <v>15</v>
      </c>
      <c r="O658" s="87">
        <f>VLOOKUP($B658,BOM!$A$2:$K$94,10,0)</f>
        <v>0</v>
      </c>
      <c r="P658" s="87">
        <f t="shared" si="31"/>
        <v>0</v>
      </c>
    </row>
    <row r="659" spans="1:16" s="45" customFormat="1" ht="30">
      <c r="B659" s="62" t="s">
        <v>48</v>
      </c>
      <c r="C659" s="21" t="s">
        <v>49</v>
      </c>
      <c r="D659" s="85" t="s">
        <v>14</v>
      </c>
      <c r="E659" s="90">
        <f>ROUNDUP(E658*0.2,0)</f>
        <v>10</v>
      </c>
      <c r="F659" s="62"/>
      <c r="G659" s="62"/>
      <c r="H659" s="62"/>
      <c r="I659" s="62"/>
      <c r="J659" s="86"/>
      <c r="K659" s="62" t="s">
        <v>4</v>
      </c>
      <c r="L659" s="62" t="s">
        <v>5</v>
      </c>
      <c r="M659" s="86" t="s">
        <v>6</v>
      </c>
      <c r="N659" s="86" t="s">
        <v>15</v>
      </c>
      <c r="O659" s="87">
        <f>VLOOKUP($B659,BOM!$A$2:$K$94,10,0)</f>
        <v>0</v>
      </c>
      <c r="P659" s="87">
        <f t="shared" si="31"/>
        <v>0</v>
      </c>
    </row>
    <row r="660" spans="1:16">
      <c r="B660" s="81"/>
      <c r="C660" s="82" t="s">
        <v>50</v>
      </c>
      <c r="D660" s="72"/>
      <c r="E660" s="72"/>
      <c r="F660" s="72"/>
      <c r="G660" s="72"/>
      <c r="H660" s="72"/>
      <c r="I660" s="72"/>
      <c r="J660" s="72"/>
      <c r="K660" s="83"/>
      <c r="L660" s="83"/>
      <c r="M660" s="83"/>
      <c r="N660" s="83"/>
      <c r="O660" s="87">
        <f>VLOOKUP($B660,BOM!$A$2:$K$94,10,0)</f>
        <v>0</v>
      </c>
      <c r="P660" s="87">
        <f t="shared" si="31"/>
        <v>0</v>
      </c>
    </row>
    <row r="661" spans="1:16" s="45" customFormat="1">
      <c r="B661" s="62" t="s">
        <v>332</v>
      </c>
      <c r="C661" s="21" t="s">
        <v>332</v>
      </c>
      <c r="D661" s="85" t="s">
        <v>51</v>
      </c>
      <c r="E661" s="85">
        <f>E646</f>
        <v>1</v>
      </c>
      <c r="F661" s="62"/>
      <c r="G661" s="62"/>
      <c r="H661" s="62"/>
      <c r="I661" s="62"/>
      <c r="J661" s="86"/>
      <c r="K661" s="62"/>
      <c r="L661" s="62"/>
      <c r="M661" s="86"/>
      <c r="N661" s="86" t="s">
        <v>51</v>
      </c>
      <c r="O661" s="87">
        <f>VLOOKUP($B661,BOM!$A$2:$K$94,10,0)</f>
        <v>0</v>
      </c>
      <c r="P661" s="87">
        <f t="shared" si="31"/>
        <v>0</v>
      </c>
    </row>
    <row r="662" spans="1:16" s="45" customFormat="1">
      <c r="B662" s="62" t="s">
        <v>52</v>
      </c>
      <c r="C662" s="21" t="s">
        <v>53</v>
      </c>
      <c r="D662" s="86" t="s">
        <v>54</v>
      </c>
      <c r="E662" s="105">
        <f>E659+E658</f>
        <v>58</v>
      </c>
      <c r="F662" s="62"/>
      <c r="G662" s="62"/>
      <c r="H662" s="62"/>
      <c r="I662" s="62"/>
      <c r="J662" s="86"/>
      <c r="K662" s="62"/>
      <c r="L662" s="62"/>
      <c r="M662" s="86" t="s">
        <v>55</v>
      </c>
      <c r="N662" s="86" t="s">
        <v>54</v>
      </c>
      <c r="O662" s="87">
        <f>VLOOKUP($B662,BOM!$A$2:$K$94,10,0)</f>
        <v>0</v>
      </c>
      <c r="P662" s="87">
        <f t="shared" si="31"/>
        <v>0</v>
      </c>
    </row>
    <row r="663" spans="1:16" s="45" customFormat="1" ht="30">
      <c r="B663" s="62" t="s">
        <v>56</v>
      </c>
      <c r="C663" s="21" t="s">
        <v>57</v>
      </c>
      <c r="D663" s="86" t="s">
        <v>14</v>
      </c>
      <c r="E663" s="105">
        <f>E632+E628</f>
        <v>4</v>
      </c>
      <c r="F663" s="62"/>
      <c r="G663" s="62"/>
      <c r="H663" s="62"/>
      <c r="I663" s="62"/>
      <c r="J663" s="86"/>
      <c r="K663" s="62"/>
      <c r="L663" s="62"/>
      <c r="M663" s="86" t="s">
        <v>55</v>
      </c>
      <c r="N663" s="86" t="s">
        <v>14</v>
      </c>
      <c r="O663" s="87">
        <f>VLOOKUP($B663,BOM!$A$2:$K$94,10,0)</f>
        <v>0</v>
      </c>
      <c r="P663" s="87">
        <f t="shared" si="31"/>
        <v>0</v>
      </c>
    </row>
    <row r="664" spans="1:16" s="45" customFormat="1" ht="30">
      <c r="B664" s="62" t="s">
        <v>58</v>
      </c>
      <c r="C664" s="21" t="s">
        <v>59</v>
      </c>
      <c r="D664" s="86" t="s">
        <v>60</v>
      </c>
      <c r="E664" s="105">
        <f>E663*2</f>
        <v>8</v>
      </c>
      <c r="F664" s="62"/>
      <c r="G664" s="62"/>
      <c r="H664" s="62"/>
      <c r="I664" s="62"/>
      <c r="J664" s="86"/>
      <c r="K664" s="62"/>
      <c r="L664" s="62"/>
      <c r="M664" s="86" t="s">
        <v>61</v>
      </c>
      <c r="N664" s="86" t="s">
        <v>60</v>
      </c>
      <c r="O664" s="87">
        <f>VLOOKUP($B664,BOM!$A$2:$K$94,10,0)</f>
        <v>0</v>
      </c>
      <c r="P664" s="87">
        <f t="shared" si="31"/>
        <v>0</v>
      </c>
    </row>
    <row r="665" spans="1:16" s="45" customFormat="1" ht="45">
      <c r="B665" s="62" t="s">
        <v>62</v>
      </c>
      <c r="C665" s="21" t="s">
        <v>63</v>
      </c>
      <c r="D665" s="86" t="s">
        <v>64</v>
      </c>
      <c r="E665" s="105">
        <f>E642</f>
        <v>3</v>
      </c>
      <c r="F665" s="62"/>
      <c r="G665" s="62"/>
      <c r="H665" s="62"/>
      <c r="I665" s="62"/>
      <c r="J665" s="86"/>
      <c r="K665" s="62"/>
      <c r="L665" s="62"/>
      <c r="M665" s="86" t="s">
        <v>61</v>
      </c>
      <c r="N665" s="86" t="s">
        <v>64</v>
      </c>
      <c r="O665" s="87">
        <f>VLOOKUP($B665,BOM!$A$2:$K$94,10,0)</f>
        <v>0</v>
      </c>
      <c r="P665" s="87">
        <f t="shared" si="31"/>
        <v>0</v>
      </c>
    </row>
    <row r="666" spans="1:16">
      <c r="A666" s="35">
        <v>14</v>
      </c>
      <c r="B666" s="36"/>
      <c r="C666" s="37" t="s">
        <v>84</v>
      </c>
      <c r="D666" s="38" t="s">
        <v>0</v>
      </c>
      <c r="E666" s="36">
        <v>1</v>
      </c>
      <c r="F666" s="36"/>
      <c r="G666" s="36">
        <v>8</v>
      </c>
      <c r="H666" s="36"/>
      <c r="I666" s="36"/>
      <c r="J666" s="36">
        <f>SUBTOTAL(9,J669:J693)</f>
        <v>13</v>
      </c>
      <c r="K666" s="39"/>
      <c r="L666" s="39"/>
      <c r="M666" s="39"/>
      <c r="N666" s="39"/>
      <c r="O666" s="87">
        <f>VLOOKUP($B666,BOM!$A$2:$K$94,10,0)</f>
        <v>0</v>
      </c>
      <c r="P666" s="87">
        <f t="shared" si="31"/>
        <v>0</v>
      </c>
    </row>
    <row r="667" spans="1:16">
      <c r="B667" s="81"/>
      <c r="C667" s="82" t="s">
        <v>124</v>
      </c>
      <c r="D667" s="72" t="s">
        <v>0</v>
      </c>
      <c r="E667" s="72">
        <v>1</v>
      </c>
      <c r="F667" s="72"/>
      <c r="G667" s="72"/>
      <c r="H667" s="72"/>
      <c r="I667" s="72"/>
      <c r="J667" s="72"/>
      <c r="K667" s="83"/>
      <c r="L667" s="83"/>
      <c r="M667" s="83"/>
      <c r="N667" s="83"/>
      <c r="O667" s="87">
        <f>VLOOKUP($B667,BOM!$A$2:$K$94,10,0)</f>
        <v>0</v>
      </c>
      <c r="P667" s="87">
        <f t="shared" si="31"/>
        <v>0</v>
      </c>
    </row>
    <row r="668" spans="1:16" s="19" customFormat="1">
      <c r="B668" s="20" t="s">
        <v>226</v>
      </c>
      <c r="C668" s="20" t="s">
        <v>227</v>
      </c>
      <c r="D668" s="21"/>
      <c r="E668" s="22">
        <v>1</v>
      </c>
      <c r="F668" s="21"/>
      <c r="G668" s="21"/>
      <c r="H668" s="21"/>
      <c r="I668" s="21"/>
      <c r="J668" s="22"/>
      <c r="K668" s="21" t="s">
        <v>4</v>
      </c>
      <c r="L668" s="21" t="s">
        <v>203</v>
      </c>
      <c r="M668" s="22" t="s">
        <v>22</v>
      </c>
      <c r="N668" s="22" t="s">
        <v>3</v>
      </c>
      <c r="O668" s="87">
        <f>VLOOKUP($B668,BOM!$A$2:$K$94,10,0)</f>
        <v>0</v>
      </c>
      <c r="P668" s="87">
        <f t="shared" si="31"/>
        <v>0</v>
      </c>
    </row>
    <row r="669" spans="1:16" s="19" customFormat="1">
      <c r="B669" s="21" t="s">
        <v>122</v>
      </c>
      <c r="C669" s="21" t="s">
        <v>123</v>
      </c>
      <c r="D669" s="21"/>
      <c r="E669" s="22">
        <v>1</v>
      </c>
      <c r="F669" s="21"/>
      <c r="G669" s="21"/>
      <c r="H669" s="21"/>
      <c r="I669" s="21"/>
      <c r="J669" s="22">
        <v>1</v>
      </c>
      <c r="K669" s="21" t="s">
        <v>4</v>
      </c>
      <c r="L669" s="21" t="s">
        <v>5</v>
      </c>
      <c r="M669" s="22" t="s">
        <v>22</v>
      </c>
      <c r="N669" s="22" t="s">
        <v>3</v>
      </c>
      <c r="O669" s="87">
        <f>VLOOKUP($B669,BOM!$A$2:$K$94,10,0)</f>
        <v>0</v>
      </c>
      <c r="P669" s="87">
        <f t="shared" si="31"/>
        <v>0</v>
      </c>
    </row>
    <row r="670" spans="1:16">
      <c r="B670" s="81"/>
      <c r="C670" s="82" t="s">
        <v>1</v>
      </c>
      <c r="D670" s="72" t="s">
        <v>0</v>
      </c>
      <c r="E670" s="72">
        <v>1</v>
      </c>
      <c r="F670" s="72"/>
      <c r="G670" s="72">
        <f>ROUNDUP(G666/24,0)</f>
        <v>1</v>
      </c>
      <c r="H670" s="72">
        <f t="shared" ref="H670" si="32">ROUNDUP(H666/24,0)</f>
        <v>0</v>
      </c>
      <c r="I670" s="72"/>
      <c r="J670" s="72"/>
      <c r="K670" s="83"/>
      <c r="L670" s="83"/>
      <c r="M670" s="83"/>
      <c r="N670" s="83"/>
      <c r="O670" s="87">
        <f>VLOOKUP($B670,BOM!$A$2:$K$94,10,0)</f>
        <v>0</v>
      </c>
      <c r="P670" s="87">
        <f t="shared" si="31"/>
        <v>0</v>
      </c>
    </row>
    <row r="671" spans="1:16" s="45" customFormat="1">
      <c r="B671" s="62">
        <v>760249997</v>
      </c>
      <c r="C671" s="21" t="s">
        <v>2</v>
      </c>
      <c r="D671" s="85" t="s">
        <v>3</v>
      </c>
      <c r="E671" s="85">
        <f>ROUNDUP((E673+E677)/3,0)</f>
        <v>1</v>
      </c>
      <c r="F671" s="62"/>
      <c r="G671" s="62"/>
      <c r="H671" s="62"/>
      <c r="I671" s="62"/>
      <c r="J671" s="86">
        <v>1</v>
      </c>
      <c r="K671" s="62" t="s">
        <v>4</v>
      </c>
      <c r="L671" s="62" t="s">
        <v>5</v>
      </c>
      <c r="M671" s="86" t="s">
        <v>6</v>
      </c>
      <c r="N671" s="86" t="s">
        <v>3</v>
      </c>
      <c r="O671" s="87">
        <f>VLOOKUP($B671,BOM!$A$2:$K$94,10,0)</f>
        <v>0</v>
      </c>
      <c r="P671" s="87">
        <f t="shared" si="31"/>
        <v>0</v>
      </c>
    </row>
    <row r="672" spans="1:16" s="45" customFormat="1">
      <c r="B672" s="62">
        <v>760241378</v>
      </c>
      <c r="C672" s="21" t="s">
        <v>7</v>
      </c>
      <c r="D672" s="85" t="s">
        <v>3</v>
      </c>
      <c r="E672" s="85">
        <f>IF(E673&lt;=2,1,ROUNDUP(E671*1.5,0))</f>
        <v>1</v>
      </c>
      <c r="F672" s="62"/>
      <c r="G672" s="62"/>
      <c r="H672" s="62"/>
      <c r="I672" s="62"/>
      <c r="J672" s="86"/>
      <c r="K672" s="62" t="s">
        <v>4</v>
      </c>
      <c r="L672" s="62" t="s">
        <v>5</v>
      </c>
      <c r="M672" s="86" t="s">
        <v>6</v>
      </c>
      <c r="N672" s="86" t="s">
        <v>3</v>
      </c>
      <c r="O672" s="87">
        <f>VLOOKUP($B672,BOM!$A$2:$K$94,10,0)</f>
        <v>0</v>
      </c>
      <c r="P672" s="87">
        <f t="shared" si="31"/>
        <v>0</v>
      </c>
    </row>
    <row r="673" spans="2:16" s="45" customFormat="1">
      <c r="B673" s="62" t="s">
        <v>8</v>
      </c>
      <c r="C673" s="21" t="s">
        <v>9</v>
      </c>
      <c r="D673" s="85" t="s">
        <v>3</v>
      </c>
      <c r="E673" s="85">
        <f>G670</f>
        <v>1</v>
      </c>
      <c r="F673" s="62"/>
      <c r="G673" s="62"/>
      <c r="H673" s="62"/>
      <c r="I673" s="62"/>
      <c r="J673" s="86"/>
      <c r="K673" s="62" t="s">
        <v>4</v>
      </c>
      <c r="L673" s="62" t="s">
        <v>5</v>
      </c>
      <c r="M673" s="86" t="s">
        <v>6</v>
      </c>
      <c r="N673" s="86" t="s">
        <v>3</v>
      </c>
      <c r="O673" s="87">
        <f>VLOOKUP($B673,BOM!$A$2:$K$94,10,0)</f>
        <v>0</v>
      </c>
      <c r="P673" s="87">
        <f t="shared" si="31"/>
        <v>0</v>
      </c>
    </row>
    <row r="674" spans="2:16" s="45" customFormat="1">
      <c r="B674" s="62" t="s">
        <v>10</v>
      </c>
      <c r="C674" s="21" t="s">
        <v>11</v>
      </c>
      <c r="D674" s="85" t="s">
        <v>3</v>
      </c>
      <c r="E674" s="85">
        <f>E671*3-E673-E677</f>
        <v>2</v>
      </c>
      <c r="F674" s="62"/>
      <c r="G674" s="62"/>
      <c r="H674" s="62"/>
      <c r="I674" s="62"/>
      <c r="J674" s="86"/>
      <c r="K674" s="62" t="s">
        <v>4</v>
      </c>
      <c r="L674" s="62" t="s">
        <v>5</v>
      </c>
      <c r="M674" s="86" t="s">
        <v>6</v>
      </c>
      <c r="N674" s="86" t="s">
        <v>3</v>
      </c>
      <c r="O674" s="87">
        <f>VLOOKUP($B674,BOM!$A$2:$K$94,10,0)</f>
        <v>0</v>
      </c>
      <c r="P674" s="87">
        <f t="shared" si="31"/>
        <v>0</v>
      </c>
    </row>
    <row r="675" spans="2:16" s="45" customFormat="1">
      <c r="B675" s="62" t="s">
        <v>12</v>
      </c>
      <c r="C675" s="21" t="s">
        <v>13</v>
      </c>
      <c r="D675" s="85" t="s">
        <v>14</v>
      </c>
      <c r="E675" s="85">
        <f>G666/2</f>
        <v>4</v>
      </c>
      <c r="F675" s="62"/>
      <c r="G675" s="62"/>
      <c r="H675" s="62"/>
      <c r="I675" s="62"/>
      <c r="J675" s="86"/>
      <c r="K675" s="62" t="s">
        <v>4</v>
      </c>
      <c r="L675" s="62" t="s">
        <v>5</v>
      </c>
      <c r="M675" s="86" t="s">
        <v>6</v>
      </c>
      <c r="N675" s="86" t="s">
        <v>15</v>
      </c>
      <c r="O675" s="87">
        <f>VLOOKUP($B675,BOM!$A$2:$K$94,10,0)</f>
        <v>0</v>
      </c>
      <c r="P675" s="87">
        <f t="shared" si="31"/>
        <v>0</v>
      </c>
    </row>
    <row r="676" spans="2:16" s="45" customFormat="1" ht="30">
      <c r="B676" s="62" t="s">
        <v>16</v>
      </c>
      <c r="C676" s="21" t="s">
        <v>17</v>
      </c>
      <c r="D676" s="85" t="s">
        <v>14</v>
      </c>
      <c r="E676" s="85">
        <f>ROUNDUP((E682+E685)*1.3,0)</f>
        <v>2</v>
      </c>
      <c r="F676" s="62"/>
      <c r="G676" s="62"/>
      <c r="H676" s="62"/>
      <c r="I676" s="62"/>
      <c r="J676" s="86"/>
      <c r="K676" s="62" t="s">
        <v>4</v>
      </c>
      <c r="L676" s="62" t="s">
        <v>5</v>
      </c>
      <c r="M676" s="86" t="s">
        <v>6</v>
      </c>
      <c r="N676" s="86" t="s">
        <v>15</v>
      </c>
      <c r="O676" s="87">
        <f>VLOOKUP($B676,BOM!$A$2:$K$94,10,0)</f>
        <v>0</v>
      </c>
      <c r="P676" s="87">
        <f t="shared" si="31"/>
        <v>0</v>
      </c>
    </row>
    <row r="677" spans="2:16" s="110" customFormat="1">
      <c r="B677" s="66" t="s">
        <v>198</v>
      </c>
      <c r="C677" s="106" t="s">
        <v>199</v>
      </c>
      <c r="D677" s="89" t="s">
        <v>3</v>
      </c>
      <c r="E677" s="89">
        <f>H670</f>
        <v>0</v>
      </c>
      <c r="F677" s="66"/>
      <c r="G677" s="66"/>
      <c r="H677" s="66"/>
      <c r="I677" s="66"/>
      <c r="J677" s="107"/>
      <c r="K677" s="108" t="s">
        <v>4</v>
      </c>
      <c r="L677" s="108" t="s">
        <v>5</v>
      </c>
      <c r="M677" s="109" t="s">
        <v>6</v>
      </c>
      <c r="N677" s="109" t="s">
        <v>15</v>
      </c>
      <c r="O677" s="87">
        <f>VLOOKUP($B677,BOM!$A$2:$K$94,10,0)</f>
        <v>0</v>
      </c>
      <c r="P677" s="87">
        <f t="shared" si="31"/>
        <v>0</v>
      </c>
    </row>
    <row r="678" spans="2:16" s="111" customFormat="1">
      <c r="B678" s="66" t="s">
        <v>194</v>
      </c>
      <c r="C678" s="106" t="s">
        <v>195</v>
      </c>
      <c r="D678" s="89" t="s">
        <v>14</v>
      </c>
      <c r="E678" s="89">
        <v>0</v>
      </c>
      <c r="F678" s="108"/>
      <c r="G678" s="108"/>
      <c r="H678" s="108"/>
      <c r="I678" s="108"/>
      <c r="J678" s="109"/>
      <c r="K678" s="108" t="s">
        <v>4</v>
      </c>
      <c r="L678" s="108" t="s">
        <v>5</v>
      </c>
      <c r="M678" s="109" t="s">
        <v>6</v>
      </c>
      <c r="N678" s="109" t="s">
        <v>15</v>
      </c>
      <c r="O678" s="87">
        <f>VLOOKUP($B678,BOM!$A$2:$K$94,10,0)</f>
        <v>0</v>
      </c>
      <c r="P678" s="87">
        <f t="shared" si="31"/>
        <v>0</v>
      </c>
    </row>
    <row r="679" spans="2:16" s="110" customFormat="1">
      <c r="B679" s="66" t="s">
        <v>196</v>
      </c>
      <c r="C679" s="106" t="s">
        <v>197</v>
      </c>
      <c r="D679" s="89" t="s">
        <v>14</v>
      </c>
      <c r="E679" s="89">
        <f>H666/2</f>
        <v>0</v>
      </c>
      <c r="F679" s="66"/>
      <c r="G679" s="66"/>
      <c r="H679" s="66"/>
      <c r="I679" s="66"/>
      <c r="J679" s="107"/>
      <c r="K679" s="108" t="s">
        <v>4</v>
      </c>
      <c r="L679" s="108" t="s">
        <v>5</v>
      </c>
      <c r="M679" s="109" t="s">
        <v>6</v>
      </c>
      <c r="N679" s="109" t="s">
        <v>15</v>
      </c>
      <c r="O679" s="87">
        <f>VLOOKUP($B679,BOM!$A$2:$K$94,10,0)</f>
        <v>0</v>
      </c>
      <c r="P679" s="87">
        <f t="shared" si="31"/>
        <v>0</v>
      </c>
    </row>
    <row r="680" spans="2:16">
      <c r="B680" s="81"/>
      <c r="C680" s="82" t="s">
        <v>26</v>
      </c>
      <c r="D680" s="72" t="s">
        <v>0</v>
      </c>
      <c r="E680" s="72">
        <v>1</v>
      </c>
      <c r="F680" s="72"/>
      <c r="G680" s="72"/>
      <c r="H680" s="72"/>
      <c r="I680" s="72"/>
      <c r="J680" s="72"/>
      <c r="K680" s="83"/>
      <c r="L680" s="83"/>
      <c r="M680" s="83"/>
      <c r="N680" s="83"/>
      <c r="O680" s="87">
        <f>VLOOKUP($B680,BOM!$A$2:$K$94,10,0)</f>
        <v>0</v>
      </c>
      <c r="P680" s="87">
        <f t="shared" si="31"/>
        <v>0</v>
      </c>
    </row>
    <row r="681" spans="2:16" s="45" customFormat="1">
      <c r="B681" s="62"/>
      <c r="C681" s="21"/>
      <c r="D681" s="85"/>
      <c r="E681" s="90"/>
      <c r="F681" s="62"/>
      <c r="G681" s="62"/>
      <c r="H681" s="62"/>
      <c r="I681" s="62"/>
      <c r="J681" s="86"/>
      <c r="K681" s="62"/>
      <c r="L681" s="62"/>
      <c r="M681" s="86"/>
      <c r="N681" s="86"/>
      <c r="O681" s="87">
        <f>VLOOKUP($B681,BOM!$A$2:$K$94,10,0)</f>
        <v>0</v>
      </c>
      <c r="P681" s="87">
        <f t="shared" si="31"/>
        <v>0</v>
      </c>
    </row>
    <row r="682" spans="2:16" s="45" customFormat="1">
      <c r="B682" s="62"/>
      <c r="C682" s="21"/>
      <c r="D682" s="85"/>
      <c r="E682" s="90"/>
      <c r="F682" s="62"/>
      <c r="G682" s="62"/>
      <c r="H682" s="62"/>
      <c r="I682" s="62"/>
      <c r="J682" s="86"/>
      <c r="K682" s="62"/>
      <c r="L682" s="62"/>
      <c r="M682" s="86"/>
      <c r="N682" s="86"/>
      <c r="O682" s="87">
        <f>VLOOKUP($B682,BOM!$A$2:$K$94,10,0)</f>
        <v>0</v>
      </c>
      <c r="P682" s="87">
        <f t="shared" si="31"/>
        <v>0</v>
      </c>
    </row>
    <row r="683" spans="2:16">
      <c r="B683" s="81"/>
      <c r="C683" s="82" t="s">
        <v>145</v>
      </c>
      <c r="D683" s="72" t="s">
        <v>0</v>
      </c>
      <c r="E683" s="72">
        <v>2</v>
      </c>
      <c r="F683" s="72"/>
      <c r="G683" s="72"/>
      <c r="H683" s="72"/>
      <c r="I683" s="72"/>
      <c r="J683" s="72"/>
      <c r="K683" s="83"/>
      <c r="L683" s="83"/>
      <c r="M683" s="83"/>
      <c r="N683" s="83"/>
      <c r="O683" s="87">
        <f>VLOOKUP($B683,BOM!$A$2:$K$94,10,0)</f>
        <v>0</v>
      </c>
      <c r="P683" s="87">
        <f t="shared" si="31"/>
        <v>0</v>
      </c>
    </row>
    <row r="684" spans="2:16" s="45" customFormat="1" ht="30">
      <c r="B684" s="48" t="s">
        <v>303</v>
      </c>
      <c r="C684" s="49" t="s">
        <v>304</v>
      </c>
      <c r="D684" s="42" t="s">
        <v>64</v>
      </c>
      <c r="E684" s="43">
        <v>1</v>
      </c>
      <c r="F684" s="41"/>
      <c r="G684" s="41"/>
      <c r="H684" s="41"/>
      <c r="I684" s="41"/>
      <c r="J684" s="44">
        <v>1</v>
      </c>
      <c r="K684" s="41" t="s">
        <v>143</v>
      </c>
      <c r="L684" s="41" t="s">
        <v>151</v>
      </c>
      <c r="M684" s="44" t="s">
        <v>144</v>
      </c>
      <c r="N684" s="44" t="s">
        <v>64</v>
      </c>
      <c r="O684" s="87">
        <f>VLOOKUP($B684,BOM!$A$2:$K$94,10,0)</f>
        <v>0</v>
      </c>
      <c r="P684" s="87">
        <f t="shared" si="31"/>
        <v>0</v>
      </c>
    </row>
    <row r="685" spans="2:16" s="45" customFormat="1" ht="30">
      <c r="B685" s="41" t="s">
        <v>137</v>
      </c>
      <c r="C685" s="46" t="s">
        <v>138</v>
      </c>
      <c r="D685" s="42" t="s">
        <v>64</v>
      </c>
      <c r="E685" s="47">
        <f>E684</f>
        <v>1</v>
      </c>
      <c r="F685" s="41"/>
      <c r="G685" s="41"/>
      <c r="H685" s="41"/>
      <c r="I685" s="41"/>
      <c r="J685" s="44"/>
      <c r="K685" s="41" t="s">
        <v>143</v>
      </c>
      <c r="L685" s="41" t="s">
        <v>151</v>
      </c>
      <c r="M685" s="44" t="s">
        <v>144</v>
      </c>
      <c r="N685" s="44" t="s">
        <v>64</v>
      </c>
      <c r="O685" s="87">
        <f>VLOOKUP($B685,BOM!$A$2:$K$94,10,0)</f>
        <v>0</v>
      </c>
      <c r="P685" s="87">
        <f t="shared" si="31"/>
        <v>0</v>
      </c>
    </row>
    <row r="686" spans="2:16" outlineLevel="1">
      <c r="B686" s="117"/>
      <c r="C686" s="118" t="s">
        <v>67</v>
      </c>
      <c r="D686" s="119" t="s">
        <v>0</v>
      </c>
      <c r="E686" s="120">
        <v>1</v>
      </c>
      <c r="F686" s="121"/>
      <c r="G686" s="121"/>
      <c r="H686" s="121" t="s">
        <v>69</v>
      </c>
      <c r="I686" s="122"/>
      <c r="J686" s="122">
        <v>1</v>
      </c>
      <c r="K686" s="63"/>
      <c r="L686" s="63"/>
      <c r="M686" s="63"/>
      <c r="N686" s="63"/>
      <c r="O686" s="87">
        <f>VLOOKUP($B686,BOM!$A$2:$K$94,10,0)</f>
        <v>0</v>
      </c>
      <c r="P686" s="87">
        <f t="shared" si="31"/>
        <v>0</v>
      </c>
    </row>
    <row r="687" spans="2:16" outlineLevel="1">
      <c r="B687" s="117"/>
      <c r="C687" s="118" t="s">
        <v>70</v>
      </c>
      <c r="D687" s="119" t="s">
        <v>0</v>
      </c>
      <c r="E687" s="120">
        <v>1</v>
      </c>
      <c r="F687" s="121"/>
      <c r="G687" s="121"/>
      <c r="H687" s="121" t="s">
        <v>69</v>
      </c>
      <c r="I687" s="122"/>
      <c r="J687" s="122">
        <v>1</v>
      </c>
      <c r="K687" s="63"/>
      <c r="L687" s="63"/>
      <c r="M687" s="63"/>
      <c r="N687" s="63"/>
      <c r="O687" s="87">
        <f>VLOOKUP($B687,BOM!$A$2:$K$94,10,0)</f>
        <v>0</v>
      </c>
      <c r="P687" s="87">
        <f t="shared" si="31"/>
        <v>0</v>
      </c>
    </row>
    <row r="688" spans="2:16">
      <c r="B688" s="81"/>
      <c r="C688" s="82" t="s">
        <v>18</v>
      </c>
      <c r="D688" s="72" t="s">
        <v>0</v>
      </c>
      <c r="E688" s="72">
        <v>1</v>
      </c>
      <c r="F688" s="72"/>
      <c r="G688" s="72"/>
      <c r="H688" s="72"/>
      <c r="I688" s="72"/>
      <c r="J688" s="72"/>
      <c r="K688" s="83"/>
      <c r="L688" s="83"/>
      <c r="M688" s="83"/>
      <c r="N688" s="83"/>
      <c r="O688" s="87">
        <f>VLOOKUP($B688,BOM!$A$2:$K$94,10,0)</f>
        <v>0</v>
      </c>
      <c r="P688" s="87">
        <f t="shared" si="31"/>
        <v>0</v>
      </c>
    </row>
    <row r="689" spans="2:16" s="45" customFormat="1" ht="30">
      <c r="B689" s="62">
        <v>760237046</v>
      </c>
      <c r="C689" s="21" t="s">
        <v>19</v>
      </c>
      <c r="D689" s="85" t="s">
        <v>3</v>
      </c>
      <c r="E689" s="85">
        <f>E681+E684</f>
        <v>1</v>
      </c>
      <c r="F689" s="62"/>
      <c r="G689" s="62"/>
      <c r="H689" s="62"/>
      <c r="I689" s="62"/>
      <c r="J689" s="86">
        <v>1</v>
      </c>
      <c r="K689" s="62" t="s">
        <v>4</v>
      </c>
      <c r="L689" s="62" t="s">
        <v>5</v>
      </c>
      <c r="M689" s="86" t="s">
        <v>6</v>
      </c>
      <c r="N689" s="86" t="s">
        <v>3</v>
      </c>
      <c r="O689" s="87">
        <f>VLOOKUP($B689,BOM!$A$2:$K$94,10,0)</f>
        <v>0</v>
      </c>
      <c r="P689" s="87">
        <f t="shared" si="31"/>
        <v>0</v>
      </c>
    </row>
    <row r="690" spans="2:16" s="45" customFormat="1" ht="30">
      <c r="B690" s="62" t="s">
        <v>23</v>
      </c>
      <c r="C690" s="21" t="s">
        <v>24</v>
      </c>
      <c r="D690" s="85" t="s">
        <v>3</v>
      </c>
      <c r="E690" s="85">
        <f>E689*24</f>
        <v>24</v>
      </c>
      <c r="F690" s="62"/>
      <c r="G690" s="62"/>
      <c r="H690" s="62"/>
      <c r="I690" s="62"/>
      <c r="J690" s="86"/>
      <c r="K690" s="62" t="s">
        <v>25</v>
      </c>
      <c r="L690" s="62" t="s">
        <v>5</v>
      </c>
      <c r="M690" s="86" t="s">
        <v>6</v>
      </c>
      <c r="N690" s="86" t="s">
        <v>3</v>
      </c>
      <c r="O690" s="87">
        <f>VLOOKUP($B690,BOM!$A$2:$K$94,10,0)</f>
        <v>0</v>
      </c>
      <c r="P690" s="87">
        <f t="shared" si="31"/>
        <v>0</v>
      </c>
    </row>
    <row r="691" spans="2:16" s="45" customFormat="1">
      <c r="B691" s="62" t="s">
        <v>20</v>
      </c>
      <c r="C691" s="21" t="s">
        <v>21</v>
      </c>
      <c r="D691" s="85" t="s">
        <v>3</v>
      </c>
      <c r="E691" s="85">
        <f>E689</f>
        <v>1</v>
      </c>
      <c r="F691" s="62"/>
      <c r="G691" s="62"/>
      <c r="H691" s="62"/>
      <c r="I691" s="62"/>
      <c r="J691" s="86">
        <v>1</v>
      </c>
      <c r="K691" s="62" t="s">
        <v>4</v>
      </c>
      <c r="L691" s="62" t="s">
        <v>5</v>
      </c>
      <c r="M691" s="86" t="s">
        <v>22</v>
      </c>
      <c r="N691" s="86" t="s">
        <v>3</v>
      </c>
      <c r="O691" s="87">
        <f>VLOOKUP($B691,BOM!$A$2:$K$94,10,0)</f>
        <v>0</v>
      </c>
      <c r="P691" s="87">
        <f t="shared" si="31"/>
        <v>0</v>
      </c>
    </row>
    <row r="692" spans="2:16">
      <c r="B692" s="81"/>
      <c r="C692" s="82" t="s">
        <v>71</v>
      </c>
      <c r="D692" s="72" t="s">
        <v>0</v>
      </c>
      <c r="E692" s="72">
        <v>1</v>
      </c>
      <c r="F692" s="72"/>
      <c r="G692" s="72"/>
      <c r="H692" s="72"/>
      <c r="I692" s="72"/>
      <c r="J692" s="72"/>
      <c r="K692" s="83"/>
      <c r="L692" s="83"/>
      <c r="M692" s="83"/>
      <c r="N692" s="83"/>
      <c r="O692" s="87">
        <f>VLOOKUP($B692,BOM!$A$2:$K$94,10,0)</f>
        <v>0</v>
      </c>
      <c r="P692" s="87">
        <f t="shared" si="31"/>
        <v>0</v>
      </c>
    </row>
    <row r="693" spans="2:16" s="45" customFormat="1">
      <c r="B693" s="62" t="s">
        <v>312</v>
      </c>
      <c r="C693" s="21" t="s">
        <v>315</v>
      </c>
      <c r="D693" s="116" t="s">
        <v>51</v>
      </c>
      <c r="E693" s="85">
        <v>1</v>
      </c>
      <c r="F693" s="62"/>
      <c r="G693" s="62"/>
      <c r="H693" s="62"/>
      <c r="I693" s="62"/>
      <c r="J693" s="86">
        <f>E693*6</f>
        <v>6</v>
      </c>
      <c r="K693" s="62"/>
      <c r="L693" s="62" t="s">
        <v>5</v>
      </c>
      <c r="M693" s="86" t="s">
        <v>28</v>
      </c>
      <c r="N693" s="86" t="s">
        <v>3</v>
      </c>
      <c r="O693" s="87">
        <f>VLOOKUP($B693,BOM!$A$2:$K$94,10,0)</f>
        <v>0</v>
      </c>
      <c r="P693" s="87">
        <f t="shared" si="31"/>
        <v>0</v>
      </c>
    </row>
    <row r="694" spans="2:16" s="45" customFormat="1">
      <c r="B694" s="62"/>
      <c r="C694" s="21"/>
      <c r="D694" s="116"/>
      <c r="E694" s="85"/>
      <c r="F694" s="62"/>
      <c r="G694" s="62"/>
      <c r="H694" s="62"/>
      <c r="I694" s="62"/>
      <c r="J694" s="86"/>
      <c r="K694" s="62"/>
      <c r="L694" s="62"/>
      <c r="M694" s="86"/>
      <c r="N694" s="86"/>
      <c r="O694" s="87">
        <f>VLOOKUP($B694,BOM!$A$2:$K$94,10,0)</f>
        <v>0</v>
      </c>
      <c r="P694" s="87">
        <f t="shared" si="31"/>
        <v>0</v>
      </c>
    </row>
    <row r="695" spans="2:16" s="45" customFormat="1">
      <c r="B695" s="62" t="s">
        <v>225</v>
      </c>
      <c r="C695" s="21" t="s">
        <v>72</v>
      </c>
      <c r="D695" s="116" t="s">
        <v>64</v>
      </c>
      <c r="E695" s="85">
        <v>0</v>
      </c>
      <c r="F695" s="62"/>
      <c r="G695" s="62"/>
      <c r="H695" s="62"/>
      <c r="I695" s="62"/>
      <c r="J695" s="86"/>
      <c r="K695" s="62"/>
      <c r="L695" s="62" t="s">
        <v>5</v>
      </c>
      <c r="M695" s="86" t="s">
        <v>28</v>
      </c>
      <c r="N695" s="86" t="s">
        <v>3</v>
      </c>
      <c r="O695" s="87">
        <f>VLOOKUP($B695,BOM!$A$2:$K$94,10,0)</f>
        <v>0</v>
      </c>
      <c r="P695" s="87">
        <f t="shared" si="31"/>
        <v>0</v>
      </c>
    </row>
    <row r="696" spans="2:16">
      <c r="B696" s="81"/>
      <c r="C696" s="82" t="s">
        <v>31</v>
      </c>
      <c r="D696" s="72" t="s">
        <v>0</v>
      </c>
      <c r="E696" s="72">
        <v>1</v>
      </c>
      <c r="F696" s="72"/>
      <c r="G696" s="72"/>
      <c r="H696" s="72"/>
      <c r="I696" s="72"/>
      <c r="J696" s="72"/>
      <c r="K696" s="83"/>
      <c r="L696" s="83"/>
      <c r="M696" s="83"/>
      <c r="N696" s="83"/>
      <c r="O696" s="87">
        <f>VLOOKUP($B696,BOM!$A$2:$K$94,10,0)</f>
        <v>0</v>
      </c>
      <c r="P696" s="87">
        <f t="shared" si="31"/>
        <v>0</v>
      </c>
    </row>
    <row r="697" spans="2:16">
      <c r="B697" s="81"/>
      <c r="C697" s="82" t="s">
        <v>32</v>
      </c>
      <c r="D697" s="72"/>
      <c r="E697" s="72"/>
      <c r="F697" s="72"/>
      <c r="G697" s="72"/>
      <c r="H697" s="72"/>
      <c r="I697" s="72"/>
      <c r="J697" s="72"/>
      <c r="K697" s="83"/>
      <c r="L697" s="83"/>
      <c r="M697" s="83"/>
      <c r="N697" s="83"/>
      <c r="O697" s="87">
        <f>VLOOKUP($B697,BOM!$A$2:$K$94,10,0)</f>
        <v>0</v>
      </c>
      <c r="P697" s="87">
        <f t="shared" si="31"/>
        <v>0</v>
      </c>
    </row>
    <row r="698" spans="2:16" s="45" customFormat="1" ht="20.45" customHeight="1">
      <c r="B698" s="62" t="s">
        <v>33</v>
      </c>
      <c r="C698" s="21" t="s">
        <v>34</v>
      </c>
      <c r="D698" s="85" t="s">
        <v>3</v>
      </c>
      <c r="E698" s="90">
        <f>E699</f>
        <v>0</v>
      </c>
      <c r="F698" s="62"/>
      <c r="G698" s="62"/>
      <c r="H698" s="62"/>
      <c r="I698" s="62"/>
      <c r="J698" s="86"/>
      <c r="K698" s="62" t="s">
        <v>35</v>
      </c>
      <c r="L698" s="62" t="s">
        <v>5</v>
      </c>
      <c r="M698" s="86" t="s">
        <v>6</v>
      </c>
      <c r="N698" s="86" t="s">
        <v>3</v>
      </c>
      <c r="O698" s="87">
        <f>VLOOKUP($B698,BOM!$A$2:$K$94,10,0)</f>
        <v>0</v>
      </c>
      <c r="P698" s="87">
        <f t="shared" si="31"/>
        <v>0</v>
      </c>
    </row>
    <row r="699" spans="2:16" s="45" customFormat="1">
      <c r="B699" s="62" t="s">
        <v>330</v>
      </c>
      <c r="C699" s="21" t="s">
        <v>36</v>
      </c>
      <c r="D699" s="85" t="s">
        <v>3</v>
      </c>
      <c r="E699" s="90">
        <f>G697+H697</f>
        <v>0</v>
      </c>
      <c r="F699" s="62"/>
      <c r="G699" s="62"/>
      <c r="H699" s="62"/>
      <c r="I699" s="62"/>
      <c r="J699" s="86"/>
      <c r="K699" s="62" t="s">
        <v>37</v>
      </c>
      <c r="L699" s="62" t="s">
        <v>5</v>
      </c>
      <c r="M699" s="86" t="s">
        <v>37</v>
      </c>
      <c r="N699" s="86" t="s">
        <v>3</v>
      </c>
      <c r="O699" s="87">
        <f>VLOOKUP($B699,BOM!$A$2:$K$94,10,0)</f>
        <v>0</v>
      </c>
      <c r="P699" s="87">
        <f t="shared" si="31"/>
        <v>0</v>
      </c>
    </row>
    <row r="700" spans="2:16" s="45" customFormat="1" ht="30">
      <c r="B700" s="62" t="s">
        <v>38</v>
      </c>
      <c r="C700" s="21" t="s">
        <v>39</v>
      </c>
      <c r="D700" s="85" t="s">
        <v>3</v>
      </c>
      <c r="E700" s="90">
        <f>E699</f>
        <v>0</v>
      </c>
      <c r="F700" s="62"/>
      <c r="G700" s="62"/>
      <c r="H700" s="62"/>
      <c r="I700" s="62"/>
      <c r="J700" s="86"/>
      <c r="K700" s="62" t="s">
        <v>25</v>
      </c>
      <c r="L700" s="62" t="s">
        <v>5</v>
      </c>
      <c r="M700" s="86" t="s">
        <v>6</v>
      </c>
      <c r="N700" s="86" t="s">
        <v>3</v>
      </c>
      <c r="O700" s="87">
        <f>VLOOKUP($B700,BOM!$A$2:$K$94,10,0)</f>
        <v>0</v>
      </c>
      <c r="P700" s="87">
        <f t="shared" si="31"/>
        <v>0</v>
      </c>
    </row>
    <row r="701" spans="2:16">
      <c r="B701" s="81"/>
      <c r="C701" s="82" t="s">
        <v>40</v>
      </c>
      <c r="D701" s="72"/>
      <c r="E701" s="72"/>
      <c r="F701" s="72"/>
      <c r="G701" s="72"/>
      <c r="H701" s="72">
        <v>7</v>
      </c>
      <c r="I701" s="72"/>
      <c r="J701" s="72"/>
      <c r="K701" s="83"/>
      <c r="L701" s="83"/>
      <c r="M701" s="83"/>
      <c r="N701" s="83"/>
      <c r="O701" s="87">
        <f>VLOOKUP($B701,BOM!$A$2:$K$94,10,0)</f>
        <v>0</v>
      </c>
      <c r="P701" s="87">
        <f t="shared" si="31"/>
        <v>0</v>
      </c>
    </row>
    <row r="702" spans="2:16" s="45" customFormat="1">
      <c r="B702" s="62" t="s">
        <v>41</v>
      </c>
      <c r="C702" s="21" t="s">
        <v>42</v>
      </c>
      <c r="D702" s="85" t="s">
        <v>3</v>
      </c>
      <c r="E702" s="85">
        <f>G701+H701</f>
        <v>7</v>
      </c>
      <c r="F702" s="62"/>
      <c r="G702" s="62"/>
      <c r="H702" s="62"/>
      <c r="I702" s="62"/>
      <c r="J702" s="86"/>
      <c r="K702" s="62" t="s">
        <v>4</v>
      </c>
      <c r="L702" s="62" t="s">
        <v>5</v>
      </c>
      <c r="M702" s="86" t="s">
        <v>6</v>
      </c>
      <c r="N702" s="86" t="s">
        <v>3</v>
      </c>
      <c r="O702" s="87">
        <f>VLOOKUP($B702,BOM!$A$2:$K$94,10,0)</f>
        <v>0</v>
      </c>
      <c r="P702" s="87">
        <f t="shared" si="31"/>
        <v>0</v>
      </c>
    </row>
    <row r="703" spans="2:16" s="45" customFormat="1">
      <c r="B703" s="65" t="s">
        <v>43</v>
      </c>
      <c r="C703" s="103" t="s">
        <v>44</v>
      </c>
      <c r="D703" s="85" t="s">
        <v>3</v>
      </c>
      <c r="E703" s="85">
        <f>E702</f>
        <v>7</v>
      </c>
      <c r="F703" s="62"/>
      <c r="G703" s="62"/>
      <c r="H703" s="62"/>
      <c r="I703" s="62"/>
      <c r="J703" s="86"/>
      <c r="K703" s="62" t="s">
        <v>4</v>
      </c>
      <c r="L703" s="62" t="s">
        <v>5</v>
      </c>
      <c r="M703" s="86" t="s">
        <v>6</v>
      </c>
      <c r="N703" s="86" t="s">
        <v>3</v>
      </c>
      <c r="O703" s="87">
        <f>VLOOKUP($B703,BOM!$A$2:$K$94,10,0)</f>
        <v>0</v>
      </c>
      <c r="P703" s="87">
        <f t="shared" si="31"/>
        <v>0</v>
      </c>
    </row>
    <row r="704" spans="2:16">
      <c r="B704" s="81"/>
      <c r="C704" s="82" t="s">
        <v>45</v>
      </c>
      <c r="D704" s="72"/>
      <c r="E704" s="72"/>
      <c r="F704" s="72"/>
      <c r="G704" s="72"/>
      <c r="H704" s="72"/>
      <c r="I704" s="72"/>
      <c r="J704" s="72"/>
      <c r="K704" s="83"/>
      <c r="L704" s="83"/>
      <c r="M704" s="83"/>
      <c r="N704" s="83"/>
      <c r="O704" s="87">
        <f>VLOOKUP($B704,BOM!$A$2:$K$94,10,0)</f>
        <v>0</v>
      </c>
      <c r="P704" s="87">
        <f t="shared" si="31"/>
        <v>0</v>
      </c>
    </row>
    <row r="705" spans="1:16" s="45" customFormat="1" ht="30">
      <c r="B705" s="62" t="s">
        <v>48</v>
      </c>
      <c r="C705" s="21" t="s">
        <v>49</v>
      </c>
      <c r="D705" s="85" t="s">
        <v>14</v>
      </c>
      <c r="E705" s="85">
        <f>E702+1</f>
        <v>8</v>
      </c>
      <c r="F705" s="62"/>
      <c r="G705" s="62"/>
      <c r="H705" s="62"/>
      <c r="I705" s="62"/>
      <c r="J705" s="86"/>
      <c r="K705" s="62"/>
      <c r="L705" s="62" t="s">
        <v>5</v>
      </c>
      <c r="M705" s="86" t="s">
        <v>6</v>
      </c>
      <c r="N705" s="86" t="s">
        <v>15</v>
      </c>
      <c r="O705" s="87">
        <f>VLOOKUP($B705,BOM!$A$2:$K$94,10,0)</f>
        <v>0</v>
      </c>
      <c r="P705" s="87">
        <f t="shared" si="31"/>
        <v>0</v>
      </c>
    </row>
    <row r="706" spans="1:16" s="45" customFormat="1" ht="30">
      <c r="B706" s="62" t="s">
        <v>48</v>
      </c>
      <c r="C706" s="21" t="s">
        <v>49</v>
      </c>
      <c r="D706" s="85" t="s">
        <v>14</v>
      </c>
      <c r="E706" s="90">
        <f>ROUNDUP(E705*0.2,0)</f>
        <v>2</v>
      </c>
      <c r="F706" s="62"/>
      <c r="G706" s="62"/>
      <c r="H706" s="62"/>
      <c r="I706" s="62"/>
      <c r="J706" s="86"/>
      <c r="K706" s="62" t="s">
        <v>4</v>
      </c>
      <c r="L706" s="62" t="s">
        <v>5</v>
      </c>
      <c r="M706" s="86" t="s">
        <v>6</v>
      </c>
      <c r="N706" s="86" t="s">
        <v>15</v>
      </c>
      <c r="O706" s="87">
        <f>VLOOKUP($B706,BOM!$A$2:$K$94,10,0)</f>
        <v>0</v>
      </c>
      <c r="P706" s="87">
        <f t="shared" si="31"/>
        <v>0</v>
      </c>
    </row>
    <row r="707" spans="1:16">
      <c r="B707" s="81"/>
      <c r="C707" s="82" t="s">
        <v>50</v>
      </c>
      <c r="D707" s="72"/>
      <c r="E707" s="72"/>
      <c r="F707" s="72"/>
      <c r="G707" s="72"/>
      <c r="H707" s="72"/>
      <c r="I707" s="72"/>
      <c r="J707" s="72"/>
      <c r="K707" s="83"/>
      <c r="L707" s="83"/>
      <c r="M707" s="83"/>
      <c r="N707" s="83"/>
      <c r="O707" s="87">
        <f>VLOOKUP($B707,BOM!$A$2:$K$94,10,0)</f>
        <v>0</v>
      </c>
      <c r="P707" s="87">
        <f t="shared" si="31"/>
        <v>0</v>
      </c>
    </row>
    <row r="708" spans="1:16" s="45" customFormat="1">
      <c r="B708" s="62" t="s">
        <v>332</v>
      </c>
      <c r="C708" s="21" t="s">
        <v>332</v>
      </c>
      <c r="D708" s="85" t="s">
        <v>51</v>
      </c>
      <c r="E708" s="85">
        <f>E693</f>
        <v>1</v>
      </c>
      <c r="F708" s="62"/>
      <c r="G708" s="62"/>
      <c r="H708" s="62"/>
      <c r="I708" s="62"/>
      <c r="J708" s="86"/>
      <c r="K708" s="62"/>
      <c r="L708" s="62"/>
      <c r="M708" s="86"/>
      <c r="N708" s="86" t="s">
        <v>51</v>
      </c>
      <c r="O708" s="87">
        <f>VLOOKUP($B708,BOM!$A$2:$K$94,10,0)</f>
        <v>0</v>
      </c>
      <c r="P708" s="87">
        <f t="shared" ref="P708:P771" si="33">O708*E708</f>
        <v>0</v>
      </c>
    </row>
    <row r="709" spans="1:16" s="45" customFormat="1">
      <c r="B709" s="62" t="s">
        <v>52</v>
      </c>
      <c r="C709" s="21" t="s">
        <v>53</v>
      </c>
      <c r="D709" s="86" t="s">
        <v>54</v>
      </c>
      <c r="E709" s="105">
        <f>E706+E705</f>
        <v>10</v>
      </c>
      <c r="F709" s="62"/>
      <c r="G709" s="62"/>
      <c r="H709" s="62"/>
      <c r="I709" s="62"/>
      <c r="J709" s="86"/>
      <c r="K709" s="62"/>
      <c r="L709" s="62"/>
      <c r="M709" s="86" t="s">
        <v>55</v>
      </c>
      <c r="N709" s="86" t="s">
        <v>54</v>
      </c>
      <c r="O709" s="87">
        <f>VLOOKUP($B709,BOM!$A$2:$K$94,10,0)</f>
        <v>0</v>
      </c>
      <c r="P709" s="87">
        <f t="shared" si="33"/>
        <v>0</v>
      </c>
    </row>
    <row r="710" spans="1:16" s="45" customFormat="1" ht="30">
      <c r="B710" s="62" t="s">
        <v>56</v>
      </c>
      <c r="C710" s="21" t="s">
        <v>57</v>
      </c>
      <c r="D710" s="86" t="s">
        <v>14</v>
      </c>
      <c r="E710" s="105">
        <f>E679+E675</f>
        <v>4</v>
      </c>
      <c r="F710" s="62"/>
      <c r="G710" s="62"/>
      <c r="H710" s="62"/>
      <c r="I710" s="62"/>
      <c r="J710" s="86"/>
      <c r="K710" s="62"/>
      <c r="L710" s="62"/>
      <c r="M710" s="86" t="s">
        <v>55</v>
      </c>
      <c r="N710" s="86" t="s">
        <v>14</v>
      </c>
      <c r="O710" s="87">
        <f>VLOOKUP($B710,BOM!$A$2:$K$94,10,0)</f>
        <v>0</v>
      </c>
      <c r="P710" s="87">
        <f t="shared" si="33"/>
        <v>0</v>
      </c>
    </row>
    <row r="711" spans="1:16" s="45" customFormat="1" ht="30">
      <c r="B711" s="62" t="s">
        <v>58</v>
      </c>
      <c r="C711" s="21" t="s">
        <v>59</v>
      </c>
      <c r="D711" s="86" t="s">
        <v>60</v>
      </c>
      <c r="E711" s="105">
        <f>E710*2</f>
        <v>8</v>
      </c>
      <c r="F711" s="62"/>
      <c r="G711" s="62"/>
      <c r="H711" s="62"/>
      <c r="I711" s="62"/>
      <c r="J711" s="86"/>
      <c r="K711" s="62"/>
      <c r="L711" s="62"/>
      <c r="M711" s="86" t="s">
        <v>61</v>
      </c>
      <c r="N711" s="86" t="s">
        <v>60</v>
      </c>
      <c r="O711" s="87">
        <f>VLOOKUP($B711,BOM!$A$2:$K$94,10,0)</f>
        <v>0</v>
      </c>
      <c r="P711" s="87">
        <f t="shared" si="33"/>
        <v>0</v>
      </c>
    </row>
    <row r="712" spans="1:16" s="45" customFormat="1" ht="45">
      <c r="B712" s="62" t="s">
        <v>62</v>
      </c>
      <c r="C712" s="21" t="s">
        <v>63</v>
      </c>
      <c r="D712" s="86" t="s">
        <v>64</v>
      </c>
      <c r="E712" s="105">
        <f>E689</f>
        <v>1</v>
      </c>
      <c r="F712" s="62"/>
      <c r="G712" s="62"/>
      <c r="H712" s="62"/>
      <c r="I712" s="62"/>
      <c r="J712" s="86"/>
      <c r="K712" s="62"/>
      <c r="L712" s="62"/>
      <c r="M712" s="86" t="s">
        <v>61</v>
      </c>
      <c r="N712" s="86" t="s">
        <v>64</v>
      </c>
      <c r="O712" s="87">
        <f>VLOOKUP($B712,BOM!$A$2:$K$94,10,0)</f>
        <v>0</v>
      </c>
      <c r="P712" s="87">
        <f t="shared" si="33"/>
        <v>0</v>
      </c>
    </row>
    <row r="713" spans="1:16">
      <c r="A713" s="35">
        <v>15</v>
      </c>
      <c r="B713" s="36"/>
      <c r="C713" s="37" t="s">
        <v>85</v>
      </c>
      <c r="D713" s="38" t="s">
        <v>0</v>
      </c>
      <c r="E713" s="36">
        <v>1</v>
      </c>
      <c r="F713" s="36"/>
      <c r="G713" s="36">
        <v>8</v>
      </c>
      <c r="H713" s="36">
        <v>0</v>
      </c>
      <c r="I713" s="36"/>
      <c r="J713" s="36">
        <f>SUBTOTAL(9,J716:J740)</f>
        <v>13</v>
      </c>
      <c r="K713" s="39"/>
      <c r="L713" s="39"/>
      <c r="M713" s="39"/>
      <c r="N713" s="39"/>
      <c r="O713" s="87">
        <f>VLOOKUP($B713,BOM!$A$2:$K$94,10,0)</f>
        <v>0</v>
      </c>
      <c r="P713" s="87">
        <f t="shared" si="33"/>
        <v>0</v>
      </c>
    </row>
    <row r="714" spans="1:16">
      <c r="B714" s="81"/>
      <c r="C714" s="82" t="s">
        <v>124</v>
      </c>
      <c r="D714" s="72" t="s">
        <v>0</v>
      </c>
      <c r="E714" s="72">
        <v>1</v>
      </c>
      <c r="F714" s="72"/>
      <c r="G714" s="72"/>
      <c r="H714" s="72"/>
      <c r="I714" s="72"/>
      <c r="J714" s="72"/>
      <c r="K714" s="83"/>
      <c r="L714" s="83"/>
      <c r="M714" s="83"/>
      <c r="N714" s="83"/>
      <c r="O714" s="87">
        <f>VLOOKUP($B714,BOM!$A$2:$K$94,10,0)</f>
        <v>0</v>
      </c>
      <c r="P714" s="87">
        <f t="shared" si="33"/>
        <v>0</v>
      </c>
    </row>
    <row r="715" spans="1:16" s="19" customFormat="1">
      <c r="B715" s="20" t="s">
        <v>226</v>
      </c>
      <c r="C715" s="20" t="s">
        <v>227</v>
      </c>
      <c r="D715" s="21"/>
      <c r="E715" s="22">
        <v>1</v>
      </c>
      <c r="F715" s="21"/>
      <c r="G715" s="21"/>
      <c r="H715" s="21"/>
      <c r="I715" s="21"/>
      <c r="J715" s="22"/>
      <c r="K715" s="21" t="s">
        <v>4</v>
      </c>
      <c r="L715" s="21" t="s">
        <v>203</v>
      </c>
      <c r="M715" s="22" t="s">
        <v>22</v>
      </c>
      <c r="N715" s="22" t="s">
        <v>3</v>
      </c>
      <c r="O715" s="87">
        <f>VLOOKUP($B715,BOM!$A$2:$K$94,10,0)</f>
        <v>0</v>
      </c>
      <c r="P715" s="87">
        <f t="shared" si="33"/>
        <v>0</v>
      </c>
    </row>
    <row r="716" spans="1:16" s="19" customFormat="1">
      <c r="B716" s="21" t="s">
        <v>122</v>
      </c>
      <c r="C716" s="21" t="s">
        <v>123</v>
      </c>
      <c r="D716" s="21"/>
      <c r="E716" s="22">
        <v>1</v>
      </c>
      <c r="F716" s="21"/>
      <c r="G716" s="21"/>
      <c r="H716" s="21"/>
      <c r="I716" s="21"/>
      <c r="J716" s="22">
        <v>1</v>
      </c>
      <c r="K716" s="21" t="s">
        <v>4</v>
      </c>
      <c r="L716" s="21" t="s">
        <v>5</v>
      </c>
      <c r="M716" s="22" t="s">
        <v>22</v>
      </c>
      <c r="N716" s="22" t="s">
        <v>3</v>
      </c>
      <c r="O716" s="87">
        <f>VLOOKUP($B716,BOM!$A$2:$K$94,10,0)</f>
        <v>0</v>
      </c>
      <c r="P716" s="87">
        <f t="shared" si="33"/>
        <v>0</v>
      </c>
    </row>
    <row r="717" spans="1:16">
      <c r="B717" s="81"/>
      <c r="C717" s="82" t="s">
        <v>1</v>
      </c>
      <c r="D717" s="72" t="s">
        <v>0</v>
      </c>
      <c r="E717" s="72">
        <v>1</v>
      </c>
      <c r="F717" s="72"/>
      <c r="G717" s="72">
        <f>ROUNDUP(G713/24,0)</f>
        <v>1</v>
      </c>
      <c r="H717" s="72">
        <f t="shared" ref="H717" si="34">ROUNDUP(H713/24,0)</f>
        <v>0</v>
      </c>
      <c r="I717" s="72"/>
      <c r="J717" s="72"/>
      <c r="K717" s="83"/>
      <c r="L717" s="83"/>
      <c r="M717" s="83"/>
      <c r="N717" s="83"/>
      <c r="O717" s="87">
        <f>VLOOKUP($B717,BOM!$A$2:$K$94,10,0)</f>
        <v>0</v>
      </c>
      <c r="P717" s="87">
        <f t="shared" si="33"/>
        <v>0</v>
      </c>
    </row>
    <row r="718" spans="1:16" s="45" customFormat="1">
      <c r="B718" s="62">
        <v>760249997</v>
      </c>
      <c r="C718" s="21" t="s">
        <v>2</v>
      </c>
      <c r="D718" s="85" t="s">
        <v>3</v>
      </c>
      <c r="E718" s="85">
        <f>ROUNDUP((E720+E724)/3,0)</f>
        <v>1</v>
      </c>
      <c r="F718" s="62"/>
      <c r="G718" s="62"/>
      <c r="H718" s="62"/>
      <c r="I718" s="62"/>
      <c r="J718" s="86">
        <v>1</v>
      </c>
      <c r="K718" s="62" t="s">
        <v>4</v>
      </c>
      <c r="L718" s="62" t="s">
        <v>5</v>
      </c>
      <c r="M718" s="86" t="s">
        <v>6</v>
      </c>
      <c r="N718" s="86" t="s">
        <v>3</v>
      </c>
      <c r="O718" s="87">
        <f>VLOOKUP($B718,BOM!$A$2:$K$94,10,0)</f>
        <v>0</v>
      </c>
      <c r="P718" s="87">
        <f t="shared" si="33"/>
        <v>0</v>
      </c>
    </row>
    <row r="719" spans="1:16" s="45" customFormat="1">
      <c r="B719" s="62">
        <v>760241378</v>
      </c>
      <c r="C719" s="21" t="s">
        <v>7</v>
      </c>
      <c r="D719" s="85" t="s">
        <v>3</v>
      </c>
      <c r="E719" s="85">
        <f>IF(E720&lt;=2,1,ROUNDUP(E718*1.5,0))</f>
        <v>1</v>
      </c>
      <c r="F719" s="62"/>
      <c r="G719" s="62"/>
      <c r="H719" s="62"/>
      <c r="I719" s="62"/>
      <c r="J719" s="86"/>
      <c r="K719" s="62" t="s">
        <v>4</v>
      </c>
      <c r="L719" s="62" t="s">
        <v>5</v>
      </c>
      <c r="M719" s="86" t="s">
        <v>6</v>
      </c>
      <c r="N719" s="86" t="s">
        <v>3</v>
      </c>
      <c r="O719" s="87">
        <f>VLOOKUP($B719,BOM!$A$2:$K$94,10,0)</f>
        <v>0</v>
      </c>
      <c r="P719" s="87">
        <f t="shared" si="33"/>
        <v>0</v>
      </c>
    </row>
    <row r="720" spans="1:16" s="45" customFormat="1">
      <c r="B720" s="62" t="s">
        <v>8</v>
      </c>
      <c r="C720" s="21" t="s">
        <v>9</v>
      </c>
      <c r="D720" s="85" t="s">
        <v>3</v>
      </c>
      <c r="E720" s="85">
        <f>G717</f>
        <v>1</v>
      </c>
      <c r="F720" s="62"/>
      <c r="G720" s="62"/>
      <c r="H720" s="62"/>
      <c r="I720" s="62"/>
      <c r="J720" s="86"/>
      <c r="K720" s="62" t="s">
        <v>4</v>
      </c>
      <c r="L720" s="62" t="s">
        <v>5</v>
      </c>
      <c r="M720" s="86" t="s">
        <v>6</v>
      </c>
      <c r="N720" s="86" t="s">
        <v>3</v>
      </c>
      <c r="O720" s="87">
        <f>VLOOKUP($B720,BOM!$A$2:$K$94,10,0)</f>
        <v>0</v>
      </c>
      <c r="P720" s="87">
        <f t="shared" si="33"/>
        <v>0</v>
      </c>
    </row>
    <row r="721" spans="2:16" s="45" customFormat="1">
      <c r="B721" s="62" t="s">
        <v>10</v>
      </c>
      <c r="C721" s="21" t="s">
        <v>11</v>
      </c>
      <c r="D721" s="85" t="s">
        <v>3</v>
      </c>
      <c r="E721" s="85">
        <f>E718*3-E720-E724</f>
        <v>2</v>
      </c>
      <c r="F721" s="62"/>
      <c r="G721" s="62"/>
      <c r="H721" s="62"/>
      <c r="I721" s="62"/>
      <c r="J721" s="86"/>
      <c r="K721" s="62" t="s">
        <v>4</v>
      </c>
      <c r="L721" s="62" t="s">
        <v>5</v>
      </c>
      <c r="M721" s="86" t="s">
        <v>6</v>
      </c>
      <c r="N721" s="86" t="s">
        <v>3</v>
      </c>
      <c r="O721" s="87">
        <f>VLOOKUP($B721,BOM!$A$2:$K$94,10,0)</f>
        <v>0</v>
      </c>
      <c r="P721" s="87">
        <f t="shared" si="33"/>
        <v>0</v>
      </c>
    </row>
    <row r="722" spans="2:16" s="45" customFormat="1">
      <c r="B722" s="62" t="s">
        <v>12</v>
      </c>
      <c r="C722" s="21" t="s">
        <v>13</v>
      </c>
      <c r="D722" s="85" t="s">
        <v>14</v>
      </c>
      <c r="E722" s="85">
        <f>G713/2</f>
        <v>4</v>
      </c>
      <c r="F722" s="62"/>
      <c r="G722" s="62"/>
      <c r="H722" s="62"/>
      <c r="I722" s="62"/>
      <c r="J722" s="86"/>
      <c r="K722" s="62" t="s">
        <v>4</v>
      </c>
      <c r="L722" s="62" t="s">
        <v>5</v>
      </c>
      <c r="M722" s="86" t="s">
        <v>6</v>
      </c>
      <c r="N722" s="86" t="s">
        <v>15</v>
      </c>
      <c r="O722" s="87">
        <f>VLOOKUP($B722,BOM!$A$2:$K$94,10,0)</f>
        <v>0</v>
      </c>
      <c r="P722" s="87">
        <f t="shared" si="33"/>
        <v>0</v>
      </c>
    </row>
    <row r="723" spans="2:16" s="45" customFormat="1" ht="30">
      <c r="B723" s="62" t="s">
        <v>16</v>
      </c>
      <c r="C723" s="21" t="s">
        <v>17</v>
      </c>
      <c r="D723" s="85" t="s">
        <v>14</v>
      </c>
      <c r="E723" s="85">
        <f>ROUNDUP((E729+E732)*1.3,0)</f>
        <v>2</v>
      </c>
      <c r="F723" s="62"/>
      <c r="G723" s="62"/>
      <c r="H723" s="62"/>
      <c r="I723" s="62"/>
      <c r="J723" s="86"/>
      <c r="K723" s="62" t="s">
        <v>4</v>
      </c>
      <c r="L723" s="62" t="s">
        <v>5</v>
      </c>
      <c r="M723" s="86" t="s">
        <v>6</v>
      </c>
      <c r="N723" s="86" t="s">
        <v>15</v>
      </c>
      <c r="O723" s="87">
        <f>VLOOKUP($B723,BOM!$A$2:$K$94,10,0)</f>
        <v>0</v>
      </c>
      <c r="P723" s="87">
        <f t="shared" si="33"/>
        <v>0</v>
      </c>
    </row>
    <row r="724" spans="2:16" s="110" customFormat="1">
      <c r="B724" s="66" t="s">
        <v>198</v>
      </c>
      <c r="C724" s="106" t="s">
        <v>199</v>
      </c>
      <c r="D724" s="89" t="s">
        <v>3</v>
      </c>
      <c r="E724" s="89">
        <f>H717</f>
        <v>0</v>
      </c>
      <c r="F724" s="66"/>
      <c r="G724" s="66"/>
      <c r="H724" s="66"/>
      <c r="I724" s="66"/>
      <c r="J724" s="107"/>
      <c r="K724" s="108" t="s">
        <v>4</v>
      </c>
      <c r="L724" s="108" t="s">
        <v>5</v>
      </c>
      <c r="M724" s="109" t="s">
        <v>6</v>
      </c>
      <c r="N724" s="109" t="s">
        <v>15</v>
      </c>
      <c r="O724" s="87">
        <f>VLOOKUP($B724,BOM!$A$2:$K$94,10,0)</f>
        <v>0</v>
      </c>
      <c r="P724" s="87">
        <f t="shared" si="33"/>
        <v>0</v>
      </c>
    </row>
    <row r="725" spans="2:16" s="111" customFormat="1">
      <c r="B725" s="66" t="s">
        <v>194</v>
      </c>
      <c r="C725" s="106" t="s">
        <v>195</v>
      </c>
      <c r="D725" s="89" t="s">
        <v>14</v>
      </c>
      <c r="E725" s="89">
        <v>0</v>
      </c>
      <c r="F725" s="108"/>
      <c r="G725" s="108"/>
      <c r="H725" s="108"/>
      <c r="I725" s="108"/>
      <c r="J725" s="109"/>
      <c r="K725" s="108" t="s">
        <v>4</v>
      </c>
      <c r="L725" s="108" t="s">
        <v>5</v>
      </c>
      <c r="M725" s="109" t="s">
        <v>6</v>
      </c>
      <c r="N725" s="109" t="s">
        <v>15</v>
      </c>
      <c r="O725" s="87">
        <f>VLOOKUP($B725,BOM!$A$2:$K$94,10,0)</f>
        <v>0</v>
      </c>
      <c r="P725" s="87">
        <f t="shared" si="33"/>
        <v>0</v>
      </c>
    </row>
    <row r="726" spans="2:16" s="110" customFormat="1">
      <c r="B726" s="66" t="s">
        <v>196</v>
      </c>
      <c r="C726" s="106" t="s">
        <v>197</v>
      </c>
      <c r="D726" s="89" t="s">
        <v>14</v>
      </c>
      <c r="E726" s="89">
        <f>H713/2</f>
        <v>0</v>
      </c>
      <c r="F726" s="66"/>
      <c r="G726" s="66"/>
      <c r="H726" s="66"/>
      <c r="I726" s="66"/>
      <c r="J726" s="107"/>
      <c r="K726" s="108" t="s">
        <v>4</v>
      </c>
      <c r="L726" s="108" t="s">
        <v>5</v>
      </c>
      <c r="M726" s="109" t="s">
        <v>6</v>
      </c>
      <c r="N726" s="109" t="s">
        <v>15</v>
      </c>
      <c r="O726" s="87">
        <f>VLOOKUP($B726,BOM!$A$2:$K$94,10,0)</f>
        <v>0</v>
      </c>
      <c r="P726" s="87">
        <f t="shared" si="33"/>
        <v>0</v>
      </c>
    </row>
    <row r="727" spans="2:16">
      <c r="B727" s="81"/>
      <c r="C727" s="82" t="s">
        <v>26</v>
      </c>
      <c r="D727" s="72" t="s">
        <v>0</v>
      </c>
      <c r="E727" s="72">
        <v>1</v>
      </c>
      <c r="F727" s="72"/>
      <c r="G727" s="72"/>
      <c r="H727" s="72"/>
      <c r="I727" s="72"/>
      <c r="J727" s="72"/>
      <c r="K727" s="83"/>
      <c r="L727" s="83"/>
      <c r="M727" s="83"/>
      <c r="N727" s="83"/>
      <c r="O727" s="87">
        <f>VLOOKUP($B727,BOM!$A$2:$K$94,10,0)</f>
        <v>0</v>
      </c>
      <c r="P727" s="87">
        <f t="shared" si="33"/>
        <v>0</v>
      </c>
    </row>
    <row r="728" spans="2:16" s="45" customFormat="1">
      <c r="B728" s="62"/>
      <c r="C728" s="21"/>
      <c r="D728" s="85"/>
      <c r="E728" s="90"/>
      <c r="F728" s="62"/>
      <c r="G728" s="62"/>
      <c r="H728" s="62"/>
      <c r="I728" s="62"/>
      <c r="J728" s="86"/>
      <c r="K728" s="62"/>
      <c r="L728" s="62"/>
      <c r="M728" s="86"/>
      <c r="N728" s="86"/>
      <c r="O728" s="87">
        <f>VLOOKUP($B728,BOM!$A$2:$K$94,10,0)</f>
        <v>0</v>
      </c>
      <c r="P728" s="87">
        <f t="shared" si="33"/>
        <v>0</v>
      </c>
    </row>
    <row r="729" spans="2:16" s="45" customFormat="1">
      <c r="B729" s="62"/>
      <c r="C729" s="21"/>
      <c r="D729" s="85"/>
      <c r="E729" s="90"/>
      <c r="F729" s="62"/>
      <c r="G729" s="62"/>
      <c r="H729" s="62"/>
      <c r="I729" s="62"/>
      <c r="J729" s="86"/>
      <c r="K729" s="62"/>
      <c r="L729" s="62"/>
      <c r="M729" s="86"/>
      <c r="N729" s="86"/>
      <c r="O729" s="87">
        <f>VLOOKUP($B729,BOM!$A$2:$K$94,10,0)</f>
        <v>0</v>
      </c>
      <c r="P729" s="87">
        <f t="shared" si="33"/>
        <v>0</v>
      </c>
    </row>
    <row r="730" spans="2:16">
      <c r="B730" s="81"/>
      <c r="C730" s="82" t="s">
        <v>145</v>
      </c>
      <c r="D730" s="72" t="s">
        <v>0</v>
      </c>
      <c r="E730" s="72">
        <v>2</v>
      </c>
      <c r="F730" s="72"/>
      <c r="G730" s="72"/>
      <c r="H730" s="72"/>
      <c r="I730" s="72"/>
      <c r="J730" s="72"/>
      <c r="K730" s="83"/>
      <c r="L730" s="83"/>
      <c r="M730" s="83"/>
      <c r="N730" s="83"/>
      <c r="O730" s="87">
        <f>VLOOKUP($B730,BOM!$A$2:$K$94,10,0)</f>
        <v>0</v>
      </c>
      <c r="P730" s="87">
        <f t="shared" si="33"/>
        <v>0</v>
      </c>
    </row>
    <row r="731" spans="2:16" s="45" customFormat="1" ht="30">
      <c r="B731" s="48" t="s">
        <v>303</v>
      </c>
      <c r="C731" s="49" t="s">
        <v>304</v>
      </c>
      <c r="D731" s="42" t="s">
        <v>64</v>
      </c>
      <c r="E731" s="43">
        <v>1</v>
      </c>
      <c r="F731" s="41"/>
      <c r="G731" s="41"/>
      <c r="H731" s="41"/>
      <c r="I731" s="41"/>
      <c r="J731" s="44">
        <v>1</v>
      </c>
      <c r="K731" s="41" t="s">
        <v>143</v>
      </c>
      <c r="L731" s="41" t="s">
        <v>151</v>
      </c>
      <c r="M731" s="44" t="s">
        <v>144</v>
      </c>
      <c r="N731" s="44" t="s">
        <v>64</v>
      </c>
      <c r="O731" s="87">
        <f>VLOOKUP($B731,BOM!$A$2:$K$94,10,0)</f>
        <v>0</v>
      </c>
      <c r="P731" s="87">
        <f t="shared" si="33"/>
        <v>0</v>
      </c>
    </row>
    <row r="732" spans="2:16" s="45" customFormat="1" ht="30">
      <c r="B732" s="41" t="s">
        <v>137</v>
      </c>
      <c r="C732" s="46" t="s">
        <v>138</v>
      </c>
      <c r="D732" s="42" t="s">
        <v>64</v>
      </c>
      <c r="E732" s="47">
        <f>E731</f>
        <v>1</v>
      </c>
      <c r="F732" s="41"/>
      <c r="G732" s="41"/>
      <c r="H732" s="41"/>
      <c r="I732" s="41"/>
      <c r="J732" s="44"/>
      <c r="K732" s="41" t="s">
        <v>143</v>
      </c>
      <c r="L732" s="41" t="s">
        <v>151</v>
      </c>
      <c r="M732" s="44" t="s">
        <v>144</v>
      </c>
      <c r="N732" s="44" t="s">
        <v>64</v>
      </c>
      <c r="O732" s="87">
        <f>VLOOKUP($B732,BOM!$A$2:$K$94,10,0)</f>
        <v>0</v>
      </c>
      <c r="P732" s="87">
        <f t="shared" si="33"/>
        <v>0</v>
      </c>
    </row>
    <row r="733" spans="2:16" outlineLevel="1">
      <c r="B733" s="117"/>
      <c r="C733" s="118" t="s">
        <v>67</v>
      </c>
      <c r="D733" s="119" t="s">
        <v>0</v>
      </c>
      <c r="E733" s="120"/>
      <c r="F733" s="121"/>
      <c r="G733" s="121"/>
      <c r="H733" s="121" t="s">
        <v>69</v>
      </c>
      <c r="I733" s="122"/>
      <c r="J733" s="122">
        <v>1</v>
      </c>
      <c r="K733" s="63"/>
      <c r="L733" s="63"/>
      <c r="M733" s="63"/>
      <c r="N733" s="63"/>
      <c r="O733" s="87">
        <f>VLOOKUP($B733,BOM!$A$2:$K$94,10,0)</f>
        <v>0</v>
      </c>
      <c r="P733" s="87">
        <f t="shared" si="33"/>
        <v>0</v>
      </c>
    </row>
    <row r="734" spans="2:16" outlineLevel="1">
      <c r="B734" s="117"/>
      <c r="C734" s="118" t="s">
        <v>70</v>
      </c>
      <c r="D734" s="119" t="s">
        <v>0</v>
      </c>
      <c r="E734" s="120">
        <v>1</v>
      </c>
      <c r="F734" s="121"/>
      <c r="G734" s="121"/>
      <c r="H734" s="121" t="s">
        <v>69</v>
      </c>
      <c r="I734" s="122"/>
      <c r="J734" s="122">
        <v>1</v>
      </c>
      <c r="K734" s="63"/>
      <c r="L734" s="63"/>
      <c r="M734" s="63"/>
      <c r="N734" s="63"/>
      <c r="O734" s="87">
        <f>VLOOKUP($B734,BOM!$A$2:$K$94,10,0)</f>
        <v>0</v>
      </c>
      <c r="P734" s="87">
        <f t="shared" si="33"/>
        <v>0</v>
      </c>
    </row>
    <row r="735" spans="2:16">
      <c r="B735" s="81"/>
      <c r="C735" s="82" t="s">
        <v>18</v>
      </c>
      <c r="D735" s="72" t="s">
        <v>0</v>
      </c>
      <c r="E735" s="72">
        <v>1</v>
      </c>
      <c r="F735" s="72"/>
      <c r="G735" s="72"/>
      <c r="H735" s="72"/>
      <c r="I735" s="72"/>
      <c r="J735" s="72"/>
      <c r="K735" s="83"/>
      <c r="L735" s="83"/>
      <c r="M735" s="83"/>
      <c r="N735" s="83"/>
      <c r="O735" s="87">
        <f>VLOOKUP($B735,BOM!$A$2:$K$94,10,0)</f>
        <v>0</v>
      </c>
      <c r="P735" s="87">
        <f t="shared" si="33"/>
        <v>0</v>
      </c>
    </row>
    <row r="736" spans="2:16" s="45" customFormat="1" ht="30">
      <c r="B736" s="62">
        <v>760237046</v>
      </c>
      <c r="C736" s="21" t="s">
        <v>19</v>
      </c>
      <c r="D736" s="85" t="s">
        <v>3</v>
      </c>
      <c r="E736" s="85">
        <f>E728+E731</f>
        <v>1</v>
      </c>
      <c r="F736" s="62"/>
      <c r="G736" s="62"/>
      <c r="H736" s="62"/>
      <c r="I736" s="62"/>
      <c r="J736" s="86">
        <v>1</v>
      </c>
      <c r="K736" s="62" t="s">
        <v>4</v>
      </c>
      <c r="L736" s="62" t="s">
        <v>5</v>
      </c>
      <c r="M736" s="86" t="s">
        <v>6</v>
      </c>
      <c r="N736" s="86" t="s">
        <v>3</v>
      </c>
      <c r="O736" s="87">
        <f>VLOOKUP($B736,BOM!$A$2:$K$94,10,0)</f>
        <v>0</v>
      </c>
      <c r="P736" s="87">
        <f t="shared" si="33"/>
        <v>0</v>
      </c>
    </row>
    <row r="737" spans="2:16" s="45" customFormat="1" ht="30">
      <c r="B737" s="62" t="s">
        <v>23</v>
      </c>
      <c r="C737" s="21" t="s">
        <v>24</v>
      </c>
      <c r="D737" s="85" t="s">
        <v>3</v>
      </c>
      <c r="E737" s="85">
        <f>E736*24</f>
        <v>24</v>
      </c>
      <c r="F737" s="62"/>
      <c r="G737" s="62"/>
      <c r="H737" s="62"/>
      <c r="I737" s="62"/>
      <c r="J737" s="86"/>
      <c r="K737" s="62" t="s">
        <v>25</v>
      </c>
      <c r="L737" s="62" t="s">
        <v>5</v>
      </c>
      <c r="M737" s="86" t="s">
        <v>6</v>
      </c>
      <c r="N737" s="86" t="s">
        <v>3</v>
      </c>
      <c r="O737" s="87">
        <f>VLOOKUP($B737,BOM!$A$2:$K$94,10,0)</f>
        <v>0</v>
      </c>
      <c r="P737" s="87">
        <f t="shared" si="33"/>
        <v>0</v>
      </c>
    </row>
    <row r="738" spans="2:16" s="45" customFormat="1">
      <c r="B738" s="62" t="s">
        <v>20</v>
      </c>
      <c r="C738" s="21" t="s">
        <v>21</v>
      </c>
      <c r="D738" s="85" t="s">
        <v>3</v>
      </c>
      <c r="E738" s="85">
        <f>E736</f>
        <v>1</v>
      </c>
      <c r="F738" s="62"/>
      <c r="G738" s="62"/>
      <c r="H738" s="62"/>
      <c r="I738" s="62"/>
      <c r="J738" s="86">
        <v>1</v>
      </c>
      <c r="K738" s="62" t="s">
        <v>4</v>
      </c>
      <c r="L738" s="62" t="s">
        <v>5</v>
      </c>
      <c r="M738" s="86" t="s">
        <v>22</v>
      </c>
      <c r="N738" s="86" t="s">
        <v>3</v>
      </c>
      <c r="O738" s="87">
        <f>VLOOKUP($B738,BOM!$A$2:$K$94,10,0)</f>
        <v>0</v>
      </c>
      <c r="P738" s="87">
        <f t="shared" si="33"/>
        <v>0</v>
      </c>
    </row>
    <row r="739" spans="2:16">
      <c r="B739" s="81"/>
      <c r="C739" s="82" t="s">
        <v>71</v>
      </c>
      <c r="D739" s="72" t="s">
        <v>0</v>
      </c>
      <c r="E739" s="72">
        <v>1</v>
      </c>
      <c r="F739" s="72"/>
      <c r="G739" s="72"/>
      <c r="H739" s="72"/>
      <c r="I739" s="72"/>
      <c r="J739" s="72"/>
      <c r="K739" s="83"/>
      <c r="L739" s="83"/>
      <c r="M739" s="83"/>
      <c r="N739" s="83"/>
      <c r="O739" s="87">
        <f>VLOOKUP($B739,BOM!$A$2:$K$94,10,0)</f>
        <v>0</v>
      </c>
      <c r="P739" s="87">
        <f t="shared" si="33"/>
        <v>0</v>
      </c>
    </row>
    <row r="740" spans="2:16" s="45" customFormat="1">
      <c r="B740" s="62" t="s">
        <v>312</v>
      </c>
      <c r="C740" s="21" t="s">
        <v>315</v>
      </c>
      <c r="D740" s="116" t="s">
        <v>51</v>
      </c>
      <c r="E740" s="85">
        <v>1</v>
      </c>
      <c r="F740" s="62"/>
      <c r="G740" s="62"/>
      <c r="H740" s="62"/>
      <c r="I740" s="62"/>
      <c r="J740" s="86">
        <f>E740*6</f>
        <v>6</v>
      </c>
      <c r="K740" s="62"/>
      <c r="L740" s="62" t="s">
        <v>5</v>
      </c>
      <c r="M740" s="86" t="s">
        <v>28</v>
      </c>
      <c r="N740" s="86" t="s">
        <v>3</v>
      </c>
      <c r="O740" s="87">
        <f>VLOOKUP($B740,BOM!$A$2:$K$94,10,0)</f>
        <v>0</v>
      </c>
      <c r="P740" s="87">
        <f t="shared" si="33"/>
        <v>0</v>
      </c>
    </row>
    <row r="741" spans="2:16" s="45" customFormat="1">
      <c r="B741" s="62"/>
      <c r="C741" s="21"/>
      <c r="D741" s="116"/>
      <c r="E741" s="85"/>
      <c r="F741" s="62"/>
      <c r="G741" s="62"/>
      <c r="H741" s="62"/>
      <c r="I741" s="62"/>
      <c r="J741" s="86"/>
      <c r="K741" s="62"/>
      <c r="L741" s="62"/>
      <c r="M741" s="86"/>
      <c r="N741" s="86"/>
      <c r="O741" s="87">
        <f>VLOOKUP($B741,BOM!$A$2:$K$94,10,0)</f>
        <v>0</v>
      </c>
      <c r="P741" s="87">
        <f t="shared" si="33"/>
        <v>0</v>
      </c>
    </row>
    <row r="742" spans="2:16" s="45" customFormat="1">
      <c r="B742" s="62" t="s">
        <v>225</v>
      </c>
      <c r="C742" s="21" t="s">
        <v>72</v>
      </c>
      <c r="D742" s="116" t="s">
        <v>64</v>
      </c>
      <c r="E742" s="85">
        <v>0</v>
      </c>
      <c r="F742" s="62"/>
      <c r="G742" s="62"/>
      <c r="H742" s="62"/>
      <c r="I742" s="62"/>
      <c r="J742" s="86"/>
      <c r="K742" s="62"/>
      <c r="L742" s="62" t="s">
        <v>5</v>
      </c>
      <c r="M742" s="86" t="s">
        <v>28</v>
      </c>
      <c r="N742" s="86" t="s">
        <v>3</v>
      </c>
      <c r="O742" s="87">
        <f>VLOOKUP($B742,BOM!$A$2:$K$94,10,0)</f>
        <v>0</v>
      </c>
      <c r="P742" s="87">
        <f t="shared" si="33"/>
        <v>0</v>
      </c>
    </row>
    <row r="743" spans="2:16">
      <c r="B743" s="81"/>
      <c r="C743" s="82" t="s">
        <v>31</v>
      </c>
      <c r="D743" s="72" t="s">
        <v>0</v>
      </c>
      <c r="E743" s="72">
        <v>1</v>
      </c>
      <c r="F743" s="72"/>
      <c r="G743" s="72"/>
      <c r="H743" s="72"/>
      <c r="I743" s="72"/>
      <c r="J743" s="72"/>
      <c r="K743" s="83"/>
      <c r="L743" s="83"/>
      <c r="M743" s="83"/>
      <c r="N743" s="83"/>
      <c r="O743" s="87">
        <f>VLOOKUP($B743,BOM!$A$2:$K$94,10,0)</f>
        <v>0</v>
      </c>
      <c r="P743" s="87">
        <f t="shared" si="33"/>
        <v>0</v>
      </c>
    </row>
    <row r="744" spans="2:16">
      <c r="B744" s="81"/>
      <c r="C744" s="82" t="s">
        <v>32</v>
      </c>
      <c r="D744" s="72"/>
      <c r="E744" s="72"/>
      <c r="F744" s="72"/>
      <c r="G744" s="72"/>
      <c r="H744" s="72"/>
      <c r="I744" s="72"/>
      <c r="J744" s="72"/>
      <c r="K744" s="83"/>
      <c r="L744" s="83"/>
      <c r="M744" s="83"/>
      <c r="N744" s="83"/>
      <c r="O744" s="87">
        <f>VLOOKUP($B744,BOM!$A$2:$K$94,10,0)</f>
        <v>0</v>
      </c>
      <c r="P744" s="87">
        <f t="shared" si="33"/>
        <v>0</v>
      </c>
    </row>
    <row r="745" spans="2:16" s="45" customFormat="1" ht="20.45" customHeight="1">
      <c r="B745" s="62" t="s">
        <v>33</v>
      </c>
      <c r="C745" s="21" t="s">
        <v>34</v>
      </c>
      <c r="D745" s="85" t="s">
        <v>3</v>
      </c>
      <c r="E745" s="90">
        <f>E746</f>
        <v>0</v>
      </c>
      <c r="F745" s="62"/>
      <c r="G745" s="62"/>
      <c r="H745" s="62"/>
      <c r="I745" s="62"/>
      <c r="J745" s="86"/>
      <c r="K745" s="62" t="s">
        <v>35</v>
      </c>
      <c r="L745" s="62" t="s">
        <v>5</v>
      </c>
      <c r="M745" s="86" t="s">
        <v>6</v>
      </c>
      <c r="N745" s="86" t="s">
        <v>3</v>
      </c>
      <c r="O745" s="87">
        <f>VLOOKUP($B745,BOM!$A$2:$K$94,10,0)</f>
        <v>0</v>
      </c>
      <c r="P745" s="87">
        <f t="shared" si="33"/>
        <v>0</v>
      </c>
    </row>
    <row r="746" spans="2:16" s="45" customFormat="1">
      <c r="B746" s="62" t="s">
        <v>330</v>
      </c>
      <c r="C746" s="21" t="s">
        <v>36</v>
      </c>
      <c r="D746" s="85" t="s">
        <v>3</v>
      </c>
      <c r="E746" s="90">
        <f>G744+H744</f>
        <v>0</v>
      </c>
      <c r="F746" s="62"/>
      <c r="G746" s="62"/>
      <c r="H746" s="62"/>
      <c r="I746" s="62"/>
      <c r="J746" s="86"/>
      <c r="K746" s="62" t="s">
        <v>37</v>
      </c>
      <c r="L746" s="62" t="s">
        <v>5</v>
      </c>
      <c r="M746" s="86" t="s">
        <v>37</v>
      </c>
      <c r="N746" s="86" t="s">
        <v>3</v>
      </c>
      <c r="O746" s="87">
        <f>VLOOKUP($B746,BOM!$A$2:$K$94,10,0)</f>
        <v>0</v>
      </c>
      <c r="P746" s="87">
        <f t="shared" si="33"/>
        <v>0</v>
      </c>
    </row>
    <row r="747" spans="2:16" s="45" customFormat="1" ht="30">
      <c r="B747" s="62" t="s">
        <v>38</v>
      </c>
      <c r="C747" s="21" t="s">
        <v>39</v>
      </c>
      <c r="D747" s="85" t="s">
        <v>3</v>
      </c>
      <c r="E747" s="90">
        <f>E746</f>
        <v>0</v>
      </c>
      <c r="F747" s="62"/>
      <c r="G747" s="62"/>
      <c r="H747" s="62"/>
      <c r="I747" s="62"/>
      <c r="J747" s="86"/>
      <c r="K747" s="62" t="s">
        <v>25</v>
      </c>
      <c r="L747" s="62" t="s">
        <v>5</v>
      </c>
      <c r="M747" s="86" t="s">
        <v>6</v>
      </c>
      <c r="N747" s="86" t="s">
        <v>3</v>
      </c>
      <c r="O747" s="87">
        <f>VLOOKUP($B747,BOM!$A$2:$K$94,10,0)</f>
        <v>0</v>
      </c>
      <c r="P747" s="87">
        <f t="shared" si="33"/>
        <v>0</v>
      </c>
    </row>
    <row r="748" spans="2:16">
      <c r="B748" s="81"/>
      <c r="C748" s="82" t="s">
        <v>40</v>
      </c>
      <c r="D748" s="72"/>
      <c r="E748" s="72"/>
      <c r="F748" s="72"/>
      <c r="G748" s="72"/>
      <c r="H748" s="72">
        <v>8</v>
      </c>
      <c r="I748" s="72"/>
      <c r="J748" s="72"/>
      <c r="K748" s="83"/>
      <c r="L748" s="83"/>
      <c r="M748" s="83"/>
      <c r="N748" s="83"/>
      <c r="O748" s="87">
        <f>VLOOKUP($B748,BOM!$A$2:$K$94,10,0)</f>
        <v>0</v>
      </c>
      <c r="P748" s="87">
        <f t="shared" si="33"/>
        <v>0</v>
      </c>
    </row>
    <row r="749" spans="2:16" s="45" customFormat="1">
      <c r="B749" s="62" t="s">
        <v>41</v>
      </c>
      <c r="C749" s="21" t="s">
        <v>42</v>
      </c>
      <c r="D749" s="85" t="s">
        <v>3</v>
      </c>
      <c r="E749" s="85">
        <f>G748+H748</f>
        <v>8</v>
      </c>
      <c r="F749" s="62"/>
      <c r="G749" s="62"/>
      <c r="H749" s="62"/>
      <c r="I749" s="62"/>
      <c r="J749" s="86"/>
      <c r="K749" s="62" t="s">
        <v>4</v>
      </c>
      <c r="L749" s="62" t="s">
        <v>5</v>
      </c>
      <c r="M749" s="86" t="s">
        <v>6</v>
      </c>
      <c r="N749" s="86" t="s">
        <v>3</v>
      </c>
      <c r="O749" s="87">
        <f>VLOOKUP($B749,BOM!$A$2:$K$94,10,0)</f>
        <v>0</v>
      </c>
      <c r="P749" s="87">
        <f t="shared" si="33"/>
        <v>0</v>
      </c>
    </row>
    <row r="750" spans="2:16" s="45" customFormat="1">
      <c r="B750" s="65" t="s">
        <v>43</v>
      </c>
      <c r="C750" s="103" t="s">
        <v>44</v>
      </c>
      <c r="D750" s="85" t="s">
        <v>3</v>
      </c>
      <c r="E750" s="85">
        <f>E749</f>
        <v>8</v>
      </c>
      <c r="F750" s="62"/>
      <c r="G750" s="62"/>
      <c r="H750" s="62"/>
      <c r="I750" s="62"/>
      <c r="J750" s="86"/>
      <c r="K750" s="62" t="s">
        <v>4</v>
      </c>
      <c r="L750" s="62" t="s">
        <v>5</v>
      </c>
      <c r="M750" s="86" t="s">
        <v>6</v>
      </c>
      <c r="N750" s="86" t="s">
        <v>3</v>
      </c>
      <c r="O750" s="87">
        <f>VLOOKUP($B750,BOM!$A$2:$K$94,10,0)</f>
        <v>0</v>
      </c>
      <c r="P750" s="87">
        <f t="shared" si="33"/>
        <v>0</v>
      </c>
    </row>
    <row r="751" spans="2:16">
      <c r="B751" s="81"/>
      <c r="C751" s="82" t="s">
        <v>45</v>
      </c>
      <c r="D751" s="72"/>
      <c r="E751" s="72"/>
      <c r="F751" s="72"/>
      <c r="G751" s="72"/>
      <c r="H751" s="72"/>
      <c r="I751" s="72"/>
      <c r="J751" s="72"/>
      <c r="K751" s="83"/>
      <c r="L751" s="83"/>
      <c r="M751" s="83"/>
      <c r="N751" s="83"/>
      <c r="O751" s="87">
        <f>VLOOKUP($B751,BOM!$A$2:$K$94,10,0)</f>
        <v>0</v>
      </c>
      <c r="P751" s="87">
        <f t="shared" si="33"/>
        <v>0</v>
      </c>
    </row>
    <row r="752" spans="2:16" s="45" customFormat="1" ht="30">
      <c r="B752" s="62" t="s">
        <v>48</v>
      </c>
      <c r="C752" s="21" t="s">
        <v>49</v>
      </c>
      <c r="D752" s="85" t="s">
        <v>14</v>
      </c>
      <c r="E752" s="85">
        <f>E749+1</f>
        <v>9</v>
      </c>
      <c r="F752" s="62"/>
      <c r="G752" s="62"/>
      <c r="H752" s="62"/>
      <c r="I752" s="62"/>
      <c r="J752" s="86"/>
      <c r="K752" s="62"/>
      <c r="L752" s="62" t="s">
        <v>5</v>
      </c>
      <c r="M752" s="86" t="s">
        <v>6</v>
      </c>
      <c r="N752" s="86" t="s">
        <v>15</v>
      </c>
      <c r="O752" s="87">
        <f>VLOOKUP($B752,BOM!$A$2:$K$94,10,0)</f>
        <v>0</v>
      </c>
      <c r="P752" s="87">
        <f t="shared" si="33"/>
        <v>0</v>
      </c>
    </row>
    <row r="753" spans="1:16" s="45" customFormat="1" ht="30">
      <c r="B753" s="62" t="s">
        <v>48</v>
      </c>
      <c r="C753" s="21" t="s">
        <v>49</v>
      </c>
      <c r="D753" s="85" t="s">
        <v>14</v>
      </c>
      <c r="E753" s="90">
        <f>ROUNDUP(E752*0.2,0)</f>
        <v>2</v>
      </c>
      <c r="F753" s="62"/>
      <c r="G753" s="62"/>
      <c r="H753" s="62"/>
      <c r="I753" s="62"/>
      <c r="J753" s="86"/>
      <c r="K753" s="62" t="s">
        <v>4</v>
      </c>
      <c r="L753" s="62" t="s">
        <v>5</v>
      </c>
      <c r="M753" s="86" t="s">
        <v>6</v>
      </c>
      <c r="N753" s="86" t="s">
        <v>15</v>
      </c>
      <c r="O753" s="87">
        <f>VLOOKUP($B753,BOM!$A$2:$K$94,10,0)</f>
        <v>0</v>
      </c>
      <c r="P753" s="87">
        <f t="shared" si="33"/>
        <v>0</v>
      </c>
    </row>
    <row r="754" spans="1:16">
      <c r="B754" s="81"/>
      <c r="C754" s="82" t="s">
        <v>50</v>
      </c>
      <c r="D754" s="72"/>
      <c r="E754" s="72"/>
      <c r="F754" s="72"/>
      <c r="G754" s="72"/>
      <c r="H754" s="72"/>
      <c r="I754" s="72"/>
      <c r="J754" s="72"/>
      <c r="K754" s="83"/>
      <c r="L754" s="83"/>
      <c r="M754" s="83"/>
      <c r="N754" s="83"/>
      <c r="O754" s="87">
        <f>VLOOKUP($B754,BOM!$A$2:$K$94,10,0)</f>
        <v>0</v>
      </c>
      <c r="P754" s="87">
        <f t="shared" si="33"/>
        <v>0</v>
      </c>
    </row>
    <row r="755" spans="1:16" s="45" customFormat="1">
      <c r="B755" s="62" t="s">
        <v>332</v>
      </c>
      <c r="C755" s="21" t="s">
        <v>332</v>
      </c>
      <c r="D755" s="85" t="s">
        <v>51</v>
      </c>
      <c r="E755" s="85">
        <f>E740</f>
        <v>1</v>
      </c>
      <c r="F755" s="62"/>
      <c r="G755" s="62"/>
      <c r="H755" s="62"/>
      <c r="I755" s="62"/>
      <c r="J755" s="86"/>
      <c r="K755" s="62"/>
      <c r="L755" s="62"/>
      <c r="M755" s="86"/>
      <c r="N755" s="86" t="s">
        <v>51</v>
      </c>
      <c r="O755" s="87">
        <f>VLOOKUP($B755,BOM!$A$2:$K$94,10,0)</f>
        <v>0</v>
      </c>
      <c r="P755" s="87">
        <f t="shared" si="33"/>
        <v>0</v>
      </c>
    </row>
    <row r="756" spans="1:16" s="45" customFormat="1">
      <c r="B756" s="62" t="s">
        <v>52</v>
      </c>
      <c r="C756" s="21" t="s">
        <v>53</v>
      </c>
      <c r="D756" s="86" t="s">
        <v>54</v>
      </c>
      <c r="E756" s="105">
        <f>E753+E752</f>
        <v>11</v>
      </c>
      <c r="F756" s="62"/>
      <c r="G756" s="62"/>
      <c r="H756" s="62"/>
      <c r="I756" s="62"/>
      <c r="J756" s="86"/>
      <c r="K756" s="62"/>
      <c r="L756" s="62"/>
      <c r="M756" s="86" t="s">
        <v>55</v>
      </c>
      <c r="N756" s="86" t="s">
        <v>54</v>
      </c>
      <c r="O756" s="87">
        <f>VLOOKUP($B756,BOM!$A$2:$K$94,10,0)</f>
        <v>0</v>
      </c>
      <c r="P756" s="87">
        <f t="shared" si="33"/>
        <v>0</v>
      </c>
    </row>
    <row r="757" spans="1:16" s="45" customFormat="1" ht="30">
      <c r="B757" s="62" t="s">
        <v>56</v>
      </c>
      <c r="C757" s="21" t="s">
        <v>57</v>
      </c>
      <c r="D757" s="86" t="s">
        <v>14</v>
      </c>
      <c r="E757" s="105">
        <f>E726+E722</f>
        <v>4</v>
      </c>
      <c r="F757" s="62"/>
      <c r="G757" s="62"/>
      <c r="H757" s="62"/>
      <c r="I757" s="62"/>
      <c r="J757" s="86"/>
      <c r="K757" s="62"/>
      <c r="L757" s="62"/>
      <c r="M757" s="86" t="s">
        <v>55</v>
      </c>
      <c r="N757" s="86" t="s">
        <v>14</v>
      </c>
      <c r="O757" s="87">
        <f>VLOOKUP($B757,BOM!$A$2:$K$94,10,0)</f>
        <v>0</v>
      </c>
      <c r="P757" s="87">
        <f t="shared" si="33"/>
        <v>0</v>
      </c>
    </row>
    <row r="758" spans="1:16" s="45" customFormat="1" ht="30">
      <c r="B758" s="62" t="s">
        <v>58</v>
      </c>
      <c r="C758" s="21" t="s">
        <v>59</v>
      </c>
      <c r="D758" s="86" t="s">
        <v>60</v>
      </c>
      <c r="E758" s="105">
        <f>E757*2</f>
        <v>8</v>
      </c>
      <c r="F758" s="62"/>
      <c r="G758" s="62"/>
      <c r="H758" s="62"/>
      <c r="I758" s="62"/>
      <c r="J758" s="86"/>
      <c r="K758" s="62"/>
      <c r="L758" s="62"/>
      <c r="M758" s="86" t="s">
        <v>61</v>
      </c>
      <c r="N758" s="86" t="s">
        <v>60</v>
      </c>
      <c r="O758" s="87">
        <f>VLOOKUP($B758,BOM!$A$2:$K$94,10,0)</f>
        <v>0</v>
      </c>
      <c r="P758" s="87">
        <f t="shared" si="33"/>
        <v>0</v>
      </c>
    </row>
    <row r="759" spans="1:16" s="45" customFormat="1" ht="45">
      <c r="B759" s="62" t="s">
        <v>62</v>
      </c>
      <c r="C759" s="21" t="s">
        <v>63</v>
      </c>
      <c r="D759" s="86" t="s">
        <v>64</v>
      </c>
      <c r="E759" s="105">
        <f>E736</f>
        <v>1</v>
      </c>
      <c r="F759" s="62"/>
      <c r="G759" s="62"/>
      <c r="H759" s="62"/>
      <c r="I759" s="62"/>
      <c r="J759" s="86"/>
      <c r="K759" s="62"/>
      <c r="L759" s="62"/>
      <c r="M759" s="86" t="s">
        <v>61</v>
      </c>
      <c r="N759" s="86" t="s">
        <v>64</v>
      </c>
      <c r="O759" s="87">
        <f>VLOOKUP($B759,BOM!$A$2:$K$94,10,0)</f>
        <v>0</v>
      </c>
      <c r="P759" s="87">
        <f t="shared" si="33"/>
        <v>0</v>
      </c>
    </row>
    <row r="760" spans="1:16">
      <c r="A760" s="35">
        <v>16</v>
      </c>
      <c r="B760" s="36"/>
      <c r="C760" s="37" t="s">
        <v>86</v>
      </c>
      <c r="D760" s="38" t="s">
        <v>0</v>
      </c>
      <c r="E760" s="36">
        <v>1</v>
      </c>
      <c r="F760" s="36"/>
      <c r="G760" s="36">
        <v>8</v>
      </c>
      <c r="H760" s="36">
        <v>0</v>
      </c>
      <c r="I760" s="36"/>
      <c r="J760" s="36">
        <f>SUBTOTAL(9,J763:J787)</f>
        <v>9</v>
      </c>
      <c r="K760" s="39"/>
      <c r="L760" s="39"/>
      <c r="M760" s="39"/>
      <c r="N760" s="39"/>
      <c r="O760" s="87">
        <f>VLOOKUP($B760,BOM!$A$2:$K$94,10,0)</f>
        <v>0</v>
      </c>
      <c r="P760" s="87">
        <f t="shared" si="33"/>
        <v>0</v>
      </c>
    </row>
    <row r="761" spans="1:16">
      <c r="B761" s="81"/>
      <c r="C761" s="82" t="s">
        <v>124</v>
      </c>
      <c r="D761" s="72" t="s">
        <v>0</v>
      </c>
      <c r="E761" s="72">
        <v>1</v>
      </c>
      <c r="F761" s="72"/>
      <c r="G761" s="72"/>
      <c r="H761" s="72"/>
      <c r="I761" s="72"/>
      <c r="J761" s="72"/>
      <c r="K761" s="83"/>
      <c r="L761" s="83"/>
      <c r="M761" s="83"/>
      <c r="N761" s="83"/>
      <c r="O761" s="87">
        <f>VLOOKUP($B761,BOM!$A$2:$K$94,10,0)</f>
        <v>0</v>
      </c>
      <c r="P761" s="87">
        <f t="shared" si="33"/>
        <v>0</v>
      </c>
    </row>
    <row r="762" spans="1:16" s="19" customFormat="1">
      <c r="B762" s="20" t="s">
        <v>226</v>
      </c>
      <c r="C762" s="20" t="s">
        <v>227</v>
      </c>
      <c r="D762" s="21"/>
      <c r="E762" s="22">
        <v>1</v>
      </c>
      <c r="F762" s="21"/>
      <c r="G762" s="21"/>
      <c r="H762" s="21"/>
      <c r="I762" s="21"/>
      <c r="J762" s="22"/>
      <c r="K762" s="21" t="s">
        <v>4</v>
      </c>
      <c r="L762" s="21" t="s">
        <v>203</v>
      </c>
      <c r="M762" s="22" t="s">
        <v>22</v>
      </c>
      <c r="N762" s="22" t="s">
        <v>3</v>
      </c>
      <c r="O762" s="87">
        <f>VLOOKUP($B762,BOM!$A$2:$K$94,10,0)</f>
        <v>0</v>
      </c>
      <c r="P762" s="87">
        <f t="shared" si="33"/>
        <v>0</v>
      </c>
    </row>
    <row r="763" spans="1:16" s="19" customFormat="1">
      <c r="B763" s="21" t="s">
        <v>122</v>
      </c>
      <c r="C763" s="21" t="s">
        <v>123</v>
      </c>
      <c r="D763" s="21"/>
      <c r="E763" s="22">
        <v>1</v>
      </c>
      <c r="F763" s="21"/>
      <c r="G763" s="21"/>
      <c r="H763" s="21"/>
      <c r="I763" s="21"/>
      <c r="J763" s="22">
        <v>1</v>
      </c>
      <c r="K763" s="21" t="s">
        <v>4</v>
      </c>
      <c r="L763" s="21" t="s">
        <v>5</v>
      </c>
      <c r="M763" s="22" t="s">
        <v>22</v>
      </c>
      <c r="N763" s="22" t="s">
        <v>3</v>
      </c>
      <c r="O763" s="87">
        <f>VLOOKUP($B763,BOM!$A$2:$K$94,10,0)</f>
        <v>0</v>
      </c>
      <c r="P763" s="87">
        <f t="shared" si="33"/>
        <v>0</v>
      </c>
    </row>
    <row r="764" spans="1:16">
      <c r="B764" s="81"/>
      <c r="C764" s="82" t="s">
        <v>1</v>
      </c>
      <c r="D764" s="72" t="s">
        <v>0</v>
      </c>
      <c r="E764" s="72">
        <v>1</v>
      </c>
      <c r="F764" s="72"/>
      <c r="G764" s="72">
        <f>ROUNDUP(G760/24,0)</f>
        <v>1</v>
      </c>
      <c r="H764" s="72">
        <f t="shared" ref="H764" si="35">ROUNDUP(H760/24,0)</f>
        <v>0</v>
      </c>
      <c r="I764" s="72"/>
      <c r="J764" s="72"/>
      <c r="K764" s="83"/>
      <c r="L764" s="83"/>
      <c r="M764" s="83"/>
      <c r="N764" s="83"/>
      <c r="O764" s="87">
        <f>VLOOKUP($B764,BOM!$A$2:$K$94,10,0)</f>
        <v>0</v>
      </c>
      <c r="P764" s="87">
        <f t="shared" si="33"/>
        <v>0</v>
      </c>
    </row>
    <row r="765" spans="1:16" s="45" customFormat="1">
      <c r="B765" s="62">
        <v>760249997</v>
      </c>
      <c r="C765" s="21" t="s">
        <v>2</v>
      </c>
      <c r="D765" s="85" t="s">
        <v>3</v>
      </c>
      <c r="E765" s="85">
        <f>ROUNDUP((E767+E771)/3,0)</f>
        <v>1</v>
      </c>
      <c r="F765" s="62"/>
      <c r="G765" s="62"/>
      <c r="H765" s="62"/>
      <c r="I765" s="62"/>
      <c r="J765" s="86">
        <v>1</v>
      </c>
      <c r="K765" s="62" t="s">
        <v>4</v>
      </c>
      <c r="L765" s="62" t="s">
        <v>5</v>
      </c>
      <c r="M765" s="86" t="s">
        <v>6</v>
      </c>
      <c r="N765" s="86" t="s">
        <v>3</v>
      </c>
      <c r="O765" s="87">
        <f>VLOOKUP($B765,BOM!$A$2:$K$94,10,0)</f>
        <v>0</v>
      </c>
      <c r="P765" s="87">
        <f t="shared" si="33"/>
        <v>0</v>
      </c>
    </row>
    <row r="766" spans="1:16" s="45" customFormat="1">
      <c r="B766" s="62">
        <v>760241378</v>
      </c>
      <c r="C766" s="21" t="s">
        <v>7</v>
      </c>
      <c r="D766" s="85" t="s">
        <v>3</v>
      </c>
      <c r="E766" s="85">
        <f>IF(E767&lt;=2,1,ROUNDUP(E765*1.5,0))</f>
        <v>1</v>
      </c>
      <c r="F766" s="62"/>
      <c r="G766" s="62"/>
      <c r="H766" s="62"/>
      <c r="I766" s="62"/>
      <c r="J766" s="86"/>
      <c r="K766" s="62" t="s">
        <v>4</v>
      </c>
      <c r="L766" s="62" t="s">
        <v>5</v>
      </c>
      <c r="M766" s="86" t="s">
        <v>6</v>
      </c>
      <c r="N766" s="86" t="s">
        <v>3</v>
      </c>
      <c r="O766" s="87">
        <f>VLOOKUP($B766,BOM!$A$2:$K$94,10,0)</f>
        <v>0</v>
      </c>
      <c r="P766" s="87">
        <f t="shared" si="33"/>
        <v>0</v>
      </c>
    </row>
    <row r="767" spans="1:16" s="45" customFormat="1">
      <c r="B767" s="62" t="s">
        <v>8</v>
      </c>
      <c r="C767" s="21" t="s">
        <v>9</v>
      </c>
      <c r="D767" s="85" t="s">
        <v>3</v>
      </c>
      <c r="E767" s="85">
        <f>G764</f>
        <v>1</v>
      </c>
      <c r="F767" s="62"/>
      <c r="G767" s="62"/>
      <c r="H767" s="62"/>
      <c r="I767" s="62"/>
      <c r="J767" s="86"/>
      <c r="K767" s="62" t="s">
        <v>4</v>
      </c>
      <c r="L767" s="62" t="s">
        <v>5</v>
      </c>
      <c r="M767" s="86" t="s">
        <v>6</v>
      </c>
      <c r="N767" s="86" t="s">
        <v>3</v>
      </c>
      <c r="O767" s="87">
        <f>VLOOKUP($B767,BOM!$A$2:$K$94,10,0)</f>
        <v>0</v>
      </c>
      <c r="P767" s="87">
        <f t="shared" si="33"/>
        <v>0</v>
      </c>
    </row>
    <row r="768" spans="1:16" s="45" customFormat="1">
      <c r="B768" s="62" t="s">
        <v>10</v>
      </c>
      <c r="C768" s="21" t="s">
        <v>11</v>
      </c>
      <c r="D768" s="85" t="s">
        <v>3</v>
      </c>
      <c r="E768" s="85">
        <f>E765*3-E767-E771</f>
        <v>2</v>
      </c>
      <c r="F768" s="62"/>
      <c r="G768" s="62"/>
      <c r="H768" s="62"/>
      <c r="I768" s="62"/>
      <c r="J768" s="86"/>
      <c r="K768" s="62" t="s">
        <v>4</v>
      </c>
      <c r="L768" s="62" t="s">
        <v>5</v>
      </c>
      <c r="M768" s="86" t="s">
        <v>6</v>
      </c>
      <c r="N768" s="86" t="s">
        <v>3</v>
      </c>
      <c r="O768" s="87">
        <f>VLOOKUP($B768,BOM!$A$2:$K$94,10,0)</f>
        <v>0</v>
      </c>
      <c r="P768" s="87">
        <f t="shared" si="33"/>
        <v>0</v>
      </c>
    </row>
    <row r="769" spans="2:16" s="45" customFormat="1">
      <c r="B769" s="62" t="s">
        <v>12</v>
      </c>
      <c r="C769" s="21" t="s">
        <v>13</v>
      </c>
      <c r="D769" s="85" t="s">
        <v>14</v>
      </c>
      <c r="E769" s="85">
        <f>G760/2</f>
        <v>4</v>
      </c>
      <c r="F769" s="62"/>
      <c r="G769" s="62"/>
      <c r="H769" s="62"/>
      <c r="I769" s="62"/>
      <c r="J769" s="86"/>
      <c r="K769" s="62" t="s">
        <v>4</v>
      </c>
      <c r="L769" s="62" t="s">
        <v>5</v>
      </c>
      <c r="M769" s="86" t="s">
        <v>6</v>
      </c>
      <c r="N769" s="86" t="s">
        <v>15</v>
      </c>
      <c r="O769" s="87">
        <f>VLOOKUP($B769,BOM!$A$2:$K$94,10,0)</f>
        <v>0</v>
      </c>
      <c r="P769" s="87">
        <f t="shared" si="33"/>
        <v>0</v>
      </c>
    </row>
    <row r="770" spans="2:16" s="45" customFormat="1" ht="30">
      <c r="B770" s="62" t="s">
        <v>16</v>
      </c>
      <c r="C770" s="21" t="s">
        <v>17</v>
      </c>
      <c r="D770" s="85" t="s">
        <v>14</v>
      </c>
      <c r="E770" s="85">
        <f>ROUNDUP((E776+E779)*1.3,0)</f>
        <v>2</v>
      </c>
      <c r="F770" s="62"/>
      <c r="G770" s="62"/>
      <c r="H770" s="62"/>
      <c r="I770" s="62"/>
      <c r="J770" s="86"/>
      <c r="K770" s="62" t="s">
        <v>4</v>
      </c>
      <c r="L770" s="62" t="s">
        <v>5</v>
      </c>
      <c r="M770" s="86" t="s">
        <v>6</v>
      </c>
      <c r="N770" s="86" t="s">
        <v>15</v>
      </c>
      <c r="O770" s="87">
        <f>VLOOKUP($B770,BOM!$A$2:$K$94,10,0)</f>
        <v>0</v>
      </c>
      <c r="P770" s="87">
        <f t="shared" si="33"/>
        <v>0</v>
      </c>
    </row>
    <row r="771" spans="2:16" s="110" customFormat="1">
      <c r="B771" s="66" t="s">
        <v>198</v>
      </c>
      <c r="C771" s="106" t="s">
        <v>199</v>
      </c>
      <c r="D771" s="89" t="s">
        <v>3</v>
      </c>
      <c r="E771" s="89">
        <f>H764</f>
        <v>0</v>
      </c>
      <c r="F771" s="66"/>
      <c r="G771" s="66"/>
      <c r="H771" s="66"/>
      <c r="I771" s="66"/>
      <c r="J771" s="107"/>
      <c r="K771" s="108" t="s">
        <v>4</v>
      </c>
      <c r="L771" s="108" t="s">
        <v>5</v>
      </c>
      <c r="M771" s="109" t="s">
        <v>6</v>
      </c>
      <c r="N771" s="109" t="s">
        <v>15</v>
      </c>
      <c r="O771" s="87">
        <f>VLOOKUP($B771,BOM!$A$2:$K$94,10,0)</f>
        <v>0</v>
      </c>
      <c r="P771" s="87">
        <f t="shared" si="33"/>
        <v>0</v>
      </c>
    </row>
    <row r="772" spans="2:16" s="111" customFormat="1">
      <c r="B772" s="66" t="s">
        <v>194</v>
      </c>
      <c r="C772" s="106" t="s">
        <v>195</v>
      </c>
      <c r="D772" s="89" t="s">
        <v>14</v>
      </c>
      <c r="E772" s="89">
        <v>0</v>
      </c>
      <c r="F772" s="108"/>
      <c r="G772" s="108"/>
      <c r="H772" s="108"/>
      <c r="I772" s="108"/>
      <c r="J772" s="109"/>
      <c r="K772" s="108" t="s">
        <v>4</v>
      </c>
      <c r="L772" s="108" t="s">
        <v>5</v>
      </c>
      <c r="M772" s="109" t="s">
        <v>6</v>
      </c>
      <c r="N772" s="109" t="s">
        <v>15</v>
      </c>
      <c r="O772" s="87">
        <f>VLOOKUP($B772,BOM!$A$2:$K$94,10,0)</f>
        <v>0</v>
      </c>
      <c r="P772" s="87">
        <f t="shared" ref="P772:P835" si="36">O772*E772</f>
        <v>0</v>
      </c>
    </row>
    <row r="773" spans="2:16" s="110" customFormat="1">
      <c r="B773" s="66" t="s">
        <v>196</v>
      </c>
      <c r="C773" s="106" t="s">
        <v>197</v>
      </c>
      <c r="D773" s="89" t="s">
        <v>14</v>
      </c>
      <c r="E773" s="89">
        <f>H760/2</f>
        <v>0</v>
      </c>
      <c r="F773" s="66"/>
      <c r="G773" s="66"/>
      <c r="H773" s="66"/>
      <c r="I773" s="66"/>
      <c r="J773" s="107"/>
      <c r="K773" s="108" t="s">
        <v>4</v>
      </c>
      <c r="L773" s="108" t="s">
        <v>5</v>
      </c>
      <c r="M773" s="109" t="s">
        <v>6</v>
      </c>
      <c r="N773" s="109" t="s">
        <v>15</v>
      </c>
      <c r="O773" s="87">
        <f>VLOOKUP($B773,BOM!$A$2:$K$94,10,0)</f>
        <v>0</v>
      </c>
      <c r="P773" s="87">
        <f t="shared" si="36"/>
        <v>0</v>
      </c>
    </row>
    <row r="774" spans="2:16">
      <c r="B774" s="81"/>
      <c r="C774" s="82" t="s">
        <v>26</v>
      </c>
      <c r="D774" s="72" t="s">
        <v>0</v>
      </c>
      <c r="E774" s="72">
        <v>1</v>
      </c>
      <c r="F774" s="72"/>
      <c r="G774" s="72"/>
      <c r="H774" s="72"/>
      <c r="I774" s="72"/>
      <c r="J774" s="72"/>
      <c r="K774" s="83"/>
      <c r="L774" s="83"/>
      <c r="M774" s="83"/>
      <c r="N774" s="83"/>
      <c r="O774" s="87">
        <f>VLOOKUP($B774,BOM!$A$2:$K$94,10,0)</f>
        <v>0</v>
      </c>
      <c r="P774" s="87">
        <f t="shared" si="36"/>
        <v>0</v>
      </c>
    </row>
    <row r="775" spans="2:16" s="45" customFormat="1">
      <c r="B775" s="62"/>
      <c r="C775" s="21"/>
      <c r="D775" s="85"/>
      <c r="E775" s="90"/>
      <c r="F775" s="62"/>
      <c r="G775" s="62"/>
      <c r="H775" s="62"/>
      <c r="I775" s="62"/>
      <c r="J775" s="86"/>
      <c r="K775" s="62"/>
      <c r="L775" s="62"/>
      <c r="M775" s="86"/>
      <c r="N775" s="86"/>
      <c r="O775" s="87">
        <f>VLOOKUP($B775,BOM!$A$2:$K$94,10,0)</f>
        <v>0</v>
      </c>
      <c r="P775" s="87">
        <f t="shared" si="36"/>
        <v>0</v>
      </c>
    </row>
    <row r="776" spans="2:16" s="45" customFormat="1">
      <c r="B776" s="62"/>
      <c r="C776" s="21"/>
      <c r="D776" s="85"/>
      <c r="E776" s="90"/>
      <c r="F776" s="62"/>
      <c r="G776" s="62"/>
      <c r="H776" s="62"/>
      <c r="I776" s="62"/>
      <c r="J776" s="86"/>
      <c r="K776" s="62"/>
      <c r="L776" s="62"/>
      <c r="M776" s="86"/>
      <c r="N776" s="86"/>
      <c r="O776" s="87">
        <f>VLOOKUP($B776,BOM!$A$2:$K$94,10,0)</f>
        <v>0</v>
      </c>
      <c r="P776" s="87">
        <f t="shared" si="36"/>
        <v>0</v>
      </c>
    </row>
    <row r="777" spans="2:16">
      <c r="B777" s="81"/>
      <c r="C777" s="82" t="s">
        <v>145</v>
      </c>
      <c r="D777" s="72" t="s">
        <v>0</v>
      </c>
      <c r="E777" s="72">
        <v>2</v>
      </c>
      <c r="F777" s="72"/>
      <c r="G777" s="72"/>
      <c r="H777" s="72"/>
      <c r="I777" s="72"/>
      <c r="J777" s="72"/>
      <c r="K777" s="83"/>
      <c r="L777" s="83"/>
      <c r="M777" s="83"/>
      <c r="N777" s="83"/>
      <c r="O777" s="87">
        <f>VLOOKUP($B777,BOM!$A$2:$K$94,10,0)</f>
        <v>0</v>
      </c>
      <c r="P777" s="87">
        <f t="shared" si="36"/>
        <v>0</v>
      </c>
    </row>
    <row r="778" spans="2:16" s="45" customFormat="1" ht="30">
      <c r="B778" s="48" t="s">
        <v>303</v>
      </c>
      <c r="C778" s="49" t="s">
        <v>304</v>
      </c>
      <c r="D778" s="42" t="s">
        <v>64</v>
      </c>
      <c r="E778" s="43">
        <v>1</v>
      </c>
      <c r="F778" s="41"/>
      <c r="G778" s="41"/>
      <c r="H778" s="41"/>
      <c r="I778" s="41"/>
      <c r="J778" s="44">
        <v>1</v>
      </c>
      <c r="K778" s="41" t="s">
        <v>143</v>
      </c>
      <c r="L778" s="41" t="s">
        <v>151</v>
      </c>
      <c r="M778" s="44" t="s">
        <v>144</v>
      </c>
      <c r="N778" s="44" t="s">
        <v>64</v>
      </c>
      <c r="O778" s="87">
        <f>VLOOKUP($B778,BOM!$A$2:$K$94,10,0)</f>
        <v>0</v>
      </c>
      <c r="P778" s="87">
        <f t="shared" si="36"/>
        <v>0</v>
      </c>
    </row>
    <row r="779" spans="2:16" s="45" customFormat="1" ht="30">
      <c r="B779" s="41" t="s">
        <v>137</v>
      </c>
      <c r="C779" s="46" t="s">
        <v>138</v>
      </c>
      <c r="D779" s="42" t="s">
        <v>64</v>
      </c>
      <c r="E779" s="47">
        <f>E778</f>
        <v>1</v>
      </c>
      <c r="F779" s="41"/>
      <c r="G779" s="41"/>
      <c r="H779" s="41"/>
      <c r="I779" s="41"/>
      <c r="J779" s="44"/>
      <c r="K779" s="41" t="s">
        <v>143</v>
      </c>
      <c r="L779" s="41" t="s">
        <v>151</v>
      </c>
      <c r="M779" s="44" t="s">
        <v>144</v>
      </c>
      <c r="N779" s="44" t="s">
        <v>64</v>
      </c>
      <c r="O779" s="87">
        <f>VLOOKUP($B779,BOM!$A$2:$K$94,10,0)</f>
        <v>0</v>
      </c>
      <c r="P779" s="87">
        <f t="shared" si="36"/>
        <v>0</v>
      </c>
    </row>
    <row r="780" spans="2:16" outlineLevel="1">
      <c r="B780" s="117"/>
      <c r="C780" s="118" t="s">
        <v>67</v>
      </c>
      <c r="D780" s="119" t="s">
        <v>0</v>
      </c>
      <c r="E780" s="120"/>
      <c r="F780" s="121"/>
      <c r="G780" s="121"/>
      <c r="H780" s="121" t="s">
        <v>69</v>
      </c>
      <c r="I780" s="122"/>
      <c r="J780" s="122">
        <v>1</v>
      </c>
      <c r="K780" s="63"/>
      <c r="L780" s="63"/>
      <c r="M780" s="63"/>
      <c r="N780" s="63"/>
      <c r="O780" s="87">
        <f>VLOOKUP($B780,BOM!$A$2:$K$94,10,0)</f>
        <v>0</v>
      </c>
      <c r="P780" s="87">
        <f t="shared" si="36"/>
        <v>0</v>
      </c>
    </row>
    <row r="781" spans="2:16" outlineLevel="1">
      <c r="B781" s="117"/>
      <c r="C781" s="118" t="s">
        <v>70</v>
      </c>
      <c r="D781" s="119" t="s">
        <v>0</v>
      </c>
      <c r="E781" s="120">
        <v>1</v>
      </c>
      <c r="F781" s="121"/>
      <c r="G781" s="121"/>
      <c r="H781" s="121" t="s">
        <v>69</v>
      </c>
      <c r="I781" s="122"/>
      <c r="J781" s="122">
        <v>1</v>
      </c>
      <c r="K781" s="63"/>
      <c r="L781" s="63"/>
      <c r="M781" s="63"/>
      <c r="N781" s="63"/>
      <c r="O781" s="87">
        <f>VLOOKUP($B781,BOM!$A$2:$K$94,10,0)</f>
        <v>0</v>
      </c>
      <c r="P781" s="87">
        <f t="shared" si="36"/>
        <v>0</v>
      </c>
    </row>
    <row r="782" spans="2:16">
      <c r="B782" s="81"/>
      <c r="C782" s="82" t="s">
        <v>18</v>
      </c>
      <c r="D782" s="72" t="s">
        <v>0</v>
      </c>
      <c r="E782" s="72">
        <v>1</v>
      </c>
      <c r="F782" s="72"/>
      <c r="G782" s="72"/>
      <c r="H782" s="72"/>
      <c r="I782" s="72"/>
      <c r="J782" s="72"/>
      <c r="K782" s="83"/>
      <c r="L782" s="83"/>
      <c r="M782" s="83"/>
      <c r="N782" s="83"/>
      <c r="O782" s="87">
        <f>VLOOKUP($B782,BOM!$A$2:$K$94,10,0)</f>
        <v>0</v>
      </c>
      <c r="P782" s="87">
        <f t="shared" si="36"/>
        <v>0</v>
      </c>
    </row>
    <row r="783" spans="2:16" s="45" customFormat="1" ht="30">
      <c r="B783" s="62">
        <v>760237046</v>
      </c>
      <c r="C783" s="21" t="s">
        <v>19</v>
      </c>
      <c r="D783" s="85" t="s">
        <v>3</v>
      </c>
      <c r="E783" s="85">
        <f>E775+E778</f>
        <v>1</v>
      </c>
      <c r="F783" s="62"/>
      <c r="G783" s="62"/>
      <c r="H783" s="62"/>
      <c r="I783" s="62"/>
      <c r="J783" s="86">
        <v>1</v>
      </c>
      <c r="K783" s="62" t="s">
        <v>4</v>
      </c>
      <c r="L783" s="62" t="s">
        <v>5</v>
      </c>
      <c r="M783" s="86" t="s">
        <v>6</v>
      </c>
      <c r="N783" s="86" t="s">
        <v>3</v>
      </c>
      <c r="O783" s="87">
        <f>VLOOKUP($B783,BOM!$A$2:$K$94,10,0)</f>
        <v>0</v>
      </c>
      <c r="P783" s="87">
        <f t="shared" si="36"/>
        <v>0</v>
      </c>
    </row>
    <row r="784" spans="2:16" s="45" customFormat="1" ht="30">
      <c r="B784" s="62" t="s">
        <v>23</v>
      </c>
      <c r="C784" s="21" t="s">
        <v>24</v>
      </c>
      <c r="D784" s="85" t="s">
        <v>3</v>
      </c>
      <c r="E784" s="85">
        <f>E783*24</f>
        <v>24</v>
      </c>
      <c r="F784" s="62"/>
      <c r="G784" s="62"/>
      <c r="H784" s="62"/>
      <c r="I784" s="62"/>
      <c r="J784" s="86"/>
      <c r="K784" s="62" t="s">
        <v>25</v>
      </c>
      <c r="L784" s="62" t="s">
        <v>5</v>
      </c>
      <c r="M784" s="86" t="s">
        <v>6</v>
      </c>
      <c r="N784" s="86" t="s">
        <v>3</v>
      </c>
      <c r="O784" s="87">
        <f>VLOOKUP($B784,BOM!$A$2:$K$94,10,0)</f>
        <v>0</v>
      </c>
      <c r="P784" s="87">
        <f t="shared" si="36"/>
        <v>0</v>
      </c>
    </row>
    <row r="785" spans="2:16" s="45" customFormat="1">
      <c r="B785" s="62" t="s">
        <v>20</v>
      </c>
      <c r="C785" s="21" t="s">
        <v>21</v>
      </c>
      <c r="D785" s="85" t="s">
        <v>3</v>
      </c>
      <c r="E785" s="85">
        <f>E783</f>
        <v>1</v>
      </c>
      <c r="F785" s="62"/>
      <c r="G785" s="62"/>
      <c r="H785" s="62"/>
      <c r="I785" s="62"/>
      <c r="J785" s="86">
        <v>1</v>
      </c>
      <c r="K785" s="62" t="s">
        <v>4</v>
      </c>
      <c r="L785" s="62" t="s">
        <v>5</v>
      </c>
      <c r="M785" s="86" t="s">
        <v>22</v>
      </c>
      <c r="N785" s="86" t="s">
        <v>3</v>
      </c>
      <c r="O785" s="87">
        <f>VLOOKUP($B785,BOM!$A$2:$K$94,10,0)</f>
        <v>0</v>
      </c>
      <c r="P785" s="87">
        <f t="shared" si="36"/>
        <v>0</v>
      </c>
    </row>
    <row r="786" spans="2:16">
      <c r="B786" s="81"/>
      <c r="C786" s="82" t="s">
        <v>71</v>
      </c>
      <c r="D786" s="72" t="s">
        <v>0</v>
      </c>
      <c r="E786" s="72">
        <v>1</v>
      </c>
      <c r="F786" s="72"/>
      <c r="G786" s="72"/>
      <c r="H786" s="72"/>
      <c r="I786" s="72"/>
      <c r="J786" s="72"/>
      <c r="K786" s="83"/>
      <c r="L786" s="83"/>
      <c r="M786" s="83"/>
      <c r="N786" s="83"/>
      <c r="O786" s="87">
        <f>VLOOKUP($B786,BOM!$A$2:$K$94,10,0)</f>
        <v>0</v>
      </c>
      <c r="P786" s="87">
        <f t="shared" si="36"/>
        <v>0</v>
      </c>
    </row>
    <row r="787" spans="2:16" s="45" customFormat="1">
      <c r="B787" s="62" t="s">
        <v>312</v>
      </c>
      <c r="C787" s="21" t="s">
        <v>315</v>
      </c>
      <c r="D787" s="116" t="s">
        <v>51</v>
      </c>
      <c r="E787" s="85">
        <v>1</v>
      </c>
      <c r="F787" s="62"/>
      <c r="G787" s="62"/>
      <c r="H787" s="62"/>
      <c r="I787" s="62"/>
      <c r="J787" s="86">
        <v>2</v>
      </c>
      <c r="K787" s="62"/>
      <c r="L787" s="62" t="s">
        <v>5</v>
      </c>
      <c r="M787" s="86" t="s">
        <v>28</v>
      </c>
      <c r="N787" s="86" t="s">
        <v>3</v>
      </c>
      <c r="O787" s="87">
        <f>VLOOKUP($B787,BOM!$A$2:$K$94,10,0)</f>
        <v>0</v>
      </c>
      <c r="P787" s="87">
        <f t="shared" si="36"/>
        <v>0</v>
      </c>
    </row>
    <row r="788" spans="2:16" s="45" customFormat="1">
      <c r="B788" s="62"/>
      <c r="C788" s="21"/>
      <c r="D788" s="116"/>
      <c r="E788" s="85"/>
      <c r="F788" s="62"/>
      <c r="G788" s="62"/>
      <c r="H788" s="62"/>
      <c r="I788" s="62"/>
      <c r="J788" s="86"/>
      <c r="K788" s="62"/>
      <c r="L788" s="62"/>
      <c r="M788" s="86"/>
      <c r="N788" s="86"/>
      <c r="O788" s="87">
        <f>VLOOKUP($B788,BOM!$A$2:$K$94,10,0)</f>
        <v>0</v>
      </c>
      <c r="P788" s="87">
        <f t="shared" si="36"/>
        <v>0</v>
      </c>
    </row>
    <row r="789" spans="2:16" s="45" customFormat="1">
      <c r="B789" s="62" t="s">
        <v>225</v>
      </c>
      <c r="C789" s="21" t="s">
        <v>72</v>
      </c>
      <c r="D789" s="116" t="s">
        <v>64</v>
      </c>
      <c r="E789" s="85">
        <v>0</v>
      </c>
      <c r="F789" s="62"/>
      <c r="G789" s="62"/>
      <c r="H789" s="62"/>
      <c r="I789" s="62"/>
      <c r="J789" s="86"/>
      <c r="K789" s="62"/>
      <c r="L789" s="62" t="s">
        <v>5</v>
      </c>
      <c r="M789" s="86" t="s">
        <v>28</v>
      </c>
      <c r="N789" s="86" t="s">
        <v>3</v>
      </c>
      <c r="O789" s="87">
        <f>VLOOKUP($B789,BOM!$A$2:$K$94,10,0)</f>
        <v>0</v>
      </c>
      <c r="P789" s="87">
        <f t="shared" si="36"/>
        <v>0</v>
      </c>
    </row>
    <row r="790" spans="2:16">
      <c r="B790" s="81"/>
      <c r="C790" s="82" t="s">
        <v>31</v>
      </c>
      <c r="D790" s="72" t="s">
        <v>0</v>
      </c>
      <c r="E790" s="72">
        <v>1</v>
      </c>
      <c r="F790" s="72"/>
      <c r="G790" s="72"/>
      <c r="H790" s="72"/>
      <c r="I790" s="72"/>
      <c r="J790" s="72"/>
      <c r="K790" s="83"/>
      <c r="L790" s="83"/>
      <c r="M790" s="83"/>
      <c r="N790" s="83"/>
      <c r="O790" s="87">
        <f>VLOOKUP($B790,BOM!$A$2:$K$94,10,0)</f>
        <v>0</v>
      </c>
      <c r="P790" s="87">
        <f t="shared" si="36"/>
        <v>0</v>
      </c>
    </row>
    <row r="791" spans="2:16">
      <c r="B791" s="81"/>
      <c r="C791" s="82" t="s">
        <v>32</v>
      </c>
      <c r="D791" s="72"/>
      <c r="E791" s="72"/>
      <c r="F791" s="72"/>
      <c r="G791" s="72"/>
      <c r="H791" s="72"/>
      <c r="I791" s="72"/>
      <c r="J791" s="72"/>
      <c r="K791" s="83"/>
      <c r="L791" s="83"/>
      <c r="M791" s="83"/>
      <c r="N791" s="83"/>
      <c r="O791" s="87">
        <f>VLOOKUP($B791,BOM!$A$2:$K$94,10,0)</f>
        <v>0</v>
      </c>
      <c r="P791" s="87">
        <f t="shared" si="36"/>
        <v>0</v>
      </c>
    </row>
    <row r="792" spans="2:16" s="45" customFormat="1" ht="20.45" customHeight="1">
      <c r="B792" s="62" t="s">
        <v>33</v>
      </c>
      <c r="C792" s="21" t="s">
        <v>34</v>
      </c>
      <c r="D792" s="85" t="s">
        <v>3</v>
      </c>
      <c r="E792" s="90">
        <f>E793</f>
        <v>0</v>
      </c>
      <c r="F792" s="62"/>
      <c r="G792" s="62"/>
      <c r="H792" s="62"/>
      <c r="I792" s="62"/>
      <c r="J792" s="86"/>
      <c r="K792" s="62" t="s">
        <v>35</v>
      </c>
      <c r="L792" s="62" t="s">
        <v>5</v>
      </c>
      <c r="M792" s="86" t="s">
        <v>6</v>
      </c>
      <c r="N792" s="86" t="s">
        <v>3</v>
      </c>
      <c r="O792" s="87">
        <f>VLOOKUP($B792,BOM!$A$2:$K$94,10,0)</f>
        <v>0</v>
      </c>
      <c r="P792" s="87">
        <f t="shared" si="36"/>
        <v>0</v>
      </c>
    </row>
    <row r="793" spans="2:16" s="45" customFormat="1">
      <c r="B793" s="62" t="s">
        <v>330</v>
      </c>
      <c r="C793" s="21" t="s">
        <v>36</v>
      </c>
      <c r="D793" s="85" t="s">
        <v>3</v>
      </c>
      <c r="E793" s="90">
        <f>G791+H791</f>
        <v>0</v>
      </c>
      <c r="F793" s="62"/>
      <c r="G793" s="62"/>
      <c r="H793" s="62"/>
      <c r="I793" s="62"/>
      <c r="J793" s="86"/>
      <c r="K793" s="62" t="s">
        <v>37</v>
      </c>
      <c r="L793" s="62" t="s">
        <v>5</v>
      </c>
      <c r="M793" s="86" t="s">
        <v>37</v>
      </c>
      <c r="N793" s="86" t="s">
        <v>3</v>
      </c>
      <c r="O793" s="87">
        <f>VLOOKUP($B793,BOM!$A$2:$K$94,10,0)</f>
        <v>0</v>
      </c>
      <c r="P793" s="87">
        <f t="shared" si="36"/>
        <v>0</v>
      </c>
    </row>
    <row r="794" spans="2:16" s="45" customFormat="1" ht="30">
      <c r="B794" s="62" t="s">
        <v>38</v>
      </c>
      <c r="C794" s="21" t="s">
        <v>39</v>
      </c>
      <c r="D794" s="85" t="s">
        <v>3</v>
      </c>
      <c r="E794" s="90">
        <f>E793</f>
        <v>0</v>
      </c>
      <c r="F794" s="62"/>
      <c r="G794" s="62"/>
      <c r="H794" s="62"/>
      <c r="I794" s="62"/>
      <c r="J794" s="86"/>
      <c r="K794" s="62" t="s">
        <v>25</v>
      </c>
      <c r="L794" s="62" t="s">
        <v>5</v>
      </c>
      <c r="M794" s="86" t="s">
        <v>6</v>
      </c>
      <c r="N794" s="86" t="s">
        <v>3</v>
      </c>
      <c r="O794" s="87">
        <f>VLOOKUP($B794,BOM!$A$2:$K$94,10,0)</f>
        <v>0</v>
      </c>
      <c r="P794" s="87">
        <f t="shared" si="36"/>
        <v>0</v>
      </c>
    </row>
    <row r="795" spans="2:16">
      <c r="B795" s="81"/>
      <c r="C795" s="82" t="s">
        <v>40</v>
      </c>
      <c r="D795" s="72"/>
      <c r="E795" s="72"/>
      <c r="F795" s="72"/>
      <c r="G795" s="72"/>
      <c r="H795" s="72">
        <v>4</v>
      </c>
      <c r="I795" s="72"/>
      <c r="J795" s="72"/>
      <c r="K795" s="83"/>
      <c r="L795" s="83"/>
      <c r="M795" s="83"/>
      <c r="N795" s="83"/>
      <c r="O795" s="87">
        <f>VLOOKUP($B795,BOM!$A$2:$K$94,10,0)</f>
        <v>0</v>
      </c>
      <c r="P795" s="87">
        <f t="shared" si="36"/>
        <v>0</v>
      </c>
    </row>
    <row r="796" spans="2:16" s="45" customFormat="1">
      <c r="B796" s="62" t="s">
        <v>41</v>
      </c>
      <c r="C796" s="21" t="s">
        <v>42</v>
      </c>
      <c r="D796" s="85" t="s">
        <v>3</v>
      </c>
      <c r="E796" s="85">
        <f>G795+H795</f>
        <v>4</v>
      </c>
      <c r="F796" s="62"/>
      <c r="G796" s="62"/>
      <c r="H796" s="62"/>
      <c r="I796" s="62"/>
      <c r="J796" s="86"/>
      <c r="K796" s="62" t="s">
        <v>4</v>
      </c>
      <c r="L796" s="62" t="s">
        <v>5</v>
      </c>
      <c r="M796" s="86" t="s">
        <v>6</v>
      </c>
      <c r="N796" s="86" t="s">
        <v>3</v>
      </c>
      <c r="O796" s="87">
        <f>VLOOKUP($B796,BOM!$A$2:$K$94,10,0)</f>
        <v>0</v>
      </c>
      <c r="P796" s="87">
        <f t="shared" si="36"/>
        <v>0</v>
      </c>
    </row>
    <row r="797" spans="2:16" s="45" customFormat="1">
      <c r="B797" s="65" t="s">
        <v>43</v>
      </c>
      <c r="C797" s="103" t="s">
        <v>44</v>
      </c>
      <c r="D797" s="85" t="s">
        <v>3</v>
      </c>
      <c r="E797" s="85">
        <f>E796</f>
        <v>4</v>
      </c>
      <c r="F797" s="62"/>
      <c r="G797" s="62"/>
      <c r="H797" s="62"/>
      <c r="I797" s="62"/>
      <c r="J797" s="86"/>
      <c r="K797" s="62" t="s">
        <v>4</v>
      </c>
      <c r="L797" s="62" t="s">
        <v>5</v>
      </c>
      <c r="M797" s="86" t="s">
        <v>6</v>
      </c>
      <c r="N797" s="86" t="s">
        <v>3</v>
      </c>
      <c r="O797" s="87">
        <f>VLOOKUP($B797,BOM!$A$2:$K$94,10,0)</f>
        <v>0</v>
      </c>
      <c r="P797" s="87">
        <f t="shared" si="36"/>
        <v>0</v>
      </c>
    </row>
    <row r="798" spans="2:16">
      <c r="B798" s="81"/>
      <c r="C798" s="82" t="s">
        <v>45</v>
      </c>
      <c r="D798" s="72"/>
      <c r="E798" s="72"/>
      <c r="F798" s="72"/>
      <c r="G798" s="72"/>
      <c r="H798" s="72"/>
      <c r="I798" s="72"/>
      <c r="J798" s="72"/>
      <c r="K798" s="83"/>
      <c r="L798" s="83"/>
      <c r="M798" s="83"/>
      <c r="N798" s="83"/>
      <c r="O798" s="87">
        <f>VLOOKUP($B798,BOM!$A$2:$K$94,10,0)</f>
        <v>0</v>
      </c>
      <c r="P798" s="87">
        <f t="shared" si="36"/>
        <v>0</v>
      </c>
    </row>
    <row r="799" spans="2:16" s="45" customFormat="1" ht="30">
      <c r="B799" s="62" t="s">
        <v>48</v>
      </c>
      <c r="C799" s="21" t="s">
        <v>49</v>
      </c>
      <c r="D799" s="85" t="s">
        <v>14</v>
      </c>
      <c r="E799" s="85">
        <f>E796+1</f>
        <v>5</v>
      </c>
      <c r="F799" s="62"/>
      <c r="G799" s="62"/>
      <c r="H799" s="62"/>
      <c r="I799" s="62"/>
      <c r="J799" s="86"/>
      <c r="K799" s="62"/>
      <c r="L799" s="62" t="s">
        <v>5</v>
      </c>
      <c r="M799" s="86" t="s">
        <v>6</v>
      </c>
      <c r="N799" s="86" t="s">
        <v>15</v>
      </c>
      <c r="O799" s="87">
        <f>VLOOKUP($B799,BOM!$A$2:$K$94,10,0)</f>
        <v>0</v>
      </c>
      <c r="P799" s="87">
        <f t="shared" si="36"/>
        <v>0</v>
      </c>
    </row>
    <row r="800" spans="2:16" s="45" customFormat="1" ht="30">
      <c r="B800" s="62" t="s">
        <v>48</v>
      </c>
      <c r="C800" s="21" t="s">
        <v>49</v>
      </c>
      <c r="D800" s="85" t="s">
        <v>14</v>
      </c>
      <c r="E800" s="90">
        <f>ROUNDUP(E799*0.2,0)</f>
        <v>1</v>
      </c>
      <c r="F800" s="62"/>
      <c r="G800" s="62"/>
      <c r="H800" s="62"/>
      <c r="I800" s="62"/>
      <c r="J800" s="86"/>
      <c r="K800" s="62" t="s">
        <v>4</v>
      </c>
      <c r="L800" s="62" t="s">
        <v>5</v>
      </c>
      <c r="M800" s="86" t="s">
        <v>6</v>
      </c>
      <c r="N800" s="86" t="s">
        <v>15</v>
      </c>
      <c r="O800" s="87">
        <f>VLOOKUP($B800,BOM!$A$2:$K$94,10,0)</f>
        <v>0</v>
      </c>
      <c r="P800" s="87">
        <f t="shared" si="36"/>
        <v>0</v>
      </c>
    </row>
    <row r="801" spans="1:16">
      <c r="B801" s="81"/>
      <c r="C801" s="82" t="s">
        <v>50</v>
      </c>
      <c r="D801" s="72"/>
      <c r="E801" s="72"/>
      <c r="F801" s="72"/>
      <c r="G801" s="72"/>
      <c r="H801" s="72"/>
      <c r="I801" s="72"/>
      <c r="J801" s="72"/>
      <c r="K801" s="83"/>
      <c r="L801" s="83"/>
      <c r="M801" s="83"/>
      <c r="N801" s="83"/>
      <c r="O801" s="87">
        <f>VLOOKUP($B801,BOM!$A$2:$K$94,10,0)</f>
        <v>0</v>
      </c>
      <c r="P801" s="87">
        <f t="shared" si="36"/>
        <v>0</v>
      </c>
    </row>
    <row r="802" spans="1:16" s="45" customFormat="1">
      <c r="B802" s="62" t="s">
        <v>332</v>
      </c>
      <c r="C802" s="21" t="s">
        <v>332</v>
      </c>
      <c r="D802" s="85" t="s">
        <v>51</v>
      </c>
      <c r="E802" s="85">
        <f>E787</f>
        <v>1</v>
      </c>
      <c r="F802" s="62"/>
      <c r="G802" s="62"/>
      <c r="H802" s="62"/>
      <c r="I802" s="62"/>
      <c r="J802" s="86"/>
      <c r="K802" s="62"/>
      <c r="L802" s="62"/>
      <c r="M802" s="86"/>
      <c r="N802" s="86" t="s">
        <v>51</v>
      </c>
      <c r="O802" s="87">
        <f>VLOOKUP($B802,BOM!$A$2:$K$94,10,0)</f>
        <v>0</v>
      </c>
      <c r="P802" s="87">
        <f t="shared" si="36"/>
        <v>0</v>
      </c>
    </row>
    <row r="803" spans="1:16" s="45" customFormat="1">
      <c r="B803" s="62" t="s">
        <v>52</v>
      </c>
      <c r="C803" s="21" t="s">
        <v>53</v>
      </c>
      <c r="D803" s="86" t="s">
        <v>54</v>
      </c>
      <c r="E803" s="105">
        <f>E800+E799</f>
        <v>6</v>
      </c>
      <c r="F803" s="62"/>
      <c r="G803" s="62"/>
      <c r="H803" s="62"/>
      <c r="I803" s="62"/>
      <c r="J803" s="86"/>
      <c r="K803" s="62"/>
      <c r="L803" s="62"/>
      <c r="M803" s="86" t="s">
        <v>55</v>
      </c>
      <c r="N803" s="86" t="s">
        <v>54</v>
      </c>
      <c r="O803" s="87">
        <f>VLOOKUP($B803,BOM!$A$2:$K$94,10,0)</f>
        <v>0</v>
      </c>
      <c r="P803" s="87">
        <f t="shared" si="36"/>
        <v>0</v>
      </c>
    </row>
    <row r="804" spans="1:16" s="45" customFormat="1" ht="30">
      <c r="B804" s="62" t="s">
        <v>56</v>
      </c>
      <c r="C804" s="21" t="s">
        <v>57</v>
      </c>
      <c r="D804" s="86" t="s">
        <v>14</v>
      </c>
      <c r="E804" s="105">
        <f>E773+E769</f>
        <v>4</v>
      </c>
      <c r="F804" s="62"/>
      <c r="G804" s="62"/>
      <c r="H804" s="62"/>
      <c r="I804" s="62"/>
      <c r="J804" s="86"/>
      <c r="K804" s="62"/>
      <c r="L804" s="62"/>
      <c r="M804" s="86" t="s">
        <v>55</v>
      </c>
      <c r="N804" s="86" t="s">
        <v>14</v>
      </c>
      <c r="O804" s="87">
        <f>VLOOKUP($B804,BOM!$A$2:$K$94,10,0)</f>
        <v>0</v>
      </c>
      <c r="P804" s="87">
        <f t="shared" si="36"/>
        <v>0</v>
      </c>
    </row>
    <row r="805" spans="1:16" s="45" customFormat="1" ht="30">
      <c r="B805" s="62" t="s">
        <v>58</v>
      </c>
      <c r="C805" s="21" t="s">
        <v>59</v>
      </c>
      <c r="D805" s="86" t="s">
        <v>60</v>
      </c>
      <c r="E805" s="105">
        <f>E804*2</f>
        <v>8</v>
      </c>
      <c r="F805" s="62"/>
      <c r="G805" s="62"/>
      <c r="H805" s="62"/>
      <c r="I805" s="62"/>
      <c r="J805" s="86"/>
      <c r="K805" s="62"/>
      <c r="L805" s="62"/>
      <c r="M805" s="86" t="s">
        <v>61</v>
      </c>
      <c r="N805" s="86" t="s">
        <v>60</v>
      </c>
      <c r="O805" s="87">
        <f>VLOOKUP($B805,BOM!$A$2:$K$94,10,0)</f>
        <v>0</v>
      </c>
      <c r="P805" s="87">
        <f t="shared" si="36"/>
        <v>0</v>
      </c>
    </row>
    <row r="806" spans="1:16" s="45" customFormat="1" ht="45">
      <c r="B806" s="62" t="s">
        <v>62</v>
      </c>
      <c r="C806" s="21" t="s">
        <v>63</v>
      </c>
      <c r="D806" s="86" t="s">
        <v>64</v>
      </c>
      <c r="E806" s="105">
        <f>E783</f>
        <v>1</v>
      </c>
      <c r="F806" s="62"/>
      <c r="G806" s="62"/>
      <c r="H806" s="62"/>
      <c r="I806" s="62"/>
      <c r="J806" s="86"/>
      <c r="K806" s="62"/>
      <c r="L806" s="62"/>
      <c r="M806" s="86" t="s">
        <v>61</v>
      </c>
      <c r="N806" s="86" t="s">
        <v>64</v>
      </c>
      <c r="O806" s="87">
        <f>VLOOKUP($B806,BOM!$A$2:$K$94,10,0)</f>
        <v>0</v>
      </c>
      <c r="P806" s="87">
        <f t="shared" si="36"/>
        <v>0</v>
      </c>
    </row>
    <row r="807" spans="1:16">
      <c r="A807" s="35">
        <v>17</v>
      </c>
      <c r="B807" s="36"/>
      <c r="C807" s="37" t="s">
        <v>87</v>
      </c>
      <c r="D807" s="38" t="s">
        <v>0</v>
      </c>
      <c r="E807" s="36">
        <v>1</v>
      </c>
      <c r="F807" s="36"/>
      <c r="G807" s="36">
        <v>8</v>
      </c>
      <c r="H807" s="36">
        <v>0</v>
      </c>
      <c r="I807" s="36"/>
      <c r="J807" s="36">
        <f>SUBTOTAL(9,J810:J834)</f>
        <v>13</v>
      </c>
      <c r="K807" s="39"/>
      <c r="L807" s="39"/>
      <c r="M807" s="39"/>
      <c r="N807" s="39"/>
      <c r="O807" s="87">
        <f>VLOOKUP($B807,BOM!$A$2:$K$94,10,0)</f>
        <v>0</v>
      </c>
      <c r="P807" s="87">
        <f t="shared" si="36"/>
        <v>0</v>
      </c>
    </row>
    <row r="808" spans="1:16">
      <c r="B808" s="81"/>
      <c r="C808" s="82" t="s">
        <v>124</v>
      </c>
      <c r="D808" s="72" t="s">
        <v>0</v>
      </c>
      <c r="E808" s="72">
        <v>1</v>
      </c>
      <c r="F808" s="72"/>
      <c r="G808" s="72"/>
      <c r="H808" s="72"/>
      <c r="I808" s="72"/>
      <c r="J808" s="72"/>
      <c r="K808" s="83"/>
      <c r="L808" s="83"/>
      <c r="M808" s="83"/>
      <c r="N808" s="83"/>
      <c r="O808" s="87">
        <f>VLOOKUP($B808,BOM!$A$2:$K$94,10,0)</f>
        <v>0</v>
      </c>
      <c r="P808" s="87">
        <f t="shared" si="36"/>
        <v>0</v>
      </c>
    </row>
    <row r="809" spans="1:16" s="19" customFormat="1">
      <c r="B809" s="20" t="s">
        <v>226</v>
      </c>
      <c r="C809" s="20" t="s">
        <v>227</v>
      </c>
      <c r="D809" s="21"/>
      <c r="E809" s="22">
        <v>1</v>
      </c>
      <c r="F809" s="21"/>
      <c r="G809" s="21"/>
      <c r="H809" s="21"/>
      <c r="I809" s="21"/>
      <c r="J809" s="22"/>
      <c r="K809" s="21" t="s">
        <v>4</v>
      </c>
      <c r="L809" s="21" t="s">
        <v>203</v>
      </c>
      <c r="M809" s="22" t="s">
        <v>22</v>
      </c>
      <c r="N809" s="22" t="s">
        <v>3</v>
      </c>
      <c r="O809" s="87">
        <f>VLOOKUP($B809,BOM!$A$2:$K$94,10,0)</f>
        <v>0</v>
      </c>
      <c r="P809" s="87">
        <f t="shared" si="36"/>
        <v>0</v>
      </c>
    </row>
    <row r="810" spans="1:16" s="19" customFormat="1">
      <c r="B810" s="21" t="s">
        <v>122</v>
      </c>
      <c r="C810" s="21" t="s">
        <v>123</v>
      </c>
      <c r="D810" s="21"/>
      <c r="E810" s="22">
        <v>1</v>
      </c>
      <c r="F810" s="21"/>
      <c r="G810" s="21"/>
      <c r="H810" s="21"/>
      <c r="I810" s="21"/>
      <c r="J810" s="22">
        <v>1</v>
      </c>
      <c r="K810" s="21" t="s">
        <v>4</v>
      </c>
      <c r="L810" s="21" t="s">
        <v>5</v>
      </c>
      <c r="M810" s="22" t="s">
        <v>22</v>
      </c>
      <c r="N810" s="22" t="s">
        <v>3</v>
      </c>
      <c r="O810" s="87">
        <f>VLOOKUP($B810,BOM!$A$2:$K$94,10,0)</f>
        <v>0</v>
      </c>
      <c r="P810" s="87">
        <f t="shared" si="36"/>
        <v>0</v>
      </c>
    </row>
    <row r="811" spans="1:16">
      <c r="B811" s="81"/>
      <c r="C811" s="82" t="s">
        <v>1</v>
      </c>
      <c r="D811" s="72" t="s">
        <v>0</v>
      </c>
      <c r="E811" s="72">
        <v>1</v>
      </c>
      <c r="F811" s="72"/>
      <c r="G811" s="72">
        <f>ROUNDUP(G807/24,0)</f>
        <v>1</v>
      </c>
      <c r="H811" s="72">
        <f t="shared" ref="H811" si="37">ROUNDUP(H807/24,0)</f>
        <v>0</v>
      </c>
      <c r="I811" s="72"/>
      <c r="J811" s="72"/>
      <c r="K811" s="83"/>
      <c r="L811" s="83"/>
      <c r="M811" s="83"/>
      <c r="N811" s="83"/>
      <c r="O811" s="87">
        <f>VLOOKUP($B811,BOM!$A$2:$K$94,10,0)</f>
        <v>0</v>
      </c>
      <c r="P811" s="87">
        <f t="shared" si="36"/>
        <v>0</v>
      </c>
    </row>
    <row r="812" spans="1:16" s="45" customFormat="1">
      <c r="B812" s="62">
        <v>760249997</v>
      </c>
      <c r="C812" s="21" t="s">
        <v>2</v>
      </c>
      <c r="D812" s="85" t="s">
        <v>3</v>
      </c>
      <c r="E812" s="85">
        <f>ROUNDUP((E814+E818)/3,0)</f>
        <v>1</v>
      </c>
      <c r="F812" s="62"/>
      <c r="G812" s="62"/>
      <c r="H812" s="62"/>
      <c r="I812" s="62"/>
      <c r="J812" s="86">
        <v>1</v>
      </c>
      <c r="K812" s="62" t="s">
        <v>4</v>
      </c>
      <c r="L812" s="62" t="s">
        <v>5</v>
      </c>
      <c r="M812" s="86" t="s">
        <v>6</v>
      </c>
      <c r="N812" s="86" t="s">
        <v>3</v>
      </c>
      <c r="O812" s="87">
        <f>VLOOKUP($B812,BOM!$A$2:$K$94,10,0)</f>
        <v>0</v>
      </c>
      <c r="P812" s="87">
        <f t="shared" si="36"/>
        <v>0</v>
      </c>
    </row>
    <row r="813" spans="1:16" s="45" customFormat="1">
      <c r="B813" s="62">
        <v>760241378</v>
      </c>
      <c r="C813" s="21" t="s">
        <v>7</v>
      </c>
      <c r="D813" s="85" t="s">
        <v>3</v>
      </c>
      <c r="E813" s="85">
        <f>IF(E814&lt;=2,1,ROUNDUP(E812*1.5,0))</f>
        <v>1</v>
      </c>
      <c r="F813" s="62"/>
      <c r="G813" s="62"/>
      <c r="H813" s="62"/>
      <c r="I813" s="62"/>
      <c r="J813" s="86"/>
      <c r="K813" s="62" t="s">
        <v>4</v>
      </c>
      <c r="L813" s="62" t="s">
        <v>5</v>
      </c>
      <c r="M813" s="86" t="s">
        <v>6</v>
      </c>
      <c r="N813" s="86" t="s">
        <v>3</v>
      </c>
      <c r="O813" s="87">
        <f>VLOOKUP($B813,BOM!$A$2:$K$94,10,0)</f>
        <v>0</v>
      </c>
      <c r="P813" s="87">
        <f t="shared" si="36"/>
        <v>0</v>
      </c>
    </row>
    <row r="814" spans="1:16" s="45" customFormat="1">
      <c r="B814" s="62" t="s">
        <v>8</v>
      </c>
      <c r="C814" s="21" t="s">
        <v>9</v>
      </c>
      <c r="D814" s="85" t="s">
        <v>3</v>
      </c>
      <c r="E814" s="85">
        <f>G811</f>
        <v>1</v>
      </c>
      <c r="F814" s="62"/>
      <c r="G814" s="62"/>
      <c r="H814" s="62"/>
      <c r="I814" s="62"/>
      <c r="J814" s="86"/>
      <c r="K814" s="62" t="s">
        <v>4</v>
      </c>
      <c r="L814" s="62" t="s">
        <v>5</v>
      </c>
      <c r="M814" s="86" t="s">
        <v>6</v>
      </c>
      <c r="N814" s="86" t="s">
        <v>3</v>
      </c>
      <c r="O814" s="87">
        <f>VLOOKUP($B814,BOM!$A$2:$K$94,10,0)</f>
        <v>0</v>
      </c>
      <c r="P814" s="87">
        <f t="shared" si="36"/>
        <v>0</v>
      </c>
    </row>
    <row r="815" spans="1:16" s="45" customFormat="1">
      <c r="B815" s="62" t="s">
        <v>10</v>
      </c>
      <c r="C815" s="21" t="s">
        <v>11</v>
      </c>
      <c r="D815" s="85" t="s">
        <v>3</v>
      </c>
      <c r="E815" s="85">
        <f>E812*3-E814-E818</f>
        <v>2</v>
      </c>
      <c r="F815" s="62"/>
      <c r="G815" s="62"/>
      <c r="H815" s="62"/>
      <c r="I815" s="62"/>
      <c r="J815" s="86"/>
      <c r="K815" s="62" t="s">
        <v>4</v>
      </c>
      <c r="L815" s="62" t="s">
        <v>5</v>
      </c>
      <c r="M815" s="86" t="s">
        <v>6</v>
      </c>
      <c r="N815" s="86" t="s">
        <v>3</v>
      </c>
      <c r="O815" s="87">
        <f>VLOOKUP($B815,BOM!$A$2:$K$94,10,0)</f>
        <v>0</v>
      </c>
      <c r="P815" s="87">
        <f t="shared" si="36"/>
        <v>0</v>
      </c>
    </row>
    <row r="816" spans="1:16" s="45" customFormat="1">
      <c r="B816" s="62" t="s">
        <v>12</v>
      </c>
      <c r="C816" s="21" t="s">
        <v>13</v>
      </c>
      <c r="D816" s="85" t="s">
        <v>14</v>
      </c>
      <c r="E816" s="85">
        <f>G807/2</f>
        <v>4</v>
      </c>
      <c r="F816" s="62"/>
      <c r="G816" s="62"/>
      <c r="H816" s="62"/>
      <c r="I816" s="62"/>
      <c r="J816" s="86"/>
      <c r="K816" s="62" t="s">
        <v>4</v>
      </c>
      <c r="L816" s="62" t="s">
        <v>5</v>
      </c>
      <c r="M816" s="86" t="s">
        <v>6</v>
      </c>
      <c r="N816" s="86" t="s">
        <v>15</v>
      </c>
      <c r="O816" s="87">
        <f>VLOOKUP($B816,BOM!$A$2:$K$94,10,0)</f>
        <v>0</v>
      </c>
      <c r="P816" s="87">
        <f t="shared" si="36"/>
        <v>0</v>
      </c>
    </row>
    <row r="817" spans="2:16" s="45" customFormat="1" ht="30">
      <c r="B817" s="62" t="s">
        <v>16</v>
      </c>
      <c r="C817" s="21" t="s">
        <v>17</v>
      </c>
      <c r="D817" s="85" t="s">
        <v>14</v>
      </c>
      <c r="E817" s="85">
        <f>ROUNDUP((E823+E826)*1.3,0)</f>
        <v>2</v>
      </c>
      <c r="F817" s="62"/>
      <c r="G817" s="62"/>
      <c r="H817" s="62"/>
      <c r="I817" s="62"/>
      <c r="J817" s="86"/>
      <c r="K817" s="62" t="s">
        <v>4</v>
      </c>
      <c r="L817" s="62" t="s">
        <v>5</v>
      </c>
      <c r="M817" s="86" t="s">
        <v>6</v>
      </c>
      <c r="N817" s="86" t="s">
        <v>15</v>
      </c>
      <c r="O817" s="87">
        <f>VLOOKUP($B817,BOM!$A$2:$K$94,10,0)</f>
        <v>0</v>
      </c>
      <c r="P817" s="87">
        <f t="shared" si="36"/>
        <v>0</v>
      </c>
    </row>
    <row r="818" spans="2:16" s="110" customFormat="1">
      <c r="B818" s="66" t="s">
        <v>198</v>
      </c>
      <c r="C818" s="106" t="s">
        <v>199</v>
      </c>
      <c r="D818" s="89" t="s">
        <v>3</v>
      </c>
      <c r="E818" s="89">
        <f>H811</f>
        <v>0</v>
      </c>
      <c r="F818" s="66"/>
      <c r="G818" s="66"/>
      <c r="H818" s="66"/>
      <c r="I818" s="66"/>
      <c r="J818" s="107"/>
      <c r="K818" s="108" t="s">
        <v>4</v>
      </c>
      <c r="L818" s="108" t="s">
        <v>5</v>
      </c>
      <c r="M818" s="109" t="s">
        <v>6</v>
      </c>
      <c r="N818" s="109" t="s">
        <v>15</v>
      </c>
      <c r="O818" s="87">
        <f>VLOOKUP($B818,BOM!$A$2:$K$94,10,0)</f>
        <v>0</v>
      </c>
      <c r="P818" s="87">
        <f t="shared" si="36"/>
        <v>0</v>
      </c>
    </row>
    <row r="819" spans="2:16" s="111" customFormat="1">
      <c r="B819" s="66" t="s">
        <v>194</v>
      </c>
      <c r="C819" s="106" t="s">
        <v>195</v>
      </c>
      <c r="D819" s="89" t="s">
        <v>14</v>
      </c>
      <c r="E819" s="89">
        <v>0</v>
      </c>
      <c r="F819" s="108"/>
      <c r="G819" s="108"/>
      <c r="H819" s="108"/>
      <c r="I819" s="108"/>
      <c r="J819" s="109"/>
      <c r="K819" s="108" t="s">
        <v>4</v>
      </c>
      <c r="L819" s="108" t="s">
        <v>5</v>
      </c>
      <c r="M819" s="109" t="s">
        <v>6</v>
      </c>
      <c r="N819" s="109" t="s">
        <v>15</v>
      </c>
      <c r="O819" s="87">
        <f>VLOOKUP($B819,BOM!$A$2:$K$94,10,0)</f>
        <v>0</v>
      </c>
      <c r="P819" s="87">
        <f t="shared" si="36"/>
        <v>0</v>
      </c>
    </row>
    <row r="820" spans="2:16" s="110" customFormat="1">
      <c r="B820" s="66" t="s">
        <v>196</v>
      </c>
      <c r="C820" s="106" t="s">
        <v>197</v>
      </c>
      <c r="D820" s="89" t="s">
        <v>14</v>
      </c>
      <c r="E820" s="89">
        <f>H807/2</f>
        <v>0</v>
      </c>
      <c r="F820" s="66"/>
      <c r="G820" s="66"/>
      <c r="H820" s="66"/>
      <c r="I820" s="66"/>
      <c r="J820" s="107"/>
      <c r="K820" s="108" t="s">
        <v>4</v>
      </c>
      <c r="L820" s="108" t="s">
        <v>5</v>
      </c>
      <c r="M820" s="109" t="s">
        <v>6</v>
      </c>
      <c r="N820" s="109" t="s">
        <v>15</v>
      </c>
      <c r="O820" s="87">
        <f>VLOOKUP($B820,BOM!$A$2:$K$94,10,0)</f>
        <v>0</v>
      </c>
      <c r="P820" s="87">
        <f t="shared" si="36"/>
        <v>0</v>
      </c>
    </row>
    <row r="821" spans="2:16">
      <c r="B821" s="81"/>
      <c r="C821" s="82" t="s">
        <v>26</v>
      </c>
      <c r="D821" s="72" t="s">
        <v>0</v>
      </c>
      <c r="E821" s="72">
        <v>1</v>
      </c>
      <c r="F821" s="72"/>
      <c r="G821" s="72"/>
      <c r="H821" s="72"/>
      <c r="I821" s="72"/>
      <c r="J821" s="72"/>
      <c r="K821" s="83"/>
      <c r="L821" s="83"/>
      <c r="M821" s="83"/>
      <c r="N821" s="83"/>
      <c r="O821" s="87">
        <f>VLOOKUP($B821,BOM!$A$2:$K$94,10,0)</f>
        <v>0</v>
      </c>
      <c r="P821" s="87">
        <f t="shared" si="36"/>
        <v>0</v>
      </c>
    </row>
    <row r="822" spans="2:16" s="45" customFormat="1">
      <c r="B822" s="62"/>
      <c r="C822" s="21"/>
      <c r="D822" s="85"/>
      <c r="E822" s="90"/>
      <c r="F822" s="62"/>
      <c r="G822" s="62"/>
      <c r="H822" s="62"/>
      <c r="I822" s="62"/>
      <c r="J822" s="86"/>
      <c r="K822" s="62"/>
      <c r="L822" s="62"/>
      <c r="M822" s="86"/>
      <c r="N822" s="86"/>
      <c r="O822" s="87">
        <f>VLOOKUP($B822,BOM!$A$2:$K$94,10,0)</f>
        <v>0</v>
      </c>
      <c r="P822" s="87">
        <f t="shared" si="36"/>
        <v>0</v>
      </c>
    </row>
    <row r="823" spans="2:16" s="45" customFormat="1">
      <c r="B823" s="62"/>
      <c r="C823" s="21"/>
      <c r="D823" s="85"/>
      <c r="E823" s="90"/>
      <c r="F823" s="62"/>
      <c r="G823" s="62"/>
      <c r="H823" s="62"/>
      <c r="I823" s="62"/>
      <c r="J823" s="86"/>
      <c r="K823" s="62"/>
      <c r="L823" s="62"/>
      <c r="M823" s="86"/>
      <c r="N823" s="86"/>
      <c r="O823" s="87">
        <f>VLOOKUP($B823,BOM!$A$2:$K$94,10,0)</f>
        <v>0</v>
      </c>
      <c r="P823" s="87">
        <f t="shared" si="36"/>
        <v>0</v>
      </c>
    </row>
    <row r="824" spans="2:16">
      <c r="B824" s="81"/>
      <c r="C824" s="82" t="s">
        <v>145</v>
      </c>
      <c r="D824" s="72" t="s">
        <v>0</v>
      </c>
      <c r="E824" s="72">
        <v>2</v>
      </c>
      <c r="F824" s="72"/>
      <c r="G824" s="72"/>
      <c r="H824" s="72"/>
      <c r="I824" s="72"/>
      <c r="J824" s="72"/>
      <c r="K824" s="83"/>
      <c r="L824" s="83"/>
      <c r="M824" s="83"/>
      <c r="N824" s="83"/>
      <c r="O824" s="87">
        <f>VLOOKUP($B824,BOM!$A$2:$K$94,10,0)</f>
        <v>0</v>
      </c>
      <c r="P824" s="87">
        <f t="shared" si="36"/>
        <v>0</v>
      </c>
    </row>
    <row r="825" spans="2:16" s="45" customFormat="1" ht="30">
      <c r="B825" s="48" t="s">
        <v>303</v>
      </c>
      <c r="C825" s="49" t="s">
        <v>304</v>
      </c>
      <c r="D825" s="42" t="s">
        <v>64</v>
      </c>
      <c r="E825" s="43">
        <v>1</v>
      </c>
      <c r="F825" s="41"/>
      <c r="G825" s="41"/>
      <c r="H825" s="41"/>
      <c r="I825" s="41"/>
      <c r="J825" s="44">
        <v>1</v>
      </c>
      <c r="K825" s="41" t="s">
        <v>143</v>
      </c>
      <c r="L825" s="41" t="s">
        <v>151</v>
      </c>
      <c r="M825" s="44" t="s">
        <v>144</v>
      </c>
      <c r="N825" s="44" t="s">
        <v>64</v>
      </c>
      <c r="O825" s="87">
        <f>VLOOKUP($B825,BOM!$A$2:$K$94,10,0)</f>
        <v>0</v>
      </c>
      <c r="P825" s="87">
        <f t="shared" si="36"/>
        <v>0</v>
      </c>
    </row>
    <row r="826" spans="2:16" s="45" customFormat="1" ht="30">
      <c r="B826" s="41" t="s">
        <v>137</v>
      </c>
      <c r="C826" s="46" t="s">
        <v>138</v>
      </c>
      <c r="D826" s="42" t="s">
        <v>64</v>
      </c>
      <c r="E826" s="47">
        <f>E825</f>
        <v>1</v>
      </c>
      <c r="F826" s="41"/>
      <c r="G826" s="41"/>
      <c r="H826" s="41"/>
      <c r="I826" s="41"/>
      <c r="J826" s="44"/>
      <c r="K826" s="41" t="s">
        <v>143</v>
      </c>
      <c r="L826" s="41" t="s">
        <v>151</v>
      </c>
      <c r="M826" s="44" t="s">
        <v>144</v>
      </c>
      <c r="N826" s="44" t="s">
        <v>64</v>
      </c>
      <c r="O826" s="87">
        <f>VLOOKUP($B826,BOM!$A$2:$K$94,10,0)</f>
        <v>0</v>
      </c>
      <c r="P826" s="87">
        <f t="shared" si="36"/>
        <v>0</v>
      </c>
    </row>
    <row r="827" spans="2:16" outlineLevel="1">
      <c r="B827" s="117"/>
      <c r="C827" s="118" t="s">
        <v>67</v>
      </c>
      <c r="D827" s="119" t="s">
        <v>0</v>
      </c>
      <c r="E827" s="120">
        <v>1</v>
      </c>
      <c r="F827" s="121"/>
      <c r="G827" s="121"/>
      <c r="H827" s="121" t="s">
        <v>69</v>
      </c>
      <c r="I827" s="122"/>
      <c r="J827" s="122">
        <v>1</v>
      </c>
      <c r="K827" s="63"/>
      <c r="L827" s="63"/>
      <c r="M827" s="63"/>
      <c r="N827" s="63"/>
      <c r="O827" s="87">
        <f>VLOOKUP($B827,BOM!$A$2:$K$94,10,0)</f>
        <v>0</v>
      </c>
      <c r="P827" s="87">
        <f t="shared" si="36"/>
        <v>0</v>
      </c>
    </row>
    <row r="828" spans="2:16" outlineLevel="1">
      <c r="B828" s="117"/>
      <c r="C828" s="118" t="s">
        <v>70</v>
      </c>
      <c r="D828" s="119" t="s">
        <v>0</v>
      </c>
      <c r="E828" s="120">
        <v>1</v>
      </c>
      <c r="F828" s="121"/>
      <c r="G828" s="121"/>
      <c r="H828" s="121" t="s">
        <v>69</v>
      </c>
      <c r="I828" s="122"/>
      <c r="J828" s="122">
        <v>1</v>
      </c>
      <c r="K828" s="63"/>
      <c r="L828" s="63"/>
      <c r="M828" s="63"/>
      <c r="N828" s="63"/>
      <c r="O828" s="87">
        <f>VLOOKUP($B828,BOM!$A$2:$K$94,10,0)</f>
        <v>0</v>
      </c>
      <c r="P828" s="87">
        <f t="shared" si="36"/>
        <v>0</v>
      </c>
    </row>
    <row r="829" spans="2:16">
      <c r="B829" s="81"/>
      <c r="C829" s="82" t="s">
        <v>18</v>
      </c>
      <c r="D829" s="72" t="s">
        <v>0</v>
      </c>
      <c r="E829" s="72">
        <v>1</v>
      </c>
      <c r="F829" s="72"/>
      <c r="G829" s="72"/>
      <c r="H829" s="72"/>
      <c r="I829" s="72"/>
      <c r="J829" s="72"/>
      <c r="K829" s="83"/>
      <c r="L829" s="83"/>
      <c r="M829" s="83"/>
      <c r="N829" s="83"/>
      <c r="O829" s="87">
        <f>VLOOKUP($B829,BOM!$A$2:$K$94,10,0)</f>
        <v>0</v>
      </c>
      <c r="P829" s="87">
        <f t="shared" si="36"/>
        <v>0</v>
      </c>
    </row>
    <row r="830" spans="2:16" s="45" customFormat="1" ht="30">
      <c r="B830" s="62">
        <v>760237046</v>
      </c>
      <c r="C830" s="21" t="s">
        <v>19</v>
      </c>
      <c r="D830" s="85" t="s">
        <v>3</v>
      </c>
      <c r="E830" s="85">
        <f>E822+E825</f>
        <v>1</v>
      </c>
      <c r="F830" s="62"/>
      <c r="G830" s="62"/>
      <c r="H830" s="62"/>
      <c r="I830" s="62"/>
      <c r="J830" s="86">
        <v>1</v>
      </c>
      <c r="K830" s="62" t="s">
        <v>4</v>
      </c>
      <c r="L830" s="62" t="s">
        <v>5</v>
      </c>
      <c r="M830" s="86" t="s">
        <v>6</v>
      </c>
      <c r="N830" s="86" t="s">
        <v>3</v>
      </c>
      <c r="O830" s="87">
        <f>VLOOKUP($B830,BOM!$A$2:$K$94,10,0)</f>
        <v>0</v>
      </c>
      <c r="P830" s="87">
        <f t="shared" si="36"/>
        <v>0</v>
      </c>
    </row>
    <row r="831" spans="2:16" s="45" customFormat="1" ht="30">
      <c r="B831" s="62" t="s">
        <v>23</v>
      </c>
      <c r="C831" s="21" t="s">
        <v>24</v>
      </c>
      <c r="D831" s="85" t="s">
        <v>3</v>
      </c>
      <c r="E831" s="85">
        <f>E830*24</f>
        <v>24</v>
      </c>
      <c r="F831" s="62"/>
      <c r="G831" s="62"/>
      <c r="H831" s="62"/>
      <c r="I831" s="62"/>
      <c r="J831" s="86"/>
      <c r="K831" s="62" t="s">
        <v>25</v>
      </c>
      <c r="L831" s="62" t="s">
        <v>5</v>
      </c>
      <c r="M831" s="86" t="s">
        <v>6</v>
      </c>
      <c r="N831" s="86" t="s">
        <v>3</v>
      </c>
      <c r="O831" s="87">
        <f>VLOOKUP($B831,BOM!$A$2:$K$94,10,0)</f>
        <v>0</v>
      </c>
      <c r="P831" s="87">
        <f t="shared" si="36"/>
        <v>0</v>
      </c>
    </row>
    <row r="832" spans="2:16" s="45" customFormat="1">
      <c r="B832" s="62" t="s">
        <v>20</v>
      </c>
      <c r="C832" s="21" t="s">
        <v>21</v>
      </c>
      <c r="D832" s="85" t="s">
        <v>3</v>
      </c>
      <c r="E832" s="85">
        <f>E830</f>
        <v>1</v>
      </c>
      <c r="F832" s="62"/>
      <c r="G832" s="62"/>
      <c r="H832" s="62"/>
      <c r="I832" s="62"/>
      <c r="J832" s="86">
        <v>1</v>
      </c>
      <c r="K832" s="62" t="s">
        <v>4</v>
      </c>
      <c r="L832" s="62" t="s">
        <v>5</v>
      </c>
      <c r="M832" s="86" t="s">
        <v>22</v>
      </c>
      <c r="N832" s="86" t="s">
        <v>3</v>
      </c>
      <c r="O832" s="87">
        <f>VLOOKUP($B832,BOM!$A$2:$K$94,10,0)</f>
        <v>0</v>
      </c>
      <c r="P832" s="87">
        <f t="shared" si="36"/>
        <v>0</v>
      </c>
    </row>
    <row r="833" spans="2:16">
      <c r="B833" s="81"/>
      <c r="C833" s="82" t="s">
        <v>71</v>
      </c>
      <c r="D833" s="72" t="s">
        <v>0</v>
      </c>
      <c r="E833" s="72">
        <v>1</v>
      </c>
      <c r="F833" s="72"/>
      <c r="G833" s="72"/>
      <c r="H833" s="72"/>
      <c r="I833" s="72"/>
      <c r="J833" s="72"/>
      <c r="K833" s="83"/>
      <c r="L833" s="83"/>
      <c r="M833" s="83"/>
      <c r="N833" s="83"/>
      <c r="O833" s="87">
        <f>VLOOKUP($B833,BOM!$A$2:$K$94,10,0)</f>
        <v>0</v>
      </c>
      <c r="P833" s="87">
        <f t="shared" si="36"/>
        <v>0</v>
      </c>
    </row>
    <row r="834" spans="2:16" s="45" customFormat="1">
      <c r="B834" s="62" t="s">
        <v>312</v>
      </c>
      <c r="C834" s="21" t="s">
        <v>315</v>
      </c>
      <c r="D834" s="116" t="s">
        <v>51</v>
      </c>
      <c r="E834" s="85">
        <v>1</v>
      </c>
      <c r="F834" s="62"/>
      <c r="G834" s="62"/>
      <c r="H834" s="62"/>
      <c r="I834" s="62"/>
      <c r="J834" s="86">
        <f>E834*6</f>
        <v>6</v>
      </c>
      <c r="K834" s="62"/>
      <c r="L834" s="62" t="s">
        <v>5</v>
      </c>
      <c r="M834" s="86" t="s">
        <v>28</v>
      </c>
      <c r="N834" s="86" t="s">
        <v>3</v>
      </c>
      <c r="O834" s="87">
        <f>VLOOKUP($B834,BOM!$A$2:$K$94,10,0)</f>
        <v>0</v>
      </c>
      <c r="P834" s="87">
        <f t="shared" si="36"/>
        <v>0</v>
      </c>
    </row>
    <row r="835" spans="2:16" s="45" customFormat="1">
      <c r="B835" s="62"/>
      <c r="C835" s="21"/>
      <c r="D835" s="116"/>
      <c r="E835" s="85"/>
      <c r="F835" s="62"/>
      <c r="G835" s="62"/>
      <c r="H835" s="62"/>
      <c r="I835" s="62"/>
      <c r="J835" s="86"/>
      <c r="K835" s="62"/>
      <c r="L835" s="62"/>
      <c r="M835" s="86"/>
      <c r="N835" s="86"/>
      <c r="O835" s="87">
        <f>VLOOKUP($B835,BOM!$A$2:$K$94,10,0)</f>
        <v>0</v>
      </c>
      <c r="P835" s="87">
        <f t="shared" si="36"/>
        <v>0</v>
      </c>
    </row>
    <row r="836" spans="2:16" s="45" customFormat="1">
      <c r="B836" s="62" t="s">
        <v>225</v>
      </c>
      <c r="C836" s="21" t="s">
        <v>72</v>
      </c>
      <c r="D836" s="116" t="s">
        <v>64</v>
      </c>
      <c r="E836" s="85">
        <v>0</v>
      </c>
      <c r="F836" s="62"/>
      <c r="G836" s="62"/>
      <c r="H836" s="62"/>
      <c r="I836" s="62"/>
      <c r="J836" s="86"/>
      <c r="K836" s="62"/>
      <c r="L836" s="62" t="s">
        <v>5</v>
      </c>
      <c r="M836" s="86" t="s">
        <v>28</v>
      </c>
      <c r="N836" s="86" t="s">
        <v>3</v>
      </c>
      <c r="O836" s="87">
        <f>VLOOKUP($B836,BOM!$A$2:$K$94,10,0)</f>
        <v>0</v>
      </c>
      <c r="P836" s="87">
        <f t="shared" ref="P836:P899" si="38">O836*E836</f>
        <v>0</v>
      </c>
    </row>
    <row r="837" spans="2:16">
      <c r="B837" s="81"/>
      <c r="C837" s="82" t="s">
        <v>31</v>
      </c>
      <c r="D837" s="72" t="s">
        <v>0</v>
      </c>
      <c r="E837" s="72">
        <v>1</v>
      </c>
      <c r="F837" s="72"/>
      <c r="G837" s="72"/>
      <c r="H837" s="72"/>
      <c r="I837" s="72"/>
      <c r="J837" s="72"/>
      <c r="K837" s="83"/>
      <c r="L837" s="83"/>
      <c r="M837" s="83"/>
      <c r="N837" s="83"/>
      <c r="O837" s="87">
        <f>VLOOKUP($B837,BOM!$A$2:$K$94,10,0)</f>
        <v>0</v>
      </c>
      <c r="P837" s="87">
        <f t="shared" si="38"/>
        <v>0</v>
      </c>
    </row>
    <row r="838" spans="2:16">
      <c r="B838" s="81"/>
      <c r="C838" s="82" t="s">
        <v>32</v>
      </c>
      <c r="D838" s="72"/>
      <c r="E838" s="72"/>
      <c r="F838" s="72"/>
      <c r="G838" s="72"/>
      <c r="H838" s="72"/>
      <c r="I838" s="72"/>
      <c r="J838" s="72"/>
      <c r="K838" s="83"/>
      <c r="L838" s="83"/>
      <c r="M838" s="83"/>
      <c r="N838" s="83"/>
      <c r="O838" s="87">
        <f>VLOOKUP($B838,BOM!$A$2:$K$94,10,0)</f>
        <v>0</v>
      </c>
      <c r="P838" s="87">
        <f t="shared" si="38"/>
        <v>0</v>
      </c>
    </row>
    <row r="839" spans="2:16" s="45" customFormat="1" ht="20.45" customHeight="1">
      <c r="B839" s="62" t="s">
        <v>33</v>
      </c>
      <c r="C839" s="21" t="s">
        <v>34</v>
      </c>
      <c r="D839" s="85" t="s">
        <v>3</v>
      </c>
      <c r="E839" s="90">
        <f>E840</f>
        <v>0</v>
      </c>
      <c r="F839" s="62"/>
      <c r="G839" s="62"/>
      <c r="H839" s="62"/>
      <c r="I839" s="62"/>
      <c r="J839" s="86"/>
      <c r="K839" s="62" t="s">
        <v>35</v>
      </c>
      <c r="L839" s="62" t="s">
        <v>5</v>
      </c>
      <c r="M839" s="86" t="s">
        <v>6</v>
      </c>
      <c r="N839" s="86" t="s">
        <v>3</v>
      </c>
      <c r="O839" s="87">
        <f>VLOOKUP($B839,BOM!$A$2:$K$94,10,0)</f>
        <v>0</v>
      </c>
      <c r="P839" s="87">
        <f t="shared" si="38"/>
        <v>0</v>
      </c>
    </row>
    <row r="840" spans="2:16" s="45" customFormat="1">
      <c r="B840" s="62" t="s">
        <v>330</v>
      </c>
      <c r="C840" s="21" t="s">
        <v>36</v>
      </c>
      <c r="D840" s="85" t="s">
        <v>3</v>
      </c>
      <c r="E840" s="90">
        <f>G838+H838</f>
        <v>0</v>
      </c>
      <c r="F840" s="62"/>
      <c r="G840" s="62"/>
      <c r="H840" s="62"/>
      <c r="I840" s="62"/>
      <c r="J840" s="86"/>
      <c r="K840" s="62" t="s">
        <v>37</v>
      </c>
      <c r="L840" s="62" t="s">
        <v>5</v>
      </c>
      <c r="M840" s="86" t="s">
        <v>37</v>
      </c>
      <c r="N840" s="86" t="s">
        <v>3</v>
      </c>
      <c r="O840" s="87">
        <f>VLOOKUP($B840,BOM!$A$2:$K$94,10,0)</f>
        <v>0</v>
      </c>
      <c r="P840" s="87">
        <f t="shared" si="38"/>
        <v>0</v>
      </c>
    </row>
    <row r="841" spans="2:16" s="45" customFormat="1" ht="30">
      <c r="B841" s="62" t="s">
        <v>38</v>
      </c>
      <c r="C841" s="21" t="s">
        <v>39</v>
      </c>
      <c r="D841" s="85" t="s">
        <v>3</v>
      </c>
      <c r="E841" s="90">
        <f>E840</f>
        <v>0</v>
      </c>
      <c r="F841" s="62"/>
      <c r="G841" s="62"/>
      <c r="H841" s="62"/>
      <c r="I841" s="62"/>
      <c r="J841" s="86"/>
      <c r="K841" s="62" t="s">
        <v>25</v>
      </c>
      <c r="L841" s="62" t="s">
        <v>5</v>
      </c>
      <c r="M841" s="86" t="s">
        <v>6</v>
      </c>
      <c r="N841" s="86" t="s">
        <v>3</v>
      </c>
      <c r="O841" s="87">
        <f>VLOOKUP($B841,BOM!$A$2:$K$94,10,0)</f>
        <v>0</v>
      </c>
      <c r="P841" s="87">
        <f t="shared" si="38"/>
        <v>0</v>
      </c>
    </row>
    <row r="842" spans="2:16">
      <c r="B842" s="81"/>
      <c r="C842" s="82" t="s">
        <v>40</v>
      </c>
      <c r="D842" s="72"/>
      <c r="E842" s="72"/>
      <c r="F842" s="72"/>
      <c r="G842" s="72"/>
      <c r="H842" s="72">
        <v>8</v>
      </c>
      <c r="I842" s="72"/>
      <c r="J842" s="72"/>
      <c r="K842" s="83"/>
      <c r="L842" s="83"/>
      <c r="M842" s="83"/>
      <c r="N842" s="83"/>
      <c r="O842" s="87">
        <f>VLOOKUP($B842,BOM!$A$2:$K$94,10,0)</f>
        <v>0</v>
      </c>
      <c r="P842" s="87">
        <f t="shared" si="38"/>
        <v>0</v>
      </c>
    </row>
    <row r="843" spans="2:16" s="45" customFormat="1">
      <c r="B843" s="62" t="s">
        <v>41</v>
      </c>
      <c r="C843" s="21" t="s">
        <v>42</v>
      </c>
      <c r="D843" s="85" t="s">
        <v>3</v>
      </c>
      <c r="E843" s="85">
        <f>G842+H842</f>
        <v>8</v>
      </c>
      <c r="F843" s="62"/>
      <c r="G843" s="62"/>
      <c r="H843" s="62"/>
      <c r="I843" s="62"/>
      <c r="J843" s="86"/>
      <c r="K843" s="62" t="s">
        <v>4</v>
      </c>
      <c r="L843" s="62" t="s">
        <v>5</v>
      </c>
      <c r="M843" s="86" t="s">
        <v>6</v>
      </c>
      <c r="N843" s="86" t="s">
        <v>3</v>
      </c>
      <c r="O843" s="87">
        <f>VLOOKUP($B843,BOM!$A$2:$K$94,10,0)</f>
        <v>0</v>
      </c>
      <c r="P843" s="87">
        <f t="shared" si="38"/>
        <v>0</v>
      </c>
    </row>
    <row r="844" spans="2:16" s="45" customFormat="1">
      <c r="B844" s="65" t="s">
        <v>43</v>
      </c>
      <c r="C844" s="103" t="s">
        <v>44</v>
      </c>
      <c r="D844" s="85" t="s">
        <v>3</v>
      </c>
      <c r="E844" s="85">
        <f>E843</f>
        <v>8</v>
      </c>
      <c r="F844" s="62"/>
      <c r="G844" s="62"/>
      <c r="H844" s="62"/>
      <c r="I844" s="62"/>
      <c r="J844" s="86"/>
      <c r="K844" s="62" t="s">
        <v>4</v>
      </c>
      <c r="L844" s="62" t="s">
        <v>5</v>
      </c>
      <c r="M844" s="86" t="s">
        <v>6</v>
      </c>
      <c r="N844" s="86" t="s">
        <v>3</v>
      </c>
      <c r="O844" s="87">
        <f>VLOOKUP($B844,BOM!$A$2:$K$94,10,0)</f>
        <v>0</v>
      </c>
      <c r="P844" s="87">
        <f t="shared" si="38"/>
        <v>0</v>
      </c>
    </row>
    <row r="845" spans="2:16">
      <c r="B845" s="81"/>
      <c r="C845" s="82" t="s">
        <v>45</v>
      </c>
      <c r="D845" s="72"/>
      <c r="E845" s="72"/>
      <c r="F845" s="72"/>
      <c r="G845" s="72"/>
      <c r="H845" s="72"/>
      <c r="I845" s="72"/>
      <c r="J845" s="72"/>
      <c r="K845" s="83"/>
      <c r="L845" s="83"/>
      <c r="M845" s="83"/>
      <c r="N845" s="83"/>
      <c r="O845" s="87">
        <f>VLOOKUP($B845,BOM!$A$2:$K$94,10,0)</f>
        <v>0</v>
      </c>
      <c r="P845" s="87">
        <f t="shared" si="38"/>
        <v>0</v>
      </c>
    </row>
    <row r="846" spans="2:16" s="45" customFormat="1" ht="30">
      <c r="B846" s="62" t="s">
        <v>48</v>
      </c>
      <c r="C846" s="21" t="s">
        <v>49</v>
      </c>
      <c r="D846" s="85" t="s">
        <v>14</v>
      </c>
      <c r="E846" s="85">
        <f>E843+1</f>
        <v>9</v>
      </c>
      <c r="F846" s="62"/>
      <c r="G846" s="62"/>
      <c r="H846" s="62"/>
      <c r="I846" s="62"/>
      <c r="J846" s="86"/>
      <c r="K846" s="62"/>
      <c r="L846" s="62" t="s">
        <v>5</v>
      </c>
      <c r="M846" s="86" t="s">
        <v>6</v>
      </c>
      <c r="N846" s="86" t="s">
        <v>15</v>
      </c>
      <c r="O846" s="87">
        <f>VLOOKUP($B846,BOM!$A$2:$K$94,10,0)</f>
        <v>0</v>
      </c>
      <c r="P846" s="87">
        <f t="shared" si="38"/>
        <v>0</v>
      </c>
    </row>
    <row r="847" spans="2:16" s="45" customFormat="1" ht="30">
      <c r="B847" s="62" t="s">
        <v>48</v>
      </c>
      <c r="C847" s="21" t="s">
        <v>49</v>
      </c>
      <c r="D847" s="85" t="s">
        <v>14</v>
      </c>
      <c r="E847" s="90">
        <f>ROUNDUP(E846*0.2,0)</f>
        <v>2</v>
      </c>
      <c r="F847" s="62"/>
      <c r="G847" s="62"/>
      <c r="H847" s="62"/>
      <c r="I847" s="62"/>
      <c r="J847" s="86"/>
      <c r="K847" s="62" t="s">
        <v>4</v>
      </c>
      <c r="L847" s="62" t="s">
        <v>5</v>
      </c>
      <c r="M847" s="86" t="s">
        <v>6</v>
      </c>
      <c r="N847" s="86" t="s">
        <v>15</v>
      </c>
      <c r="O847" s="87">
        <f>VLOOKUP($B847,BOM!$A$2:$K$94,10,0)</f>
        <v>0</v>
      </c>
      <c r="P847" s="87">
        <f t="shared" si="38"/>
        <v>0</v>
      </c>
    </row>
    <row r="848" spans="2:16">
      <c r="B848" s="81"/>
      <c r="C848" s="82" t="s">
        <v>50</v>
      </c>
      <c r="D848" s="72"/>
      <c r="E848" s="72"/>
      <c r="F848" s="72"/>
      <c r="G848" s="72"/>
      <c r="H848" s="72"/>
      <c r="I848" s="72"/>
      <c r="J848" s="72"/>
      <c r="K848" s="83"/>
      <c r="L848" s="83"/>
      <c r="M848" s="83"/>
      <c r="N848" s="83"/>
      <c r="O848" s="87">
        <f>VLOOKUP($B848,BOM!$A$2:$K$94,10,0)</f>
        <v>0</v>
      </c>
      <c r="P848" s="87">
        <f t="shared" si="38"/>
        <v>0</v>
      </c>
    </row>
    <row r="849" spans="1:16" s="45" customFormat="1">
      <c r="B849" s="62" t="s">
        <v>332</v>
      </c>
      <c r="C849" s="21" t="s">
        <v>332</v>
      </c>
      <c r="D849" s="85" t="s">
        <v>51</v>
      </c>
      <c r="E849" s="85">
        <f>E834</f>
        <v>1</v>
      </c>
      <c r="F849" s="62"/>
      <c r="G849" s="62"/>
      <c r="H849" s="62"/>
      <c r="I849" s="62"/>
      <c r="J849" s="86"/>
      <c r="K849" s="62"/>
      <c r="L849" s="62"/>
      <c r="M849" s="86"/>
      <c r="N849" s="86" t="s">
        <v>51</v>
      </c>
      <c r="O849" s="87">
        <f>VLOOKUP($B849,BOM!$A$2:$K$94,10,0)</f>
        <v>0</v>
      </c>
      <c r="P849" s="87">
        <f t="shared" si="38"/>
        <v>0</v>
      </c>
    </row>
    <row r="850" spans="1:16" s="45" customFormat="1">
      <c r="B850" s="62" t="s">
        <v>52</v>
      </c>
      <c r="C850" s="21" t="s">
        <v>53</v>
      </c>
      <c r="D850" s="86" t="s">
        <v>54</v>
      </c>
      <c r="E850" s="105">
        <f>E847+E846</f>
        <v>11</v>
      </c>
      <c r="F850" s="62"/>
      <c r="G850" s="62"/>
      <c r="H850" s="62"/>
      <c r="I850" s="62"/>
      <c r="J850" s="86"/>
      <c r="K850" s="62"/>
      <c r="L850" s="62"/>
      <c r="M850" s="86" t="s">
        <v>55</v>
      </c>
      <c r="N850" s="86" t="s">
        <v>54</v>
      </c>
      <c r="O850" s="87">
        <f>VLOOKUP($B850,BOM!$A$2:$K$94,10,0)</f>
        <v>0</v>
      </c>
      <c r="P850" s="87">
        <f t="shared" si="38"/>
        <v>0</v>
      </c>
    </row>
    <row r="851" spans="1:16" s="45" customFormat="1" ht="30">
      <c r="B851" s="62" t="s">
        <v>56</v>
      </c>
      <c r="C851" s="21" t="s">
        <v>57</v>
      </c>
      <c r="D851" s="86" t="s">
        <v>14</v>
      </c>
      <c r="E851" s="105">
        <f>E820+E816</f>
        <v>4</v>
      </c>
      <c r="F851" s="62"/>
      <c r="G851" s="62"/>
      <c r="H851" s="62"/>
      <c r="I851" s="62"/>
      <c r="J851" s="86"/>
      <c r="K851" s="62"/>
      <c r="L851" s="62"/>
      <c r="M851" s="86" t="s">
        <v>55</v>
      </c>
      <c r="N851" s="86" t="s">
        <v>14</v>
      </c>
      <c r="O851" s="87">
        <f>VLOOKUP($B851,BOM!$A$2:$K$94,10,0)</f>
        <v>0</v>
      </c>
      <c r="P851" s="87">
        <f t="shared" si="38"/>
        <v>0</v>
      </c>
    </row>
    <row r="852" spans="1:16" s="45" customFormat="1" ht="30">
      <c r="B852" s="62" t="s">
        <v>58</v>
      </c>
      <c r="C852" s="21" t="s">
        <v>59</v>
      </c>
      <c r="D852" s="86" t="s">
        <v>60</v>
      </c>
      <c r="E852" s="105">
        <f>E851*2</f>
        <v>8</v>
      </c>
      <c r="F852" s="62"/>
      <c r="G852" s="62"/>
      <c r="H852" s="62"/>
      <c r="I852" s="62"/>
      <c r="J852" s="86"/>
      <c r="K852" s="62"/>
      <c r="L852" s="62"/>
      <c r="M852" s="86" t="s">
        <v>61</v>
      </c>
      <c r="N852" s="86" t="s">
        <v>60</v>
      </c>
      <c r="O852" s="87">
        <f>VLOOKUP($B852,BOM!$A$2:$K$94,10,0)</f>
        <v>0</v>
      </c>
      <c r="P852" s="87">
        <f t="shared" si="38"/>
        <v>0</v>
      </c>
    </row>
    <row r="853" spans="1:16" s="45" customFormat="1" ht="45">
      <c r="B853" s="62" t="s">
        <v>62</v>
      </c>
      <c r="C853" s="21" t="s">
        <v>63</v>
      </c>
      <c r="D853" s="86" t="s">
        <v>64</v>
      </c>
      <c r="E853" s="105">
        <f>E830</f>
        <v>1</v>
      </c>
      <c r="F853" s="62"/>
      <c r="G853" s="62"/>
      <c r="H853" s="62"/>
      <c r="I853" s="62"/>
      <c r="J853" s="86"/>
      <c r="K853" s="62"/>
      <c r="L853" s="62"/>
      <c r="M853" s="86" t="s">
        <v>61</v>
      </c>
      <c r="N853" s="86" t="s">
        <v>64</v>
      </c>
      <c r="O853" s="87">
        <f>VLOOKUP($B853,BOM!$A$2:$K$94,10,0)</f>
        <v>0</v>
      </c>
      <c r="P853" s="87">
        <f t="shared" si="38"/>
        <v>0</v>
      </c>
    </row>
    <row r="854" spans="1:16">
      <c r="A854" s="35">
        <v>18</v>
      </c>
      <c r="B854" s="36"/>
      <c r="C854" s="37" t="s">
        <v>88</v>
      </c>
      <c r="D854" s="38" t="s">
        <v>0</v>
      </c>
      <c r="E854" s="36">
        <v>1</v>
      </c>
      <c r="F854" s="36"/>
      <c r="G854" s="36">
        <v>8</v>
      </c>
      <c r="H854" s="36">
        <v>0</v>
      </c>
      <c r="I854" s="36"/>
      <c r="J854" s="36">
        <f>SUBTOTAL(9,J857:J881)</f>
        <v>12</v>
      </c>
      <c r="K854" s="39"/>
      <c r="L854" s="39"/>
      <c r="M854" s="39"/>
      <c r="N854" s="39"/>
      <c r="O854" s="87">
        <f>VLOOKUP($B854,BOM!$A$2:$K$94,10,0)</f>
        <v>0</v>
      </c>
      <c r="P854" s="87">
        <f t="shared" si="38"/>
        <v>0</v>
      </c>
    </row>
    <row r="855" spans="1:16">
      <c r="B855" s="81"/>
      <c r="C855" s="82" t="s">
        <v>124</v>
      </c>
      <c r="D855" s="72" t="s">
        <v>0</v>
      </c>
      <c r="E855" s="72">
        <v>1</v>
      </c>
      <c r="F855" s="72"/>
      <c r="G855" s="72"/>
      <c r="H855" s="72"/>
      <c r="I855" s="72"/>
      <c r="J855" s="72"/>
      <c r="K855" s="83"/>
      <c r="L855" s="83"/>
      <c r="M855" s="83"/>
      <c r="N855" s="83"/>
      <c r="O855" s="87">
        <f>VLOOKUP($B855,BOM!$A$2:$K$94,10,0)</f>
        <v>0</v>
      </c>
      <c r="P855" s="87">
        <f t="shared" si="38"/>
        <v>0</v>
      </c>
    </row>
    <row r="856" spans="1:16" s="19" customFormat="1">
      <c r="B856" s="20" t="s">
        <v>226</v>
      </c>
      <c r="C856" s="20" t="s">
        <v>227</v>
      </c>
      <c r="D856" s="21"/>
      <c r="E856" s="22">
        <v>1</v>
      </c>
      <c r="F856" s="21"/>
      <c r="G856" s="21"/>
      <c r="H856" s="21"/>
      <c r="I856" s="21"/>
      <c r="J856" s="22"/>
      <c r="K856" s="21" t="s">
        <v>4</v>
      </c>
      <c r="L856" s="21" t="s">
        <v>203</v>
      </c>
      <c r="M856" s="22" t="s">
        <v>22</v>
      </c>
      <c r="N856" s="22" t="s">
        <v>3</v>
      </c>
      <c r="O856" s="87">
        <f>VLOOKUP($B856,BOM!$A$2:$K$94,10,0)</f>
        <v>0</v>
      </c>
      <c r="P856" s="87">
        <f t="shared" si="38"/>
        <v>0</v>
      </c>
    </row>
    <row r="857" spans="1:16" s="19" customFormat="1">
      <c r="B857" s="21" t="s">
        <v>122</v>
      </c>
      <c r="C857" s="21" t="s">
        <v>123</v>
      </c>
      <c r="D857" s="21"/>
      <c r="E857" s="22">
        <v>1</v>
      </c>
      <c r="F857" s="21"/>
      <c r="G857" s="21"/>
      <c r="H857" s="21"/>
      <c r="I857" s="21"/>
      <c r="J857" s="22">
        <v>1</v>
      </c>
      <c r="K857" s="21" t="s">
        <v>4</v>
      </c>
      <c r="L857" s="21" t="s">
        <v>5</v>
      </c>
      <c r="M857" s="22" t="s">
        <v>22</v>
      </c>
      <c r="N857" s="22" t="s">
        <v>3</v>
      </c>
      <c r="O857" s="87">
        <f>VLOOKUP($B857,BOM!$A$2:$K$94,10,0)</f>
        <v>0</v>
      </c>
      <c r="P857" s="87">
        <f t="shared" si="38"/>
        <v>0</v>
      </c>
    </row>
    <row r="858" spans="1:16">
      <c r="B858" s="81"/>
      <c r="C858" s="82" t="s">
        <v>1</v>
      </c>
      <c r="D858" s="72" t="s">
        <v>0</v>
      </c>
      <c r="E858" s="72">
        <v>1</v>
      </c>
      <c r="F858" s="72"/>
      <c r="G858" s="72">
        <f>ROUNDUP(G854/24,0)</f>
        <v>1</v>
      </c>
      <c r="H858" s="72">
        <f t="shared" ref="H858" si="39">ROUNDUP(H854/24,0)</f>
        <v>0</v>
      </c>
      <c r="I858" s="72"/>
      <c r="J858" s="72"/>
      <c r="K858" s="83"/>
      <c r="L858" s="83"/>
      <c r="M858" s="83"/>
      <c r="N858" s="83"/>
      <c r="O858" s="87">
        <f>VLOOKUP($B858,BOM!$A$2:$K$94,10,0)</f>
        <v>0</v>
      </c>
      <c r="P858" s="87">
        <f t="shared" si="38"/>
        <v>0</v>
      </c>
    </row>
    <row r="859" spans="1:16" s="45" customFormat="1">
      <c r="B859" s="62">
        <v>760249997</v>
      </c>
      <c r="C859" s="21" t="s">
        <v>2</v>
      </c>
      <c r="D859" s="85" t="s">
        <v>3</v>
      </c>
      <c r="E859" s="85">
        <f>ROUNDUP((E861+E865)/3,0)</f>
        <v>1</v>
      </c>
      <c r="F859" s="62"/>
      <c r="G859" s="62"/>
      <c r="H859" s="62"/>
      <c r="I859" s="62"/>
      <c r="J859" s="86">
        <v>1</v>
      </c>
      <c r="K859" s="62" t="s">
        <v>4</v>
      </c>
      <c r="L859" s="62" t="s">
        <v>5</v>
      </c>
      <c r="M859" s="86" t="s">
        <v>6</v>
      </c>
      <c r="N859" s="86" t="s">
        <v>3</v>
      </c>
      <c r="O859" s="87">
        <f>VLOOKUP($B859,BOM!$A$2:$K$94,10,0)</f>
        <v>0</v>
      </c>
      <c r="P859" s="87">
        <f t="shared" si="38"/>
        <v>0</v>
      </c>
    </row>
    <row r="860" spans="1:16" s="45" customFormat="1">
      <c r="B860" s="62">
        <v>760241378</v>
      </c>
      <c r="C860" s="21" t="s">
        <v>7</v>
      </c>
      <c r="D860" s="85" t="s">
        <v>3</v>
      </c>
      <c r="E860" s="85">
        <f>IF(E861&lt;=2,1,ROUNDUP(E859*1.5,0))</f>
        <v>1</v>
      </c>
      <c r="F860" s="62"/>
      <c r="G860" s="62"/>
      <c r="H860" s="62"/>
      <c r="I860" s="62"/>
      <c r="J860" s="86"/>
      <c r="K860" s="62" t="s">
        <v>4</v>
      </c>
      <c r="L860" s="62" t="s">
        <v>5</v>
      </c>
      <c r="M860" s="86" t="s">
        <v>6</v>
      </c>
      <c r="N860" s="86" t="s">
        <v>3</v>
      </c>
      <c r="O860" s="87">
        <f>VLOOKUP($B860,BOM!$A$2:$K$94,10,0)</f>
        <v>0</v>
      </c>
      <c r="P860" s="87">
        <f t="shared" si="38"/>
        <v>0</v>
      </c>
    </row>
    <row r="861" spans="1:16" s="45" customFormat="1">
      <c r="B861" s="62" t="s">
        <v>8</v>
      </c>
      <c r="C861" s="21" t="s">
        <v>9</v>
      </c>
      <c r="D861" s="85" t="s">
        <v>3</v>
      </c>
      <c r="E861" s="85">
        <f>G858</f>
        <v>1</v>
      </c>
      <c r="F861" s="62"/>
      <c r="G861" s="62"/>
      <c r="H861" s="62"/>
      <c r="I861" s="62"/>
      <c r="J861" s="86"/>
      <c r="K861" s="62" t="s">
        <v>4</v>
      </c>
      <c r="L861" s="62" t="s">
        <v>5</v>
      </c>
      <c r="M861" s="86" t="s">
        <v>6</v>
      </c>
      <c r="N861" s="86" t="s">
        <v>3</v>
      </c>
      <c r="O861" s="87">
        <f>VLOOKUP($B861,BOM!$A$2:$K$94,10,0)</f>
        <v>0</v>
      </c>
      <c r="P861" s="87">
        <f t="shared" si="38"/>
        <v>0</v>
      </c>
    </row>
    <row r="862" spans="1:16" s="45" customFormat="1">
      <c r="B862" s="62" t="s">
        <v>10</v>
      </c>
      <c r="C862" s="21" t="s">
        <v>11</v>
      </c>
      <c r="D862" s="85" t="s">
        <v>3</v>
      </c>
      <c r="E862" s="85">
        <f>E859*3-E861-E865</f>
        <v>2</v>
      </c>
      <c r="F862" s="62"/>
      <c r="G862" s="62"/>
      <c r="H862" s="62"/>
      <c r="I862" s="62"/>
      <c r="J862" s="86"/>
      <c r="K862" s="62" t="s">
        <v>4</v>
      </c>
      <c r="L862" s="62" t="s">
        <v>5</v>
      </c>
      <c r="M862" s="86" t="s">
        <v>6</v>
      </c>
      <c r="N862" s="86" t="s">
        <v>3</v>
      </c>
      <c r="O862" s="87">
        <f>VLOOKUP($B862,BOM!$A$2:$K$94,10,0)</f>
        <v>0</v>
      </c>
      <c r="P862" s="87">
        <f t="shared" si="38"/>
        <v>0</v>
      </c>
    </row>
    <row r="863" spans="1:16" s="45" customFormat="1">
      <c r="B863" s="62" t="s">
        <v>12</v>
      </c>
      <c r="C863" s="21" t="s">
        <v>13</v>
      </c>
      <c r="D863" s="85" t="s">
        <v>14</v>
      </c>
      <c r="E863" s="85">
        <f>G854/2</f>
        <v>4</v>
      </c>
      <c r="F863" s="62"/>
      <c r="G863" s="62"/>
      <c r="H863" s="62"/>
      <c r="I863" s="62"/>
      <c r="J863" s="86"/>
      <c r="K863" s="62" t="s">
        <v>4</v>
      </c>
      <c r="L863" s="62" t="s">
        <v>5</v>
      </c>
      <c r="M863" s="86" t="s">
        <v>6</v>
      </c>
      <c r="N863" s="86" t="s">
        <v>15</v>
      </c>
      <c r="O863" s="87">
        <f>VLOOKUP($B863,BOM!$A$2:$K$94,10,0)</f>
        <v>0</v>
      </c>
      <c r="P863" s="87">
        <f t="shared" si="38"/>
        <v>0</v>
      </c>
    </row>
    <row r="864" spans="1:16" s="45" customFormat="1" ht="30">
      <c r="B864" s="62" t="s">
        <v>16</v>
      </c>
      <c r="C864" s="21" t="s">
        <v>17</v>
      </c>
      <c r="D864" s="85" t="s">
        <v>14</v>
      </c>
      <c r="E864" s="85">
        <f>ROUNDUP((E870+E873)*1.3,0)</f>
        <v>2</v>
      </c>
      <c r="F864" s="62"/>
      <c r="G864" s="62"/>
      <c r="H864" s="62"/>
      <c r="I864" s="62"/>
      <c r="J864" s="86"/>
      <c r="K864" s="62" t="s">
        <v>4</v>
      </c>
      <c r="L864" s="62" t="s">
        <v>5</v>
      </c>
      <c r="M864" s="86" t="s">
        <v>6</v>
      </c>
      <c r="N864" s="86" t="s">
        <v>15</v>
      </c>
      <c r="O864" s="87">
        <f>VLOOKUP($B864,BOM!$A$2:$K$94,10,0)</f>
        <v>0</v>
      </c>
      <c r="P864" s="87">
        <f t="shared" si="38"/>
        <v>0</v>
      </c>
    </row>
    <row r="865" spans="2:16" s="110" customFormat="1">
      <c r="B865" s="66" t="s">
        <v>198</v>
      </c>
      <c r="C865" s="106" t="s">
        <v>199</v>
      </c>
      <c r="D865" s="89" t="s">
        <v>3</v>
      </c>
      <c r="E865" s="89">
        <f>H858</f>
        <v>0</v>
      </c>
      <c r="F865" s="66"/>
      <c r="G865" s="66"/>
      <c r="H865" s="66"/>
      <c r="I865" s="66"/>
      <c r="J865" s="107"/>
      <c r="K865" s="108" t="s">
        <v>4</v>
      </c>
      <c r="L865" s="108" t="s">
        <v>5</v>
      </c>
      <c r="M865" s="109" t="s">
        <v>6</v>
      </c>
      <c r="N865" s="109" t="s">
        <v>15</v>
      </c>
      <c r="O865" s="87">
        <f>VLOOKUP($B865,BOM!$A$2:$K$94,10,0)</f>
        <v>0</v>
      </c>
      <c r="P865" s="87">
        <f t="shared" si="38"/>
        <v>0</v>
      </c>
    </row>
    <row r="866" spans="2:16" s="111" customFormat="1">
      <c r="B866" s="66" t="s">
        <v>194</v>
      </c>
      <c r="C866" s="106" t="s">
        <v>195</v>
      </c>
      <c r="D866" s="89" t="s">
        <v>14</v>
      </c>
      <c r="E866" s="89">
        <v>0</v>
      </c>
      <c r="F866" s="108"/>
      <c r="G866" s="108"/>
      <c r="H866" s="108"/>
      <c r="I866" s="108"/>
      <c r="J866" s="109"/>
      <c r="K866" s="108" t="s">
        <v>4</v>
      </c>
      <c r="L866" s="108" t="s">
        <v>5</v>
      </c>
      <c r="M866" s="109" t="s">
        <v>6</v>
      </c>
      <c r="N866" s="109" t="s">
        <v>15</v>
      </c>
      <c r="O866" s="87">
        <f>VLOOKUP($B866,BOM!$A$2:$K$94,10,0)</f>
        <v>0</v>
      </c>
      <c r="P866" s="87">
        <f t="shared" si="38"/>
        <v>0</v>
      </c>
    </row>
    <row r="867" spans="2:16" s="110" customFormat="1">
      <c r="B867" s="66" t="s">
        <v>196</v>
      </c>
      <c r="C867" s="106" t="s">
        <v>197</v>
      </c>
      <c r="D867" s="89" t="s">
        <v>14</v>
      </c>
      <c r="E867" s="89">
        <f>H854/2</f>
        <v>0</v>
      </c>
      <c r="F867" s="66"/>
      <c r="G867" s="66"/>
      <c r="H867" s="66"/>
      <c r="I867" s="66"/>
      <c r="J867" s="107"/>
      <c r="K867" s="108" t="s">
        <v>4</v>
      </c>
      <c r="L867" s="108" t="s">
        <v>5</v>
      </c>
      <c r="M867" s="109" t="s">
        <v>6</v>
      </c>
      <c r="N867" s="109" t="s">
        <v>15</v>
      </c>
      <c r="O867" s="87">
        <f>VLOOKUP($B867,BOM!$A$2:$K$94,10,0)</f>
        <v>0</v>
      </c>
      <c r="P867" s="87">
        <f t="shared" si="38"/>
        <v>0</v>
      </c>
    </row>
    <row r="868" spans="2:16">
      <c r="B868" s="81"/>
      <c r="C868" s="82" t="s">
        <v>26</v>
      </c>
      <c r="D868" s="72" t="s">
        <v>0</v>
      </c>
      <c r="E868" s="72">
        <v>1</v>
      </c>
      <c r="F868" s="72"/>
      <c r="G868" s="72"/>
      <c r="H868" s="72"/>
      <c r="I868" s="72"/>
      <c r="J868" s="72"/>
      <c r="K868" s="83"/>
      <c r="L868" s="83"/>
      <c r="M868" s="83"/>
      <c r="N868" s="83"/>
      <c r="O868" s="87">
        <f>VLOOKUP($B868,BOM!$A$2:$K$94,10,0)</f>
        <v>0</v>
      </c>
      <c r="P868" s="87">
        <f t="shared" si="38"/>
        <v>0</v>
      </c>
    </row>
    <row r="869" spans="2:16" s="45" customFormat="1">
      <c r="B869" s="62"/>
      <c r="C869" s="21"/>
      <c r="D869" s="85"/>
      <c r="E869" s="90"/>
      <c r="F869" s="62"/>
      <c r="G869" s="62"/>
      <c r="H869" s="62"/>
      <c r="I869" s="62"/>
      <c r="J869" s="86"/>
      <c r="K869" s="62"/>
      <c r="L869" s="62"/>
      <c r="M869" s="86"/>
      <c r="N869" s="86"/>
      <c r="O869" s="87">
        <f>VLOOKUP($B869,BOM!$A$2:$K$94,10,0)</f>
        <v>0</v>
      </c>
      <c r="P869" s="87">
        <f t="shared" si="38"/>
        <v>0</v>
      </c>
    </row>
    <row r="870" spans="2:16" s="45" customFormat="1">
      <c r="B870" s="62"/>
      <c r="C870" s="21"/>
      <c r="D870" s="85"/>
      <c r="E870" s="90"/>
      <c r="F870" s="62"/>
      <c r="G870" s="62"/>
      <c r="H870" s="62"/>
      <c r="I870" s="62"/>
      <c r="J870" s="86"/>
      <c r="K870" s="62"/>
      <c r="L870" s="62"/>
      <c r="M870" s="86"/>
      <c r="N870" s="86"/>
      <c r="O870" s="87">
        <f>VLOOKUP($B870,BOM!$A$2:$K$94,10,0)</f>
        <v>0</v>
      </c>
      <c r="P870" s="87">
        <f t="shared" si="38"/>
        <v>0</v>
      </c>
    </row>
    <row r="871" spans="2:16">
      <c r="B871" s="81"/>
      <c r="C871" s="82" t="s">
        <v>145</v>
      </c>
      <c r="D871" s="72" t="s">
        <v>0</v>
      </c>
      <c r="E871" s="72">
        <v>2</v>
      </c>
      <c r="F871" s="72"/>
      <c r="G871" s="72"/>
      <c r="H871" s="72"/>
      <c r="I871" s="72"/>
      <c r="J871" s="72"/>
      <c r="K871" s="83"/>
      <c r="L871" s="83"/>
      <c r="M871" s="83"/>
      <c r="N871" s="83"/>
      <c r="O871" s="87">
        <f>VLOOKUP($B871,BOM!$A$2:$K$94,10,0)</f>
        <v>0</v>
      </c>
      <c r="P871" s="87">
        <f t="shared" si="38"/>
        <v>0</v>
      </c>
    </row>
    <row r="872" spans="2:16" s="45" customFormat="1">
      <c r="B872" s="41" t="s">
        <v>152</v>
      </c>
      <c r="C872" s="41" t="s">
        <v>153</v>
      </c>
      <c r="D872" s="42" t="s">
        <v>64</v>
      </c>
      <c r="E872" s="43">
        <v>1</v>
      </c>
      <c r="F872" s="41"/>
      <c r="G872" s="41"/>
      <c r="H872" s="41"/>
      <c r="I872" s="41"/>
      <c r="J872" s="44">
        <v>1</v>
      </c>
      <c r="K872" s="41" t="s">
        <v>143</v>
      </c>
      <c r="L872" s="41" t="s">
        <v>151</v>
      </c>
      <c r="M872" s="44" t="s">
        <v>144</v>
      </c>
      <c r="N872" s="44" t="s">
        <v>64</v>
      </c>
      <c r="O872" s="87">
        <f>VLOOKUP($B872,BOM!$A$2:$K$94,10,0)</f>
        <v>0</v>
      </c>
      <c r="P872" s="87">
        <f t="shared" si="38"/>
        <v>0</v>
      </c>
    </row>
    <row r="873" spans="2:16" s="45" customFormat="1" ht="30">
      <c r="B873" s="41" t="s">
        <v>137</v>
      </c>
      <c r="C873" s="46" t="s">
        <v>138</v>
      </c>
      <c r="D873" s="42" t="s">
        <v>64</v>
      </c>
      <c r="E873" s="47">
        <f>E872</f>
        <v>1</v>
      </c>
      <c r="F873" s="41"/>
      <c r="G873" s="41"/>
      <c r="H873" s="41"/>
      <c r="I873" s="41"/>
      <c r="J873" s="44"/>
      <c r="K873" s="41" t="s">
        <v>143</v>
      </c>
      <c r="L873" s="41" t="s">
        <v>151</v>
      </c>
      <c r="M873" s="44" t="s">
        <v>144</v>
      </c>
      <c r="N873" s="44" t="s">
        <v>64</v>
      </c>
      <c r="O873" s="87">
        <f>VLOOKUP($B873,BOM!$A$2:$K$94,10,0)</f>
        <v>0</v>
      </c>
      <c r="P873" s="87">
        <f t="shared" si="38"/>
        <v>0</v>
      </c>
    </row>
    <row r="874" spans="2:16" outlineLevel="1">
      <c r="B874" s="117"/>
      <c r="C874" s="118" t="s">
        <v>67</v>
      </c>
      <c r="D874" s="119" t="s">
        <v>0</v>
      </c>
      <c r="E874" s="120">
        <v>1</v>
      </c>
      <c r="F874" s="121"/>
      <c r="G874" s="121"/>
      <c r="H874" s="121" t="s">
        <v>69</v>
      </c>
      <c r="I874" s="122"/>
      <c r="J874" s="122"/>
      <c r="K874" s="63"/>
      <c r="L874" s="63"/>
      <c r="M874" s="63"/>
      <c r="N874" s="63"/>
      <c r="O874" s="87">
        <f>VLOOKUP($B874,BOM!$A$2:$K$94,10,0)</f>
        <v>0</v>
      </c>
      <c r="P874" s="87">
        <f t="shared" si="38"/>
        <v>0</v>
      </c>
    </row>
    <row r="875" spans="2:16" outlineLevel="1">
      <c r="B875" s="117"/>
      <c r="C875" s="118" t="s">
        <v>70</v>
      </c>
      <c r="D875" s="119" t="s">
        <v>0</v>
      </c>
      <c r="E875" s="120">
        <v>1</v>
      </c>
      <c r="F875" s="121"/>
      <c r="G875" s="121"/>
      <c r="H875" s="121" t="s">
        <v>69</v>
      </c>
      <c r="I875" s="122"/>
      <c r="J875" s="122">
        <v>1</v>
      </c>
      <c r="K875" s="63"/>
      <c r="L875" s="63"/>
      <c r="M875" s="63"/>
      <c r="N875" s="63"/>
      <c r="O875" s="87">
        <f>VLOOKUP($B875,BOM!$A$2:$K$94,10,0)</f>
        <v>0</v>
      </c>
      <c r="P875" s="87">
        <f t="shared" si="38"/>
        <v>0</v>
      </c>
    </row>
    <row r="876" spans="2:16">
      <c r="B876" s="81"/>
      <c r="C876" s="82" t="s">
        <v>18</v>
      </c>
      <c r="D876" s="72" t="s">
        <v>0</v>
      </c>
      <c r="E876" s="72">
        <v>1</v>
      </c>
      <c r="F876" s="72"/>
      <c r="G876" s="72"/>
      <c r="H876" s="72"/>
      <c r="I876" s="72"/>
      <c r="J876" s="72"/>
      <c r="K876" s="83"/>
      <c r="L876" s="83"/>
      <c r="M876" s="83"/>
      <c r="N876" s="83"/>
      <c r="O876" s="87">
        <f>VLOOKUP($B876,BOM!$A$2:$K$94,10,0)</f>
        <v>0</v>
      </c>
      <c r="P876" s="87">
        <f t="shared" si="38"/>
        <v>0</v>
      </c>
    </row>
    <row r="877" spans="2:16" s="45" customFormat="1" ht="30">
      <c r="B877" s="62">
        <v>760237046</v>
      </c>
      <c r="C877" s="21" t="s">
        <v>19</v>
      </c>
      <c r="D877" s="85" t="s">
        <v>3</v>
      </c>
      <c r="E877" s="85">
        <f>E869+E872</f>
        <v>1</v>
      </c>
      <c r="F877" s="62"/>
      <c r="G877" s="62"/>
      <c r="H877" s="62"/>
      <c r="I877" s="62"/>
      <c r="J877" s="86">
        <v>1</v>
      </c>
      <c r="K877" s="62" t="s">
        <v>4</v>
      </c>
      <c r="L877" s="62" t="s">
        <v>5</v>
      </c>
      <c r="M877" s="86" t="s">
        <v>6</v>
      </c>
      <c r="N877" s="86" t="s">
        <v>3</v>
      </c>
      <c r="O877" s="87">
        <f>VLOOKUP($B877,BOM!$A$2:$K$94,10,0)</f>
        <v>0</v>
      </c>
      <c r="P877" s="87">
        <f t="shared" si="38"/>
        <v>0</v>
      </c>
    </row>
    <row r="878" spans="2:16" s="45" customFormat="1" ht="30">
      <c r="B878" s="62" t="s">
        <v>23</v>
      </c>
      <c r="C878" s="21" t="s">
        <v>24</v>
      </c>
      <c r="D878" s="85" t="s">
        <v>3</v>
      </c>
      <c r="E878" s="85">
        <f>E877*24</f>
        <v>24</v>
      </c>
      <c r="F878" s="62"/>
      <c r="G878" s="62"/>
      <c r="H878" s="62"/>
      <c r="I878" s="62"/>
      <c r="J878" s="86"/>
      <c r="K878" s="62" t="s">
        <v>25</v>
      </c>
      <c r="L878" s="62" t="s">
        <v>5</v>
      </c>
      <c r="M878" s="86" t="s">
        <v>6</v>
      </c>
      <c r="N878" s="86" t="s">
        <v>3</v>
      </c>
      <c r="O878" s="87">
        <f>VLOOKUP($B878,BOM!$A$2:$K$94,10,0)</f>
        <v>0</v>
      </c>
      <c r="P878" s="87">
        <f t="shared" si="38"/>
        <v>0</v>
      </c>
    </row>
    <row r="879" spans="2:16" s="45" customFormat="1">
      <c r="B879" s="62" t="s">
        <v>20</v>
      </c>
      <c r="C879" s="21" t="s">
        <v>21</v>
      </c>
      <c r="D879" s="85" t="s">
        <v>3</v>
      </c>
      <c r="E879" s="85">
        <f>E877</f>
        <v>1</v>
      </c>
      <c r="F879" s="62"/>
      <c r="G879" s="62"/>
      <c r="H879" s="62"/>
      <c r="I879" s="62"/>
      <c r="J879" s="86">
        <v>1</v>
      </c>
      <c r="K879" s="62" t="s">
        <v>4</v>
      </c>
      <c r="L879" s="62" t="s">
        <v>5</v>
      </c>
      <c r="M879" s="86" t="s">
        <v>22</v>
      </c>
      <c r="N879" s="86" t="s">
        <v>3</v>
      </c>
      <c r="O879" s="87">
        <f>VLOOKUP($B879,BOM!$A$2:$K$94,10,0)</f>
        <v>0</v>
      </c>
      <c r="P879" s="87">
        <f t="shared" si="38"/>
        <v>0</v>
      </c>
    </row>
    <row r="880" spans="2:16">
      <c r="B880" s="81"/>
      <c r="C880" s="82" t="s">
        <v>71</v>
      </c>
      <c r="D880" s="72" t="s">
        <v>0</v>
      </c>
      <c r="E880" s="72">
        <v>1</v>
      </c>
      <c r="F880" s="72"/>
      <c r="G880" s="72"/>
      <c r="H880" s="72"/>
      <c r="I880" s="72"/>
      <c r="J880" s="72"/>
      <c r="K880" s="83"/>
      <c r="L880" s="83"/>
      <c r="M880" s="83"/>
      <c r="N880" s="83"/>
      <c r="O880" s="87">
        <f>VLOOKUP($B880,BOM!$A$2:$K$94,10,0)</f>
        <v>0</v>
      </c>
      <c r="P880" s="87">
        <f t="shared" si="38"/>
        <v>0</v>
      </c>
    </row>
    <row r="881" spans="2:16" s="45" customFormat="1">
      <c r="B881" s="62" t="s">
        <v>312</v>
      </c>
      <c r="C881" s="21" t="s">
        <v>315</v>
      </c>
      <c r="D881" s="116" t="s">
        <v>51</v>
      </c>
      <c r="E881" s="85">
        <v>1</v>
      </c>
      <c r="F881" s="62"/>
      <c r="G881" s="62"/>
      <c r="H881" s="62"/>
      <c r="I881" s="62"/>
      <c r="J881" s="86">
        <f>E881*6</f>
        <v>6</v>
      </c>
      <c r="K881" s="62"/>
      <c r="L881" s="62" t="s">
        <v>5</v>
      </c>
      <c r="M881" s="86" t="s">
        <v>28</v>
      </c>
      <c r="N881" s="86" t="s">
        <v>3</v>
      </c>
      <c r="O881" s="87">
        <f>VLOOKUP($B881,BOM!$A$2:$K$94,10,0)</f>
        <v>0</v>
      </c>
      <c r="P881" s="87">
        <f t="shared" si="38"/>
        <v>0</v>
      </c>
    </row>
    <row r="882" spans="2:16" s="45" customFormat="1">
      <c r="B882" s="62"/>
      <c r="C882" s="21"/>
      <c r="D882" s="116"/>
      <c r="E882" s="85"/>
      <c r="F882" s="62"/>
      <c r="G882" s="62"/>
      <c r="H882" s="62"/>
      <c r="I882" s="62"/>
      <c r="J882" s="86"/>
      <c r="K882" s="62"/>
      <c r="L882" s="62"/>
      <c r="M882" s="86"/>
      <c r="N882" s="86"/>
      <c r="O882" s="87">
        <f>VLOOKUP($B882,BOM!$A$2:$K$94,10,0)</f>
        <v>0</v>
      </c>
      <c r="P882" s="87">
        <f t="shared" si="38"/>
        <v>0</v>
      </c>
    </row>
    <row r="883" spans="2:16" s="45" customFormat="1">
      <c r="B883" s="62" t="s">
        <v>225</v>
      </c>
      <c r="C883" s="21" t="s">
        <v>72</v>
      </c>
      <c r="D883" s="116" t="s">
        <v>64</v>
      </c>
      <c r="E883" s="85">
        <v>0</v>
      </c>
      <c r="F883" s="62"/>
      <c r="G883" s="62"/>
      <c r="H883" s="62"/>
      <c r="I883" s="62"/>
      <c r="J883" s="86"/>
      <c r="K883" s="62"/>
      <c r="L883" s="62" t="s">
        <v>5</v>
      </c>
      <c r="M883" s="86" t="s">
        <v>28</v>
      </c>
      <c r="N883" s="86" t="s">
        <v>3</v>
      </c>
      <c r="O883" s="87">
        <f>VLOOKUP($B883,BOM!$A$2:$K$94,10,0)</f>
        <v>0</v>
      </c>
      <c r="P883" s="87">
        <f t="shared" si="38"/>
        <v>0</v>
      </c>
    </row>
    <row r="884" spans="2:16">
      <c r="B884" s="81"/>
      <c r="C884" s="82" t="s">
        <v>31</v>
      </c>
      <c r="D884" s="72" t="s">
        <v>0</v>
      </c>
      <c r="E884" s="72">
        <v>1</v>
      </c>
      <c r="F884" s="72"/>
      <c r="G884" s="72"/>
      <c r="H884" s="72"/>
      <c r="I884" s="72"/>
      <c r="J884" s="72"/>
      <c r="K884" s="83"/>
      <c r="L884" s="83"/>
      <c r="M884" s="83"/>
      <c r="N884" s="83"/>
      <c r="O884" s="87">
        <f>VLOOKUP($B884,BOM!$A$2:$K$94,10,0)</f>
        <v>0</v>
      </c>
      <c r="P884" s="87">
        <f t="shared" si="38"/>
        <v>0</v>
      </c>
    </row>
    <row r="885" spans="2:16">
      <c r="B885" s="81"/>
      <c r="C885" s="82" t="s">
        <v>32</v>
      </c>
      <c r="D885" s="72"/>
      <c r="E885" s="72"/>
      <c r="F885" s="72"/>
      <c r="G885" s="72"/>
      <c r="H885" s="72"/>
      <c r="I885" s="72"/>
      <c r="J885" s="72"/>
      <c r="K885" s="83"/>
      <c r="L885" s="83"/>
      <c r="M885" s="83"/>
      <c r="N885" s="83"/>
      <c r="O885" s="87">
        <f>VLOOKUP($B885,BOM!$A$2:$K$94,10,0)</f>
        <v>0</v>
      </c>
      <c r="P885" s="87">
        <f t="shared" si="38"/>
        <v>0</v>
      </c>
    </row>
    <row r="886" spans="2:16" s="45" customFormat="1" ht="20.45" customHeight="1">
      <c r="B886" s="62" t="s">
        <v>33</v>
      </c>
      <c r="C886" s="21" t="s">
        <v>34</v>
      </c>
      <c r="D886" s="85" t="s">
        <v>3</v>
      </c>
      <c r="E886" s="90">
        <f>E887</f>
        <v>0</v>
      </c>
      <c r="F886" s="62"/>
      <c r="G886" s="62"/>
      <c r="H886" s="62"/>
      <c r="I886" s="62"/>
      <c r="J886" s="86"/>
      <c r="K886" s="62" t="s">
        <v>35</v>
      </c>
      <c r="L886" s="62" t="s">
        <v>5</v>
      </c>
      <c r="M886" s="86" t="s">
        <v>6</v>
      </c>
      <c r="N886" s="86" t="s">
        <v>3</v>
      </c>
      <c r="O886" s="87">
        <f>VLOOKUP($B886,BOM!$A$2:$K$94,10,0)</f>
        <v>0</v>
      </c>
      <c r="P886" s="87">
        <f t="shared" si="38"/>
        <v>0</v>
      </c>
    </row>
    <row r="887" spans="2:16" s="45" customFormat="1">
      <c r="B887" s="62" t="s">
        <v>330</v>
      </c>
      <c r="C887" s="21" t="s">
        <v>36</v>
      </c>
      <c r="D887" s="85" t="s">
        <v>3</v>
      </c>
      <c r="E887" s="90">
        <f>G885+H885</f>
        <v>0</v>
      </c>
      <c r="F887" s="62"/>
      <c r="G887" s="62"/>
      <c r="H887" s="62"/>
      <c r="I887" s="62"/>
      <c r="J887" s="86"/>
      <c r="K887" s="62" t="s">
        <v>37</v>
      </c>
      <c r="L887" s="62" t="s">
        <v>5</v>
      </c>
      <c r="M887" s="86" t="s">
        <v>37</v>
      </c>
      <c r="N887" s="86" t="s">
        <v>3</v>
      </c>
      <c r="O887" s="87">
        <f>VLOOKUP($B887,BOM!$A$2:$K$94,10,0)</f>
        <v>0</v>
      </c>
      <c r="P887" s="87">
        <f t="shared" si="38"/>
        <v>0</v>
      </c>
    </row>
    <row r="888" spans="2:16" s="45" customFormat="1" ht="30">
      <c r="B888" s="62" t="s">
        <v>38</v>
      </c>
      <c r="C888" s="21" t="s">
        <v>39</v>
      </c>
      <c r="D888" s="85" t="s">
        <v>3</v>
      </c>
      <c r="E888" s="90">
        <f>E887</f>
        <v>0</v>
      </c>
      <c r="F888" s="62"/>
      <c r="G888" s="62"/>
      <c r="H888" s="62"/>
      <c r="I888" s="62"/>
      <c r="J888" s="86"/>
      <c r="K888" s="62" t="s">
        <v>25</v>
      </c>
      <c r="L888" s="62" t="s">
        <v>5</v>
      </c>
      <c r="M888" s="86" t="s">
        <v>6</v>
      </c>
      <c r="N888" s="86" t="s">
        <v>3</v>
      </c>
      <c r="O888" s="87">
        <f>VLOOKUP($B888,BOM!$A$2:$K$94,10,0)</f>
        <v>0</v>
      </c>
      <c r="P888" s="87">
        <f t="shared" si="38"/>
        <v>0</v>
      </c>
    </row>
    <row r="889" spans="2:16">
      <c r="B889" s="81"/>
      <c r="C889" s="82" t="s">
        <v>40</v>
      </c>
      <c r="D889" s="72"/>
      <c r="E889" s="72"/>
      <c r="F889" s="72"/>
      <c r="G889" s="72"/>
      <c r="H889" s="72">
        <v>10</v>
      </c>
      <c r="I889" s="72"/>
      <c r="J889" s="72"/>
      <c r="K889" s="83"/>
      <c r="L889" s="83"/>
      <c r="M889" s="83"/>
      <c r="N889" s="83"/>
      <c r="O889" s="87">
        <f>VLOOKUP($B889,BOM!$A$2:$K$94,10,0)</f>
        <v>0</v>
      </c>
      <c r="P889" s="87">
        <f t="shared" si="38"/>
        <v>0</v>
      </c>
    </row>
    <row r="890" spans="2:16" s="45" customFormat="1">
      <c r="B890" s="62" t="s">
        <v>41</v>
      </c>
      <c r="C890" s="21" t="s">
        <v>42</v>
      </c>
      <c r="D890" s="85" t="s">
        <v>3</v>
      </c>
      <c r="E890" s="85">
        <f>G889+H889</f>
        <v>10</v>
      </c>
      <c r="F890" s="62"/>
      <c r="G890" s="62"/>
      <c r="H890" s="62"/>
      <c r="I890" s="62"/>
      <c r="J890" s="86"/>
      <c r="K890" s="62" t="s">
        <v>4</v>
      </c>
      <c r="L890" s="62" t="s">
        <v>5</v>
      </c>
      <c r="M890" s="86" t="s">
        <v>6</v>
      </c>
      <c r="N890" s="86" t="s">
        <v>3</v>
      </c>
      <c r="O890" s="87">
        <f>VLOOKUP($B890,BOM!$A$2:$K$94,10,0)</f>
        <v>0</v>
      </c>
      <c r="P890" s="87">
        <f t="shared" si="38"/>
        <v>0</v>
      </c>
    </row>
    <row r="891" spans="2:16" s="45" customFormat="1">
      <c r="B891" s="65" t="s">
        <v>43</v>
      </c>
      <c r="C891" s="103" t="s">
        <v>44</v>
      </c>
      <c r="D891" s="85" t="s">
        <v>3</v>
      </c>
      <c r="E891" s="85">
        <f>E890</f>
        <v>10</v>
      </c>
      <c r="F891" s="62"/>
      <c r="G891" s="62"/>
      <c r="H891" s="62"/>
      <c r="I891" s="62"/>
      <c r="J891" s="86"/>
      <c r="K891" s="62" t="s">
        <v>4</v>
      </c>
      <c r="L891" s="62" t="s">
        <v>5</v>
      </c>
      <c r="M891" s="86" t="s">
        <v>6</v>
      </c>
      <c r="N891" s="86" t="s">
        <v>3</v>
      </c>
      <c r="O891" s="87">
        <f>VLOOKUP($B891,BOM!$A$2:$K$94,10,0)</f>
        <v>0</v>
      </c>
      <c r="P891" s="87">
        <f t="shared" si="38"/>
        <v>0</v>
      </c>
    </row>
    <row r="892" spans="2:16">
      <c r="B892" s="81"/>
      <c r="C892" s="82" t="s">
        <v>45</v>
      </c>
      <c r="D892" s="72"/>
      <c r="E892" s="72"/>
      <c r="F892" s="72"/>
      <c r="G892" s="72"/>
      <c r="H892" s="72"/>
      <c r="I892" s="72"/>
      <c r="J892" s="72"/>
      <c r="K892" s="83"/>
      <c r="L892" s="83"/>
      <c r="M892" s="83"/>
      <c r="N892" s="83"/>
      <c r="O892" s="87">
        <f>VLOOKUP($B892,BOM!$A$2:$K$94,10,0)</f>
        <v>0</v>
      </c>
      <c r="P892" s="87">
        <f t="shared" si="38"/>
        <v>0</v>
      </c>
    </row>
    <row r="893" spans="2:16" s="45" customFormat="1" ht="30">
      <c r="B893" s="62" t="s">
        <v>48</v>
      </c>
      <c r="C893" s="21" t="s">
        <v>49</v>
      </c>
      <c r="D893" s="85" t="s">
        <v>14</v>
      </c>
      <c r="E893" s="85">
        <f>E890+1</f>
        <v>11</v>
      </c>
      <c r="F893" s="62"/>
      <c r="G893" s="62"/>
      <c r="H893" s="62"/>
      <c r="I893" s="62"/>
      <c r="J893" s="86"/>
      <c r="K893" s="62"/>
      <c r="L893" s="62" t="s">
        <v>5</v>
      </c>
      <c r="M893" s="86" t="s">
        <v>6</v>
      </c>
      <c r="N893" s="86" t="s">
        <v>15</v>
      </c>
      <c r="O893" s="87">
        <f>VLOOKUP($B893,BOM!$A$2:$K$94,10,0)</f>
        <v>0</v>
      </c>
      <c r="P893" s="87">
        <f t="shared" si="38"/>
        <v>0</v>
      </c>
    </row>
    <row r="894" spans="2:16" s="45" customFormat="1" ht="30">
      <c r="B894" s="62" t="s">
        <v>48</v>
      </c>
      <c r="C894" s="21" t="s">
        <v>49</v>
      </c>
      <c r="D894" s="85" t="s">
        <v>14</v>
      </c>
      <c r="E894" s="90">
        <f>ROUNDUP(E893*0.2,0)</f>
        <v>3</v>
      </c>
      <c r="F894" s="62"/>
      <c r="G894" s="62"/>
      <c r="H894" s="62"/>
      <c r="I894" s="62"/>
      <c r="J894" s="86"/>
      <c r="K894" s="62" t="s">
        <v>4</v>
      </c>
      <c r="L894" s="62" t="s">
        <v>5</v>
      </c>
      <c r="M894" s="86" t="s">
        <v>6</v>
      </c>
      <c r="N894" s="86" t="s">
        <v>15</v>
      </c>
      <c r="O894" s="87">
        <f>VLOOKUP($B894,BOM!$A$2:$K$94,10,0)</f>
        <v>0</v>
      </c>
      <c r="P894" s="87">
        <f t="shared" si="38"/>
        <v>0</v>
      </c>
    </row>
    <row r="895" spans="2:16">
      <c r="B895" s="81"/>
      <c r="C895" s="82" t="s">
        <v>50</v>
      </c>
      <c r="D895" s="72"/>
      <c r="E895" s="72"/>
      <c r="F895" s="72"/>
      <c r="G895" s="72"/>
      <c r="H895" s="72"/>
      <c r="I895" s="72"/>
      <c r="J895" s="72"/>
      <c r="K895" s="83"/>
      <c r="L895" s="83"/>
      <c r="M895" s="83"/>
      <c r="N895" s="83"/>
      <c r="O895" s="87">
        <f>VLOOKUP($B895,BOM!$A$2:$K$94,10,0)</f>
        <v>0</v>
      </c>
      <c r="P895" s="87">
        <f t="shared" si="38"/>
        <v>0</v>
      </c>
    </row>
    <row r="896" spans="2:16" s="45" customFormat="1">
      <c r="B896" s="62" t="s">
        <v>332</v>
      </c>
      <c r="C896" s="21" t="s">
        <v>332</v>
      </c>
      <c r="D896" s="85" t="s">
        <v>51</v>
      </c>
      <c r="E896" s="85">
        <f>E881</f>
        <v>1</v>
      </c>
      <c r="F896" s="62"/>
      <c r="G896" s="62"/>
      <c r="H896" s="62"/>
      <c r="I896" s="62"/>
      <c r="J896" s="86"/>
      <c r="K896" s="62"/>
      <c r="L896" s="62"/>
      <c r="M896" s="86"/>
      <c r="N896" s="86" t="s">
        <v>51</v>
      </c>
      <c r="O896" s="87">
        <f>VLOOKUP($B896,BOM!$A$2:$K$94,10,0)</f>
        <v>0</v>
      </c>
      <c r="P896" s="87">
        <f t="shared" si="38"/>
        <v>0</v>
      </c>
    </row>
    <row r="897" spans="1:16" s="45" customFormat="1">
      <c r="B897" s="62" t="s">
        <v>52</v>
      </c>
      <c r="C897" s="21" t="s">
        <v>53</v>
      </c>
      <c r="D897" s="86" t="s">
        <v>54</v>
      </c>
      <c r="E897" s="105">
        <f>E894+E893</f>
        <v>14</v>
      </c>
      <c r="F897" s="62"/>
      <c r="G897" s="62"/>
      <c r="H897" s="62"/>
      <c r="I897" s="62"/>
      <c r="J897" s="86"/>
      <c r="K897" s="62"/>
      <c r="L897" s="62"/>
      <c r="M897" s="86" t="s">
        <v>55</v>
      </c>
      <c r="N897" s="86" t="s">
        <v>54</v>
      </c>
      <c r="O897" s="87">
        <f>VLOOKUP($B897,BOM!$A$2:$K$94,10,0)</f>
        <v>0</v>
      </c>
      <c r="P897" s="87">
        <f t="shared" si="38"/>
        <v>0</v>
      </c>
    </row>
    <row r="898" spans="1:16" s="45" customFormat="1" ht="30">
      <c r="B898" s="62" t="s">
        <v>56</v>
      </c>
      <c r="C898" s="21" t="s">
        <v>57</v>
      </c>
      <c r="D898" s="86" t="s">
        <v>14</v>
      </c>
      <c r="E898" s="105">
        <f>E867+E863</f>
        <v>4</v>
      </c>
      <c r="F898" s="62"/>
      <c r="G898" s="62"/>
      <c r="H898" s="62"/>
      <c r="I898" s="62"/>
      <c r="J898" s="86"/>
      <c r="K898" s="62"/>
      <c r="L898" s="62"/>
      <c r="M898" s="86" t="s">
        <v>55</v>
      </c>
      <c r="N898" s="86" t="s">
        <v>14</v>
      </c>
      <c r="O898" s="87">
        <f>VLOOKUP($B898,BOM!$A$2:$K$94,10,0)</f>
        <v>0</v>
      </c>
      <c r="P898" s="87">
        <f t="shared" si="38"/>
        <v>0</v>
      </c>
    </row>
    <row r="899" spans="1:16" s="45" customFormat="1" ht="30">
      <c r="B899" s="62" t="s">
        <v>58</v>
      </c>
      <c r="C899" s="21" t="s">
        <v>59</v>
      </c>
      <c r="D899" s="86" t="s">
        <v>60</v>
      </c>
      <c r="E899" s="105">
        <f>E898*2</f>
        <v>8</v>
      </c>
      <c r="F899" s="62"/>
      <c r="G899" s="62"/>
      <c r="H899" s="62"/>
      <c r="I899" s="62"/>
      <c r="J899" s="86"/>
      <c r="K899" s="62"/>
      <c r="L899" s="62"/>
      <c r="M899" s="86" t="s">
        <v>61</v>
      </c>
      <c r="N899" s="86" t="s">
        <v>60</v>
      </c>
      <c r="O899" s="87">
        <f>VLOOKUP($B899,BOM!$A$2:$K$94,10,0)</f>
        <v>0</v>
      </c>
      <c r="P899" s="87">
        <f t="shared" si="38"/>
        <v>0</v>
      </c>
    </row>
    <row r="900" spans="1:16" s="45" customFormat="1" ht="45">
      <c r="B900" s="62" t="s">
        <v>62</v>
      </c>
      <c r="C900" s="21" t="s">
        <v>63</v>
      </c>
      <c r="D900" s="86" t="s">
        <v>64</v>
      </c>
      <c r="E900" s="105">
        <f>E877</f>
        <v>1</v>
      </c>
      <c r="F900" s="62"/>
      <c r="G900" s="62"/>
      <c r="H900" s="62"/>
      <c r="I900" s="62"/>
      <c r="J900" s="86"/>
      <c r="K900" s="62"/>
      <c r="L900" s="62"/>
      <c r="M900" s="86" t="s">
        <v>61</v>
      </c>
      <c r="N900" s="86" t="s">
        <v>64</v>
      </c>
      <c r="O900" s="87">
        <f>VLOOKUP($B900,BOM!$A$2:$K$94,10,0)</f>
        <v>0</v>
      </c>
      <c r="P900" s="87">
        <f t="shared" ref="P900:P963" si="40">O900*E900</f>
        <v>0</v>
      </c>
    </row>
    <row r="901" spans="1:16">
      <c r="A901" s="35">
        <v>19</v>
      </c>
      <c r="B901" s="36"/>
      <c r="C901" s="37" t="s">
        <v>89</v>
      </c>
      <c r="D901" s="38" t="s">
        <v>0</v>
      </c>
      <c r="E901" s="36">
        <v>1</v>
      </c>
      <c r="F901" s="36"/>
      <c r="G901" s="36">
        <v>8</v>
      </c>
      <c r="H901" s="36">
        <v>0</v>
      </c>
      <c r="I901" s="36"/>
      <c r="J901" s="36">
        <f>SUBTOTAL(9,J904:J928)</f>
        <v>17</v>
      </c>
      <c r="K901" s="39"/>
      <c r="L901" s="39"/>
      <c r="M901" s="39"/>
      <c r="N901" s="39"/>
      <c r="O901" s="87">
        <f>VLOOKUP($B901,BOM!$A$2:$K$94,10,0)</f>
        <v>0</v>
      </c>
      <c r="P901" s="87">
        <f t="shared" si="40"/>
        <v>0</v>
      </c>
    </row>
    <row r="902" spans="1:16">
      <c r="B902" s="81"/>
      <c r="C902" s="82" t="s">
        <v>124</v>
      </c>
      <c r="D902" s="72" t="s">
        <v>0</v>
      </c>
      <c r="E902" s="72">
        <v>1</v>
      </c>
      <c r="F902" s="72"/>
      <c r="G902" s="72"/>
      <c r="H902" s="72"/>
      <c r="I902" s="72"/>
      <c r="J902" s="72"/>
      <c r="K902" s="83"/>
      <c r="L902" s="83"/>
      <c r="M902" s="83"/>
      <c r="N902" s="83"/>
      <c r="O902" s="87">
        <f>VLOOKUP($B902,BOM!$A$2:$K$94,10,0)</f>
        <v>0</v>
      </c>
      <c r="P902" s="87">
        <f t="shared" si="40"/>
        <v>0</v>
      </c>
    </row>
    <row r="903" spans="1:16" s="19" customFormat="1">
      <c r="B903" s="41" t="s">
        <v>201</v>
      </c>
      <c r="C903" s="41" t="s">
        <v>202</v>
      </c>
      <c r="D903" s="21"/>
      <c r="E903" s="22">
        <v>1</v>
      </c>
      <c r="F903" s="21"/>
      <c r="G903" s="21"/>
      <c r="H903" s="21"/>
      <c r="I903" s="21"/>
      <c r="J903" s="22"/>
      <c r="K903" s="21" t="s">
        <v>4</v>
      </c>
      <c r="L903" s="21" t="s">
        <v>203</v>
      </c>
      <c r="M903" s="22" t="s">
        <v>22</v>
      </c>
      <c r="N903" s="22" t="s">
        <v>3</v>
      </c>
      <c r="O903" s="87">
        <f>VLOOKUP($B903,BOM!$A$2:$K$94,10,0)</f>
        <v>0</v>
      </c>
      <c r="P903" s="87">
        <f t="shared" si="40"/>
        <v>0</v>
      </c>
    </row>
    <row r="904" spans="1:16" s="19" customFormat="1">
      <c r="B904" s="21" t="s">
        <v>122</v>
      </c>
      <c r="C904" s="21" t="s">
        <v>123</v>
      </c>
      <c r="D904" s="21"/>
      <c r="E904" s="22">
        <v>1</v>
      </c>
      <c r="F904" s="21"/>
      <c r="G904" s="21"/>
      <c r="H904" s="21"/>
      <c r="I904" s="21"/>
      <c r="J904" s="22">
        <v>1</v>
      </c>
      <c r="K904" s="21" t="s">
        <v>4</v>
      </c>
      <c r="L904" s="21" t="s">
        <v>5</v>
      </c>
      <c r="M904" s="22" t="s">
        <v>22</v>
      </c>
      <c r="N904" s="22" t="s">
        <v>3</v>
      </c>
      <c r="O904" s="87">
        <f>VLOOKUP($B904,BOM!$A$2:$K$94,10,0)</f>
        <v>0</v>
      </c>
      <c r="P904" s="87">
        <f t="shared" si="40"/>
        <v>0</v>
      </c>
    </row>
    <row r="905" spans="1:16">
      <c r="B905" s="81"/>
      <c r="C905" s="82" t="s">
        <v>1</v>
      </c>
      <c r="D905" s="72" t="s">
        <v>0</v>
      </c>
      <c r="E905" s="72">
        <v>1</v>
      </c>
      <c r="F905" s="72"/>
      <c r="G905" s="72">
        <f>ROUNDUP(G901/24,0)</f>
        <v>1</v>
      </c>
      <c r="H905" s="72">
        <f t="shared" ref="H905" si="41">ROUNDUP(H901/24,0)</f>
        <v>0</v>
      </c>
      <c r="I905" s="72"/>
      <c r="J905" s="72"/>
      <c r="K905" s="83"/>
      <c r="L905" s="83"/>
      <c r="M905" s="83"/>
      <c r="N905" s="83"/>
      <c r="O905" s="87">
        <f>VLOOKUP($B905,BOM!$A$2:$K$94,10,0)</f>
        <v>0</v>
      </c>
      <c r="P905" s="87">
        <f t="shared" si="40"/>
        <v>0</v>
      </c>
    </row>
    <row r="906" spans="1:16" s="45" customFormat="1">
      <c r="B906" s="62">
        <v>760249997</v>
      </c>
      <c r="C906" s="21" t="s">
        <v>2</v>
      </c>
      <c r="D906" s="85" t="s">
        <v>3</v>
      </c>
      <c r="E906" s="85">
        <f>ROUNDUP((E908+E912)/3,0)</f>
        <v>1</v>
      </c>
      <c r="F906" s="62"/>
      <c r="G906" s="62"/>
      <c r="H906" s="62"/>
      <c r="I906" s="62"/>
      <c r="J906" s="86">
        <v>1</v>
      </c>
      <c r="K906" s="62" t="s">
        <v>4</v>
      </c>
      <c r="L906" s="62" t="s">
        <v>5</v>
      </c>
      <c r="M906" s="86" t="s">
        <v>6</v>
      </c>
      <c r="N906" s="86" t="s">
        <v>3</v>
      </c>
      <c r="O906" s="87">
        <f>VLOOKUP($B906,BOM!$A$2:$K$94,10,0)</f>
        <v>0</v>
      </c>
      <c r="P906" s="87">
        <f t="shared" si="40"/>
        <v>0</v>
      </c>
    </row>
    <row r="907" spans="1:16" s="45" customFormat="1">
      <c r="B907" s="62">
        <v>760241378</v>
      </c>
      <c r="C907" s="21" t="s">
        <v>7</v>
      </c>
      <c r="D907" s="85" t="s">
        <v>3</v>
      </c>
      <c r="E907" s="85">
        <f>IF(E908&lt;=2,1,ROUNDUP(E906*1.5,0))</f>
        <v>1</v>
      </c>
      <c r="F907" s="62"/>
      <c r="G907" s="62"/>
      <c r="H907" s="62"/>
      <c r="I907" s="62"/>
      <c r="J907" s="86"/>
      <c r="K907" s="62" t="s">
        <v>4</v>
      </c>
      <c r="L907" s="62" t="s">
        <v>5</v>
      </c>
      <c r="M907" s="86" t="s">
        <v>6</v>
      </c>
      <c r="N907" s="86" t="s">
        <v>3</v>
      </c>
      <c r="O907" s="87">
        <f>VLOOKUP($B907,BOM!$A$2:$K$94,10,0)</f>
        <v>0</v>
      </c>
      <c r="P907" s="87">
        <f t="shared" si="40"/>
        <v>0</v>
      </c>
    </row>
    <row r="908" spans="1:16" s="45" customFormat="1">
      <c r="B908" s="62" t="s">
        <v>8</v>
      </c>
      <c r="C908" s="21" t="s">
        <v>9</v>
      </c>
      <c r="D908" s="85" t="s">
        <v>3</v>
      </c>
      <c r="E908" s="85">
        <f>G905</f>
        <v>1</v>
      </c>
      <c r="F908" s="62"/>
      <c r="G908" s="62"/>
      <c r="H908" s="62"/>
      <c r="I908" s="62"/>
      <c r="J908" s="86"/>
      <c r="K908" s="62" t="s">
        <v>4</v>
      </c>
      <c r="L908" s="62" t="s">
        <v>5</v>
      </c>
      <c r="M908" s="86" t="s">
        <v>6</v>
      </c>
      <c r="N908" s="86" t="s">
        <v>3</v>
      </c>
      <c r="O908" s="87">
        <f>VLOOKUP($B908,BOM!$A$2:$K$94,10,0)</f>
        <v>0</v>
      </c>
      <c r="P908" s="87">
        <f t="shared" si="40"/>
        <v>0</v>
      </c>
    </row>
    <row r="909" spans="1:16" s="45" customFormat="1">
      <c r="B909" s="62" t="s">
        <v>10</v>
      </c>
      <c r="C909" s="21" t="s">
        <v>11</v>
      </c>
      <c r="D909" s="85" t="s">
        <v>3</v>
      </c>
      <c r="E909" s="85">
        <f>E906*3-E908-E912</f>
        <v>2</v>
      </c>
      <c r="F909" s="62"/>
      <c r="G909" s="62"/>
      <c r="H909" s="62"/>
      <c r="I909" s="62"/>
      <c r="J909" s="86"/>
      <c r="K909" s="62" t="s">
        <v>4</v>
      </c>
      <c r="L909" s="62" t="s">
        <v>5</v>
      </c>
      <c r="M909" s="86" t="s">
        <v>6</v>
      </c>
      <c r="N909" s="86" t="s">
        <v>3</v>
      </c>
      <c r="O909" s="87">
        <f>VLOOKUP($B909,BOM!$A$2:$K$94,10,0)</f>
        <v>0</v>
      </c>
      <c r="P909" s="87">
        <f t="shared" si="40"/>
        <v>0</v>
      </c>
    </row>
    <row r="910" spans="1:16" s="45" customFormat="1">
      <c r="B910" s="62" t="s">
        <v>12</v>
      </c>
      <c r="C910" s="21" t="s">
        <v>13</v>
      </c>
      <c r="D910" s="85" t="s">
        <v>14</v>
      </c>
      <c r="E910" s="85">
        <f>G901/2</f>
        <v>4</v>
      </c>
      <c r="F910" s="62"/>
      <c r="G910" s="62"/>
      <c r="H910" s="62"/>
      <c r="I910" s="62"/>
      <c r="J910" s="86"/>
      <c r="K910" s="62" t="s">
        <v>4</v>
      </c>
      <c r="L910" s="62" t="s">
        <v>5</v>
      </c>
      <c r="M910" s="86" t="s">
        <v>6</v>
      </c>
      <c r="N910" s="86" t="s">
        <v>15</v>
      </c>
      <c r="O910" s="87">
        <f>VLOOKUP($B910,BOM!$A$2:$K$94,10,0)</f>
        <v>0</v>
      </c>
      <c r="P910" s="87">
        <f t="shared" si="40"/>
        <v>0</v>
      </c>
    </row>
    <row r="911" spans="1:16" s="45" customFormat="1" ht="30">
      <c r="B911" s="62" t="s">
        <v>16</v>
      </c>
      <c r="C911" s="21" t="s">
        <v>17</v>
      </c>
      <c r="D911" s="85" t="s">
        <v>14</v>
      </c>
      <c r="E911" s="85">
        <f>ROUNDUP((E917+E920)*1.3,0)</f>
        <v>4</v>
      </c>
      <c r="F911" s="62"/>
      <c r="G911" s="62"/>
      <c r="H911" s="62"/>
      <c r="I911" s="62"/>
      <c r="J911" s="86"/>
      <c r="K911" s="62" t="s">
        <v>4</v>
      </c>
      <c r="L911" s="62" t="s">
        <v>5</v>
      </c>
      <c r="M911" s="86" t="s">
        <v>6</v>
      </c>
      <c r="N911" s="86" t="s">
        <v>15</v>
      </c>
      <c r="O911" s="87">
        <f>VLOOKUP($B911,BOM!$A$2:$K$94,10,0)</f>
        <v>0</v>
      </c>
      <c r="P911" s="87">
        <f t="shared" si="40"/>
        <v>0</v>
      </c>
    </row>
    <row r="912" spans="1:16" s="110" customFormat="1">
      <c r="B912" s="66" t="s">
        <v>198</v>
      </c>
      <c r="C912" s="106" t="s">
        <v>199</v>
      </c>
      <c r="D912" s="89" t="s">
        <v>3</v>
      </c>
      <c r="E912" s="89">
        <f>H905</f>
        <v>0</v>
      </c>
      <c r="F912" s="66"/>
      <c r="G912" s="66"/>
      <c r="H912" s="66"/>
      <c r="I912" s="66"/>
      <c r="J912" s="107"/>
      <c r="K912" s="108" t="s">
        <v>4</v>
      </c>
      <c r="L912" s="108" t="s">
        <v>5</v>
      </c>
      <c r="M912" s="109" t="s">
        <v>6</v>
      </c>
      <c r="N912" s="109" t="s">
        <v>15</v>
      </c>
      <c r="O912" s="87">
        <f>VLOOKUP($B912,BOM!$A$2:$K$94,10,0)</f>
        <v>0</v>
      </c>
      <c r="P912" s="87">
        <f t="shared" si="40"/>
        <v>0</v>
      </c>
    </row>
    <row r="913" spans="2:16" s="111" customFormat="1">
      <c r="B913" s="66" t="s">
        <v>194</v>
      </c>
      <c r="C913" s="106" t="s">
        <v>195</v>
      </c>
      <c r="D913" s="89" t="s">
        <v>14</v>
      </c>
      <c r="E913" s="89">
        <v>0</v>
      </c>
      <c r="F913" s="108"/>
      <c r="G913" s="108"/>
      <c r="H913" s="108"/>
      <c r="I913" s="108"/>
      <c r="J913" s="109"/>
      <c r="K913" s="108" t="s">
        <v>4</v>
      </c>
      <c r="L913" s="108" t="s">
        <v>5</v>
      </c>
      <c r="M913" s="109" t="s">
        <v>6</v>
      </c>
      <c r="N913" s="109" t="s">
        <v>15</v>
      </c>
      <c r="O913" s="87">
        <f>VLOOKUP($B913,BOM!$A$2:$K$94,10,0)</f>
        <v>0</v>
      </c>
      <c r="P913" s="87">
        <f t="shared" si="40"/>
        <v>0</v>
      </c>
    </row>
    <row r="914" spans="2:16" s="110" customFormat="1">
      <c r="B914" s="66" t="s">
        <v>196</v>
      </c>
      <c r="C914" s="106" t="s">
        <v>197</v>
      </c>
      <c r="D914" s="89" t="s">
        <v>14</v>
      </c>
      <c r="E914" s="89">
        <f>H901/2</f>
        <v>0</v>
      </c>
      <c r="F914" s="66"/>
      <c r="G914" s="66"/>
      <c r="H914" s="66"/>
      <c r="I914" s="66"/>
      <c r="J914" s="107"/>
      <c r="K914" s="108" t="s">
        <v>4</v>
      </c>
      <c r="L914" s="108" t="s">
        <v>5</v>
      </c>
      <c r="M914" s="109" t="s">
        <v>6</v>
      </c>
      <c r="N914" s="109" t="s">
        <v>15</v>
      </c>
      <c r="O914" s="87">
        <f>VLOOKUP($B914,BOM!$A$2:$K$94,10,0)</f>
        <v>0</v>
      </c>
      <c r="P914" s="87">
        <f t="shared" si="40"/>
        <v>0</v>
      </c>
    </row>
    <row r="915" spans="2:16">
      <c r="B915" s="81"/>
      <c r="C915" s="82" t="s">
        <v>26</v>
      </c>
      <c r="D915" s="72" t="s">
        <v>0</v>
      </c>
      <c r="E915" s="72">
        <v>1</v>
      </c>
      <c r="F915" s="72"/>
      <c r="G915" s="72"/>
      <c r="H915" s="72"/>
      <c r="I915" s="72"/>
      <c r="J915" s="72"/>
      <c r="K915" s="83"/>
      <c r="L915" s="83"/>
      <c r="M915" s="83"/>
      <c r="N915" s="83"/>
      <c r="O915" s="87">
        <f>VLOOKUP($B915,BOM!$A$2:$K$94,10,0)</f>
        <v>0</v>
      </c>
      <c r="P915" s="87">
        <f t="shared" si="40"/>
        <v>0</v>
      </c>
    </row>
    <row r="916" spans="2:16" s="45" customFormat="1">
      <c r="B916" s="62"/>
      <c r="C916" s="21"/>
      <c r="D916" s="85"/>
      <c r="E916" s="90"/>
      <c r="F916" s="62"/>
      <c r="G916" s="62"/>
      <c r="H916" s="62"/>
      <c r="I916" s="62"/>
      <c r="J916" s="86"/>
      <c r="K916" s="62"/>
      <c r="L916" s="62"/>
      <c r="M916" s="86"/>
      <c r="N916" s="86"/>
      <c r="O916" s="87">
        <f>VLOOKUP($B916,BOM!$A$2:$K$94,10,0)</f>
        <v>0</v>
      </c>
      <c r="P916" s="87">
        <f t="shared" si="40"/>
        <v>0</v>
      </c>
    </row>
    <row r="917" spans="2:16" s="45" customFormat="1">
      <c r="B917" s="62"/>
      <c r="C917" s="21"/>
      <c r="D917" s="85"/>
      <c r="E917" s="90"/>
      <c r="F917" s="62"/>
      <c r="G917" s="62"/>
      <c r="H917" s="62"/>
      <c r="I917" s="62"/>
      <c r="J917" s="86"/>
      <c r="K917" s="62"/>
      <c r="L917" s="62"/>
      <c r="M917" s="86"/>
      <c r="N917" s="86"/>
      <c r="O917" s="87">
        <f>VLOOKUP($B917,BOM!$A$2:$K$94,10,0)</f>
        <v>0</v>
      </c>
      <c r="P917" s="87">
        <f t="shared" si="40"/>
        <v>0</v>
      </c>
    </row>
    <row r="918" spans="2:16">
      <c r="B918" s="81"/>
      <c r="C918" s="82" t="s">
        <v>145</v>
      </c>
      <c r="D918" s="72" t="s">
        <v>0</v>
      </c>
      <c r="E918" s="72">
        <v>2</v>
      </c>
      <c r="F918" s="72"/>
      <c r="G918" s="72"/>
      <c r="H918" s="72"/>
      <c r="I918" s="72"/>
      <c r="J918" s="72"/>
      <c r="K918" s="83"/>
      <c r="L918" s="83"/>
      <c r="M918" s="83"/>
      <c r="N918" s="83"/>
      <c r="O918" s="87">
        <f>VLOOKUP($B918,BOM!$A$2:$K$94,10,0)</f>
        <v>0</v>
      </c>
      <c r="P918" s="87">
        <f t="shared" si="40"/>
        <v>0</v>
      </c>
    </row>
    <row r="919" spans="2:16" s="45" customFormat="1">
      <c r="B919" s="41" t="s">
        <v>152</v>
      </c>
      <c r="C919" s="41" t="s">
        <v>153</v>
      </c>
      <c r="D919" s="42" t="s">
        <v>64</v>
      </c>
      <c r="E919" s="43">
        <v>3</v>
      </c>
      <c r="F919" s="41"/>
      <c r="G919" s="41"/>
      <c r="H919" s="41"/>
      <c r="I919" s="41"/>
      <c r="J919" s="44">
        <v>1</v>
      </c>
      <c r="K919" s="41" t="s">
        <v>143</v>
      </c>
      <c r="L919" s="41" t="s">
        <v>151</v>
      </c>
      <c r="M919" s="44" t="s">
        <v>144</v>
      </c>
      <c r="N919" s="44" t="s">
        <v>64</v>
      </c>
      <c r="O919" s="87">
        <f>VLOOKUP($B919,BOM!$A$2:$K$94,10,0)</f>
        <v>0</v>
      </c>
      <c r="P919" s="87">
        <f t="shared" si="40"/>
        <v>0</v>
      </c>
    </row>
    <row r="920" spans="2:16" s="45" customFormat="1" ht="30">
      <c r="B920" s="41" t="s">
        <v>137</v>
      </c>
      <c r="C920" s="46" t="s">
        <v>138</v>
      </c>
      <c r="D920" s="42" t="s">
        <v>64</v>
      </c>
      <c r="E920" s="47">
        <f>E919</f>
        <v>3</v>
      </c>
      <c r="F920" s="41"/>
      <c r="G920" s="41"/>
      <c r="H920" s="41"/>
      <c r="I920" s="41"/>
      <c r="J920" s="44"/>
      <c r="K920" s="41" t="s">
        <v>143</v>
      </c>
      <c r="L920" s="41" t="s">
        <v>151</v>
      </c>
      <c r="M920" s="44" t="s">
        <v>144</v>
      </c>
      <c r="N920" s="44" t="s">
        <v>64</v>
      </c>
      <c r="O920" s="87">
        <f>VLOOKUP($B920,BOM!$A$2:$K$94,10,0)</f>
        <v>0</v>
      </c>
      <c r="P920" s="87">
        <f t="shared" si="40"/>
        <v>0</v>
      </c>
    </row>
    <row r="921" spans="2:16" outlineLevel="1">
      <c r="B921" s="117"/>
      <c r="C921" s="118" t="s">
        <v>222</v>
      </c>
      <c r="D921" s="119" t="s">
        <v>0</v>
      </c>
      <c r="E921" s="120">
        <v>1</v>
      </c>
      <c r="F921" s="121"/>
      <c r="G921" s="121"/>
      <c r="H921" s="121" t="s">
        <v>69</v>
      </c>
      <c r="I921" s="122"/>
      <c r="J921" s="122">
        <f>E921*3</f>
        <v>3</v>
      </c>
      <c r="K921" s="63"/>
      <c r="L921" s="63"/>
      <c r="M921" s="63"/>
      <c r="N921" s="63"/>
      <c r="O921" s="87">
        <f>VLOOKUP($B921,BOM!$A$2:$K$94,10,0)</f>
        <v>0</v>
      </c>
      <c r="P921" s="87">
        <f t="shared" si="40"/>
        <v>0</v>
      </c>
    </row>
    <row r="922" spans="2:16" outlineLevel="1">
      <c r="B922" s="117"/>
      <c r="C922" s="118" t="s">
        <v>70</v>
      </c>
      <c r="D922" s="119" t="s">
        <v>0</v>
      </c>
      <c r="E922" s="120">
        <v>1</v>
      </c>
      <c r="F922" s="121"/>
      <c r="G922" s="121"/>
      <c r="H922" s="121" t="s">
        <v>69</v>
      </c>
      <c r="I922" s="122"/>
      <c r="J922" s="122">
        <v>1</v>
      </c>
      <c r="K922" s="63"/>
      <c r="L922" s="63"/>
      <c r="M922" s="63"/>
      <c r="N922" s="63"/>
      <c r="O922" s="87">
        <f>VLOOKUP($B922,BOM!$A$2:$K$94,10,0)</f>
        <v>0</v>
      </c>
      <c r="P922" s="87">
        <f t="shared" si="40"/>
        <v>0</v>
      </c>
    </row>
    <row r="923" spans="2:16">
      <c r="B923" s="81"/>
      <c r="C923" s="82" t="s">
        <v>18</v>
      </c>
      <c r="D923" s="72" t="s">
        <v>0</v>
      </c>
      <c r="E923" s="72">
        <v>1</v>
      </c>
      <c r="F923" s="72"/>
      <c r="G923" s="72"/>
      <c r="H923" s="72"/>
      <c r="I923" s="72"/>
      <c r="J923" s="72"/>
      <c r="K923" s="83"/>
      <c r="L923" s="83"/>
      <c r="M923" s="83"/>
      <c r="N923" s="83"/>
      <c r="O923" s="87">
        <f>VLOOKUP($B923,BOM!$A$2:$K$94,10,0)</f>
        <v>0</v>
      </c>
      <c r="P923" s="87">
        <f t="shared" si="40"/>
        <v>0</v>
      </c>
    </row>
    <row r="924" spans="2:16" s="45" customFormat="1" ht="30">
      <c r="B924" s="62">
        <v>760237046</v>
      </c>
      <c r="C924" s="21" t="s">
        <v>19</v>
      </c>
      <c r="D924" s="85" t="s">
        <v>3</v>
      </c>
      <c r="E924" s="85">
        <f>E916+E919</f>
        <v>3</v>
      </c>
      <c r="F924" s="62"/>
      <c r="G924" s="62"/>
      <c r="H924" s="62"/>
      <c r="I924" s="62"/>
      <c r="J924" s="86">
        <v>1</v>
      </c>
      <c r="K924" s="62" t="s">
        <v>4</v>
      </c>
      <c r="L924" s="62" t="s">
        <v>5</v>
      </c>
      <c r="M924" s="86" t="s">
        <v>6</v>
      </c>
      <c r="N924" s="86" t="s">
        <v>3</v>
      </c>
      <c r="O924" s="87">
        <f>VLOOKUP($B924,BOM!$A$2:$K$94,10,0)</f>
        <v>0</v>
      </c>
      <c r="P924" s="87">
        <f t="shared" si="40"/>
        <v>0</v>
      </c>
    </row>
    <row r="925" spans="2:16" s="45" customFormat="1" ht="30">
      <c r="B925" s="62" t="s">
        <v>23</v>
      </c>
      <c r="C925" s="21" t="s">
        <v>24</v>
      </c>
      <c r="D925" s="85" t="s">
        <v>3</v>
      </c>
      <c r="E925" s="85">
        <f>E924*24</f>
        <v>72</v>
      </c>
      <c r="F925" s="62"/>
      <c r="G925" s="62"/>
      <c r="H925" s="62"/>
      <c r="I925" s="62"/>
      <c r="J925" s="86"/>
      <c r="K925" s="62" t="s">
        <v>25</v>
      </c>
      <c r="L925" s="62" t="s">
        <v>5</v>
      </c>
      <c r="M925" s="86" t="s">
        <v>6</v>
      </c>
      <c r="N925" s="86" t="s">
        <v>3</v>
      </c>
      <c r="O925" s="87">
        <f>VLOOKUP($B925,BOM!$A$2:$K$94,10,0)</f>
        <v>0</v>
      </c>
      <c r="P925" s="87">
        <f t="shared" si="40"/>
        <v>0</v>
      </c>
    </row>
    <row r="926" spans="2:16" s="45" customFormat="1">
      <c r="B926" s="62" t="s">
        <v>20</v>
      </c>
      <c r="C926" s="21" t="s">
        <v>21</v>
      </c>
      <c r="D926" s="85" t="s">
        <v>3</v>
      </c>
      <c r="E926" s="85">
        <f>E924</f>
        <v>3</v>
      </c>
      <c r="F926" s="62"/>
      <c r="G926" s="62"/>
      <c r="H926" s="62"/>
      <c r="I926" s="62"/>
      <c r="J926" s="86">
        <v>1</v>
      </c>
      <c r="K926" s="62" t="s">
        <v>4</v>
      </c>
      <c r="L926" s="62" t="s">
        <v>5</v>
      </c>
      <c r="M926" s="86" t="s">
        <v>22</v>
      </c>
      <c r="N926" s="86" t="s">
        <v>3</v>
      </c>
      <c r="O926" s="87">
        <f>VLOOKUP($B926,BOM!$A$2:$K$94,10,0)</f>
        <v>0</v>
      </c>
      <c r="P926" s="87">
        <f t="shared" si="40"/>
        <v>0</v>
      </c>
    </row>
    <row r="927" spans="2:16">
      <c r="B927" s="81"/>
      <c r="C927" s="82" t="s">
        <v>71</v>
      </c>
      <c r="D927" s="72" t="s">
        <v>0</v>
      </c>
      <c r="E927" s="72">
        <v>1</v>
      </c>
      <c r="F927" s="72"/>
      <c r="G927" s="72"/>
      <c r="H927" s="72"/>
      <c r="I927" s="72"/>
      <c r="J927" s="72"/>
      <c r="K927" s="83"/>
      <c r="L927" s="83"/>
      <c r="M927" s="83"/>
      <c r="N927" s="83"/>
      <c r="O927" s="87">
        <f>VLOOKUP($B927,BOM!$A$2:$K$94,10,0)</f>
        <v>0</v>
      </c>
      <c r="P927" s="87">
        <f t="shared" si="40"/>
        <v>0</v>
      </c>
    </row>
    <row r="928" spans="2:16" s="45" customFormat="1">
      <c r="B928" s="41" t="s">
        <v>237</v>
      </c>
      <c r="C928" s="41" t="s">
        <v>238</v>
      </c>
      <c r="D928" s="116" t="s">
        <v>51</v>
      </c>
      <c r="E928" s="85">
        <v>1</v>
      </c>
      <c r="F928" s="62"/>
      <c r="G928" s="62"/>
      <c r="H928" s="62"/>
      <c r="I928" s="62"/>
      <c r="J928" s="86">
        <f>E928*8</f>
        <v>8</v>
      </c>
      <c r="K928" s="62"/>
      <c r="L928" s="62" t="s">
        <v>5</v>
      </c>
      <c r="M928" s="86" t="s">
        <v>28</v>
      </c>
      <c r="N928" s="86" t="s">
        <v>3</v>
      </c>
      <c r="O928" s="87">
        <f>VLOOKUP($B928,BOM!$A$2:$K$94,10,0)</f>
        <v>0</v>
      </c>
      <c r="P928" s="87">
        <f t="shared" si="40"/>
        <v>0</v>
      </c>
    </row>
    <row r="929" spans="2:16" s="45" customFormat="1">
      <c r="B929" s="62"/>
      <c r="C929" s="21"/>
      <c r="D929" s="116"/>
      <c r="E929" s="85"/>
      <c r="F929" s="62"/>
      <c r="G929" s="62"/>
      <c r="H929" s="62"/>
      <c r="I929" s="62"/>
      <c r="J929" s="86"/>
      <c r="K929" s="62"/>
      <c r="L929" s="62"/>
      <c r="M929" s="86"/>
      <c r="N929" s="86"/>
      <c r="O929" s="87">
        <f>VLOOKUP($B929,BOM!$A$2:$K$94,10,0)</f>
        <v>0</v>
      </c>
      <c r="P929" s="87">
        <f t="shared" si="40"/>
        <v>0</v>
      </c>
    </row>
    <row r="930" spans="2:16" s="45" customFormat="1">
      <c r="B930" s="62" t="s">
        <v>225</v>
      </c>
      <c r="C930" s="21" t="s">
        <v>72</v>
      </c>
      <c r="D930" s="116" t="s">
        <v>64</v>
      </c>
      <c r="E930" s="85">
        <v>0</v>
      </c>
      <c r="F930" s="62"/>
      <c r="G930" s="62"/>
      <c r="H930" s="62"/>
      <c r="I930" s="62"/>
      <c r="J930" s="86"/>
      <c r="K930" s="62"/>
      <c r="L930" s="62" t="s">
        <v>5</v>
      </c>
      <c r="M930" s="86" t="s">
        <v>28</v>
      </c>
      <c r="N930" s="86" t="s">
        <v>3</v>
      </c>
      <c r="O930" s="87">
        <f>VLOOKUP($B930,BOM!$A$2:$K$94,10,0)</f>
        <v>0</v>
      </c>
      <c r="P930" s="87">
        <f t="shared" si="40"/>
        <v>0</v>
      </c>
    </row>
    <row r="931" spans="2:16">
      <c r="B931" s="81"/>
      <c r="C931" s="82" t="s">
        <v>31</v>
      </c>
      <c r="D931" s="72" t="s">
        <v>0</v>
      </c>
      <c r="E931" s="72">
        <v>1</v>
      </c>
      <c r="F931" s="72"/>
      <c r="G931" s="72"/>
      <c r="H931" s="72"/>
      <c r="I931" s="72"/>
      <c r="J931" s="72"/>
      <c r="K931" s="83"/>
      <c r="L931" s="83"/>
      <c r="M931" s="83"/>
      <c r="N931" s="83"/>
      <c r="O931" s="87">
        <f>VLOOKUP($B931,BOM!$A$2:$K$94,10,0)</f>
        <v>0</v>
      </c>
      <c r="P931" s="87">
        <f t="shared" si="40"/>
        <v>0</v>
      </c>
    </row>
    <row r="932" spans="2:16">
      <c r="B932" s="81"/>
      <c r="C932" s="82" t="s">
        <v>32</v>
      </c>
      <c r="D932" s="72"/>
      <c r="E932" s="72"/>
      <c r="F932" s="72"/>
      <c r="G932" s="72"/>
      <c r="H932" s="72"/>
      <c r="I932" s="72"/>
      <c r="J932" s="72"/>
      <c r="K932" s="83"/>
      <c r="L932" s="83"/>
      <c r="M932" s="83"/>
      <c r="N932" s="83"/>
      <c r="O932" s="87">
        <f>VLOOKUP($B932,BOM!$A$2:$K$94,10,0)</f>
        <v>0</v>
      </c>
      <c r="P932" s="87">
        <f t="shared" si="40"/>
        <v>0</v>
      </c>
    </row>
    <row r="933" spans="2:16" s="45" customFormat="1" ht="20.45" customHeight="1">
      <c r="B933" s="62" t="s">
        <v>33</v>
      </c>
      <c r="C933" s="21" t="s">
        <v>34</v>
      </c>
      <c r="D933" s="85" t="s">
        <v>3</v>
      </c>
      <c r="E933" s="90">
        <f>E934</f>
        <v>0</v>
      </c>
      <c r="F933" s="62"/>
      <c r="G933" s="62"/>
      <c r="H933" s="62"/>
      <c r="I933" s="62"/>
      <c r="J933" s="86"/>
      <c r="K933" s="62" t="s">
        <v>35</v>
      </c>
      <c r="L933" s="62" t="s">
        <v>5</v>
      </c>
      <c r="M933" s="86" t="s">
        <v>6</v>
      </c>
      <c r="N933" s="86" t="s">
        <v>3</v>
      </c>
      <c r="O933" s="87">
        <f>VLOOKUP($B933,BOM!$A$2:$K$94,10,0)</f>
        <v>0</v>
      </c>
      <c r="P933" s="87">
        <f t="shared" si="40"/>
        <v>0</v>
      </c>
    </row>
    <row r="934" spans="2:16" s="45" customFormat="1">
      <c r="B934" s="62" t="s">
        <v>330</v>
      </c>
      <c r="C934" s="21" t="s">
        <v>36</v>
      </c>
      <c r="D934" s="85" t="s">
        <v>3</v>
      </c>
      <c r="E934" s="90">
        <f>G932+H932</f>
        <v>0</v>
      </c>
      <c r="F934" s="62"/>
      <c r="G934" s="62"/>
      <c r="H934" s="62"/>
      <c r="I934" s="62"/>
      <c r="J934" s="86"/>
      <c r="K934" s="62" t="s">
        <v>37</v>
      </c>
      <c r="L934" s="62" t="s">
        <v>5</v>
      </c>
      <c r="M934" s="86" t="s">
        <v>37</v>
      </c>
      <c r="N934" s="86" t="s">
        <v>3</v>
      </c>
      <c r="O934" s="87">
        <f>VLOOKUP($B934,BOM!$A$2:$K$94,10,0)</f>
        <v>0</v>
      </c>
      <c r="P934" s="87">
        <f t="shared" si="40"/>
        <v>0</v>
      </c>
    </row>
    <row r="935" spans="2:16" s="45" customFormat="1" ht="30">
      <c r="B935" s="62" t="s">
        <v>38</v>
      </c>
      <c r="C935" s="21" t="s">
        <v>39</v>
      </c>
      <c r="D935" s="85" t="s">
        <v>3</v>
      </c>
      <c r="E935" s="90">
        <f>E934</f>
        <v>0</v>
      </c>
      <c r="F935" s="62"/>
      <c r="G935" s="62"/>
      <c r="H935" s="62"/>
      <c r="I935" s="62"/>
      <c r="J935" s="86"/>
      <c r="K935" s="62" t="s">
        <v>25</v>
      </c>
      <c r="L935" s="62" t="s">
        <v>5</v>
      </c>
      <c r="M935" s="86" t="s">
        <v>6</v>
      </c>
      <c r="N935" s="86" t="s">
        <v>3</v>
      </c>
      <c r="O935" s="87">
        <f>VLOOKUP($B935,BOM!$A$2:$K$94,10,0)</f>
        <v>0</v>
      </c>
      <c r="P935" s="87">
        <f t="shared" si="40"/>
        <v>0</v>
      </c>
    </row>
    <row r="936" spans="2:16">
      <c r="B936" s="81"/>
      <c r="C936" s="82" t="s">
        <v>40</v>
      </c>
      <c r="D936" s="72"/>
      <c r="E936" s="72"/>
      <c r="F936" s="72"/>
      <c r="G936" s="72"/>
      <c r="H936" s="72">
        <v>39</v>
      </c>
      <c r="I936" s="72"/>
      <c r="J936" s="72"/>
      <c r="K936" s="83"/>
      <c r="L936" s="83"/>
      <c r="M936" s="83"/>
      <c r="N936" s="83"/>
      <c r="O936" s="87">
        <f>VLOOKUP($B936,BOM!$A$2:$K$94,10,0)</f>
        <v>0</v>
      </c>
      <c r="P936" s="87">
        <f t="shared" si="40"/>
        <v>0</v>
      </c>
    </row>
    <row r="937" spans="2:16" s="45" customFormat="1">
      <c r="B937" s="62" t="s">
        <v>41</v>
      </c>
      <c r="C937" s="21" t="s">
        <v>42</v>
      </c>
      <c r="D937" s="85" t="s">
        <v>3</v>
      </c>
      <c r="E937" s="85">
        <f>G936+H936</f>
        <v>39</v>
      </c>
      <c r="F937" s="62"/>
      <c r="G937" s="62"/>
      <c r="H937" s="62"/>
      <c r="I937" s="62"/>
      <c r="J937" s="86"/>
      <c r="K937" s="62" t="s">
        <v>4</v>
      </c>
      <c r="L937" s="62" t="s">
        <v>5</v>
      </c>
      <c r="M937" s="86" t="s">
        <v>6</v>
      </c>
      <c r="N937" s="86" t="s">
        <v>3</v>
      </c>
      <c r="O937" s="87">
        <f>VLOOKUP($B937,BOM!$A$2:$K$94,10,0)</f>
        <v>0</v>
      </c>
      <c r="P937" s="87">
        <f t="shared" si="40"/>
        <v>0</v>
      </c>
    </row>
    <row r="938" spans="2:16" s="45" customFormat="1">
      <c r="B938" s="65" t="s">
        <v>43</v>
      </c>
      <c r="C938" s="103" t="s">
        <v>44</v>
      </c>
      <c r="D938" s="85" t="s">
        <v>3</v>
      </c>
      <c r="E938" s="85">
        <f>E937</f>
        <v>39</v>
      </c>
      <c r="F938" s="62"/>
      <c r="G938" s="62"/>
      <c r="H938" s="62"/>
      <c r="I938" s="62"/>
      <c r="J938" s="86"/>
      <c r="K938" s="62" t="s">
        <v>4</v>
      </c>
      <c r="L938" s="62" t="s">
        <v>5</v>
      </c>
      <c r="M938" s="86" t="s">
        <v>6</v>
      </c>
      <c r="N938" s="86" t="s">
        <v>3</v>
      </c>
      <c r="O938" s="87">
        <f>VLOOKUP($B938,BOM!$A$2:$K$94,10,0)</f>
        <v>0</v>
      </c>
      <c r="P938" s="87">
        <f t="shared" si="40"/>
        <v>0</v>
      </c>
    </row>
    <row r="939" spans="2:16">
      <c r="B939" s="81"/>
      <c r="C939" s="82" t="s">
        <v>45</v>
      </c>
      <c r="D939" s="72"/>
      <c r="E939" s="72"/>
      <c r="F939" s="72"/>
      <c r="G939" s="72"/>
      <c r="H939" s="72"/>
      <c r="I939" s="72"/>
      <c r="J939" s="72"/>
      <c r="K939" s="83"/>
      <c r="L939" s="83"/>
      <c r="M939" s="83"/>
      <c r="N939" s="83"/>
      <c r="O939" s="87">
        <f>VLOOKUP($B939,BOM!$A$2:$K$94,10,0)</f>
        <v>0</v>
      </c>
      <c r="P939" s="87">
        <f t="shared" si="40"/>
        <v>0</v>
      </c>
    </row>
    <row r="940" spans="2:16" s="45" customFormat="1" ht="30">
      <c r="B940" s="62" t="s">
        <v>48</v>
      </c>
      <c r="C940" s="21" t="s">
        <v>49</v>
      </c>
      <c r="D940" s="85" t="s">
        <v>14</v>
      </c>
      <c r="E940" s="85">
        <f>E937+1</f>
        <v>40</v>
      </c>
      <c r="F940" s="62"/>
      <c r="G940" s="62"/>
      <c r="H940" s="62"/>
      <c r="I940" s="62"/>
      <c r="J940" s="86"/>
      <c r="K940" s="62"/>
      <c r="L940" s="62" t="s">
        <v>5</v>
      </c>
      <c r="M940" s="86" t="s">
        <v>6</v>
      </c>
      <c r="N940" s="86" t="s">
        <v>15</v>
      </c>
      <c r="O940" s="87">
        <f>VLOOKUP($B940,BOM!$A$2:$K$94,10,0)</f>
        <v>0</v>
      </c>
      <c r="P940" s="87">
        <f t="shared" si="40"/>
        <v>0</v>
      </c>
    </row>
    <row r="941" spans="2:16" s="45" customFormat="1" ht="30">
      <c r="B941" s="62" t="s">
        <v>48</v>
      </c>
      <c r="C941" s="21" t="s">
        <v>49</v>
      </c>
      <c r="D941" s="85" t="s">
        <v>14</v>
      </c>
      <c r="E941" s="90">
        <f>ROUNDUP(E940*0.2,0)</f>
        <v>8</v>
      </c>
      <c r="F941" s="62"/>
      <c r="G941" s="62"/>
      <c r="H941" s="62"/>
      <c r="I941" s="62"/>
      <c r="J941" s="86"/>
      <c r="K941" s="62" t="s">
        <v>4</v>
      </c>
      <c r="L941" s="62" t="s">
        <v>5</v>
      </c>
      <c r="M941" s="86" t="s">
        <v>6</v>
      </c>
      <c r="N941" s="86" t="s">
        <v>15</v>
      </c>
      <c r="O941" s="87">
        <f>VLOOKUP($B941,BOM!$A$2:$K$94,10,0)</f>
        <v>0</v>
      </c>
      <c r="P941" s="87">
        <f t="shared" si="40"/>
        <v>0</v>
      </c>
    </row>
    <row r="942" spans="2:16">
      <c r="B942" s="81"/>
      <c r="C942" s="82" t="s">
        <v>50</v>
      </c>
      <c r="D942" s="72"/>
      <c r="E942" s="72"/>
      <c r="F942" s="72"/>
      <c r="G942" s="72"/>
      <c r="H942" s="72"/>
      <c r="I942" s="72"/>
      <c r="J942" s="72"/>
      <c r="K942" s="83"/>
      <c r="L942" s="83"/>
      <c r="M942" s="83"/>
      <c r="N942" s="83"/>
      <c r="O942" s="87">
        <f>VLOOKUP($B942,BOM!$A$2:$K$94,10,0)</f>
        <v>0</v>
      </c>
      <c r="P942" s="87">
        <f t="shared" si="40"/>
        <v>0</v>
      </c>
    </row>
    <row r="943" spans="2:16" s="45" customFormat="1">
      <c r="B943" s="62" t="s">
        <v>332</v>
      </c>
      <c r="C943" s="21" t="s">
        <v>332</v>
      </c>
      <c r="D943" s="85" t="s">
        <v>51</v>
      </c>
      <c r="E943" s="85">
        <f>E928</f>
        <v>1</v>
      </c>
      <c r="F943" s="62"/>
      <c r="G943" s="62"/>
      <c r="H943" s="62"/>
      <c r="I943" s="62"/>
      <c r="J943" s="86"/>
      <c r="K943" s="62"/>
      <c r="L943" s="62"/>
      <c r="M943" s="86"/>
      <c r="N943" s="86" t="s">
        <v>51</v>
      </c>
      <c r="O943" s="87">
        <f>VLOOKUP($B943,BOM!$A$2:$K$94,10,0)</f>
        <v>0</v>
      </c>
      <c r="P943" s="87">
        <f t="shared" si="40"/>
        <v>0</v>
      </c>
    </row>
    <row r="944" spans="2:16" s="45" customFormat="1">
      <c r="B944" s="62" t="s">
        <v>52</v>
      </c>
      <c r="C944" s="21" t="s">
        <v>53</v>
      </c>
      <c r="D944" s="86" t="s">
        <v>54</v>
      </c>
      <c r="E944" s="105">
        <f>E941+E940</f>
        <v>48</v>
      </c>
      <c r="F944" s="62"/>
      <c r="G944" s="62"/>
      <c r="H944" s="62"/>
      <c r="I944" s="62"/>
      <c r="J944" s="86"/>
      <c r="K944" s="62"/>
      <c r="L944" s="62"/>
      <c r="M944" s="86" t="s">
        <v>55</v>
      </c>
      <c r="N944" s="86" t="s">
        <v>54</v>
      </c>
      <c r="O944" s="87">
        <f>VLOOKUP($B944,BOM!$A$2:$K$94,10,0)</f>
        <v>0</v>
      </c>
      <c r="P944" s="87">
        <f t="shared" si="40"/>
        <v>0</v>
      </c>
    </row>
    <row r="945" spans="1:16" s="45" customFormat="1" ht="30">
      <c r="B945" s="62" t="s">
        <v>56</v>
      </c>
      <c r="C945" s="21" t="s">
        <v>57</v>
      </c>
      <c r="D945" s="86" t="s">
        <v>14</v>
      </c>
      <c r="E945" s="105">
        <f>E914+E910</f>
        <v>4</v>
      </c>
      <c r="F945" s="62"/>
      <c r="G945" s="62"/>
      <c r="H945" s="62"/>
      <c r="I945" s="62"/>
      <c r="J945" s="86"/>
      <c r="K945" s="62"/>
      <c r="L945" s="62"/>
      <c r="M945" s="86" t="s">
        <v>55</v>
      </c>
      <c r="N945" s="86" t="s">
        <v>14</v>
      </c>
      <c r="O945" s="87">
        <f>VLOOKUP($B945,BOM!$A$2:$K$94,10,0)</f>
        <v>0</v>
      </c>
      <c r="P945" s="87">
        <f t="shared" si="40"/>
        <v>0</v>
      </c>
    </row>
    <row r="946" spans="1:16" s="45" customFormat="1" ht="30">
      <c r="B946" s="62" t="s">
        <v>58</v>
      </c>
      <c r="C946" s="21" t="s">
        <v>59</v>
      </c>
      <c r="D946" s="86" t="s">
        <v>60</v>
      </c>
      <c r="E946" s="105">
        <f>E945*2</f>
        <v>8</v>
      </c>
      <c r="F946" s="62"/>
      <c r="G946" s="62"/>
      <c r="H946" s="62"/>
      <c r="I946" s="62"/>
      <c r="J946" s="86"/>
      <c r="K946" s="62"/>
      <c r="L946" s="62"/>
      <c r="M946" s="86" t="s">
        <v>61</v>
      </c>
      <c r="N946" s="86" t="s">
        <v>60</v>
      </c>
      <c r="O946" s="87">
        <f>VLOOKUP($B946,BOM!$A$2:$K$94,10,0)</f>
        <v>0</v>
      </c>
      <c r="P946" s="87">
        <f t="shared" si="40"/>
        <v>0</v>
      </c>
    </row>
    <row r="947" spans="1:16" s="45" customFormat="1" ht="45">
      <c r="B947" s="62" t="s">
        <v>62</v>
      </c>
      <c r="C947" s="21" t="s">
        <v>63</v>
      </c>
      <c r="D947" s="86" t="s">
        <v>64</v>
      </c>
      <c r="E947" s="105">
        <f>E924</f>
        <v>3</v>
      </c>
      <c r="F947" s="62"/>
      <c r="G947" s="62"/>
      <c r="H947" s="62"/>
      <c r="I947" s="62"/>
      <c r="J947" s="86"/>
      <c r="K947" s="62"/>
      <c r="L947" s="62"/>
      <c r="M947" s="86" t="s">
        <v>61</v>
      </c>
      <c r="N947" s="86" t="s">
        <v>64</v>
      </c>
      <c r="O947" s="87">
        <f>VLOOKUP($B947,BOM!$A$2:$K$94,10,0)</f>
        <v>0</v>
      </c>
      <c r="P947" s="87">
        <f t="shared" si="40"/>
        <v>0</v>
      </c>
    </row>
    <row r="948" spans="1:16">
      <c r="A948" s="35">
        <v>20</v>
      </c>
      <c r="B948" s="36"/>
      <c r="C948" s="37" t="s">
        <v>90</v>
      </c>
      <c r="D948" s="38" t="s">
        <v>0</v>
      </c>
      <c r="E948" s="36">
        <v>1</v>
      </c>
      <c r="F948" s="36"/>
      <c r="G948" s="36">
        <v>8</v>
      </c>
      <c r="H948" s="36">
        <v>0</v>
      </c>
      <c r="I948" s="36"/>
      <c r="J948" s="36">
        <f>SUBTOTAL(9,J951:J975)</f>
        <v>15</v>
      </c>
      <c r="K948" s="39"/>
      <c r="L948" s="39"/>
      <c r="M948" s="39"/>
      <c r="N948" s="39"/>
      <c r="O948" s="87">
        <f>VLOOKUP($B948,BOM!$A$2:$K$94,10,0)</f>
        <v>0</v>
      </c>
      <c r="P948" s="87">
        <f t="shared" si="40"/>
        <v>0</v>
      </c>
    </row>
    <row r="949" spans="1:16">
      <c r="B949" s="81"/>
      <c r="C949" s="82" t="s">
        <v>124</v>
      </c>
      <c r="D949" s="72" t="s">
        <v>0</v>
      </c>
      <c r="E949" s="72">
        <v>1</v>
      </c>
      <c r="F949" s="72"/>
      <c r="G949" s="72"/>
      <c r="H949" s="72"/>
      <c r="I949" s="72"/>
      <c r="J949" s="72"/>
      <c r="K949" s="83"/>
      <c r="L949" s="83"/>
      <c r="M949" s="83"/>
      <c r="N949" s="83"/>
      <c r="O949" s="87">
        <f>VLOOKUP($B949,BOM!$A$2:$K$94,10,0)</f>
        <v>0</v>
      </c>
      <c r="P949" s="87">
        <f t="shared" si="40"/>
        <v>0</v>
      </c>
    </row>
    <row r="950" spans="1:16" s="19" customFormat="1">
      <c r="B950" s="20" t="s">
        <v>226</v>
      </c>
      <c r="C950" s="20" t="s">
        <v>227</v>
      </c>
      <c r="D950" s="21"/>
      <c r="E950" s="22">
        <v>1</v>
      </c>
      <c r="F950" s="21"/>
      <c r="G950" s="21"/>
      <c r="H950" s="21"/>
      <c r="I950" s="21"/>
      <c r="J950" s="22"/>
      <c r="K950" s="21" t="s">
        <v>4</v>
      </c>
      <c r="L950" s="21" t="s">
        <v>203</v>
      </c>
      <c r="M950" s="22" t="s">
        <v>22</v>
      </c>
      <c r="N950" s="22" t="s">
        <v>3</v>
      </c>
      <c r="O950" s="87">
        <f>VLOOKUP($B950,BOM!$A$2:$K$94,10,0)</f>
        <v>0</v>
      </c>
      <c r="P950" s="87">
        <f t="shared" si="40"/>
        <v>0</v>
      </c>
    </row>
    <row r="951" spans="1:16" s="19" customFormat="1">
      <c r="B951" s="21" t="s">
        <v>122</v>
      </c>
      <c r="C951" s="21" t="s">
        <v>123</v>
      </c>
      <c r="D951" s="21"/>
      <c r="E951" s="22">
        <v>1</v>
      </c>
      <c r="F951" s="21"/>
      <c r="G951" s="21"/>
      <c r="H951" s="21"/>
      <c r="I951" s="21"/>
      <c r="J951" s="22">
        <v>1</v>
      </c>
      <c r="K951" s="21" t="s">
        <v>4</v>
      </c>
      <c r="L951" s="21" t="s">
        <v>5</v>
      </c>
      <c r="M951" s="22" t="s">
        <v>22</v>
      </c>
      <c r="N951" s="22" t="s">
        <v>3</v>
      </c>
      <c r="O951" s="87">
        <f>VLOOKUP($B951,BOM!$A$2:$K$94,10,0)</f>
        <v>0</v>
      </c>
      <c r="P951" s="87">
        <f t="shared" si="40"/>
        <v>0</v>
      </c>
    </row>
    <row r="952" spans="1:16">
      <c r="B952" s="81"/>
      <c r="C952" s="82" t="s">
        <v>1</v>
      </c>
      <c r="D952" s="72" t="s">
        <v>0</v>
      </c>
      <c r="E952" s="72">
        <v>1</v>
      </c>
      <c r="F952" s="72"/>
      <c r="G952" s="72">
        <f>ROUNDUP(G948/24,0)</f>
        <v>1</v>
      </c>
      <c r="H952" s="72">
        <f t="shared" ref="H952" si="42">ROUNDUP(H948/24,0)</f>
        <v>0</v>
      </c>
      <c r="I952" s="72"/>
      <c r="J952" s="72"/>
      <c r="K952" s="83"/>
      <c r="L952" s="83"/>
      <c r="M952" s="83"/>
      <c r="N952" s="83"/>
      <c r="O952" s="87">
        <f>VLOOKUP($B952,BOM!$A$2:$K$94,10,0)</f>
        <v>0</v>
      </c>
      <c r="P952" s="87">
        <f t="shared" si="40"/>
        <v>0</v>
      </c>
    </row>
    <row r="953" spans="1:16" s="45" customFormat="1">
      <c r="B953" s="62">
        <v>760249997</v>
      </c>
      <c r="C953" s="21" t="s">
        <v>2</v>
      </c>
      <c r="D953" s="85" t="s">
        <v>3</v>
      </c>
      <c r="E953" s="85">
        <f>ROUNDUP((E955+E959)/3,0)</f>
        <v>1</v>
      </c>
      <c r="F953" s="62"/>
      <c r="G953" s="62"/>
      <c r="H953" s="62"/>
      <c r="I953" s="62"/>
      <c r="J953" s="86">
        <v>1</v>
      </c>
      <c r="K953" s="62" t="s">
        <v>4</v>
      </c>
      <c r="L953" s="62" t="s">
        <v>5</v>
      </c>
      <c r="M953" s="86" t="s">
        <v>6</v>
      </c>
      <c r="N953" s="86" t="s">
        <v>3</v>
      </c>
      <c r="O953" s="87">
        <f>VLOOKUP($B953,BOM!$A$2:$K$94,10,0)</f>
        <v>0</v>
      </c>
      <c r="P953" s="87">
        <f t="shared" si="40"/>
        <v>0</v>
      </c>
    </row>
    <row r="954" spans="1:16" s="45" customFormat="1">
      <c r="B954" s="62">
        <v>760241378</v>
      </c>
      <c r="C954" s="21" t="s">
        <v>7</v>
      </c>
      <c r="D954" s="85" t="s">
        <v>3</v>
      </c>
      <c r="E954" s="85">
        <f>IF(E955&lt;=2,1,ROUNDUP(E953*1.5,0))</f>
        <v>1</v>
      </c>
      <c r="F954" s="62"/>
      <c r="G954" s="62"/>
      <c r="H954" s="62"/>
      <c r="I954" s="62"/>
      <c r="J954" s="86"/>
      <c r="K954" s="62" t="s">
        <v>4</v>
      </c>
      <c r="L954" s="62" t="s">
        <v>5</v>
      </c>
      <c r="M954" s="86" t="s">
        <v>6</v>
      </c>
      <c r="N954" s="86" t="s">
        <v>3</v>
      </c>
      <c r="O954" s="87">
        <f>VLOOKUP($B954,BOM!$A$2:$K$94,10,0)</f>
        <v>0</v>
      </c>
      <c r="P954" s="87">
        <f t="shared" si="40"/>
        <v>0</v>
      </c>
    </row>
    <row r="955" spans="1:16" s="45" customFormat="1">
      <c r="B955" s="62" t="s">
        <v>8</v>
      </c>
      <c r="C955" s="21" t="s">
        <v>9</v>
      </c>
      <c r="D955" s="85" t="s">
        <v>3</v>
      </c>
      <c r="E955" s="85">
        <f>G952</f>
        <v>1</v>
      </c>
      <c r="F955" s="62"/>
      <c r="G955" s="62"/>
      <c r="H955" s="62"/>
      <c r="I955" s="62"/>
      <c r="J955" s="86"/>
      <c r="K955" s="62" t="s">
        <v>4</v>
      </c>
      <c r="L955" s="62" t="s">
        <v>5</v>
      </c>
      <c r="M955" s="86" t="s">
        <v>6</v>
      </c>
      <c r="N955" s="86" t="s">
        <v>3</v>
      </c>
      <c r="O955" s="87">
        <f>VLOOKUP($B955,BOM!$A$2:$K$94,10,0)</f>
        <v>0</v>
      </c>
      <c r="P955" s="87">
        <f t="shared" si="40"/>
        <v>0</v>
      </c>
    </row>
    <row r="956" spans="1:16" s="45" customFormat="1">
      <c r="B956" s="62" t="s">
        <v>10</v>
      </c>
      <c r="C956" s="21" t="s">
        <v>11</v>
      </c>
      <c r="D956" s="85" t="s">
        <v>3</v>
      </c>
      <c r="E956" s="85">
        <f>E953*3-E955-E959</f>
        <v>2</v>
      </c>
      <c r="F956" s="62"/>
      <c r="G956" s="62"/>
      <c r="H956" s="62"/>
      <c r="I956" s="62"/>
      <c r="J956" s="86"/>
      <c r="K956" s="62" t="s">
        <v>4</v>
      </c>
      <c r="L956" s="62" t="s">
        <v>5</v>
      </c>
      <c r="M956" s="86" t="s">
        <v>6</v>
      </c>
      <c r="N956" s="86" t="s">
        <v>3</v>
      </c>
      <c r="O956" s="87">
        <f>VLOOKUP($B956,BOM!$A$2:$K$94,10,0)</f>
        <v>0</v>
      </c>
      <c r="P956" s="87">
        <f t="shared" si="40"/>
        <v>0</v>
      </c>
    </row>
    <row r="957" spans="1:16" s="45" customFormat="1">
      <c r="B957" s="62" t="s">
        <v>12</v>
      </c>
      <c r="C957" s="21" t="s">
        <v>13</v>
      </c>
      <c r="D957" s="85" t="s">
        <v>14</v>
      </c>
      <c r="E957" s="85">
        <f>G948/2</f>
        <v>4</v>
      </c>
      <c r="F957" s="62"/>
      <c r="G957" s="62"/>
      <c r="H957" s="62"/>
      <c r="I957" s="62"/>
      <c r="J957" s="86"/>
      <c r="K957" s="62" t="s">
        <v>4</v>
      </c>
      <c r="L957" s="62" t="s">
        <v>5</v>
      </c>
      <c r="M957" s="86" t="s">
        <v>6</v>
      </c>
      <c r="N957" s="86" t="s">
        <v>15</v>
      </c>
      <c r="O957" s="87">
        <f>VLOOKUP($B957,BOM!$A$2:$K$94,10,0)</f>
        <v>0</v>
      </c>
      <c r="P957" s="87">
        <f t="shared" si="40"/>
        <v>0</v>
      </c>
    </row>
    <row r="958" spans="1:16" s="45" customFormat="1" ht="30">
      <c r="B958" s="62" t="s">
        <v>16</v>
      </c>
      <c r="C958" s="21" t="s">
        <v>17</v>
      </c>
      <c r="D958" s="85" t="s">
        <v>14</v>
      </c>
      <c r="E958" s="85">
        <f>ROUNDUP((E964+E967)*1.3,0)</f>
        <v>2</v>
      </c>
      <c r="F958" s="62"/>
      <c r="G958" s="62"/>
      <c r="H958" s="62"/>
      <c r="I958" s="62"/>
      <c r="J958" s="86"/>
      <c r="K958" s="62" t="s">
        <v>4</v>
      </c>
      <c r="L958" s="62" t="s">
        <v>5</v>
      </c>
      <c r="M958" s="86" t="s">
        <v>6</v>
      </c>
      <c r="N958" s="86" t="s">
        <v>15</v>
      </c>
      <c r="O958" s="87">
        <f>VLOOKUP($B958,BOM!$A$2:$K$94,10,0)</f>
        <v>0</v>
      </c>
      <c r="P958" s="87">
        <f t="shared" si="40"/>
        <v>0</v>
      </c>
    </row>
    <row r="959" spans="1:16" s="110" customFormat="1">
      <c r="B959" s="66" t="s">
        <v>198</v>
      </c>
      <c r="C959" s="106" t="s">
        <v>199</v>
      </c>
      <c r="D959" s="89" t="s">
        <v>3</v>
      </c>
      <c r="E959" s="89">
        <f>H952</f>
        <v>0</v>
      </c>
      <c r="F959" s="66"/>
      <c r="G959" s="66"/>
      <c r="H959" s="66"/>
      <c r="I959" s="66"/>
      <c r="J959" s="107"/>
      <c r="K959" s="108" t="s">
        <v>4</v>
      </c>
      <c r="L959" s="108" t="s">
        <v>5</v>
      </c>
      <c r="M959" s="109" t="s">
        <v>6</v>
      </c>
      <c r="N959" s="109" t="s">
        <v>15</v>
      </c>
      <c r="O959" s="87">
        <f>VLOOKUP($B959,BOM!$A$2:$K$94,10,0)</f>
        <v>0</v>
      </c>
      <c r="P959" s="87">
        <f t="shared" si="40"/>
        <v>0</v>
      </c>
    </row>
    <row r="960" spans="1:16" s="111" customFormat="1">
      <c r="B960" s="66" t="s">
        <v>194</v>
      </c>
      <c r="C960" s="106" t="s">
        <v>195</v>
      </c>
      <c r="D960" s="89" t="s">
        <v>14</v>
      </c>
      <c r="E960" s="89">
        <v>0</v>
      </c>
      <c r="F960" s="108"/>
      <c r="G960" s="108"/>
      <c r="H960" s="108"/>
      <c r="I960" s="108"/>
      <c r="J960" s="109"/>
      <c r="K960" s="108" t="s">
        <v>4</v>
      </c>
      <c r="L960" s="108" t="s">
        <v>5</v>
      </c>
      <c r="M960" s="109" t="s">
        <v>6</v>
      </c>
      <c r="N960" s="109" t="s">
        <v>15</v>
      </c>
      <c r="O960" s="87">
        <f>VLOOKUP($B960,BOM!$A$2:$K$94,10,0)</f>
        <v>0</v>
      </c>
      <c r="P960" s="87">
        <f t="shared" si="40"/>
        <v>0</v>
      </c>
    </row>
    <row r="961" spans="2:16" s="110" customFormat="1">
      <c r="B961" s="66" t="s">
        <v>196</v>
      </c>
      <c r="C961" s="106" t="s">
        <v>197</v>
      </c>
      <c r="D961" s="89" t="s">
        <v>14</v>
      </c>
      <c r="E961" s="89">
        <f>H948/2</f>
        <v>0</v>
      </c>
      <c r="F961" s="66"/>
      <c r="G961" s="66"/>
      <c r="H961" s="66"/>
      <c r="I961" s="66"/>
      <c r="J961" s="107"/>
      <c r="K961" s="108" t="s">
        <v>4</v>
      </c>
      <c r="L961" s="108" t="s">
        <v>5</v>
      </c>
      <c r="M961" s="109" t="s">
        <v>6</v>
      </c>
      <c r="N961" s="109" t="s">
        <v>15</v>
      </c>
      <c r="O961" s="87">
        <f>VLOOKUP($B961,BOM!$A$2:$K$94,10,0)</f>
        <v>0</v>
      </c>
      <c r="P961" s="87">
        <f t="shared" si="40"/>
        <v>0</v>
      </c>
    </row>
    <row r="962" spans="2:16">
      <c r="B962" s="81"/>
      <c r="C962" s="82" t="s">
        <v>26</v>
      </c>
      <c r="D962" s="72" t="s">
        <v>0</v>
      </c>
      <c r="E962" s="72">
        <v>1</v>
      </c>
      <c r="F962" s="72"/>
      <c r="G962" s="72"/>
      <c r="H962" s="72"/>
      <c r="I962" s="72"/>
      <c r="J962" s="72"/>
      <c r="K962" s="83"/>
      <c r="L962" s="83"/>
      <c r="M962" s="83"/>
      <c r="N962" s="83"/>
      <c r="O962" s="87">
        <f>VLOOKUP($B962,BOM!$A$2:$K$94,10,0)</f>
        <v>0</v>
      </c>
      <c r="P962" s="87">
        <f t="shared" si="40"/>
        <v>0</v>
      </c>
    </row>
    <row r="963" spans="2:16" s="45" customFormat="1">
      <c r="B963" s="62"/>
      <c r="C963" s="21"/>
      <c r="D963" s="85"/>
      <c r="E963" s="90"/>
      <c r="F963" s="62"/>
      <c r="G963" s="62"/>
      <c r="H963" s="62"/>
      <c r="I963" s="62"/>
      <c r="J963" s="86"/>
      <c r="K963" s="62"/>
      <c r="L963" s="62"/>
      <c r="M963" s="86"/>
      <c r="N963" s="86"/>
      <c r="O963" s="87">
        <f>VLOOKUP($B963,BOM!$A$2:$K$94,10,0)</f>
        <v>0</v>
      </c>
      <c r="P963" s="87">
        <f t="shared" si="40"/>
        <v>0</v>
      </c>
    </row>
    <row r="964" spans="2:16" s="45" customFormat="1">
      <c r="B964" s="62"/>
      <c r="C964" s="21"/>
      <c r="D964" s="85"/>
      <c r="E964" s="90"/>
      <c r="F964" s="62"/>
      <c r="G964" s="62"/>
      <c r="H964" s="62"/>
      <c r="I964" s="62"/>
      <c r="J964" s="86"/>
      <c r="K964" s="62"/>
      <c r="L964" s="62"/>
      <c r="M964" s="86"/>
      <c r="N964" s="86"/>
      <c r="O964" s="87">
        <f>VLOOKUP($B964,BOM!$A$2:$K$94,10,0)</f>
        <v>0</v>
      </c>
      <c r="P964" s="87">
        <f t="shared" ref="P964:P1027" si="43">O964*E964</f>
        <v>0</v>
      </c>
    </row>
    <row r="965" spans="2:16">
      <c r="B965" s="81"/>
      <c r="C965" s="82" t="s">
        <v>145</v>
      </c>
      <c r="D965" s="72" t="s">
        <v>0</v>
      </c>
      <c r="E965" s="72">
        <v>2</v>
      </c>
      <c r="F965" s="72"/>
      <c r="G965" s="72"/>
      <c r="H965" s="72"/>
      <c r="I965" s="72"/>
      <c r="J965" s="72"/>
      <c r="K965" s="83"/>
      <c r="L965" s="83"/>
      <c r="M965" s="83"/>
      <c r="N965" s="83"/>
      <c r="O965" s="87">
        <f>VLOOKUP($B965,BOM!$A$2:$K$94,10,0)</f>
        <v>0</v>
      </c>
      <c r="P965" s="87">
        <f t="shared" si="43"/>
        <v>0</v>
      </c>
    </row>
    <row r="966" spans="2:16" s="45" customFormat="1">
      <c r="B966" s="41" t="s">
        <v>152</v>
      </c>
      <c r="C966" s="41" t="s">
        <v>153</v>
      </c>
      <c r="D966" s="42" t="s">
        <v>64</v>
      </c>
      <c r="E966" s="43">
        <v>1</v>
      </c>
      <c r="F966" s="41"/>
      <c r="G966" s="41"/>
      <c r="H966" s="41"/>
      <c r="I966" s="41"/>
      <c r="J966" s="44">
        <v>1</v>
      </c>
      <c r="K966" s="41" t="s">
        <v>143</v>
      </c>
      <c r="L966" s="41" t="s">
        <v>151</v>
      </c>
      <c r="M966" s="44" t="s">
        <v>144</v>
      </c>
      <c r="N966" s="44" t="s">
        <v>64</v>
      </c>
      <c r="O966" s="87">
        <f>VLOOKUP($B966,BOM!$A$2:$K$94,10,0)</f>
        <v>0</v>
      </c>
      <c r="P966" s="87">
        <f t="shared" si="43"/>
        <v>0</v>
      </c>
    </row>
    <row r="967" spans="2:16" s="45" customFormat="1" ht="30">
      <c r="B967" s="41" t="s">
        <v>137</v>
      </c>
      <c r="C967" s="46" t="s">
        <v>138</v>
      </c>
      <c r="D967" s="42" t="s">
        <v>64</v>
      </c>
      <c r="E967" s="47">
        <f>E966</f>
        <v>1</v>
      </c>
      <c r="F967" s="41"/>
      <c r="G967" s="41"/>
      <c r="H967" s="41"/>
      <c r="I967" s="41"/>
      <c r="J967" s="44"/>
      <c r="K967" s="41" t="s">
        <v>143</v>
      </c>
      <c r="L967" s="41" t="s">
        <v>151</v>
      </c>
      <c r="M967" s="44" t="s">
        <v>144</v>
      </c>
      <c r="N967" s="44" t="s">
        <v>64</v>
      </c>
      <c r="O967" s="87">
        <f>VLOOKUP($B967,BOM!$A$2:$K$94,10,0)</f>
        <v>0</v>
      </c>
      <c r="P967" s="87">
        <f t="shared" si="43"/>
        <v>0</v>
      </c>
    </row>
    <row r="968" spans="2:16" outlineLevel="1">
      <c r="B968" s="117"/>
      <c r="C968" s="118" t="s">
        <v>67</v>
      </c>
      <c r="D968" s="119" t="s">
        <v>0</v>
      </c>
      <c r="E968" s="120">
        <v>1</v>
      </c>
      <c r="F968" s="121"/>
      <c r="G968" s="121"/>
      <c r="H968" s="121" t="s">
        <v>69</v>
      </c>
      <c r="I968" s="122"/>
      <c r="J968" s="122">
        <v>1</v>
      </c>
      <c r="K968" s="63"/>
      <c r="L968" s="63"/>
      <c r="M968" s="63"/>
      <c r="N968" s="63"/>
      <c r="O968" s="87">
        <f>VLOOKUP($B968,BOM!$A$2:$K$94,10,0)</f>
        <v>0</v>
      </c>
      <c r="P968" s="87">
        <f t="shared" si="43"/>
        <v>0</v>
      </c>
    </row>
    <row r="969" spans="2:16" outlineLevel="1">
      <c r="B969" s="117"/>
      <c r="C969" s="118" t="s">
        <v>70</v>
      </c>
      <c r="D969" s="119" t="s">
        <v>0</v>
      </c>
      <c r="E969" s="120">
        <v>1</v>
      </c>
      <c r="F969" s="121"/>
      <c r="G969" s="121"/>
      <c r="H969" s="121" t="s">
        <v>69</v>
      </c>
      <c r="I969" s="122"/>
      <c r="J969" s="122">
        <v>1</v>
      </c>
      <c r="K969" s="63"/>
      <c r="L969" s="63"/>
      <c r="M969" s="63"/>
      <c r="N969" s="63"/>
      <c r="O969" s="87">
        <f>VLOOKUP($B969,BOM!$A$2:$K$94,10,0)</f>
        <v>0</v>
      </c>
      <c r="P969" s="87">
        <f t="shared" si="43"/>
        <v>0</v>
      </c>
    </row>
    <row r="970" spans="2:16">
      <c r="B970" s="81"/>
      <c r="C970" s="82" t="s">
        <v>18</v>
      </c>
      <c r="D970" s="72" t="s">
        <v>0</v>
      </c>
      <c r="E970" s="72">
        <v>1</v>
      </c>
      <c r="F970" s="72"/>
      <c r="G970" s="72"/>
      <c r="H970" s="72"/>
      <c r="I970" s="72"/>
      <c r="J970" s="72"/>
      <c r="K970" s="83"/>
      <c r="L970" s="83"/>
      <c r="M970" s="83"/>
      <c r="N970" s="83"/>
      <c r="O970" s="87">
        <f>VLOOKUP($B970,BOM!$A$2:$K$94,10,0)</f>
        <v>0</v>
      </c>
      <c r="P970" s="87">
        <f t="shared" si="43"/>
        <v>0</v>
      </c>
    </row>
    <row r="971" spans="2:16" s="45" customFormat="1" ht="30">
      <c r="B971" s="62">
        <v>760237046</v>
      </c>
      <c r="C971" s="21" t="s">
        <v>19</v>
      </c>
      <c r="D971" s="85" t="s">
        <v>3</v>
      </c>
      <c r="E971" s="85">
        <f>E963+E966</f>
        <v>1</v>
      </c>
      <c r="F971" s="62"/>
      <c r="G971" s="62"/>
      <c r="H971" s="62"/>
      <c r="I971" s="62"/>
      <c r="J971" s="86">
        <v>1</v>
      </c>
      <c r="K971" s="62" t="s">
        <v>4</v>
      </c>
      <c r="L971" s="62" t="s">
        <v>5</v>
      </c>
      <c r="M971" s="86" t="s">
        <v>6</v>
      </c>
      <c r="N971" s="86" t="s">
        <v>3</v>
      </c>
      <c r="O971" s="87">
        <f>VLOOKUP($B971,BOM!$A$2:$K$94,10,0)</f>
        <v>0</v>
      </c>
      <c r="P971" s="87">
        <f t="shared" si="43"/>
        <v>0</v>
      </c>
    </row>
    <row r="972" spans="2:16" s="45" customFormat="1" ht="30">
      <c r="B972" s="62" t="s">
        <v>23</v>
      </c>
      <c r="C972" s="21" t="s">
        <v>24</v>
      </c>
      <c r="D972" s="85" t="s">
        <v>3</v>
      </c>
      <c r="E972" s="85">
        <f>E971*24</f>
        <v>24</v>
      </c>
      <c r="F972" s="62"/>
      <c r="G972" s="62"/>
      <c r="H972" s="62"/>
      <c r="I972" s="62"/>
      <c r="J972" s="86"/>
      <c r="K972" s="62" t="s">
        <v>25</v>
      </c>
      <c r="L972" s="62" t="s">
        <v>5</v>
      </c>
      <c r="M972" s="86" t="s">
        <v>6</v>
      </c>
      <c r="N972" s="86" t="s">
        <v>3</v>
      </c>
      <c r="O972" s="87">
        <f>VLOOKUP($B972,BOM!$A$2:$K$94,10,0)</f>
        <v>0</v>
      </c>
      <c r="P972" s="87">
        <f t="shared" si="43"/>
        <v>0</v>
      </c>
    </row>
    <row r="973" spans="2:16" s="45" customFormat="1">
      <c r="B973" s="62" t="s">
        <v>20</v>
      </c>
      <c r="C973" s="21" t="s">
        <v>21</v>
      </c>
      <c r="D973" s="85" t="s">
        <v>3</v>
      </c>
      <c r="E973" s="85">
        <f>E971</f>
        <v>1</v>
      </c>
      <c r="F973" s="62"/>
      <c r="G973" s="62"/>
      <c r="H973" s="62"/>
      <c r="I973" s="62"/>
      <c r="J973" s="86">
        <v>1</v>
      </c>
      <c r="K973" s="62" t="s">
        <v>4</v>
      </c>
      <c r="L973" s="62" t="s">
        <v>5</v>
      </c>
      <c r="M973" s="86" t="s">
        <v>22</v>
      </c>
      <c r="N973" s="86" t="s">
        <v>3</v>
      </c>
      <c r="O973" s="87">
        <f>VLOOKUP($B973,BOM!$A$2:$K$94,10,0)</f>
        <v>0</v>
      </c>
      <c r="P973" s="87">
        <f t="shared" si="43"/>
        <v>0</v>
      </c>
    </row>
    <row r="974" spans="2:16">
      <c r="B974" s="81"/>
      <c r="C974" s="82" t="s">
        <v>71</v>
      </c>
      <c r="D974" s="72" t="s">
        <v>0</v>
      </c>
      <c r="E974" s="72">
        <v>1</v>
      </c>
      <c r="F974" s="72"/>
      <c r="G974" s="72"/>
      <c r="H974" s="72"/>
      <c r="I974" s="72"/>
      <c r="J974" s="72"/>
      <c r="K974" s="83"/>
      <c r="L974" s="83"/>
      <c r="M974" s="83"/>
      <c r="N974" s="83"/>
      <c r="O974" s="87">
        <f>VLOOKUP($B974,BOM!$A$2:$K$94,10,0)</f>
        <v>0</v>
      </c>
      <c r="P974" s="87">
        <f t="shared" si="43"/>
        <v>0</v>
      </c>
    </row>
    <row r="975" spans="2:16" s="45" customFormat="1">
      <c r="B975" s="62" t="s">
        <v>314</v>
      </c>
      <c r="C975" s="21" t="s">
        <v>316</v>
      </c>
      <c r="D975" s="116" t="s">
        <v>51</v>
      </c>
      <c r="E975" s="85">
        <v>1</v>
      </c>
      <c r="F975" s="62"/>
      <c r="G975" s="62"/>
      <c r="H975" s="62"/>
      <c r="I975" s="62"/>
      <c r="J975" s="86">
        <f>E975*8</f>
        <v>8</v>
      </c>
      <c r="K975" s="62"/>
      <c r="L975" s="62" t="s">
        <v>5</v>
      </c>
      <c r="M975" s="86" t="s">
        <v>28</v>
      </c>
      <c r="N975" s="86" t="s">
        <v>3</v>
      </c>
      <c r="O975" s="87">
        <f>VLOOKUP($B975,BOM!$A$2:$K$94,10,0)</f>
        <v>0</v>
      </c>
      <c r="P975" s="87">
        <f t="shared" si="43"/>
        <v>0</v>
      </c>
    </row>
    <row r="976" spans="2:16" s="45" customFormat="1">
      <c r="B976" s="62"/>
      <c r="C976" s="21"/>
      <c r="D976" s="116"/>
      <c r="E976" s="85"/>
      <c r="F976" s="62"/>
      <c r="G976" s="62"/>
      <c r="H976" s="62"/>
      <c r="I976" s="62"/>
      <c r="J976" s="86"/>
      <c r="K976" s="62"/>
      <c r="L976" s="62"/>
      <c r="M976" s="86"/>
      <c r="N976" s="86"/>
      <c r="O976" s="87">
        <f>VLOOKUP($B976,BOM!$A$2:$K$94,10,0)</f>
        <v>0</v>
      </c>
      <c r="P976" s="87">
        <f t="shared" si="43"/>
        <v>0</v>
      </c>
    </row>
    <row r="977" spans="2:16" s="45" customFormat="1">
      <c r="B977" s="62" t="s">
        <v>225</v>
      </c>
      <c r="C977" s="21" t="s">
        <v>72</v>
      </c>
      <c r="D977" s="116" t="s">
        <v>64</v>
      </c>
      <c r="E977" s="85">
        <v>0</v>
      </c>
      <c r="F977" s="62"/>
      <c r="G977" s="62"/>
      <c r="H977" s="62"/>
      <c r="I977" s="62"/>
      <c r="J977" s="86"/>
      <c r="K977" s="62"/>
      <c r="L977" s="62" t="s">
        <v>5</v>
      </c>
      <c r="M977" s="86" t="s">
        <v>28</v>
      </c>
      <c r="N977" s="86" t="s">
        <v>3</v>
      </c>
      <c r="O977" s="87">
        <f>VLOOKUP($B977,BOM!$A$2:$K$94,10,0)</f>
        <v>0</v>
      </c>
      <c r="P977" s="87">
        <f t="shared" si="43"/>
        <v>0</v>
      </c>
    </row>
    <row r="978" spans="2:16">
      <c r="B978" s="81"/>
      <c r="C978" s="82" t="s">
        <v>31</v>
      </c>
      <c r="D978" s="72" t="s">
        <v>0</v>
      </c>
      <c r="E978" s="72">
        <v>1</v>
      </c>
      <c r="F978" s="72"/>
      <c r="G978" s="72"/>
      <c r="H978" s="72"/>
      <c r="I978" s="72"/>
      <c r="J978" s="72"/>
      <c r="K978" s="83"/>
      <c r="L978" s="83"/>
      <c r="M978" s="83"/>
      <c r="N978" s="83"/>
      <c r="O978" s="87">
        <f>VLOOKUP($B978,BOM!$A$2:$K$94,10,0)</f>
        <v>0</v>
      </c>
      <c r="P978" s="87">
        <f t="shared" si="43"/>
        <v>0</v>
      </c>
    </row>
    <row r="979" spans="2:16">
      <c r="B979" s="81"/>
      <c r="C979" s="82" t="s">
        <v>32</v>
      </c>
      <c r="D979" s="72"/>
      <c r="E979" s="72"/>
      <c r="F979" s="72"/>
      <c r="G979" s="72"/>
      <c r="H979" s="72"/>
      <c r="I979" s="72"/>
      <c r="J979" s="72"/>
      <c r="K979" s="83"/>
      <c r="L979" s="83"/>
      <c r="M979" s="83"/>
      <c r="N979" s="83"/>
      <c r="O979" s="87">
        <f>VLOOKUP($B979,BOM!$A$2:$K$94,10,0)</f>
        <v>0</v>
      </c>
      <c r="P979" s="87">
        <f t="shared" si="43"/>
        <v>0</v>
      </c>
    </row>
    <row r="980" spans="2:16" s="45" customFormat="1" ht="20.45" customHeight="1">
      <c r="B980" s="62" t="s">
        <v>33</v>
      </c>
      <c r="C980" s="21" t="s">
        <v>34</v>
      </c>
      <c r="D980" s="85" t="s">
        <v>3</v>
      </c>
      <c r="E980" s="90">
        <f>E981</f>
        <v>0</v>
      </c>
      <c r="F980" s="62"/>
      <c r="G980" s="62"/>
      <c r="H980" s="62"/>
      <c r="I980" s="62"/>
      <c r="J980" s="86"/>
      <c r="K980" s="62" t="s">
        <v>35</v>
      </c>
      <c r="L980" s="62" t="s">
        <v>5</v>
      </c>
      <c r="M980" s="86" t="s">
        <v>6</v>
      </c>
      <c r="N980" s="86" t="s">
        <v>3</v>
      </c>
      <c r="O980" s="87">
        <f>VLOOKUP($B980,BOM!$A$2:$K$94,10,0)</f>
        <v>0</v>
      </c>
      <c r="P980" s="87">
        <f t="shared" si="43"/>
        <v>0</v>
      </c>
    </row>
    <row r="981" spans="2:16" s="45" customFormat="1">
      <c r="B981" s="62" t="s">
        <v>330</v>
      </c>
      <c r="C981" s="21" t="s">
        <v>36</v>
      </c>
      <c r="D981" s="85" t="s">
        <v>3</v>
      </c>
      <c r="E981" s="90">
        <f>G979+H979</f>
        <v>0</v>
      </c>
      <c r="F981" s="62"/>
      <c r="G981" s="62"/>
      <c r="H981" s="62"/>
      <c r="I981" s="62"/>
      <c r="J981" s="86"/>
      <c r="K981" s="62" t="s">
        <v>37</v>
      </c>
      <c r="L981" s="62" t="s">
        <v>5</v>
      </c>
      <c r="M981" s="86" t="s">
        <v>37</v>
      </c>
      <c r="N981" s="86" t="s">
        <v>3</v>
      </c>
      <c r="O981" s="87">
        <f>VLOOKUP($B981,BOM!$A$2:$K$94,10,0)</f>
        <v>0</v>
      </c>
      <c r="P981" s="87">
        <f t="shared" si="43"/>
        <v>0</v>
      </c>
    </row>
    <row r="982" spans="2:16" s="45" customFormat="1" ht="30">
      <c r="B982" s="62" t="s">
        <v>38</v>
      </c>
      <c r="C982" s="21" t="s">
        <v>39</v>
      </c>
      <c r="D982" s="85" t="s">
        <v>3</v>
      </c>
      <c r="E982" s="90">
        <f>E981</f>
        <v>0</v>
      </c>
      <c r="F982" s="62"/>
      <c r="G982" s="62"/>
      <c r="H982" s="62"/>
      <c r="I982" s="62"/>
      <c r="J982" s="86"/>
      <c r="K982" s="62" t="s">
        <v>25</v>
      </c>
      <c r="L982" s="62" t="s">
        <v>5</v>
      </c>
      <c r="M982" s="86" t="s">
        <v>6</v>
      </c>
      <c r="N982" s="86" t="s">
        <v>3</v>
      </c>
      <c r="O982" s="87">
        <f>VLOOKUP($B982,BOM!$A$2:$K$94,10,0)</f>
        <v>0</v>
      </c>
      <c r="P982" s="87">
        <f t="shared" si="43"/>
        <v>0</v>
      </c>
    </row>
    <row r="983" spans="2:16">
      <c r="B983" s="81"/>
      <c r="C983" s="82" t="s">
        <v>40</v>
      </c>
      <c r="D983" s="72"/>
      <c r="E983" s="72"/>
      <c r="F983" s="72"/>
      <c r="G983" s="72"/>
      <c r="H983" s="72">
        <v>15</v>
      </c>
      <c r="I983" s="72"/>
      <c r="J983" s="72"/>
      <c r="K983" s="83"/>
      <c r="L983" s="83"/>
      <c r="M983" s="83"/>
      <c r="N983" s="83"/>
      <c r="O983" s="87">
        <f>VLOOKUP($B983,BOM!$A$2:$K$94,10,0)</f>
        <v>0</v>
      </c>
      <c r="P983" s="87">
        <f t="shared" si="43"/>
        <v>0</v>
      </c>
    </row>
    <row r="984" spans="2:16" s="45" customFormat="1">
      <c r="B984" s="62" t="s">
        <v>41</v>
      </c>
      <c r="C984" s="21" t="s">
        <v>42</v>
      </c>
      <c r="D984" s="85" t="s">
        <v>3</v>
      </c>
      <c r="E984" s="85">
        <f>G983+H983</f>
        <v>15</v>
      </c>
      <c r="F984" s="62"/>
      <c r="G984" s="62"/>
      <c r="H984" s="62"/>
      <c r="I984" s="62"/>
      <c r="J984" s="86"/>
      <c r="K984" s="62" t="s">
        <v>4</v>
      </c>
      <c r="L984" s="62" t="s">
        <v>5</v>
      </c>
      <c r="M984" s="86" t="s">
        <v>6</v>
      </c>
      <c r="N984" s="86" t="s">
        <v>3</v>
      </c>
      <c r="O984" s="87">
        <f>VLOOKUP($B984,BOM!$A$2:$K$94,10,0)</f>
        <v>0</v>
      </c>
      <c r="P984" s="87">
        <f t="shared" si="43"/>
        <v>0</v>
      </c>
    </row>
    <row r="985" spans="2:16" s="45" customFormat="1">
      <c r="B985" s="65" t="s">
        <v>43</v>
      </c>
      <c r="C985" s="103" t="s">
        <v>44</v>
      </c>
      <c r="D985" s="85" t="s">
        <v>3</v>
      </c>
      <c r="E985" s="85">
        <f>E984</f>
        <v>15</v>
      </c>
      <c r="F985" s="62"/>
      <c r="G985" s="62"/>
      <c r="H985" s="62"/>
      <c r="I985" s="62"/>
      <c r="J985" s="86"/>
      <c r="K985" s="62" t="s">
        <v>4</v>
      </c>
      <c r="L985" s="62" t="s">
        <v>5</v>
      </c>
      <c r="M985" s="86" t="s">
        <v>6</v>
      </c>
      <c r="N985" s="86" t="s">
        <v>3</v>
      </c>
      <c r="O985" s="87">
        <f>VLOOKUP($B985,BOM!$A$2:$K$94,10,0)</f>
        <v>0</v>
      </c>
      <c r="P985" s="87">
        <f t="shared" si="43"/>
        <v>0</v>
      </c>
    </row>
    <row r="986" spans="2:16">
      <c r="B986" s="81"/>
      <c r="C986" s="82" t="s">
        <v>45</v>
      </c>
      <c r="D986" s="72"/>
      <c r="E986" s="72"/>
      <c r="F986" s="72"/>
      <c r="G986" s="72"/>
      <c r="H986" s="72"/>
      <c r="I986" s="72"/>
      <c r="J986" s="72"/>
      <c r="K986" s="83"/>
      <c r="L986" s="83"/>
      <c r="M986" s="83"/>
      <c r="N986" s="83"/>
      <c r="O986" s="87">
        <f>VLOOKUP($B986,BOM!$A$2:$K$94,10,0)</f>
        <v>0</v>
      </c>
      <c r="P986" s="87">
        <f t="shared" si="43"/>
        <v>0</v>
      </c>
    </row>
    <row r="987" spans="2:16" s="45" customFormat="1" ht="30">
      <c r="B987" s="62" t="s">
        <v>48</v>
      </c>
      <c r="C987" s="21" t="s">
        <v>49</v>
      </c>
      <c r="D987" s="85" t="s">
        <v>14</v>
      </c>
      <c r="E987" s="85">
        <f>E984+1</f>
        <v>16</v>
      </c>
      <c r="F987" s="62"/>
      <c r="G987" s="62"/>
      <c r="H987" s="62"/>
      <c r="I987" s="62"/>
      <c r="J987" s="86"/>
      <c r="K987" s="62"/>
      <c r="L987" s="62" t="s">
        <v>5</v>
      </c>
      <c r="M987" s="86" t="s">
        <v>6</v>
      </c>
      <c r="N987" s="86" t="s">
        <v>15</v>
      </c>
      <c r="O987" s="87">
        <f>VLOOKUP($B987,BOM!$A$2:$K$94,10,0)</f>
        <v>0</v>
      </c>
      <c r="P987" s="87">
        <f t="shared" si="43"/>
        <v>0</v>
      </c>
    </row>
    <row r="988" spans="2:16" s="45" customFormat="1" ht="30">
      <c r="B988" s="62" t="s">
        <v>48</v>
      </c>
      <c r="C988" s="21" t="s">
        <v>49</v>
      </c>
      <c r="D988" s="85" t="s">
        <v>14</v>
      </c>
      <c r="E988" s="90">
        <f>ROUNDUP(E987*0.2,0)</f>
        <v>4</v>
      </c>
      <c r="F988" s="62"/>
      <c r="G988" s="62"/>
      <c r="H988" s="62"/>
      <c r="I988" s="62"/>
      <c r="J988" s="86"/>
      <c r="K988" s="62" t="s">
        <v>4</v>
      </c>
      <c r="L988" s="62" t="s">
        <v>5</v>
      </c>
      <c r="M988" s="86" t="s">
        <v>6</v>
      </c>
      <c r="N988" s="86" t="s">
        <v>15</v>
      </c>
      <c r="O988" s="87">
        <f>VLOOKUP($B988,BOM!$A$2:$K$94,10,0)</f>
        <v>0</v>
      </c>
      <c r="P988" s="87">
        <f t="shared" si="43"/>
        <v>0</v>
      </c>
    </row>
    <row r="989" spans="2:16">
      <c r="B989" s="81"/>
      <c r="C989" s="82" t="s">
        <v>50</v>
      </c>
      <c r="D989" s="72"/>
      <c r="E989" s="72"/>
      <c r="F989" s="72"/>
      <c r="G989" s="72"/>
      <c r="H989" s="72"/>
      <c r="I989" s="72"/>
      <c r="J989" s="72"/>
      <c r="K989" s="83"/>
      <c r="L989" s="83"/>
      <c r="M989" s="83"/>
      <c r="N989" s="83"/>
      <c r="O989" s="87">
        <f>VLOOKUP($B989,BOM!$A$2:$K$94,10,0)</f>
        <v>0</v>
      </c>
      <c r="P989" s="87">
        <f t="shared" si="43"/>
        <v>0</v>
      </c>
    </row>
    <row r="990" spans="2:16" s="45" customFormat="1">
      <c r="B990" s="62" t="s">
        <v>332</v>
      </c>
      <c r="C990" s="21" t="s">
        <v>332</v>
      </c>
      <c r="D990" s="85" t="s">
        <v>51</v>
      </c>
      <c r="E990" s="85">
        <f>E975</f>
        <v>1</v>
      </c>
      <c r="F990" s="62"/>
      <c r="G990" s="62"/>
      <c r="H990" s="62"/>
      <c r="I990" s="62"/>
      <c r="J990" s="86"/>
      <c r="K990" s="62"/>
      <c r="L990" s="62"/>
      <c r="M990" s="86"/>
      <c r="N990" s="86" t="s">
        <v>51</v>
      </c>
      <c r="O990" s="87">
        <f>VLOOKUP($B990,BOM!$A$2:$K$94,10,0)</f>
        <v>0</v>
      </c>
      <c r="P990" s="87">
        <f t="shared" si="43"/>
        <v>0</v>
      </c>
    </row>
    <row r="991" spans="2:16" s="45" customFormat="1">
      <c r="B991" s="62" t="s">
        <v>52</v>
      </c>
      <c r="C991" s="21" t="s">
        <v>53</v>
      </c>
      <c r="D991" s="86" t="s">
        <v>54</v>
      </c>
      <c r="E991" s="105">
        <f>E988+E987</f>
        <v>20</v>
      </c>
      <c r="F991" s="62"/>
      <c r="G991" s="62"/>
      <c r="H991" s="62"/>
      <c r="I991" s="62"/>
      <c r="J991" s="86"/>
      <c r="K991" s="62"/>
      <c r="L991" s="62"/>
      <c r="M991" s="86" t="s">
        <v>55</v>
      </c>
      <c r="N991" s="86" t="s">
        <v>54</v>
      </c>
      <c r="O991" s="87">
        <f>VLOOKUP($B991,BOM!$A$2:$K$94,10,0)</f>
        <v>0</v>
      </c>
      <c r="P991" s="87">
        <f t="shared" si="43"/>
        <v>0</v>
      </c>
    </row>
    <row r="992" spans="2:16" s="45" customFormat="1" ht="30">
      <c r="B992" s="62" t="s">
        <v>56</v>
      </c>
      <c r="C992" s="21" t="s">
        <v>57</v>
      </c>
      <c r="D992" s="86" t="s">
        <v>14</v>
      </c>
      <c r="E992" s="105">
        <f>E961+E957</f>
        <v>4</v>
      </c>
      <c r="F992" s="62"/>
      <c r="G992" s="62"/>
      <c r="H992" s="62"/>
      <c r="I992" s="62"/>
      <c r="J992" s="86"/>
      <c r="K992" s="62"/>
      <c r="L992" s="62"/>
      <c r="M992" s="86" t="s">
        <v>55</v>
      </c>
      <c r="N992" s="86" t="s">
        <v>14</v>
      </c>
      <c r="O992" s="87">
        <f>VLOOKUP($B992,BOM!$A$2:$K$94,10,0)</f>
        <v>0</v>
      </c>
      <c r="P992" s="87">
        <f t="shared" si="43"/>
        <v>0</v>
      </c>
    </row>
    <row r="993" spans="1:16" s="45" customFormat="1" ht="30">
      <c r="B993" s="62" t="s">
        <v>58</v>
      </c>
      <c r="C993" s="21" t="s">
        <v>59</v>
      </c>
      <c r="D993" s="86" t="s">
        <v>60</v>
      </c>
      <c r="E993" s="105">
        <f>E992*2</f>
        <v>8</v>
      </c>
      <c r="F993" s="62"/>
      <c r="G993" s="62"/>
      <c r="H993" s="62"/>
      <c r="I993" s="62"/>
      <c r="J993" s="86"/>
      <c r="K993" s="62"/>
      <c r="L993" s="62"/>
      <c r="M993" s="86" t="s">
        <v>61</v>
      </c>
      <c r="N993" s="86" t="s">
        <v>60</v>
      </c>
      <c r="O993" s="87">
        <f>VLOOKUP($B993,BOM!$A$2:$K$94,10,0)</f>
        <v>0</v>
      </c>
      <c r="P993" s="87">
        <f t="shared" si="43"/>
        <v>0</v>
      </c>
    </row>
    <row r="994" spans="1:16" s="45" customFormat="1" ht="45">
      <c r="B994" s="62" t="s">
        <v>62</v>
      </c>
      <c r="C994" s="21" t="s">
        <v>63</v>
      </c>
      <c r="D994" s="86" t="s">
        <v>64</v>
      </c>
      <c r="E994" s="105">
        <f>E971</f>
        <v>1</v>
      </c>
      <c r="F994" s="62"/>
      <c r="G994" s="62"/>
      <c r="H994" s="62"/>
      <c r="I994" s="62"/>
      <c r="J994" s="86"/>
      <c r="K994" s="62"/>
      <c r="L994" s="62"/>
      <c r="M994" s="86" t="s">
        <v>61</v>
      </c>
      <c r="N994" s="86" t="s">
        <v>64</v>
      </c>
      <c r="O994" s="87">
        <f>VLOOKUP($B994,BOM!$A$2:$K$94,10,0)</f>
        <v>0</v>
      </c>
      <c r="P994" s="87">
        <f t="shared" si="43"/>
        <v>0</v>
      </c>
    </row>
    <row r="995" spans="1:16">
      <c r="A995" s="35">
        <v>21</v>
      </c>
      <c r="B995" s="36"/>
      <c r="C995" s="37" t="s">
        <v>91</v>
      </c>
      <c r="D995" s="38" t="s">
        <v>0</v>
      </c>
      <c r="E995" s="36">
        <v>1</v>
      </c>
      <c r="F995" s="36"/>
      <c r="G995" s="36">
        <v>8</v>
      </c>
      <c r="H995" s="36">
        <v>0</v>
      </c>
      <c r="I995" s="36"/>
      <c r="J995" s="36">
        <f>SUBTOTAL(9,J998:J1022)</f>
        <v>13</v>
      </c>
      <c r="K995" s="39"/>
      <c r="L995" s="39"/>
      <c r="M995" s="39"/>
      <c r="N995" s="39"/>
      <c r="O995" s="87">
        <f>VLOOKUP($B995,BOM!$A$2:$K$94,10,0)</f>
        <v>0</v>
      </c>
      <c r="P995" s="87">
        <f t="shared" si="43"/>
        <v>0</v>
      </c>
    </row>
    <row r="996" spans="1:16">
      <c r="B996" s="81"/>
      <c r="C996" s="82" t="s">
        <v>124</v>
      </c>
      <c r="D996" s="72" t="s">
        <v>0</v>
      </c>
      <c r="E996" s="72">
        <v>1</v>
      </c>
      <c r="F996" s="72"/>
      <c r="G996" s="72"/>
      <c r="H996" s="72"/>
      <c r="I996" s="72"/>
      <c r="J996" s="72"/>
      <c r="K996" s="83"/>
      <c r="L996" s="83"/>
      <c r="M996" s="83"/>
      <c r="N996" s="83"/>
      <c r="O996" s="87">
        <f>VLOOKUP($B996,BOM!$A$2:$K$94,10,0)</f>
        <v>0</v>
      </c>
      <c r="P996" s="87">
        <f t="shared" si="43"/>
        <v>0</v>
      </c>
    </row>
    <row r="997" spans="1:16" s="19" customFormat="1">
      <c r="B997" s="20" t="s">
        <v>226</v>
      </c>
      <c r="C997" s="20" t="s">
        <v>227</v>
      </c>
      <c r="D997" s="21"/>
      <c r="E997" s="22">
        <v>1</v>
      </c>
      <c r="F997" s="21"/>
      <c r="G997" s="21"/>
      <c r="H997" s="21"/>
      <c r="I997" s="21"/>
      <c r="J997" s="22"/>
      <c r="K997" s="21" t="s">
        <v>4</v>
      </c>
      <c r="L997" s="21" t="s">
        <v>203</v>
      </c>
      <c r="M997" s="22" t="s">
        <v>22</v>
      </c>
      <c r="N997" s="22" t="s">
        <v>3</v>
      </c>
      <c r="O997" s="87">
        <f>VLOOKUP($B997,BOM!$A$2:$K$94,10,0)</f>
        <v>0</v>
      </c>
      <c r="P997" s="87">
        <f t="shared" si="43"/>
        <v>0</v>
      </c>
    </row>
    <row r="998" spans="1:16" s="19" customFormat="1">
      <c r="B998" s="21" t="s">
        <v>122</v>
      </c>
      <c r="C998" s="21" t="s">
        <v>123</v>
      </c>
      <c r="D998" s="21"/>
      <c r="E998" s="22">
        <v>1</v>
      </c>
      <c r="F998" s="21"/>
      <c r="G998" s="21"/>
      <c r="H998" s="21"/>
      <c r="I998" s="21"/>
      <c r="J998" s="22">
        <v>1</v>
      </c>
      <c r="K998" s="21" t="s">
        <v>4</v>
      </c>
      <c r="L998" s="21" t="s">
        <v>5</v>
      </c>
      <c r="M998" s="22" t="s">
        <v>22</v>
      </c>
      <c r="N998" s="22" t="s">
        <v>3</v>
      </c>
      <c r="O998" s="87">
        <f>VLOOKUP($B998,BOM!$A$2:$K$94,10,0)</f>
        <v>0</v>
      </c>
      <c r="P998" s="87">
        <f t="shared" si="43"/>
        <v>0</v>
      </c>
    </row>
    <row r="999" spans="1:16">
      <c r="B999" s="81"/>
      <c r="C999" s="82" t="s">
        <v>1</v>
      </c>
      <c r="D999" s="72" t="s">
        <v>0</v>
      </c>
      <c r="E999" s="72">
        <v>1</v>
      </c>
      <c r="F999" s="72"/>
      <c r="G999" s="72">
        <f>ROUNDUP(G995/24,0)</f>
        <v>1</v>
      </c>
      <c r="H999" s="72">
        <f t="shared" ref="H999" si="44">ROUNDUP(H995/24,0)</f>
        <v>0</v>
      </c>
      <c r="I999" s="72"/>
      <c r="J999" s="72"/>
      <c r="K999" s="83"/>
      <c r="L999" s="83"/>
      <c r="M999" s="83"/>
      <c r="N999" s="83"/>
      <c r="O999" s="87">
        <f>VLOOKUP($B999,BOM!$A$2:$K$94,10,0)</f>
        <v>0</v>
      </c>
      <c r="P999" s="87">
        <f t="shared" si="43"/>
        <v>0</v>
      </c>
    </row>
    <row r="1000" spans="1:16" s="45" customFormat="1">
      <c r="B1000" s="62">
        <v>760249997</v>
      </c>
      <c r="C1000" s="21" t="s">
        <v>2</v>
      </c>
      <c r="D1000" s="85" t="s">
        <v>3</v>
      </c>
      <c r="E1000" s="85">
        <f>ROUNDUP((E1002+E1006)/3,0)</f>
        <v>1</v>
      </c>
      <c r="F1000" s="62"/>
      <c r="G1000" s="62"/>
      <c r="H1000" s="62"/>
      <c r="I1000" s="62"/>
      <c r="J1000" s="86">
        <v>1</v>
      </c>
      <c r="K1000" s="62" t="s">
        <v>4</v>
      </c>
      <c r="L1000" s="62" t="s">
        <v>5</v>
      </c>
      <c r="M1000" s="86" t="s">
        <v>6</v>
      </c>
      <c r="N1000" s="86" t="s">
        <v>3</v>
      </c>
      <c r="O1000" s="87">
        <f>VLOOKUP($B1000,BOM!$A$2:$K$94,10,0)</f>
        <v>0</v>
      </c>
      <c r="P1000" s="87">
        <f t="shared" si="43"/>
        <v>0</v>
      </c>
    </row>
    <row r="1001" spans="1:16" s="45" customFormat="1">
      <c r="B1001" s="62">
        <v>760241378</v>
      </c>
      <c r="C1001" s="21" t="s">
        <v>7</v>
      </c>
      <c r="D1001" s="85" t="s">
        <v>3</v>
      </c>
      <c r="E1001" s="85">
        <f>IF(E1002&lt;=2,1,ROUNDUP(E1000*1.5,0))</f>
        <v>1</v>
      </c>
      <c r="F1001" s="62"/>
      <c r="G1001" s="62"/>
      <c r="H1001" s="62"/>
      <c r="I1001" s="62"/>
      <c r="J1001" s="86"/>
      <c r="K1001" s="62" t="s">
        <v>4</v>
      </c>
      <c r="L1001" s="62" t="s">
        <v>5</v>
      </c>
      <c r="M1001" s="86" t="s">
        <v>6</v>
      </c>
      <c r="N1001" s="86" t="s">
        <v>3</v>
      </c>
      <c r="O1001" s="87">
        <f>VLOOKUP($B1001,BOM!$A$2:$K$94,10,0)</f>
        <v>0</v>
      </c>
      <c r="P1001" s="87">
        <f t="shared" si="43"/>
        <v>0</v>
      </c>
    </row>
    <row r="1002" spans="1:16" s="45" customFormat="1">
      <c r="B1002" s="62" t="s">
        <v>8</v>
      </c>
      <c r="C1002" s="21" t="s">
        <v>9</v>
      </c>
      <c r="D1002" s="85" t="s">
        <v>3</v>
      </c>
      <c r="E1002" s="85">
        <f>G999</f>
        <v>1</v>
      </c>
      <c r="F1002" s="62"/>
      <c r="G1002" s="62"/>
      <c r="H1002" s="62"/>
      <c r="I1002" s="62"/>
      <c r="J1002" s="86"/>
      <c r="K1002" s="62" t="s">
        <v>4</v>
      </c>
      <c r="L1002" s="62" t="s">
        <v>5</v>
      </c>
      <c r="M1002" s="86" t="s">
        <v>6</v>
      </c>
      <c r="N1002" s="86" t="s">
        <v>3</v>
      </c>
      <c r="O1002" s="87">
        <f>VLOOKUP($B1002,BOM!$A$2:$K$94,10,0)</f>
        <v>0</v>
      </c>
      <c r="P1002" s="87">
        <f t="shared" si="43"/>
        <v>0</v>
      </c>
    </row>
    <row r="1003" spans="1:16" s="45" customFormat="1">
      <c r="B1003" s="62" t="s">
        <v>10</v>
      </c>
      <c r="C1003" s="21" t="s">
        <v>11</v>
      </c>
      <c r="D1003" s="85" t="s">
        <v>3</v>
      </c>
      <c r="E1003" s="85">
        <f>E1000*3-E1002-E1006</f>
        <v>2</v>
      </c>
      <c r="F1003" s="62"/>
      <c r="G1003" s="62"/>
      <c r="H1003" s="62"/>
      <c r="I1003" s="62"/>
      <c r="J1003" s="86"/>
      <c r="K1003" s="62" t="s">
        <v>4</v>
      </c>
      <c r="L1003" s="62" t="s">
        <v>5</v>
      </c>
      <c r="M1003" s="86" t="s">
        <v>6</v>
      </c>
      <c r="N1003" s="86" t="s">
        <v>3</v>
      </c>
      <c r="O1003" s="87">
        <f>VLOOKUP($B1003,BOM!$A$2:$K$94,10,0)</f>
        <v>0</v>
      </c>
      <c r="P1003" s="87">
        <f t="shared" si="43"/>
        <v>0</v>
      </c>
    </row>
    <row r="1004" spans="1:16" s="45" customFormat="1">
      <c r="B1004" s="62" t="s">
        <v>12</v>
      </c>
      <c r="C1004" s="21" t="s">
        <v>13</v>
      </c>
      <c r="D1004" s="85" t="s">
        <v>14</v>
      </c>
      <c r="E1004" s="85">
        <f>G995/2</f>
        <v>4</v>
      </c>
      <c r="F1004" s="62"/>
      <c r="G1004" s="62"/>
      <c r="H1004" s="62"/>
      <c r="I1004" s="62"/>
      <c r="J1004" s="86"/>
      <c r="K1004" s="62" t="s">
        <v>4</v>
      </c>
      <c r="L1004" s="62" t="s">
        <v>5</v>
      </c>
      <c r="M1004" s="86" t="s">
        <v>6</v>
      </c>
      <c r="N1004" s="86" t="s">
        <v>15</v>
      </c>
      <c r="O1004" s="87">
        <f>VLOOKUP($B1004,BOM!$A$2:$K$94,10,0)</f>
        <v>0</v>
      </c>
      <c r="P1004" s="87">
        <f t="shared" si="43"/>
        <v>0</v>
      </c>
    </row>
    <row r="1005" spans="1:16" s="45" customFormat="1" ht="30">
      <c r="B1005" s="62" t="s">
        <v>16</v>
      </c>
      <c r="C1005" s="21" t="s">
        <v>17</v>
      </c>
      <c r="D1005" s="85" t="s">
        <v>14</v>
      </c>
      <c r="E1005" s="85">
        <f>ROUNDUP((E1011+E1014)*1.3,0)</f>
        <v>2</v>
      </c>
      <c r="F1005" s="62"/>
      <c r="G1005" s="62"/>
      <c r="H1005" s="62"/>
      <c r="I1005" s="62"/>
      <c r="J1005" s="86"/>
      <c r="K1005" s="62" t="s">
        <v>4</v>
      </c>
      <c r="L1005" s="62" t="s">
        <v>5</v>
      </c>
      <c r="M1005" s="86" t="s">
        <v>6</v>
      </c>
      <c r="N1005" s="86" t="s">
        <v>15</v>
      </c>
      <c r="O1005" s="87">
        <f>VLOOKUP($B1005,BOM!$A$2:$K$94,10,0)</f>
        <v>0</v>
      </c>
      <c r="P1005" s="87">
        <f t="shared" si="43"/>
        <v>0</v>
      </c>
    </row>
    <row r="1006" spans="1:16" s="110" customFormat="1">
      <c r="B1006" s="66" t="s">
        <v>198</v>
      </c>
      <c r="C1006" s="106" t="s">
        <v>199</v>
      </c>
      <c r="D1006" s="89" t="s">
        <v>3</v>
      </c>
      <c r="E1006" s="89">
        <f>H999</f>
        <v>0</v>
      </c>
      <c r="F1006" s="66"/>
      <c r="G1006" s="66"/>
      <c r="H1006" s="66"/>
      <c r="I1006" s="66"/>
      <c r="J1006" s="107"/>
      <c r="K1006" s="108" t="s">
        <v>4</v>
      </c>
      <c r="L1006" s="108" t="s">
        <v>5</v>
      </c>
      <c r="M1006" s="109" t="s">
        <v>6</v>
      </c>
      <c r="N1006" s="109" t="s">
        <v>15</v>
      </c>
      <c r="O1006" s="87">
        <f>VLOOKUP($B1006,BOM!$A$2:$K$94,10,0)</f>
        <v>0</v>
      </c>
      <c r="P1006" s="87">
        <f t="shared" si="43"/>
        <v>0</v>
      </c>
    </row>
    <row r="1007" spans="1:16" s="111" customFormat="1">
      <c r="B1007" s="66" t="s">
        <v>194</v>
      </c>
      <c r="C1007" s="106" t="s">
        <v>195</v>
      </c>
      <c r="D1007" s="89" t="s">
        <v>14</v>
      </c>
      <c r="E1007" s="89">
        <v>0</v>
      </c>
      <c r="F1007" s="108"/>
      <c r="G1007" s="108"/>
      <c r="H1007" s="108"/>
      <c r="I1007" s="108"/>
      <c r="J1007" s="109"/>
      <c r="K1007" s="108" t="s">
        <v>4</v>
      </c>
      <c r="L1007" s="108" t="s">
        <v>5</v>
      </c>
      <c r="M1007" s="109" t="s">
        <v>6</v>
      </c>
      <c r="N1007" s="109" t="s">
        <v>15</v>
      </c>
      <c r="O1007" s="87">
        <f>VLOOKUP($B1007,BOM!$A$2:$K$94,10,0)</f>
        <v>0</v>
      </c>
      <c r="P1007" s="87">
        <f t="shared" si="43"/>
        <v>0</v>
      </c>
    </row>
    <row r="1008" spans="1:16" s="110" customFormat="1">
      <c r="B1008" s="66" t="s">
        <v>196</v>
      </c>
      <c r="C1008" s="106" t="s">
        <v>197</v>
      </c>
      <c r="D1008" s="89" t="s">
        <v>14</v>
      </c>
      <c r="E1008" s="89">
        <f>H995/2</f>
        <v>0</v>
      </c>
      <c r="F1008" s="66"/>
      <c r="G1008" s="66"/>
      <c r="H1008" s="66"/>
      <c r="I1008" s="66"/>
      <c r="J1008" s="107"/>
      <c r="K1008" s="108" t="s">
        <v>4</v>
      </c>
      <c r="L1008" s="108" t="s">
        <v>5</v>
      </c>
      <c r="M1008" s="109" t="s">
        <v>6</v>
      </c>
      <c r="N1008" s="109" t="s">
        <v>15</v>
      </c>
      <c r="O1008" s="87">
        <f>VLOOKUP($B1008,BOM!$A$2:$K$94,10,0)</f>
        <v>0</v>
      </c>
      <c r="P1008" s="87">
        <f t="shared" si="43"/>
        <v>0</v>
      </c>
    </row>
    <row r="1009" spans="2:16">
      <c r="B1009" s="81"/>
      <c r="C1009" s="82" t="s">
        <v>26</v>
      </c>
      <c r="D1009" s="72" t="s">
        <v>0</v>
      </c>
      <c r="E1009" s="72">
        <v>1</v>
      </c>
      <c r="F1009" s="72"/>
      <c r="G1009" s="72"/>
      <c r="H1009" s="72"/>
      <c r="I1009" s="72"/>
      <c r="J1009" s="72"/>
      <c r="K1009" s="83"/>
      <c r="L1009" s="83"/>
      <c r="M1009" s="83"/>
      <c r="N1009" s="83"/>
      <c r="O1009" s="87">
        <f>VLOOKUP($B1009,BOM!$A$2:$K$94,10,0)</f>
        <v>0</v>
      </c>
      <c r="P1009" s="87">
        <f t="shared" si="43"/>
        <v>0</v>
      </c>
    </row>
    <row r="1010" spans="2:16" s="45" customFormat="1">
      <c r="B1010" s="62"/>
      <c r="C1010" s="21"/>
      <c r="D1010" s="85"/>
      <c r="E1010" s="90"/>
      <c r="F1010" s="62"/>
      <c r="G1010" s="62"/>
      <c r="H1010" s="62"/>
      <c r="I1010" s="62"/>
      <c r="J1010" s="86"/>
      <c r="K1010" s="62"/>
      <c r="L1010" s="62"/>
      <c r="M1010" s="86"/>
      <c r="N1010" s="86"/>
      <c r="O1010" s="87">
        <f>VLOOKUP($B1010,BOM!$A$2:$K$94,10,0)</f>
        <v>0</v>
      </c>
      <c r="P1010" s="87">
        <f t="shared" si="43"/>
        <v>0</v>
      </c>
    </row>
    <row r="1011" spans="2:16" s="45" customFormat="1">
      <c r="B1011" s="62"/>
      <c r="C1011" s="21"/>
      <c r="D1011" s="85"/>
      <c r="E1011" s="90"/>
      <c r="F1011" s="62"/>
      <c r="G1011" s="62"/>
      <c r="H1011" s="62"/>
      <c r="I1011" s="62"/>
      <c r="J1011" s="86"/>
      <c r="K1011" s="62"/>
      <c r="L1011" s="62"/>
      <c r="M1011" s="86"/>
      <c r="N1011" s="86"/>
      <c r="O1011" s="87">
        <f>VLOOKUP($B1011,BOM!$A$2:$K$94,10,0)</f>
        <v>0</v>
      </c>
      <c r="P1011" s="87">
        <f t="shared" si="43"/>
        <v>0</v>
      </c>
    </row>
    <row r="1012" spans="2:16">
      <c r="B1012" s="81"/>
      <c r="C1012" s="82" t="s">
        <v>145</v>
      </c>
      <c r="D1012" s="72" t="s">
        <v>0</v>
      </c>
      <c r="E1012" s="72">
        <v>2</v>
      </c>
      <c r="F1012" s="72"/>
      <c r="G1012" s="72"/>
      <c r="H1012" s="72"/>
      <c r="I1012" s="72"/>
      <c r="J1012" s="72"/>
      <c r="K1012" s="83"/>
      <c r="L1012" s="83"/>
      <c r="M1012" s="83"/>
      <c r="N1012" s="83"/>
      <c r="O1012" s="87">
        <f>VLOOKUP($B1012,BOM!$A$2:$K$94,10,0)</f>
        <v>0</v>
      </c>
      <c r="P1012" s="87">
        <f t="shared" si="43"/>
        <v>0</v>
      </c>
    </row>
    <row r="1013" spans="2:16" s="45" customFormat="1">
      <c r="B1013" s="41" t="s">
        <v>152</v>
      </c>
      <c r="C1013" s="41" t="s">
        <v>153</v>
      </c>
      <c r="D1013" s="42" t="s">
        <v>64</v>
      </c>
      <c r="E1013" s="43">
        <v>1</v>
      </c>
      <c r="F1013" s="41"/>
      <c r="G1013" s="41"/>
      <c r="H1013" s="41"/>
      <c r="I1013" s="41"/>
      <c r="J1013" s="44">
        <v>1</v>
      </c>
      <c r="K1013" s="41" t="s">
        <v>143</v>
      </c>
      <c r="L1013" s="41" t="s">
        <v>151</v>
      </c>
      <c r="M1013" s="44" t="s">
        <v>144</v>
      </c>
      <c r="N1013" s="44" t="s">
        <v>64</v>
      </c>
      <c r="O1013" s="87">
        <f>VLOOKUP($B1013,BOM!$A$2:$K$94,10,0)</f>
        <v>0</v>
      </c>
      <c r="P1013" s="87">
        <f t="shared" si="43"/>
        <v>0</v>
      </c>
    </row>
    <row r="1014" spans="2:16" s="45" customFormat="1" ht="30">
      <c r="B1014" s="41" t="s">
        <v>137</v>
      </c>
      <c r="C1014" s="46" t="s">
        <v>138</v>
      </c>
      <c r="D1014" s="42" t="s">
        <v>64</v>
      </c>
      <c r="E1014" s="47">
        <f>E1013</f>
        <v>1</v>
      </c>
      <c r="F1014" s="41"/>
      <c r="G1014" s="41"/>
      <c r="H1014" s="41"/>
      <c r="I1014" s="41"/>
      <c r="J1014" s="44"/>
      <c r="K1014" s="41" t="s">
        <v>143</v>
      </c>
      <c r="L1014" s="41" t="s">
        <v>151</v>
      </c>
      <c r="M1014" s="44" t="s">
        <v>144</v>
      </c>
      <c r="N1014" s="44" t="s">
        <v>64</v>
      </c>
      <c r="O1014" s="87">
        <f>VLOOKUP($B1014,BOM!$A$2:$K$94,10,0)</f>
        <v>0</v>
      </c>
      <c r="P1014" s="87">
        <f t="shared" si="43"/>
        <v>0</v>
      </c>
    </row>
    <row r="1015" spans="2:16" outlineLevel="1">
      <c r="B1015" s="117"/>
      <c r="C1015" s="118" t="s">
        <v>67</v>
      </c>
      <c r="D1015" s="119" t="s">
        <v>0</v>
      </c>
      <c r="E1015" s="120">
        <v>0</v>
      </c>
      <c r="F1015" s="121"/>
      <c r="G1015" s="121"/>
      <c r="H1015" s="121" t="s">
        <v>69</v>
      </c>
      <c r="I1015" s="122"/>
      <c r="J1015" s="122">
        <v>1</v>
      </c>
      <c r="K1015" s="63"/>
      <c r="L1015" s="63"/>
      <c r="M1015" s="63"/>
      <c r="N1015" s="63"/>
      <c r="O1015" s="87">
        <f>VLOOKUP($B1015,BOM!$A$2:$K$94,10,0)</f>
        <v>0</v>
      </c>
      <c r="P1015" s="87">
        <f t="shared" si="43"/>
        <v>0</v>
      </c>
    </row>
    <row r="1016" spans="2:16" outlineLevel="1">
      <c r="B1016" s="117"/>
      <c r="C1016" s="118" t="s">
        <v>70</v>
      </c>
      <c r="D1016" s="119" t="s">
        <v>0</v>
      </c>
      <c r="E1016" s="120">
        <v>1</v>
      </c>
      <c r="F1016" s="121"/>
      <c r="G1016" s="121"/>
      <c r="H1016" s="121" t="s">
        <v>69</v>
      </c>
      <c r="I1016" s="122"/>
      <c r="J1016" s="122">
        <v>1</v>
      </c>
      <c r="K1016" s="63"/>
      <c r="L1016" s="63"/>
      <c r="M1016" s="63"/>
      <c r="N1016" s="63"/>
      <c r="O1016" s="87">
        <f>VLOOKUP($B1016,BOM!$A$2:$K$94,10,0)</f>
        <v>0</v>
      </c>
      <c r="P1016" s="87">
        <f t="shared" si="43"/>
        <v>0</v>
      </c>
    </row>
    <row r="1017" spans="2:16">
      <c r="B1017" s="81"/>
      <c r="C1017" s="82" t="s">
        <v>18</v>
      </c>
      <c r="D1017" s="72" t="s">
        <v>0</v>
      </c>
      <c r="E1017" s="72">
        <v>1</v>
      </c>
      <c r="F1017" s="72"/>
      <c r="G1017" s="72"/>
      <c r="H1017" s="72"/>
      <c r="I1017" s="72"/>
      <c r="J1017" s="72"/>
      <c r="K1017" s="83"/>
      <c r="L1017" s="83"/>
      <c r="M1017" s="83"/>
      <c r="N1017" s="83"/>
      <c r="O1017" s="87">
        <f>VLOOKUP($B1017,BOM!$A$2:$K$94,10,0)</f>
        <v>0</v>
      </c>
      <c r="P1017" s="87">
        <f t="shared" si="43"/>
        <v>0</v>
      </c>
    </row>
    <row r="1018" spans="2:16" s="45" customFormat="1" ht="30">
      <c r="B1018" s="62">
        <v>760237046</v>
      </c>
      <c r="C1018" s="21" t="s">
        <v>19</v>
      </c>
      <c r="D1018" s="85" t="s">
        <v>3</v>
      </c>
      <c r="E1018" s="85">
        <f>E1010+E1013</f>
        <v>1</v>
      </c>
      <c r="F1018" s="62"/>
      <c r="G1018" s="62"/>
      <c r="H1018" s="62"/>
      <c r="I1018" s="62"/>
      <c r="J1018" s="86">
        <v>1</v>
      </c>
      <c r="K1018" s="62" t="s">
        <v>4</v>
      </c>
      <c r="L1018" s="62" t="s">
        <v>5</v>
      </c>
      <c r="M1018" s="86" t="s">
        <v>6</v>
      </c>
      <c r="N1018" s="86" t="s">
        <v>3</v>
      </c>
      <c r="O1018" s="87">
        <f>VLOOKUP($B1018,BOM!$A$2:$K$94,10,0)</f>
        <v>0</v>
      </c>
      <c r="P1018" s="87">
        <f t="shared" si="43"/>
        <v>0</v>
      </c>
    </row>
    <row r="1019" spans="2:16" s="45" customFormat="1" ht="30">
      <c r="B1019" s="62" t="s">
        <v>23</v>
      </c>
      <c r="C1019" s="21" t="s">
        <v>24</v>
      </c>
      <c r="D1019" s="85" t="s">
        <v>3</v>
      </c>
      <c r="E1019" s="85">
        <f>E1018*24</f>
        <v>24</v>
      </c>
      <c r="F1019" s="62"/>
      <c r="G1019" s="62"/>
      <c r="H1019" s="62"/>
      <c r="I1019" s="62"/>
      <c r="J1019" s="86"/>
      <c r="K1019" s="62" t="s">
        <v>25</v>
      </c>
      <c r="L1019" s="62" t="s">
        <v>5</v>
      </c>
      <c r="M1019" s="86" t="s">
        <v>6</v>
      </c>
      <c r="N1019" s="86" t="s">
        <v>3</v>
      </c>
      <c r="O1019" s="87">
        <f>VLOOKUP($B1019,BOM!$A$2:$K$94,10,0)</f>
        <v>0</v>
      </c>
      <c r="P1019" s="87">
        <f t="shared" si="43"/>
        <v>0</v>
      </c>
    </row>
    <row r="1020" spans="2:16" s="45" customFormat="1">
      <c r="B1020" s="62" t="s">
        <v>20</v>
      </c>
      <c r="C1020" s="21" t="s">
        <v>21</v>
      </c>
      <c r="D1020" s="85" t="s">
        <v>3</v>
      </c>
      <c r="E1020" s="85">
        <f>E1018</f>
        <v>1</v>
      </c>
      <c r="F1020" s="62"/>
      <c r="G1020" s="62"/>
      <c r="H1020" s="62"/>
      <c r="I1020" s="62"/>
      <c r="J1020" s="86">
        <v>1</v>
      </c>
      <c r="K1020" s="62" t="s">
        <v>4</v>
      </c>
      <c r="L1020" s="62" t="s">
        <v>5</v>
      </c>
      <c r="M1020" s="86" t="s">
        <v>22</v>
      </c>
      <c r="N1020" s="86" t="s">
        <v>3</v>
      </c>
      <c r="O1020" s="87">
        <f>VLOOKUP($B1020,BOM!$A$2:$K$94,10,0)</f>
        <v>0</v>
      </c>
      <c r="P1020" s="87">
        <f t="shared" si="43"/>
        <v>0</v>
      </c>
    </row>
    <row r="1021" spans="2:16">
      <c r="B1021" s="81"/>
      <c r="C1021" s="82" t="s">
        <v>71</v>
      </c>
      <c r="D1021" s="72" t="s">
        <v>0</v>
      </c>
      <c r="E1021" s="72">
        <v>1</v>
      </c>
      <c r="F1021" s="72"/>
      <c r="G1021" s="72"/>
      <c r="H1021" s="72"/>
      <c r="I1021" s="72"/>
      <c r="J1021" s="72"/>
      <c r="K1021" s="83"/>
      <c r="L1021" s="83"/>
      <c r="M1021" s="83"/>
      <c r="N1021" s="83"/>
      <c r="O1021" s="87">
        <f>VLOOKUP($B1021,BOM!$A$2:$K$94,10,0)</f>
        <v>0</v>
      </c>
      <c r="P1021" s="87">
        <f t="shared" si="43"/>
        <v>0</v>
      </c>
    </row>
    <row r="1022" spans="2:16" s="45" customFormat="1">
      <c r="B1022" s="62" t="s">
        <v>312</v>
      </c>
      <c r="C1022" s="21" t="s">
        <v>315</v>
      </c>
      <c r="D1022" s="116" t="s">
        <v>51</v>
      </c>
      <c r="E1022" s="85">
        <v>1</v>
      </c>
      <c r="F1022" s="62"/>
      <c r="G1022" s="62"/>
      <c r="H1022" s="62"/>
      <c r="I1022" s="62"/>
      <c r="J1022" s="86">
        <f>E1022*6</f>
        <v>6</v>
      </c>
      <c r="K1022" s="62"/>
      <c r="L1022" s="62" t="s">
        <v>5</v>
      </c>
      <c r="M1022" s="86" t="s">
        <v>28</v>
      </c>
      <c r="N1022" s="86" t="s">
        <v>3</v>
      </c>
      <c r="O1022" s="87">
        <f>VLOOKUP($B1022,BOM!$A$2:$K$94,10,0)</f>
        <v>0</v>
      </c>
      <c r="P1022" s="87">
        <f t="shared" si="43"/>
        <v>0</v>
      </c>
    </row>
    <row r="1023" spans="2:16" s="45" customFormat="1">
      <c r="B1023" s="62"/>
      <c r="C1023" s="21"/>
      <c r="D1023" s="116"/>
      <c r="E1023" s="85"/>
      <c r="F1023" s="62"/>
      <c r="G1023" s="62"/>
      <c r="H1023" s="62"/>
      <c r="I1023" s="62"/>
      <c r="J1023" s="86"/>
      <c r="K1023" s="62"/>
      <c r="L1023" s="62"/>
      <c r="M1023" s="86"/>
      <c r="N1023" s="86"/>
      <c r="O1023" s="87">
        <f>VLOOKUP($B1023,BOM!$A$2:$K$94,10,0)</f>
        <v>0</v>
      </c>
      <c r="P1023" s="87">
        <f t="shared" si="43"/>
        <v>0</v>
      </c>
    </row>
    <row r="1024" spans="2:16" s="45" customFormat="1">
      <c r="B1024" s="62" t="s">
        <v>225</v>
      </c>
      <c r="C1024" s="21" t="s">
        <v>72</v>
      </c>
      <c r="D1024" s="116" t="s">
        <v>64</v>
      </c>
      <c r="E1024" s="85">
        <v>0</v>
      </c>
      <c r="F1024" s="62"/>
      <c r="G1024" s="62"/>
      <c r="H1024" s="62"/>
      <c r="I1024" s="62"/>
      <c r="J1024" s="86"/>
      <c r="K1024" s="62"/>
      <c r="L1024" s="62" t="s">
        <v>5</v>
      </c>
      <c r="M1024" s="86" t="s">
        <v>28</v>
      </c>
      <c r="N1024" s="86" t="s">
        <v>3</v>
      </c>
      <c r="O1024" s="87">
        <f>VLOOKUP($B1024,BOM!$A$2:$K$94,10,0)</f>
        <v>0</v>
      </c>
      <c r="P1024" s="87">
        <f t="shared" si="43"/>
        <v>0</v>
      </c>
    </row>
    <row r="1025" spans="2:16">
      <c r="B1025" s="81"/>
      <c r="C1025" s="82" t="s">
        <v>31</v>
      </c>
      <c r="D1025" s="72" t="s">
        <v>0</v>
      </c>
      <c r="E1025" s="72">
        <v>1</v>
      </c>
      <c r="F1025" s="72"/>
      <c r="G1025" s="72"/>
      <c r="H1025" s="72"/>
      <c r="I1025" s="72"/>
      <c r="J1025" s="72"/>
      <c r="K1025" s="83"/>
      <c r="L1025" s="83"/>
      <c r="M1025" s="83"/>
      <c r="N1025" s="83"/>
      <c r="O1025" s="87">
        <f>VLOOKUP($B1025,BOM!$A$2:$K$94,10,0)</f>
        <v>0</v>
      </c>
      <c r="P1025" s="87">
        <f t="shared" si="43"/>
        <v>0</v>
      </c>
    </row>
    <row r="1026" spans="2:16">
      <c r="B1026" s="81"/>
      <c r="C1026" s="82" t="s">
        <v>32</v>
      </c>
      <c r="D1026" s="72"/>
      <c r="E1026" s="72"/>
      <c r="F1026" s="72"/>
      <c r="G1026" s="72"/>
      <c r="H1026" s="72"/>
      <c r="I1026" s="72"/>
      <c r="J1026" s="72"/>
      <c r="K1026" s="83"/>
      <c r="L1026" s="83"/>
      <c r="M1026" s="83"/>
      <c r="N1026" s="83"/>
      <c r="O1026" s="87">
        <f>VLOOKUP($B1026,BOM!$A$2:$K$94,10,0)</f>
        <v>0</v>
      </c>
      <c r="P1026" s="87">
        <f t="shared" si="43"/>
        <v>0</v>
      </c>
    </row>
    <row r="1027" spans="2:16" s="45" customFormat="1" ht="20.45" customHeight="1">
      <c r="B1027" s="62" t="s">
        <v>33</v>
      </c>
      <c r="C1027" s="21" t="s">
        <v>34</v>
      </c>
      <c r="D1027" s="85" t="s">
        <v>3</v>
      </c>
      <c r="E1027" s="90">
        <f>E1028</f>
        <v>0</v>
      </c>
      <c r="F1027" s="62"/>
      <c r="G1027" s="62"/>
      <c r="H1027" s="62"/>
      <c r="I1027" s="62"/>
      <c r="J1027" s="86"/>
      <c r="K1027" s="62" t="s">
        <v>35</v>
      </c>
      <c r="L1027" s="62" t="s">
        <v>5</v>
      </c>
      <c r="M1027" s="86" t="s">
        <v>6</v>
      </c>
      <c r="N1027" s="86" t="s">
        <v>3</v>
      </c>
      <c r="O1027" s="87">
        <f>VLOOKUP($B1027,BOM!$A$2:$K$94,10,0)</f>
        <v>0</v>
      </c>
      <c r="P1027" s="87">
        <f t="shared" si="43"/>
        <v>0</v>
      </c>
    </row>
    <row r="1028" spans="2:16" s="45" customFormat="1">
      <c r="B1028" s="62" t="s">
        <v>330</v>
      </c>
      <c r="C1028" s="21" t="s">
        <v>36</v>
      </c>
      <c r="D1028" s="85" t="s">
        <v>3</v>
      </c>
      <c r="E1028" s="90">
        <f>G1026+H1026</f>
        <v>0</v>
      </c>
      <c r="F1028" s="62"/>
      <c r="G1028" s="62"/>
      <c r="H1028" s="62"/>
      <c r="I1028" s="62"/>
      <c r="J1028" s="86"/>
      <c r="K1028" s="62" t="s">
        <v>37</v>
      </c>
      <c r="L1028" s="62" t="s">
        <v>5</v>
      </c>
      <c r="M1028" s="86" t="s">
        <v>37</v>
      </c>
      <c r="N1028" s="86" t="s">
        <v>3</v>
      </c>
      <c r="O1028" s="87">
        <f>VLOOKUP($B1028,BOM!$A$2:$K$94,10,0)</f>
        <v>0</v>
      </c>
      <c r="P1028" s="87">
        <f t="shared" ref="P1028:P1091" si="45">O1028*E1028</f>
        <v>0</v>
      </c>
    </row>
    <row r="1029" spans="2:16" s="45" customFormat="1" ht="30">
      <c r="B1029" s="62" t="s">
        <v>38</v>
      </c>
      <c r="C1029" s="21" t="s">
        <v>39</v>
      </c>
      <c r="D1029" s="85" t="s">
        <v>3</v>
      </c>
      <c r="E1029" s="90">
        <f>E1028</f>
        <v>0</v>
      </c>
      <c r="F1029" s="62"/>
      <c r="G1029" s="62"/>
      <c r="H1029" s="62"/>
      <c r="I1029" s="62"/>
      <c r="J1029" s="86"/>
      <c r="K1029" s="62" t="s">
        <v>25</v>
      </c>
      <c r="L1029" s="62" t="s">
        <v>5</v>
      </c>
      <c r="M1029" s="86" t="s">
        <v>6</v>
      </c>
      <c r="N1029" s="86" t="s">
        <v>3</v>
      </c>
      <c r="O1029" s="87">
        <f>VLOOKUP($B1029,BOM!$A$2:$K$94,10,0)</f>
        <v>0</v>
      </c>
      <c r="P1029" s="87">
        <f t="shared" si="45"/>
        <v>0</v>
      </c>
    </row>
    <row r="1030" spans="2:16">
      <c r="B1030" s="81"/>
      <c r="C1030" s="82" t="s">
        <v>40</v>
      </c>
      <c r="D1030" s="72"/>
      <c r="E1030" s="72"/>
      <c r="F1030" s="72"/>
      <c r="G1030" s="72"/>
      <c r="H1030" s="72">
        <v>19</v>
      </c>
      <c r="I1030" s="72"/>
      <c r="J1030" s="72"/>
      <c r="K1030" s="83"/>
      <c r="L1030" s="83"/>
      <c r="M1030" s="83"/>
      <c r="N1030" s="83"/>
      <c r="O1030" s="87">
        <f>VLOOKUP($B1030,BOM!$A$2:$K$94,10,0)</f>
        <v>0</v>
      </c>
      <c r="P1030" s="87">
        <f t="shared" si="45"/>
        <v>0</v>
      </c>
    </row>
    <row r="1031" spans="2:16" s="45" customFormat="1">
      <c r="B1031" s="62" t="s">
        <v>41</v>
      </c>
      <c r="C1031" s="21" t="s">
        <v>42</v>
      </c>
      <c r="D1031" s="85" t="s">
        <v>3</v>
      </c>
      <c r="E1031" s="85">
        <f>G1030+H1030</f>
        <v>19</v>
      </c>
      <c r="F1031" s="62"/>
      <c r="G1031" s="62"/>
      <c r="H1031" s="62"/>
      <c r="I1031" s="62"/>
      <c r="J1031" s="86"/>
      <c r="K1031" s="62" t="s">
        <v>4</v>
      </c>
      <c r="L1031" s="62" t="s">
        <v>5</v>
      </c>
      <c r="M1031" s="86" t="s">
        <v>6</v>
      </c>
      <c r="N1031" s="86" t="s">
        <v>3</v>
      </c>
      <c r="O1031" s="87">
        <f>VLOOKUP($B1031,BOM!$A$2:$K$94,10,0)</f>
        <v>0</v>
      </c>
      <c r="P1031" s="87">
        <f t="shared" si="45"/>
        <v>0</v>
      </c>
    </row>
    <row r="1032" spans="2:16" s="45" customFormat="1">
      <c r="B1032" s="65" t="s">
        <v>43</v>
      </c>
      <c r="C1032" s="103" t="s">
        <v>44</v>
      </c>
      <c r="D1032" s="85" t="s">
        <v>3</v>
      </c>
      <c r="E1032" s="85">
        <f>E1031</f>
        <v>19</v>
      </c>
      <c r="F1032" s="62"/>
      <c r="G1032" s="62"/>
      <c r="H1032" s="62"/>
      <c r="I1032" s="62"/>
      <c r="J1032" s="86"/>
      <c r="K1032" s="62" t="s">
        <v>4</v>
      </c>
      <c r="L1032" s="62" t="s">
        <v>5</v>
      </c>
      <c r="M1032" s="86" t="s">
        <v>6</v>
      </c>
      <c r="N1032" s="86" t="s">
        <v>3</v>
      </c>
      <c r="O1032" s="87">
        <f>VLOOKUP($B1032,BOM!$A$2:$K$94,10,0)</f>
        <v>0</v>
      </c>
      <c r="P1032" s="87">
        <f t="shared" si="45"/>
        <v>0</v>
      </c>
    </row>
    <row r="1033" spans="2:16">
      <c r="B1033" s="81"/>
      <c r="C1033" s="82" t="s">
        <v>45</v>
      </c>
      <c r="D1033" s="72"/>
      <c r="E1033" s="72"/>
      <c r="F1033" s="72"/>
      <c r="G1033" s="72"/>
      <c r="H1033" s="72"/>
      <c r="I1033" s="72"/>
      <c r="J1033" s="72"/>
      <c r="K1033" s="83"/>
      <c r="L1033" s="83"/>
      <c r="M1033" s="83"/>
      <c r="N1033" s="83"/>
      <c r="O1033" s="87">
        <f>VLOOKUP($B1033,BOM!$A$2:$K$94,10,0)</f>
        <v>0</v>
      </c>
      <c r="P1033" s="87">
        <f t="shared" si="45"/>
        <v>0</v>
      </c>
    </row>
    <row r="1034" spans="2:16" s="45" customFormat="1" ht="30">
      <c r="B1034" s="62" t="s">
        <v>48</v>
      </c>
      <c r="C1034" s="21" t="s">
        <v>49</v>
      </c>
      <c r="D1034" s="85" t="s">
        <v>14</v>
      </c>
      <c r="E1034" s="85">
        <f>E1031+1</f>
        <v>20</v>
      </c>
      <c r="F1034" s="62"/>
      <c r="G1034" s="62"/>
      <c r="H1034" s="62"/>
      <c r="I1034" s="62"/>
      <c r="J1034" s="86"/>
      <c r="K1034" s="62"/>
      <c r="L1034" s="62" t="s">
        <v>5</v>
      </c>
      <c r="M1034" s="86" t="s">
        <v>6</v>
      </c>
      <c r="N1034" s="86" t="s">
        <v>15</v>
      </c>
      <c r="O1034" s="87">
        <f>VLOOKUP($B1034,BOM!$A$2:$K$94,10,0)</f>
        <v>0</v>
      </c>
      <c r="P1034" s="87">
        <f t="shared" si="45"/>
        <v>0</v>
      </c>
    </row>
    <row r="1035" spans="2:16" s="45" customFormat="1" ht="30">
      <c r="B1035" s="62" t="s">
        <v>48</v>
      </c>
      <c r="C1035" s="21" t="s">
        <v>49</v>
      </c>
      <c r="D1035" s="85" t="s">
        <v>14</v>
      </c>
      <c r="E1035" s="90">
        <f>ROUNDUP(E1034*0.2,0)</f>
        <v>4</v>
      </c>
      <c r="F1035" s="62"/>
      <c r="G1035" s="62"/>
      <c r="H1035" s="62"/>
      <c r="I1035" s="62"/>
      <c r="J1035" s="86"/>
      <c r="K1035" s="62" t="s">
        <v>4</v>
      </c>
      <c r="L1035" s="62" t="s">
        <v>5</v>
      </c>
      <c r="M1035" s="86" t="s">
        <v>6</v>
      </c>
      <c r="N1035" s="86" t="s">
        <v>15</v>
      </c>
      <c r="O1035" s="87">
        <f>VLOOKUP($B1035,BOM!$A$2:$K$94,10,0)</f>
        <v>0</v>
      </c>
      <c r="P1035" s="87">
        <f t="shared" si="45"/>
        <v>0</v>
      </c>
    </row>
    <row r="1036" spans="2:16">
      <c r="B1036" s="81"/>
      <c r="C1036" s="82" t="s">
        <v>50</v>
      </c>
      <c r="D1036" s="72"/>
      <c r="E1036" s="72"/>
      <c r="F1036" s="72"/>
      <c r="G1036" s="72"/>
      <c r="H1036" s="72"/>
      <c r="I1036" s="72"/>
      <c r="J1036" s="72"/>
      <c r="K1036" s="83"/>
      <c r="L1036" s="83"/>
      <c r="M1036" s="83"/>
      <c r="N1036" s="83"/>
      <c r="O1036" s="87">
        <f>VLOOKUP($B1036,BOM!$A$2:$K$94,10,0)</f>
        <v>0</v>
      </c>
      <c r="P1036" s="87">
        <f t="shared" si="45"/>
        <v>0</v>
      </c>
    </row>
    <row r="1037" spans="2:16" s="45" customFormat="1">
      <c r="B1037" s="62" t="s">
        <v>332</v>
      </c>
      <c r="C1037" s="21" t="s">
        <v>332</v>
      </c>
      <c r="D1037" s="85" t="s">
        <v>51</v>
      </c>
      <c r="E1037" s="85">
        <f>E1022</f>
        <v>1</v>
      </c>
      <c r="F1037" s="62"/>
      <c r="G1037" s="62"/>
      <c r="H1037" s="62"/>
      <c r="I1037" s="62"/>
      <c r="J1037" s="86"/>
      <c r="K1037" s="62"/>
      <c r="L1037" s="62"/>
      <c r="M1037" s="86"/>
      <c r="N1037" s="86" t="s">
        <v>51</v>
      </c>
      <c r="O1037" s="87">
        <f>VLOOKUP($B1037,BOM!$A$2:$K$94,10,0)</f>
        <v>0</v>
      </c>
      <c r="P1037" s="87">
        <f t="shared" si="45"/>
        <v>0</v>
      </c>
    </row>
    <row r="1038" spans="2:16" s="45" customFormat="1">
      <c r="B1038" s="62" t="s">
        <v>52</v>
      </c>
      <c r="C1038" s="21" t="s">
        <v>53</v>
      </c>
      <c r="D1038" s="86" t="s">
        <v>54</v>
      </c>
      <c r="E1038" s="105">
        <f>E1035+E1034</f>
        <v>24</v>
      </c>
      <c r="F1038" s="62"/>
      <c r="G1038" s="62"/>
      <c r="H1038" s="62"/>
      <c r="I1038" s="62"/>
      <c r="J1038" s="86"/>
      <c r="K1038" s="62"/>
      <c r="L1038" s="62"/>
      <c r="M1038" s="86" t="s">
        <v>55</v>
      </c>
      <c r="N1038" s="86" t="s">
        <v>54</v>
      </c>
      <c r="O1038" s="87">
        <f>VLOOKUP($B1038,BOM!$A$2:$K$94,10,0)</f>
        <v>0</v>
      </c>
      <c r="P1038" s="87">
        <f t="shared" si="45"/>
        <v>0</v>
      </c>
    </row>
    <row r="1039" spans="2:16" s="45" customFormat="1" ht="30">
      <c r="B1039" s="62" t="s">
        <v>56</v>
      </c>
      <c r="C1039" s="21" t="s">
        <v>57</v>
      </c>
      <c r="D1039" s="86" t="s">
        <v>14</v>
      </c>
      <c r="E1039" s="105">
        <f>E1008+E1004</f>
        <v>4</v>
      </c>
      <c r="F1039" s="62"/>
      <c r="G1039" s="62"/>
      <c r="H1039" s="62"/>
      <c r="I1039" s="62"/>
      <c r="J1039" s="86"/>
      <c r="K1039" s="62"/>
      <c r="L1039" s="62"/>
      <c r="M1039" s="86" t="s">
        <v>55</v>
      </c>
      <c r="N1039" s="86" t="s">
        <v>14</v>
      </c>
      <c r="O1039" s="87">
        <f>VLOOKUP($B1039,BOM!$A$2:$K$94,10,0)</f>
        <v>0</v>
      </c>
      <c r="P1039" s="87">
        <f t="shared" si="45"/>
        <v>0</v>
      </c>
    </row>
    <row r="1040" spans="2:16" s="45" customFormat="1" ht="30">
      <c r="B1040" s="62" t="s">
        <v>58</v>
      </c>
      <c r="C1040" s="21" t="s">
        <v>59</v>
      </c>
      <c r="D1040" s="86" t="s">
        <v>60</v>
      </c>
      <c r="E1040" s="105">
        <f>E1039*2</f>
        <v>8</v>
      </c>
      <c r="F1040" s="62"/>
      <c r="G1040" s="62"/>
      <c r="H1040" s="62"/>
      <c r="I1040" s="62"/>
      <c r="J1040" s="86"/>
      <c r="K1040" s="62"/>
      <c r="L1040" s="62"/>
      <c r="M1040" s="86" t="s">
        <v>61</v>
      </c>
      <c r="N1040" s="86" t="s">
        <v>60</v>
      </c>
      <c r="O1040" s="87">
        <f>VLOOKUP($B1040,BOM!$A$2:$K$94,10,0)</f>
        <v>0</v>
      </c>
      <c r="P1040" s="87">
        <f t="shared" si="45"/>
        <v>0</v>
      </c>
    </row>
    <row r="1041" spans="1:16" s="45" customFormat="1" ht="45">
      <c r="B1041" s="62" t="s">
        <v>62</v>
      </c>
      <c r="C1041" s="21" t="s">
        <v>63</v>
      </c>
      <c r="D1041" s="86" t="s">
        <v>64</v>
      </c>
      <c r="E1041" s="105">
        <f>E1018</f>
        <v>1</v>
      </c>
      <c r="F1041" s="62"/>
      <c r="G1041" s="62"/>
      <c r="H1041" s="62"/>
      <c r="I1041" s="62"/>
      <c r="J1041" s="86"/>
      <c r="K1041" s="62"/>
      <c r="L1041" s="62"/>
      <c r="M1041" s="86" t="s">
        <v>61</v>
      </c>
      <c r="N1041" s="86" t="s">
        <v>64</v>
      </c>
      <c r="O1041" s="87">
        <f>VLOOKUP($B1041,BOM!$A$2:$K$94,10,0)</f>
        <v>0</v>
      </c>
      <c r="P1041" s="87">
        <f t="shared" si="45"/>
        <v>0</v>
      </c>
    </row>
    <row r="1042" spans="1:16">
      <c r="A1042" s="35">
        <v>22</v>
      </c>
      <c r="B1042" s="36"/>
      <c r="C1042" s="37" t="s">
        <v>92</v>
      </c>
      <c r="D1042" s="38" t="s">
        <v>0</v>
      </c>
      <c r="E1042" s="36">
        <v>1</v>
      </c>
      <c r="F1042" s="36"/>
      <c r="G1042" s="36">
        <v>8</v>
      </c>
      <c r="H1042" s="36">
        <v>0</v>
      </c>
      <c r="I1042" s="36"/>
      <c r="J1042" s="36">
        <f>SUBTOTAL(9,J1045:J1069)</f>
        <v>13</v>
      </c>
      <c r="K1042" s="39"/>
      <c r="L1042" s="39"/>
      <c r="M1042" s="39"/>
      <c r="N1042" s="39"/>
      <c r="O1042" s="87">
        <f>VLOOKUP($B1042,BOM!$A$2:$K$94,10,0)</f>
        <v>0</v>
      </c>
      <c r="P1042" s="87">
        <f t="shared" si="45"/>
        <v>0</v>
      </c>
    </row>
    <row r="1043" spans="1:16">
      <c r="B1043" s="81"/>
      <c r="C1043" s="82" t="s">
        <v>124</v>
      </c>
      <c r="D1043" s="72" t="s">
        <v>0</v>
      </c>
      <c r="E1043" s="72">
        <v>1</v>
      </c>
      <c r="F1043" s="72"/>
      <c r="G1043" s="72"/>
      <c r="H1043" s="72"/>
      <c r="I1043" s="72"/>
      <c r="J1043" s="72"/>
      <c r="K1043" s="83"/>
      <c r="L1043" s="83"/>
      <c r="M1043" s="83"/>
      <c r="N1043" s="83"/>
      <c r="O1043" s="87">
        <f>VLOOKUP($B1043,BOM!$A$2:$K$94,10,0)</f>
        <v>0</v>
      </c>
      <c r="P1043" s="87">
        <f t="shared" si="45"/>
        <v>0</v>
      </c>
    </row>
    <row r="1044" spans="1:16" s="19" customFormat="1">
      <c r="B1044" s="20" t="s">
        <v>226</v>
      </c>
      <c r="C1044" s="20" t="s">
        <v>227</v>
      </c>
      <c r="D1044" s="21"/>
      <c r="E1044" s="22">
        <v>1</v>
      </c>
      <c r="F1044" s="21"/>
      <c r="G1044" s="21"/>
      <c r="H1044" s="21"/>
      <c r="I1044" s="21"/>
      <c r="J1044" s="22"/>
      <c r="K1044" s="21" t="s">
        <v>4</v>
      </c>
      <c r="L1044" s="21" t="s">
        <v>203</v>
      </c>
      <c r="M1044" s="22" t="s">
        <v>22</v>
      </c>
      <c r="N1044" s="22" t="s">
        <v>3</v>
      </c>
      <c r="O1044" s="87">
        <f>VLOOKUP($B1044,BOM!$A$2:$K$94,10,0)</f>
        <v>0</v>
      </c>
      <c r="P1044" s="87">
        <f t="shared" si="45"/>
        <v>0</v>
      </c>
    </row>
    <row r="1045" spans="1:16" s="19" customFormat="1">
      <c r="B1045" s="21" t="s">
        <v>122</v>
      </c>
      <c r="C1045" s="21" t="s">
        <v>123</v>
      </c>
      <c r="D1045" s="21"/>
      <c r="E1045" s="22">
        <v>1</v>
      </c>
      <c r="F1045" s="21"/>
      <c r="G1045" s="21"/>
      <c r="H1045" s="21"/>
      <c r="I1045" s="21"/>
      <c r="J1045" s="22">
        <v>1</v>
      </c>
      <c r="K1045" s="21" t="s">
        <v>4</v>
      </c>
      <c r="L1045" s="21" t="s">
        <v>5</v>
      </c>
      <c r="M1045" s="22" t="s">
        <v>22</v>
      </c>
      <c r="N1045" s="22" t="s">
        <v>3</v>
      </c>
      <c r="O1045" s="87">
        <f>VLOOKUP($B1045,BOM!$A$2:$K$94,10,0)</f>
        <v>0</v>
      </c>
      <c r="P1045" s="87">
        <f t="shared" si="45"/>
        <v>0</v>
      </c>
    </row>
    <row r="1046" spans="1:16">
      <c r="B1046" s="81"/>
      <c r="C1046" s="82" t="s">
        <v>1</v>
      </c>
      <c r="D1046" s="72" t="s">
        <v>0</v>
      </c>
      <c r="E1046" s="72">
        <v>1</v>
      </c>
      <c r="F1046" s="72"/>
      <c r="G1046" s="72">
        <f>ROUNDUP(G1042/24,0)</f>
        <v>1</v>
      </c>
      <c r="H1046" s="72">
        <f t="shared" ref="H1046" si="46">ROUNDUP(H1042/24,0)</f>
        <v>0</v>
      </c>
      <c r="I1046" s="72"/>
      <c r="J1046" s="72"/>
      <c r="K1046" s="83"/>
      <c r="L1046" s="83"/>
      <c r="M1046" s="83"/>
      <c r="N1046" s="83"/>
      <c r="O1046" s="87">
        <f>VLOOKUP($B1046,BOM!$A$2:$K$94,10,0)</f>
        <v>0</v>
      </c>
      <c r="P1046" s="87">
        <f t="shared" si="45"/>
        <v>0</v>
      </c>
    </row>
    <row r="1047" spans="1:16" s="45" customFormat="1">
      <c r="B1047" s="62">
        <v>760249997</v>
      </c>
      <c r="C1047" s="21" t="s">
        <v>2</v>
      </c>
      <c r="D1047" s="85" t="s">
        <v>3</v>
      </c>
      <c r="E1047" s="85">
        <f>ROUNDUP((E1049+E1053)/3,0)</f>
        <v>1</v>
      </c>
      <c r="F1047" s="62"/>
      <c r="G1047" s="62"/>
      <c r="H1047" s="62"/>
      <c r="I1047" s="62"/>
      <c r="J1047" s="86">
        <v>1</v>
      </c>
      <c r="K1047" s="62" t="s">
        <v>4</v>
      </c>
      <c r="L1047" s="62" t="s">
        <v>5</v>
      </c>
      <c r="M1047" s="86" t="s">
        <v>6</v>
      </c>
      <c r="N1047" s="86" t="s">
        <v>3</v>
      </c>
      <c r="O1047" s="87">
        <f>VLOOKUP($B1047,BOM!$A$2:$K$94,10,0)</f>
        <v>0</v>
      </c>
      <c r="P1047" s="87">
        <f t="shared" si="45"/>
        <v>0</v>
      </c>
    </row>
    <row r="1048" spans="1:16" s="45" customFormat="1">
      <c r="B1048" s="62">
        <v>760241378</v>
      </c>
      <c r="C1048" s="21" t="s">
        <v>7</v>
      </c>
      <c r="D1048" s="85" t="s">
        <v>3</v>
      </c>
      <c r="E1048" s="85">
        <f>IF(E1049&lt;=2,1,ROUNDUP(E1047*1.5,0))</f>
        <v>1</v>
      </c>
      <c r="F1048" s="62"/>
      <c r="G1048" s="62"/>
      <c r="H1048" s="62"/>
      <c r="I1048" s="62"/>
      <c r="J1048" s="86"/>
      <c r="K1048" s="62" t="s">
        <v>4</v>
      </c>
      <c r="L1048" s="62" t="s">
        <v>5</v>
      </c>
      <c r="M1048" s="86" t="s">
        <v>6</v>
      </c>
      <c r="N1048" s="86" t="s">
        <v>3</v>
      </c>
      <c r="O1048" s="87">
        <f>VLOOKUP($B1048,BOM!$A$2:$K$94,10,0)</f>
        <v>0</v>
      </c>
      <c r="P1048" s="87">
        <f t="shared" si="45"/>
        <v>0</v>
      </c>
    </row>
    <row r="1049" spans="1:16" s="45" customFormat="1">
      <c r="B1049" s="62" t="s">
        <v>8</v>
      </c>
      <c r="C1049" s="21" t="s">
        <v>9</v>
      </c>
      <c r="D1049" s="85" t="s">
        <v>3</v>
      </c>
      <c r="E1049" s="85">
        <f>G1046</f>
        <v>1</v>
      </c>
      <c r="F1049" s="62"/>
      <c r="G1049" s="62"/>
      <c r="H1049" s="62"/>
      <c r="I1049" s="62"/>
      <c r="J1049" s="86"/>
      <c r="K1049" s="62" t="s">
        <v>4</v>
      </c>
      <c r="L1049" s="62" t="s">
        <v>5</v>
      </c>
      <c r="M1049" s="86" t="s">
        <v>6</v>
      </c>
      <c r="N1049" s="86" t="s">
        <v>3</v>
      </c>
      <c r="O1049" s="87">
        <f>VLOOKUP($B1049,BOM!$A$2:$K$94,10,0)</f>
        <v>0</v>
      </c>
      <c r="P1049" s="87">
        <f t="shared" si="45"/>
        <v>0</v>
      </c>
    </row>
    <row r="1050" spans="1:16" s="45" customFormat="1">
      <c r="B1050" s="62" t="s">
        <v>10</v>
      </c>
      <c r="C1050" s="21" t="s">
        <v>11</v>
      </c>
      <c r="D1050" s="85" t="s">
        <v>3</v>
      </c>
      <c r="E1050" s="85">
        <f>E1047*3-E1049-E1053</f>
        <v>2</v>
      </c>
      <c r="F1050" s="62"/>
      <c r="G1050" s="62"/>
      <c r="H1050" s="62"/>
      <c r="I1050" s="62"/>
      <c r="J1050" s="86"/>
      <c r="K1050" s="62" t="s">
        <v>4</v>
      </c>
      <c r="L1050" s="62" t="s">
        <v>5</v>
      </c>
      <c r="M1050" s="86" t="s">
        <v>6</v>
      </c>
      <c r="N1050" s="86" t="s">
        <v>3</v>
      </c>
      <c r="O1050" s="87">
        <f>VLOOKUP($B1050,BOM!$A$2:$K$94,10,0)</f>
        <v>0</v>
      </c>
      <c r="P1050" s="87">
        <f t="shared" si="45"/>
        <v>0</v>
      </c>
    </row>
    <row r="1051" spans="1:16" s="45" customFormat="1">
      <c r="B1051" s="62" t="s">
        <v>12</v>
      </c>
      <c r="C1051" s="21" t="s">
        <v>13</v>
      </c>
      <c r="D1051" s="85" t="s">
        <v>14</v>
      </c>
      <c r="E1051" s="85">
        <f>G1042/2</f>
        <v>4</v>
      </c>
      <c r="F1051" s="62"/>
      <c r="G1051" s="62"/>
      <c r="H1051" s="62"/>
      <c r="I1051" s="62"/>
      <c r="J1051" s="86"/>
      <c r="K1051" s="62" t="s">
        <v>4</v>
      </c>
      <c r="L1051" s="62" t="s">
        <v>5</v>
      </c>
      <c r="M1051" s="86" t="s">
        <v>6</v>
      </c>
      <c r="N1051" s="86" t="s">
        <v>15</v>
      </c>
      <c r="O1051" s="87">
        <f>VLOOKUP($B1051,BOM!$A$2:$K$94,10,0)</f>
        <v>0</v>
      </c>
      <c r="P1051" s="87">
        <f t="shared" si="45"/>
        <v>0</v>
      </c>
    </row>
    <row r="1052" spans="1:16" s="45" customFormat="1" ht="30">
      <c r="B1052" s="62" t="s">
        <v>16</v>
      </c>
      <c r="C1052" s="21" t="s">
        <v>17</v>
      </c>
      <c r="D1052" s="85" t="s">
        <v>14</v>
      </c>
      <c r="E1052" s="85">
        <f>ROUNDUP((E1058+E1061)*1.3,0)</f>
        <v>3</v>
      </c>
      <c r="F1052" s="62"/>
      <c r="G1052" s="62"/>
      <c r="H1052" s="62"/>
      <c r="I1052" s="62"/>
      <c r="J1052" s="86"/>
      <c r="K1052" s="62" t="s">
        <v>4</v>
      </c>
      <c r="L1052" s="62" t="s">
        <v>5</v>
      </c>
      <c r="M1052" s="86" t="s">
        <v>6</v>
      </c>
      <c r="N1052" s="86" t="s">
        <v>15</v>
      </c>
      <c r="O1052" s="87">
        <f>VLOOKUP($B1052,BOM!$A$2:$K$94,10,0)</f>
        <v>0</v>
      </c>
      <c r="P1052" s="87">
        <f t="shared" si="45"/>
        <v>0</v>
      </c>
    </row>
    <row r="1053" spans="1:16" s="110" customFormat="1">
      <c r="B1053" s="66" t="s">
        <v>198</v>
      </c>
      <c r="C1053" s="106" t="s">
        <v>199</v>
      </c>
      <c r="D1053" s="89" t="s">
        <v>3</v>
      </c>
      <c r="E1053" s="89">
        <f>H1046</f>
        <v>0</v>
      </c>
      <c r="F1053" s="66"/>
      <c r="G1053" s="66"/>
      <c r="H1053" s="66"/>
      <c r="I1053" s="66"/>
      <c r="J1053" s="107"/>
      <c r="K1053" s="108" t="s">
        <v>4</v>
      </c>
      <c r="L1053" s="108" t="s">
        <v>5</v>
      </c>
      <c r="M1053" s="109" t="s">
        <v>6</v>
      </c>
      <c r="N1053" s="109" t="s">
        <v>15</v>
      </c>
      <c r="O1053" s="87">
        <f>VLOOKUP($B1053,BOM!$A$2:$K$94,10,0)</f>
        <v>0</v>
      </c>
      <c r="P1053" s="87">
        <f t="shared" si="45"/>
        <v>0</v>
      </c>
    </row>
    <row r="1054" spans="1:16" s="111" customFormat="1">
      <c r="B1054" s="66" t="s">
        <v>194</v>
      </c>
      <c r="C1054" s="106" t="s">
        <v>195</v>
      </c>
      <c r="D1054" s="89" t="s">
        <v>14</v>
      </c>
      <c r="E1054" s="89">
        <v>0</v>
      </c>
      <c r="F1054" s="108"/>
      <c r="G1054" s="108"/>
      <c r="H1054" s="108"/>
      <c r="I1054" s="108"/>
      <c r="J1054" s="109"/>
      <c r="K1054" s="108" t="s">
        <v>4</v>
      </c>
      <c r="L1054" s="108" t="s">
        <v>5</v>
      </c>
      <c r="M1054" s="109" t="s">
        <v>6</v>
      </c>
      <c r="N1054" s="109" t="s">
        <v>15</v>
      </c>
      <c r="O1054" s="87">
        <f>VLOOKUP($B1054,BOM!$A$2:$K$94,10,0)</f>
        <v>0</v>
      </c>
      <c r="P1054" s="87">
        <f t="shared" si="45"/>
        <v>0</v>
      </c>
    </row>
    <row r="1055" spans="1:16" s="110" customFormat="1">
      <c r="B1055" s="66" t="s">
        <v>196</v>
      </c>
      <c r="C1055" s="106" t="s">
        <v>197</v>
      </c>
      <c r="D1055" s="89" t="s">
        <v>14</v>
      </c>
      <c r="E1055" s="89">
        <f>H1042/2</f>
        <v>0</v>
      </c>
      <c r="F1055" s="66"/>
      <c r="G1055" s="66"/>
      <c r="H1055" s="66"/>
      <c r="I1055" s="66"/>
      <c r="J1055" s="107"/>
      <c r="K1055" s="108" t="s">
        <v>4</v>
      </c>
      <c r="L1055" s="108" t="s">
        <v>5</v>
      </c>
      <c r="M1055" s="109" t="s">
        <v>6</v>
      </c>
      <c r="N1055" s="109" t="s">
        <v>15</v>
      </c>
      <c r="O1055" s="87">
        <f>VLOOKUP($B1055,BOM!$A$2:$K$94,10,0)</f>
        <v>0</v>
      </c>
      <c r="P1055" s="87">
        <f t="shared" si="45"/>
        <v>0</v>
      </c>
    </row>
    <row r="1056" spans="1:16">
      <c r="B1056" s="81"/>
      <c r="C1056" s="82" t="s">
        <v>145</v>
      </c>
      <c r="D1056" s="72" t="s">
        <v>0</v>
      </c>
      <c r="E1056" s="72">
        <v>1</v>
      </c>
      <c r="F1056" s="72"/>
      <c r="G1056" s="72"/>
      <c r="H1056" s="72"/>
      <c r="I1056" s="72"/>
      <c r="J1056" s="72"/>
      <c r="K1056" s="83"/>
      <c r="L1056" s="83"/>
      <c r="M1056" s="83"/>
      <c r="N1056" s="83"/>
      <c r="O1056" s="87">
        <f>VLOOKUP($B1056,BOM!$A$2:$K$94,10,0)</f>
        <v>0</v>
      </c>
      <c r="P1056" s="87">
        <f t="shared" si="45"/>
        <v>0</v>
      </c>
    </row>
    <row r="1057" spans="2:16" s="45" customFormat="1" ht="30">
      <c r="B1057" s="48" t="s">
        <v>303</v>
      </c>
      <c r="C1057" s="49" t="s">
        <v>304</v>
      </c>
      <c r="D1057" s="42" t="s">
        <v>64</v>
      </c>
      <c r="E1057" s="43">
        <v>1</v>
      </c>
      <c r="F1057" s="41"/>
      <c r="G1057" s="41"/>
      <c r="H1057" s="41"/>
      <c r="I1057" s="41"/>
      <c r="J1057" s="44">
        <v>1</v>
      </c>
      <c r="K1057" s="41" t="s">
        <v>143</v>
      </c>
      <c r="L1057" s="41" t="s">
        <v>151</v>
      </c>
      <c r="M1057" s="44" t="s">
        <v>144</v>
      </c>
      <c r="N1057" s="44" t="s">
        <v>64</v>
      </c>
      <c r="O1057" s="87">
        <f>VLOOKUP($B1057,BOM!$A$2:$K$94,10,0)</f>
        <v>0</v>
      </c>
      <c r="P1057" s="87">
        <f t="shared" si="45"/>
        <v>0</v>
      </c>
    </row>
    <row r="1058" spans="2:16" s="45" customFormat="1" ht="30">
      <c r="B1058" s="41" t="s">
        <v>137</v>
      </c>
      <c r="C1058" s="46" t="s">
        <v>138</v>
      </c>
      <c r="D1058" s="42" t="s">
        <v>64</v>
      </c>
      <c r="E1058" s="47">
        <f>E1057</f>
        <v>1</v>
      </c>
      <c r="F1058" s="41"/>
      <c r="G1058" s="41"/>
      <c r="H1058" s="41"/>
      <c r="I1058" s="41"/>
      <c r="J1058" s="44"/>
      <c r="K1058" s="41" t="s">
        <v>143</v>
      </c>
      <c r="L1058" s="41" t="s">
        <v>151</v>
      </c>
      <c r="M1058" s="44" t="s">
        <v>144</v>
      </c>
      <c r="N1058" s="44" t="s">
        <v>64</v>
      </c>
      <c r="O1058" s="87">
        <f>VLOOKUP($B1058,BOM!$A$2:$K$94,10,0)</f>
        <v>0</v>
      </c>
      <c r="P1058" s="87">
        <f t="shared" si="45"/>
        <v>0</v>
      </c>
    </row>
    <row r="1059" spans="2:16" outlineLevel="1">
      <c r="B1059" s="117"/>
      <c r="C1059" s="118" t="s">
        <v>67</v>
      </c>
      <c r="D1059" s="119" t="s">
        <v>0</v>
      </c>
      <c r="E1059" s="90">
        <v>1</v>
      </c>
      <c r="F1059" s="121"/>
      <c r="G1059" s="121"/>
      <c r="H1059" s="121" t="s">
        <v>69</v>
      </c>
      <c r="I1059" s="122"/>
      <c r="J1059" s="122">
        <v>1</v>
      </c>
      <c r="K1059" s="63"/>
      <c r="L1059" s="63"/>
      <c r="M1059" s="63"/>
      <c r="N1059" s="63"/>
      <c r="O1059" s="87">
        <f>VLOOKUP($B1059,BOM!$A$2:$K$94,10,0)</f>
        <v>0</v>
      </c>
      <c r="P1059" s="87">
        <f t="shared" si="45"/>
        <v>0</v>
      </c>
    </row>
    <row r="1060" spans="2:16" outlineLevel="1">
      <c r="B1060" s="117"/>
      <c r="C1060" s="118" t="s">
        <v>70</v>
      </c>
      <c r="D1060" s="119" t="s">
        <v>0</v>
      </c>
      <c r="E1060" s="120">
        <v>1</v>
      </c>
      <c r="F1060" s="121"/>
      <c r="G1060" s="121"/>
      <c r="H1060" s="121" t="s">
        <v>69</v>
      </c>
      <c r="I1060" s="122"/>
      <c r="J1060" s="122">
        <v>1</v>
      </c>
      <c r="K1060" s="63"/>
      <c r="L1060" s="63"/>
      <c r="M1060" s="63"/>
      <c r="N1060" s="63"/>
      <c r="O1060" s="87">
        <f>VLOOKUP($B1060,BOM!$A$2:$K$94,10,0)</f>
        <v>0</v>
      </c>
      <c r="P1060" s="87">
        <f t="shared" si="45"/>
        <v>0</v>
      </c>
    </row>
    <row r="1061" spans="2:16">
      <c r="B1061" s="81"/>
      <c r="C1061" s="82" t="s">
        <v>18</v>
      </c>
      <c r="D1061" s="72" t="s">
        <v>0</v>
      </c>
      <c r="E1061" s="72">
        <v>1</v>
      </c>
      <c r="F1061" s="72"/>
      <c r="G1061" s="72"/>
      <c r="H1061" s="72"/>
      <c r="I1061" s="72"/>
      <c r="J1061" s="72"/>
      <c r="K1061" s="83"/>
      <c r="L1061" s="83"/>
      <c r="M1061" s="83"/>
      <c r="N1061" s="83"/>
      <c r="O1061" s="87">
        <f>VLOOKUP($B1061,BOM!$A$2:$K$94,10,0)</f>
        <v>0</v>
      </c>
      <c r="P1061" s="87">
        <f t="shared" si="45"/>
        <v>0</v>
      </c>
    </row>
    <row r="1062" spans="2:16" s="45" customFormat="1" ht="30">
      <c r="B1062" s="62">
        <v>760237046</v>
      </c>
      <c r="C1062" s="21" t="s">
        <v>19</v>
      </c>
      <c r="D1062" s="85" t="s">
        <v>3</v>
      </c>
      <c r="E1062" s="85">
        <f>E1057</f>
        <v>1</v>
      </c>
      <c r="F1062" s="62"/>
      <c r="G1062" s="62"/>
      <c r="H1062" s="62"/>
      <c r="I1062" s="62"/>
      <c r="J1062" s="86">
        <v>1</v>
      </c>
      <c r="K1062" s="62" t="s">
        <v>4</v>
      </c>
      <c r="L1062" s="62" t="s">
        <v>5</v>
      </c>
      <c r="M1062" s="86" t="s">
        <v>6</v>
      </c>
      <c r="N1062" s="86" t="s">
        <v>3</v>
      </c>
      <c r="O1062" s="87">
        <f>VLOOKUP($B1062,BOM!$A$2:$K$94,10,0)</f>
        <v>0</v>
      </c>
      <c r="P1062" s="87">
        <f t="shared" si="45"/>
        <v>0</v>
      </c>
    </row>
    <row r="1063" spans="2:16" s="45" customFormat="1" ht="30">
      <c r="B1063" s="62" t="s">
        <v>23</v>
      </c>
      <c r="C1063" s="21" t="s">
        <v>24</v>
      </c>
      <c r="D1063" s="85" t="s">
        <v>3</v>
      </c>
      <c r="E1063" s="85">
        <f>E1062*24</f>
        <v>24</v>
      </c>
      <c r="F1063" s="62"/>
      <c r="G1063" s="62"/>
      <c r="H1063" s="62"/>
      <c r="I1063" s="62"/>
      <c r="J1063" s="86"/>
      <c r="K1063" s="62" t="s">
        <v>25</v>
      </c>
      <c r="L1063" s="62" t="s">
        <v>5</v>
      </c>
      <c r="M1063" s="86" t="s">
        <v>6</v>
      </c>
      <c r="N1063" s="86" t="s">
        <v>3</v>
      </c>
      <c r="O1063" s="87">
        <f>VLOOKUP($B1063,BOM!$A$2:$K$94,10,0)</f>
        <v>0</v>
      </c>
      <c r="P1063" s="87">
        <f t="shared" si="45"/>
        <v>0</v>
      </c>
    </row>
    <row r="1064" spans="2:16" s="45" customFormat="1">
      <c r="B1064" s="62" t="s">
        <v>20</v>
      </c>
      <c r="C1064" s="21" t="s">
        <v>21</v>
      </c>
      <c r="D1064" s="85" t="s">
        <v>3</v>
      </c>
      <c r="E1064" s="85">
        <f>E1062</f>
        <v>1</v>
      </c>
      <c r="F1064" s="62"/>
      <c r="G1064" s="62"/>
      <c r="H1064" s="62"/>
      <c r="I1064" s="62"/>
      <c r="J1064" s="86">
        <v>1</v>
      </c>
      <c r="K1064" s="62" t="s">
        <v>4</v>
      </c>
      <c r="L1064" s="62" t="s">
        <v>5</v>
      </c>
      <c r="M1064" s="86" t="s">
        <v>22</v>
      </c>
      <c r="N1064" s="86" t="s">
        <v>3</v>
      </c>
      <c r="O1064" s="87">
        <f>VLOOKUP($B1064,BOM!$A$2:$K$94,10,0)</f>
        <v>0</v>
      </c>
      <c r="P1064" s="87">
        <f t="shared" si="45"/>
        <v>0</v>
      </c>
    </row>
    <row r="1065" spans="2:16">
      <c r="B1065" s="81"/>
      <c r="C1065" s="82" t="s">
        <v>71</v>
      </c>
      <c r="D1065" s="72" t="s">
        <v>0</v>
      </c>
      <c r="E1065" s="72">
        <v>1</v>
      </c>
      <c r="F1065" s="72"/>
      <c r="G1065" s="72"/>
      <c r="H1065" s="72"/>
      <c r="I1065" s="72"/>
      <c r="J1065" s="72"/>
      <c r="K1065" s="83"/>
      <c r="L1065" s="83"/>
      <c r="M1065" s="83"/>
      <c r="N1065" s="83"/>
      <c r="O1065" s="87">
        <f>VLOOKUP($B1065,BOM!$A$2:$K$94,10,0)</f>
        <v>0</v>
      </c>
      <c r="P1065" s="87">
        <f t="shared" si="45"/>
        <v>0</v>
      </c>
    </row>
    <row r="1066" spans="2:16" s="45" customFormat="1">
      <c r="B1066" s="62" t="s">
        <v>312</v>
      </c>
      <c r="C1066" s="21" t="s">
        <v>315</v>
      </c>
      <c r="D1066" s="116" t="s">
        <v>51</v>
      </c>
      <c r="E1066" s="85">
        <v>1</v>
      </c>
      <c r="F1066" s="62"/>
      <c r="G1066" s="62"/>
      <c r="H1066" s="62"/>
      <c r="I1066" s="62"/>
      <c r="J1066" s="86">
        <f>E1066*6</f>
        <v>6</v>
      </c>
      <c r="K1066" s="62"/>
      <c r="L1066" s="62" t="s">
        <v>5</v>
      </c>
      <c r="M1066" s="86" t="s">
        <v>28</v>
      </c>
      <c r="N1066" s="86" t="s">
        <v>3</v>
      </c>
      <c r="O1066" s="87">
        <f>VLOOKUP($B1066,BOM!$A$2:$K$94,10,0)</f>
        <v>0</v>
      </c>
      <c r="P1066" s="87">
        <f t="shared" si="45"/>
        <v>0</v>
      </c>
    </row>
    <row r="1067" spans="2:16" s="45" customFormat="1">
      <c r="B1067" s="62"/>
      <c r="C1067" s="21"/>
      <c r="D1067" s="116"/>
      <c r="E1067" s="85"/>
      <c r="F1067" s="62"/>
      <c r="G1067" s="62"/>
      <c r="H1067" s="62"/>
      <c r="I1067" s="62"/>
      <c r="J1067" s="86"/>
      <c r="K1067" s="62"/>
      <c r="L1067" s="62"/>
      <c r="M1067" s="86"/>
      <c r="N1067" s="86"/>
      <c r="O1067" s="87">
        <f>VLOOKUP($B1067,BOM!$A$2:$K$94,10,0)</f>
        <v>0</v>
      </c>
      <c r="P1067" s="87">
        <f t="shared" si="45"/>
        <v>0</v>
      </c>
    </row>
    <row r="1068" spans="2:16" s="45" customFormat="1">
      <c r="B1068" s="62" t="s">
        <v>225</v>
      </c>
      <c r="C1068" s="21" t="s">
        <v>72</v>
      </c>
      <c r="D1068" s="116" t="s">
        <v>64</v>
      </c>
      <c r="E1068" s="85">
        <v>0</v>
      </c>
      <c r="F1068" s="62"/>
      <c r="G1068" s="62"/>
      <c r="H1068" s="62"/>
      <c r="I1068" s="62"/>
      <c r="J1068" s="86"/>
      <c r="K1068" s="62"/>
      <c r="L1068" s="62" t="s">
        <v>5</v>
      </c>
      <c r="M1068" s="86" t="s">
        <v>28</v>
      </c>
      <c r="N1068" s="86" t="s">
        <v>3</v>
      </c>
      <c r="O1068" s="87">
        <f>VLOOKUP($B1068,BOM!$A$2:$K$94,10,0)</f>
        <v>0</v>
      </c>
      <c r="P1068" s="87">
        <f t="shared" si="45"/>
        <v>0</v>
      </c>
    </row>
    <row r="1069" spans="2:16">
      <c r="B1069" s="81"/>
      <c r="C1069" s="82" t="s">
        <v>31</v>
      </c>
      <c r="D1069" s="72" t="s">
        <v>0</v>
      </c>
      <c r="E1069" s="72">
        <v>1</v>
      </c>
      <c r="F1069" s="72"/>
      <c r="G1069" s="72"/>
      <c r="H1069" s="72"/>
      <c r="I1069" s="72"/>
      <c r="J1069" s="72"/>
      <c r="K1069" s="83"/>
      <c r="L1069" s="83"/>
      <c r="M1069" s="83"/>
      <c r="N1069" s="83"/>
      <c r="O1069" s="87">
        <f>VLOOKUP($B1069,BOM!$A$2:$K$94,10,0)</f>
        <v>0</v>
      </c>
      <c r="P1069" s="87">
        <f t="shared" si="45"/>
        <v>0</v>
      </c>
    </row>
    <row r="1070" spans="2:16">
      <c r="B1070" s="81"/>
      <c r="C1070" s="82" t="s">
        <v>32</v>
      </c>
      <c r="D1070" s="72"/>
      <c r="E1070" s="72"/>
      <c r="F1070" s="72"/>
      <c r="G1070" s="72"/>
      <c r="H1070" s="72"/>
      <c r="I1070" s="72"/>
      <c r="J1070" s="72"/>
      <c r="K1070" s="83"/>
      <c r="L1070" s="83"/>
      <c r="M1070" s="83"/>
      <c r="N1070" s="83"/>
      <c r="O1070" s="87">
        <f>VLOOKUP($B1070,BOM!$A$2:$K$94,10,0)</f>
        <v>0</v>
      </c>
      <c r="P1070" s="87">
        <f t="shared" si="45"/>
        <v>0</v>
      </c>
    </row>
    <row r="1071" spans="2:16" s="45" customFormat="1" ht="20.45" customHeight="1">
      <c r="B1071" s="62" t="s">
        <v>33</v>
      </c>
      <c r="C1071" s="21" t="s">
        <v>34</v>
      </c>
      <c r="D1071" s="85" t="s">
        <v>3</v>
      </c>
      <c r="E1071" s="90">
        <f>E1072</f>
        <v>0</v>
      </c>
      <c r="F1071" s="62"/>
      <c r="G1071" s="62"/>
      <c r="H1071" s="62"/>
      <c r="I1071" s="62"/>
      <c r="J1071" s="86"/>
      <c r="K1071" s="62" t="s">
        <v>35</v>
      </c>
      <c r="L1071" s="62" t="s">
        <v>5</v>
      </c>
      <c r="M1071" s="86" t="s">
        <v>6</v>
      </c>
      <c r="N1071" s="86" t="s">
        <v>3</v>
      </c>
      <c r="O1071" s="87">
        <f>VLOOKUP($B1071,BOM!$A$2:$K$94,10,0)</f>
        <v>0</v>
      </c>
      <c r="P1071" s="87">
        <f t="shared" si="45"/>
        <v>0</v>
      </c>
    </row>
    <row r="1072" spans="2:16" s="45" customFormat="1">
      <c r="B1072" s="62" t="s">
        <v>330</v>
      </c>
      <c r="C1072" s="21" t="s">
        <v>36</v>
      </c>
      <c r="D1072" s="85" t="s">
        <v>3</v>
      </c>
      <c r="E1072" s="90">
        <f>G1070+H1070</f>
        <v>0</v>
      </c>
      <c r="F1072" s="62"/>
      <c r="G1072" s="62"/>
      <c r="H1072" s="62"/>
      <c r="I1072" s="62"/>
      <c r="J1072" s="86"/>
      <c r="K1072" s="62" t="s">
        <v>37</v>
      </c>
      <c r="L1072" s="62" t="s">
        <v>5</v>
      </c>
      <c r="M1072" s="86" t="s">
        <v>37</v>
      </c>
      <c r="N1072" s="86" t="s">
        <v>3</v>
      </c>
      <c r="O1072" s="87">
        <f>VLOOKUP($B1072,BOM!$A$2:$K$94,10,0)</f>
        <v>0</v>
      </c>
      <c r="P1072" s="87">
        <f t="shared" si="45"/>
        <v>0</v>
      </c>
    </row>
    <row r="1073" spans="1:16" s="45" customFormat="1" ht="30">
      <c r="B1073" s="62" t="s">
        <v>38</v>
      </c>
      <c r="C1073" s="21" t="s">
        <v>39</v>
      </c>
      <c r="D1073" s="85" t="s">
        <v>3</v>
      </c>
      <c r="E1073" s="90">
        <f>E1072</f>
        <v>0</v>
      </c>
      <c r="F1073" s="62"/>
      <c r="G1073" s="62"/>
      <c r="H1073" s="62"/>
      <c r="I1073" s="62"/>
      <c r="J1073" s="86"/>
      <c r="K1073" s="62" t="s">
        <v>25</v>
      </c>
      <c r="L1073" s="62" t="s">
        <v>5</v>
      </c>
      <c r="M1073" s="86" t="s">
        <v>6</v>
      </c>
      <c r="N1073" s="86" t="s">
        <v>3</v>
      </c>
      <c r="O1073" s="87">
        <f>VLOOKUP($B1073,BOM!$A$2:$K$94,10,0)</f>
        <v>0</v>
      </c>
      <c r="P1073" s="87">
        <f t="shared" si="45"/>
        <v>0</v>
      </c>
    </row>
    <row r="1074" spans="1:16">
      <c r="B1074" s="81"/>
      <c r="C1074" s="82" t="s">
        <v>40</v>
      </c>
      <c r="D1074" s="72"/>
      <c r="E1074" s="72"/>
      <c r="F1074" s="72"/>
      <c r="G1074" s="72"/>
      <c r="H1074" s="72">
        <v>6</v>
      </c>
      <c r="I1074" s="72"/>
      <c r="J1074" s="72"/>
      <c r="K1074" s="83"/>
      <c r="L1074" s="83"/>
      <c r="M1074" s="83"/>
      <c r="N1074" s="83"/>
      <c r="O1074" s="87">
        <f>VLOOKUP($B1074,BOM!$A$2:$K$94,10,0)</f>
        <v>0</v>
      </c>
      <c r="P1074" s="87">
        <f t="shared" si="45"/>
        <v>0</v>
      </c>
    </row>
    <row r="1075" spans="1:16" s="45" customFormat="1">
      <c r="B1075" s="62" t="s">
        <v>41</v>
      </c>
      <c r="C1075" s="21" t="s">
        <v>42</v>
      </c>
      <c r="D1075" s="85" t="s">
        <v>3</v>
      </c>
      <c r="E1075" s="85">
        <f>G1074+H1074</f>
        <v>6</v>
      </c>
      <c r="F1075" s="62"/>
      <c r="G1075" s="62"/>
      <c r="H1075" s="62"/>
      <c r="I1075" s="62"/>
      <c r="J1075" s="86"/>
      <c r="K1075" s="62" t="s">
        <v>4</v>
      </c>
      <c r="L1075" s="62" t="s">
        <v>5</v>
      </c>
      <c r="M1075" s="86" t="s">
        <v>6</v>
      </c>
      <c r="N1075" s="86" t="s">
        <v>3</v>
      </c>
      <c r="O1075" s="87">
        <f>VLOOKUP($B1075,BOM!$A$2:$K$94,10,0)</f>
        <v>0</v>
      </c>
      <c r="P1075" s="87">
        <f t="shared" si="45"/>
        <v>0</v>
      </c>
    </row>
    <row r="1076" spans="1:16" s="45" customFormat="1">
      <c r="B1076" s="65" t="s">
        <v>43</v>
      </c>
      <c r="C1076" s="103" t="s">
        <v>44</v>
      </c>
      <c r="D1076" s="85" t="s">
        <v>3</v>
      </c>
      <c r="E1076" s="85">
        <f>E1075</f>
        <v>6</v>
      </c>
      <c r="F1076" s="62"/>
      <c r="G1076" s="62"/>
      <c r="H1076" s="62"/>
      <c r="I1076" s="62"/>
      <c r="J1076" s="86"/>
      <c r="K1076" s="62" t="s">
        <v>4</v>
      </c>
      <c r="L1076" s="62" t="s">
        <v>5</v>
      </c>
      <c r="M1076" s="86" t="s">
        <v>6</v>
      </c>
      <c r="N1076" s="86" t="s">
        <v>3</v>
      </c>
      <c r="O1076" s="87">
        <f>VLOOKUP($B1076,BOM!$A$2:$K$94,10,0)</f>
        <v>0</v>
      </c>
      <c r="P1076" s="87">
        <f t="shared" si="45"/>
        <v>0</v>
      </c>
    </row>
    <row r="1077" spans="1:16">
      <c r="B1077" s="81"/>
      <c r="C1077" s="82" t="s">
        <v>45</v>
      </c>
      <c r="D1077" s="72"/>
      <c r="E1077" s="72"/>
      <c r="F1077" s="72"/>
      <c r="G1077" s="72"/>
      <c r="H1077" s="72"/>
      <c r="I1077" s="72"/>
      <c r="J1077" s="72"/>
      <c r="K1077" s="83"/>
      <c r="L1077" s="83"/>
      <c r="M1077" s="83"/>
      <c r="N1077" s="83"/>
      <c r="O1077" s="87">
        <f>VLOOKUP($B1077,BOM!$A$2:$K$94,10,0)</f>
        <v>0</v>
      </c>
      <c r="P1077" s="87">
        <f t="shared" si="45"/>
        <v>0</v>
      </c>
    </row>
    <row r="1078" spans="1:16" s="45" customFormat="1" ht="30">
      <c r="B1078" s="62" t="s">
        <v>48</v>
      </c>
      <c r="C1078" s="21" t="s">
        <v>49</v>
      </c>
      <c r="D1078" s="85" t="s">
        <v>14</v>
      </c>
      <c r="E1078" s="85">
        <f>E1075+1</f>
        <v>7</v>
      </c>
      <c r="F1078" s="62"/>
      <c r="G1078" s="62"/>
      <c r="H1078" s="62"/>
      <c r="I1078" s="62"/>
      <c r="J1078" s="86"/>
      <c r="K1078" s="62"/>
      <c r="L1078" s="62" t="s">
        <v>5</v>
      </c>
      <c r="M1078" s="86" t="s">
        <v>6</v>
      </c>
      <c r="N1078" s="86" t="s">
        <v>15</v>
      </c>
      <c r="O1078" s="87">
        <f>VLOOKUP($B1078,BOM!$A$2:$K$94,10,0)</f>
        <v>0</v>
      </c>
      <c r="P1078" s="87">
        <f t="shared" si="45"/>
        <v>0</v>
      </c>
    </row>
    <row r="1079" spans="1:16" s="45" customFormat="1" ht="30">
      <c r="B1079" s="62" t="s">
        <v>48</v>
      </c>
      <c r="C1079" s="21" t="s">
        <v>49</v>
      </c>
      <c r="D1079" s="85" t="s">
        <v>14</v>
      </c>
      <c r="E1079" s="90">
        <f>ROUNDUP(E1078*0.2,0)</f>
        <v>2</v>
      </c>
      <c r="F1079" s="62"/>
      <c r="G1079" s="62"/>
      <c r="H1079" s="62"/>
      <c r="I1079" s="62"/>
      <c r="J1079" s="86"/>
      <c r="K1079" s="62" t="s">
        <v>4</v>
      </c>
      <c r="L1079" s="62" t="s">
        <v>5</v>
      </c>
      <c r="M1079" s="86" t="s">
        <v>6</v>
      </c>
      <c r="N1079" s="86" t="s">
        <v>15</v>
      </c>
      <c r="O1079" s="87">
        <f>VLOOKUP($B1079,BOM!$A$2:$K$94,10,0)</f>
        <v>0</v>
      </c>
      <c r="P1079" s="87">
        <f t="shared" si="45"/>
        <v>0</v>
      </c>
    </row>
    <row r="1080" spans="1:16">
      <c r="B1080" s="81"/>
      <c r="C1080" s="82" t="s">
        <v>50</v>
      </c>
      <c r="D1080" s="72"/>
      <c r="E1080" s="72"/>
      <c r="F1080" s="72"/>
      <c r="G1080" s="72"/>
      <c r="H1080" s="72"/>
      <c r="I1080" s="72"/>
      <c r="J1080" s="72"/>
      <c r="K1080" s="83"/>
      <c r="L1080" s="83"/>
      <c r="M1080" s="83"/>
      <c r="N1080" s="83"/>
      <c r="O1080" s="87">
        <f>VLOOKUP($B1080,BOM!$A$2:$K$94,10,0)</f>
        <v>0</v>
      </c>
      <c r="P1080" s="87">
        <f t="shared" si="45"/>
        <v>0</v>
      </c>
    </row>
    <row r="1081" spans="1:16" s="45" customFormat="1">
      <c r="B1081" s="62" t="s">
        <v>332</v>
      </c>
      <c r="C1081" s="21" t="s">
        <v>332</v>
      </c>
      <c r="D1081" s="85" t="s">
        <v>51</v>
      </c>
      <c r="E1081" s="85">
        <f>E1066</f>
        <v>1</v>
      </c>
      <c r="F1081" s="62"/>
      <c r="G1081" s="62"/>
      <c r="H1081" s="62"/>
      <c r="I1081" s="62"/>
      <c r="J1081" s="86"/>
      <c r="K1081" s="62"/>
      <c r="L1081" s="62"/>
      <c r="M1081" s="86"/>
      <c r="N1081" s="86" t="s">
        <v>51</v>
      </c>
      <c r="O1081" s="87">
        <f>VLOOKUP($B1081,BOM!$A$2:$K$94,10,0)</f>
        <v>0</v>
      </c>
      <c r="P1081" s="87">
        <f t="shared" si="45"/>
        <v>0</v>
      </c>
    </row>
    <row r="1082" spans="1:16" s="45" customFormat="1">
      <c r="B1082" s="62" t="s">
        <v>52</v>
      </c>
      <c r="C1082" s="21" t="s">
        <v>53</v>
      </c>
      <c r="D1082" s="86" t="s">
        <v>54</v>
      </c>
      <c r="E1082" s="105">
        <f>E1079+E1078</f>
        <v>9</v>
      </c>
      <c r="F1082" s="62"/>
      <c r="G1082" s="62"/>
      <c r="H1082" s="62"/>
      <c r="I1082" s="62"/>
      <c r="J1082" s="86"/>
      <c r="K1082" s="62"/>
      <c r="L1082" s="62"/>
      <c r="M1082" s="86" t="s">
        <v>55</v>
      </c>
      <c r="N1082" s="86" t="s">
        <v>54</v>
      </c>
      <c r="O1082" s="87">
        <f>VLOOKUP($B1082,BOM!$A$2:$K$94,10,0)</f>
        <v>0</v>
      </c>
      <c r="P1082" s="87">
        <f t="shared" si="45"/>
        <v>0</v>
      </c>
    </row>
    <row r="1083" spans="1:16" s="45" customFormat="1" ht="30">
      <c r="B1083" s="62" t="s">
        <v>56</v>
      </c>
      <c r="C1083" s="21" t="s">
        <v>57</v>
      </c>
      <c r="D1083" s="86" t="s">
        <v>14</v>
      </c>
      <c r="E1083" s="105">
        <f>E1052+E1048</f>
        <v>4</v>
      </c>
      <c r="F1083" s="62"/>
      <c r="G1083" s="62"/>
      <c r="H1083" s="62"/>
      <c r="I1083" s="62"/>
      <c r="J1083" s="86"/>
      <c r="K1083" s="62"/>
      <c r="L1083" s="62"/>
      <c r="M1083" s="86" t="s">
        <v>55</v>
      </c>
      <c r="N1083" s="86" t="s">
        <v>14</v>
      </c>
      <c r="O1083" s="87">
        <f>VLOOKUP($B1083,BOM!$A$2:$K$94,10,0)</f>
        <v>0</v>
      </c>
      <c r="P1083" s="87">
        <f t="shared" si="45"/>
        <v>0</v>
      </c>
    </row>
    <row r="1084" spans="1:16" s="45" customFormat="1" ht="30">
      <c r="B1084" s="62" t="s">
        <v>58</v>
      </c>
      <c r="C1084" s="21" t="s">
        <v>59</v>
      </c>
      <c r="D1084" s="86" t="s">
        <v>60</v>
      </c>
      <c r="E1084" s="105">
        <f>E1083*2</f>
        <v>8</v>
      </c>
      <c r="F1084" s="62"/>
      <c r="G1084" s="62"/>
      <c r="H1084" s="62"/>
      <c r="I1084" s="62"/>
      <c r="J1084" s="86"/>
      <c r="K1084" s="62"/>
      <c r="L1084" s="62"/>
      <c r="M1084" s="86" t="s">
        <v>61</v>
      </c>
      <c r="N1084" s="86" t="s">
        <v>60</v>
      </c>
      <c r="O1084" s="87">
        <f>VLOOKUP($B1084,BOM!$A$2:$K$94,10,0)</f>
        <v>0</v>
      </c>
      <c r="P1084" s="87">
        <f t="shared" si="45"/>
        <v>0</v>
      </c>
    </row>
    <row r="1085" spans="1:16" s="45" customFormat="1" ht="45">
      <c r="B1085" s="62" t="s">
        <v>62</v>
      </c>
      <c r="C1085" s="21" t="s">
        <v>63</v>
      </c>
      <c r="D1085" s="86" t="s">
        <v>64</v>
      </c>
      <c r="E1085" s="105">
        <f>E1062</f>
        <v>1</v>
      </c>
      <c r="F1085" s="62"/>
      <c r="G1085" s="62"/>
      <c r="H1085" s="62"/>
      <c r="I1085" s="62"/>
      <c r="J1085" s="86"/>
      <c r="K1085" s="62"/>
      <c r="L1085" s="62"/>
      <c r="M1085" s="86" t="s">
        <v>61</v>
      </c>
      <c r="N1085" s="86" t="s">
        <v>64</v>
      </c>
      <c r="O1085" s="87">
        <f>VLOOKUP($B1085,BOM!$A$2:$K$94,10,0)</f>
        <v>0</v>
      </c>
      <c r="P1085" s="87">
        <f t="shared" si="45"/>
        <v>0</v>
      </c>
    </row>
    <row r="1086" spans="1:16">
      <c r="A1086" s="35">
        <v>23</v>
      </c>
      <c r="B1086" s="36"/>
      <c r="C1086" s="37" t="s">
        <v>93</v>
      </c>
      <c r="D1086" s="38" t="s">
        <v>0</v>
      </c>
      <c r="E1086" s="36">
        <v>1</v>
      </c>
      <c r="F1086" s="36"/>
      <c r="G1086" s="36">
        <v>8</v>
      </c>
      <c r="H1086" s="36">
        <v>0</v>
      </c>
      <c r="I1086" s="36"/>
      <c r="J1086" s="36">
        <f>SUBTOTAL(9,J1089:J1113)</f>
        <v>13</v>
      </c>
      <c r="K1086" s="39"/>
      <c r="L1086" s="39"/>
      <c r="M1086" s="39"/>
      <c r="N1086" s="39"/>
      <c r="O1086" s="87">
        <f>VLOOKUP($B1086,BOM!$A$2:$K$94,10,0)</f>
        <v>0</v>
      </c>
      <c r="P1086" s="87">
        <f t="shared" si="45"/>
        <v>0</v>
      </c>
    </row>
    <row r="1087" spans="1:16">
      <c r="B1087" s="81"/>
      <c r="C1087" s="82" t="s">
        <v>124</v>
      </c>
      <c r="D1087" s="72" t="s">
        <v>0</v>
      </c>
      <c r="E1087" s="72">
        <v>1</v>
      </c>
      <c r="F1087" s="72"/>
      <c r="G1087" s="72"/>
      <c r="H1087" s="72"/>
      <c r="I1087" s="72"/>
      <c r="J1087" s="72"/>
      <c r="K1087" s="83"/>
      <c r="L1087" s="83"/>
      <c r="M1087" s="83"/>
      <c r="N1087" s="83"/>
      <c r="O1087" s="87">
        <f>VLOOKUP($B1087,BOM!$A$2:$K$94,10,0)</f>
        <v>0</v>
      </c>
      <c r="P1087" s="87">
        <f t="shared" si="45"/>
        <v>0</v>
      </c>
    </row>
    <row r="1088" spans="1:16" s="60" customFormat="1">
      <c r="B1088" s="2" t="s">
        <v>310</v>
      </c>
      <c r="C1088" s="2" t="s">
        <v>311</v>
      </c>
      <c r="D1088" s="58"/>
      <c r="E1088" s="59">
        <v>1</v>
      </c>
      <c r="F1088" s="58"/>
      <c r="G1088" s="58"/>
      <c r="H1088" s="58"/>
      <c r="I1088" s="58"/>
      <c r="J1088" s="59"/>
      <c r="K1088" s="58" t="s">
        <v>4</v>
      </c>
      <c r="L1088" s="58" t="s">
        <v>203</v>
      </c>
      <c r="M1088" s="59" t="s">
        <v>22</v>
      </c>
      <c r="N1088" s="59" t="s">
        <v>3</v>
      </c>
      <c r="O1088" s="87">
        <f>VLOOKUP($B1088,BOM!$A$2:$K$94,10,0)</f>
        <v>0</v>
      </c>
      <c r="P1088" s="87">
        <f t="shared" si="45"/>
        <v>0</v>
      </c>
    </row>
    <row r="1089" spans="2:16" s="19" customFormat="1">
      <c r="B1089" s="21" t="s">
        <v>122</v>
      </c>
      <c r="C1089" s="21" t="s">
        <v>123</v>
      </c>
      <c r="D1089" s="21"/>
      <c r="E1089" s="22">
        <v>1</v>
      </c>
      <c r="F1089" s="21"/>
      <c r="G1089" s="21"/>
      <c r="H1089" s="21"/>
      <c r="I1089" s="21"/>
      <c r="J1089" s="22">
        <v>1</v>
      </c>
      <c r="K1089" s="21" t="s">
        <v>4</v>
      </c>
      <c r="L1089" s="21" t="s">
        <v>5</v>
      </c>
      <c r="M1089" s="22" t="s">
        <v>22</v>
      </c>
      <c r="N1089" s="22" t="s">
        <v>3</v>
      </c>
      <c r="O1089" s="87">
        <f>VLOOKUP($B1089,BOM!$A$2:$K$94,10,0)</f>
        <v>0</v>
      </c>
      <c r="P1089" s="87">
        <f t="shared" si="45"/>
        <v>0</v>
      </c>
    </row>
    <row r="1090" spans="2:16">
      <c r="B1090" s="81"/>
      <c r="C1090" s="82" t="s">
        <v>1</v>
      </c>
      <c r="D1090" s="72" t="s">
        <v>0</v>
      </c>
      <c r="E1090" s="72">
        <v>1</v>
      </c>
      <c r="F1090" s="72"/>
      <c r="G1090" s="72">
        <f>ROUNDUP(G1086/24,0)</f>
        <v>1</v>
      </c>
      <c r="H1090" s="72">
        <f t="shared" ref="H1090" si="47">ROUNDUP(H1086/24,0)</f>
        <v>0</v>
      </c>
      <c r="I1090" s="72"/>
      <c r="J1090" s="72"/>
      <c r="K1090" s="83"/>
      <c r="L1090" s="83"/>
      <c r="M1090" s="83"/>
      <c r="N1090" s="83"/>
      <c r="O1090" s="87">
        <f>VLOOKUP($B1090,BOM!$A$2:$K$94,10,0)</f>
        <v>0</v>
      </c>
      <c r="P1090" s="87">
        <f t="shared" si="45"/>
        <v>0</v>
      </c>
    </row>
    <row r="1091" spans="2:16" s="45" customFormat="1">
      <c r="B1091" s="62">
        <v>760249997</v>
      </c>
      <c r="C1091" s="21" t="s">
        <v>2</v>
      </c>
      <c r="D1091" s="85" t="s">
        <v>3</v>
      </c>
      <c r="E1091" s="85">
        <f>ROUNDUP(E1093/3,0)</f>
        <v>1</v>
      </c>
      <c r="F1091" s="62"/>
      <c r="G1091" s="62"/>
      <c r="H1091" s="62"/>
      <c r="I1091" s="62"/>
      <c r="J1091" s="86">
        <v>1</v>
      </c>
      <c r="K1091" s="62" t="s">
        <v>4</v>
      </c>
      <c r="L1091" s="62" t="s">
        <v>5</v>
      </c>
      <c r="M1091" s="86" t="s">
        <v>6</v>
      </c>
      <c r="N1091" s="86" t="s">
        <v>3</v>
      </c>
      <c r="O1091" s="87">
        <f>VLOOKUP($B1091,BOM!$A$2:$K$94,10,0)</f>
        <v>0</v>
      </c>
      <c r="P1091" s="87">
        <f t="shared" si="45"/>
        <v>0</v>
      </c>
    </row>
    <row r="1092" spans="2:16" s="45" customFormat="1">
      <c r="B1092" s="62">
        <v>760241378</v>
      </c>
      <c r="C1092" s="21" t="s">
        <v>7</v>
      </c>
      <c r="D1092" s="85" t="s">
        <v>3</v>
      </c>
      <c r="E1092" s="85">
        <f>IF(E1093&lt;=2,1,ROUNDUP(E1091*1.5,0))</f>
        <v>1</v>
      </c>
      <c r="F1092" s="62"/>
      <c r="G1092" s="62"/>
      <c r="H1092" s="62"/>
      <c r="I1092" s="62"/>
      <c r="J1092" s="86"/>
      <c r="K1092" s="62" t="s">
        <v>4</v>
      </c>
      <c r="L1092" s="62" t="s">
        <v>5</v>
      </c>
      <c r="M1092" s="86" t="s">
        <v>6</v>
      </c>
      <c r="N1092" s="86" t="s">
        <v>3</v>
      </c>
      <c r="O1092" s="87">
        <f>VLOOKUP($B1092,BOM!$A$2:$K$94,10,0)</f>
        <v>0</v>
      </c>
      <c r="P1092" s="87">
        <f t="shared" ref="P1092:P1155" si="48">O1092*E1092</f>
        <v>0</v>
      </c>
    </row>
    <row r="1093" spans="2:16" s="45" customFormat="1">
      <c r="B1093" s="62" t="s">
        <v>8</v>
      </c>
      <c r="C1093" s="21" t="s">
        <v>9</v>
      </c>
      <c r="D1093" s="85" t="s">
        <v>3</v>
      </c>
      <c r="E1093" s="85">
        <f>SUM(G1090:I1090)</f>
        <v>1</v>
      </c>
      <c r="F1093" s="62"/>
      <c r="G1093" s="62"/>
      <c r="H1093" s="62"/>
      <c r="I1093" s="62"/>
      <c r="J1093" s="86"/>
      <c r="K1093" s="62" t="s">
        <v>4</v>
      </c>
      <c r="L1093" s="62" t="s">
        <v>5</v>
      </c>
      <c r="M1093" s="86" t="s">
        <v>6</v>
      </c>
      <c r="N1093" s="86" t="s">
        <v>3</v>
      </c>
      <c r="O1093" s="87">
        <f>VLOOKUP($B1093,BOM!$A$2:$K$94,10,0)</f>
        <v>0</v>
      </c>
      <c r="P1093" s="87">
        <f t="shared" si="48"/>
        <v>0</v>
      </c>
    </row>
    <row r="1094" spans="2:16" s="45" customFormat="1">
      <c r="B1094" s="62" t="s">
        <v>10</v>
      </c>
      <c r="C1094" s="21" t="s">
        <v>11</v>
      </c>
      <c r="D1094" s="85" t="s">
        <v>3</v>
      </c>
      <c r="E1094" s="85">
        <f>E1091*3-E1093</f>
        <v>2</v>
      </c>
      <c r="F1094" s="62"/>
      <c r="G1094" s="62"/>
      <c r="H1094" s="62"/>
      <c r="I1094" s="62"/>
      <c r="J1094" s="86"/>
      <c r="K1094" s="62" t="s">
        <v>4</v>
      </c>
      <c r="L1094" s="62" t="s">
        <v>5</v>
      </c>
      <c r="M1094" s="86" t="s">
        <v>6</v>
      </c>
      <c r="N1094" s="86" t="s">
        <v>3</v>
      </c>
      <c r="O1094" s="87">
        <f>VLOOKUP($B1094,BOM!$A$2:$K$94,10,0)</f>
        <v>0</v>
      </c>
      <c r="P1094" s="87">
        <f t="shared" si="48"/>
        <v>0</v>
      </c>
    </row>
    <row r="1095" spans="2:16" s="45" customFormat="1">
      <c r="B1095" s="62" t="s">
        <v>12</v>
      </c>
      <c r="C1095" s="21" t="s">
        <v>13</v>
      </c>
      <c r="D1095" s="85" t="s">
        <v>14</v>
      </c>
      <c r="E1095" s="90">
        <f>SUM(G1086:I1086)/2</f>
        <v>4</v>
      </c>
      <c r="F1095" s="62"/>
      <c r="G1095" s="62"/>
      <c r="H1095" s="62"/>
      <c r="I1095" s="62"/>
      <c r="J1095" s="86"/>
      <c r="K1095" s="62" t="s">
        <v>4</v>
      </c>
      <c r="L1095" s="62" t="s">
        <v>5</v>
      </c>
      <c r="M1095" s="86" t="s">
        <v>6</v>
      </c>
      <c r="N1095" s="86" t="s">
        <v>15</v>
      </c>
      <c r="O1095" s="87">
        <f>VLOOKUP($B1095,BOM!$A$2:$K$94,10,0)</f>
        <v>0</v>
      </c>
      <c r="P1095" s="87">
        <f t="shared" si="48"/>
        <v>0</v>
      </c>
    </row>
    <row r="1096" spans="2:16" s="45" customFormat="1" ht="30">
      <c r="B1096" s="62" t="s">
        <v>16</v>
      </c>
      <c r="C1096" s="21" t="s">
        <v>17</v>
      </c>
      <c r="D1096" s="85" t="s">
        <v>14</v>
      </c>
      <c r="E1096" s="85">
        <f>ROUNDUP((E1102+E1105)*1.3,0)</f>
        <v>3</v>
      </c>
      <c r="F1096" s="62"/>
      <c r="G1096" s="62"/>
      <c r="H1096" s="62"/>
      <c r="I1096" s="62"/>
      <c r="J1096" s="86"/>
      <c r="K1096" s="62" t="s">
        <v>4</v>
      </c>
      <c r="L1096" s="62" t="s">
        <v>5</v>
      </c>
      <c r="M1096" s="86" t="s">
        <v>6</v>
      </c>
      <c r="N1096" s="86" t="s">
        <v>15</v>
      </c>
      <c r="O1096" s="87">
        <f>VLOOKUP($B1096,BOM!$A$2:$K$94,10,0)</f>
        <v>0</v>
      </c>
      <c r="P1096" s="87">
        <f t="shared" si="48"/>
        <v>0</v>
      </c>
    </row>
    <row r="1097" spans="2:16" s="110" customFormat="1">
      <c r="B1097" s="66" t="s">
        <v>198</v>
      </c>
      <c r="C1097" s="106" t="s">
        <v>199</v>
      </c>
      <c r="D1097" s="89" t="s">
        <v>3</v>
      </c>
      <c r="E1097" s="89">
        <f>H1090</f>
        <v>0</v>
      </c>
      <c r="F1097" s="66"/>
      <c r="G1097" s="66"/>
      <c r="H1097" s="66"/>
      <c r="I1097" s="66"/>
      <c r="J1097" s="107"/>
      <c r="K1097" s="108" t="s">
        <v>4</v>
      </c>
      <c r="L1097" s="108" t="s">
        <v>5</v>
      </c>
      <c r="M1097" s="109" t="s">
        <v>6</v>
      </c>
      <c r="N1097" s="109" t="s">
        <v>15</v>
      </c>
      <c r="O1097" s="87">
        <f>VLOOKUP($B1097,BOM!$A$2:$K$94,10,0)</f>
        <v>0</v>
      </c>
      <c r="P1097" s="87">
        <f t="shared" si="48"/>
        <v>0</v>
      </c>
    </row>
    <row r="1098" spans="2:16" s="111" customFormat="1">
      <c r="B1098" s="66" t="s">
        <v>194</v>
      </c>
      <c r="C1098" s="106" t="s">
        <v>195</v>
      </c>
      <c r="D1098" s="89" t="s">
        <v>14</v>
      </c>
      <c r="E1098" s="89">
        <v>0</v>
      </c>
      <c r="F1098" s="108"/>
      <c r="G1098" s="108"/>
      <c r="H1098" s="108"/>
      <c r="I1098" s="108"/>
      <c r="J1098" s="109"/>
      <c r="K1098" s="108" t="s">
        <v>4</v>
      </c>
      <c r="L1098" s="108" t="s">
        <v>5</v>
      </c>
      <c r="M1098" s="109" t="s">
        <v>6</v>
      </c>
      <c r="N1098" s="109" t="s">
        <v>15</v>
      </c>
      <c r="O1098" s="87">
        <f>VLOOKUP($B1098,BOM!$A$2:$K$94,10,0)</f>
        <v>0</v>
      </c>
      <c r="P1098" s="87">
        <f t="shared" si="48"/>
        <v>0</v>
      </c>
    </row>
    <row r="1099" spans="2:16" s="110" customFormat="1">
      <c r="B1099" s="66" t="s">
        <v>196</v>
      </c>
      <c r="C1099" s="106" t="s">
        <v>197</v>
      </c>
      <c r="D1099" s="89" t="s">
        <v>14</v>
      </c>
      <c r="E1099" s="89">
        <f>H1086/2</f>
        <v>0</v>
      </c>
      <c r="F1099" s="66"/>
      <c r="G1099" s="66"/>
      <c r="H1099" s="66"/>
      <c r="I1099" s="66"/>
      <c r="J1099" s="107"/>
      <c r="K1099" s="108" t="s">
        <v>4</v>
      </c>
      <c r="L1099" s="108" t="s">
        <v>5</v>
      </c>
      <c r="M1099" s="109" t="s">
        <v>6</v>
      </c>
      <c r="N1099" s="109" t="s">
        <v>15</v>
      </c>
      <c r="O1099" s="87">
        <f>VLOOKUP($B1099,BOM!$A$2:$K$94,10,0)</f>
        <v>0</v>
      </c>
      <c r="P1099" s="87">
        <f t="shared" si="48"/>
        <v>0</v>
      </c>
    </row>
    <row r="1100" spans="2:16">
      <c r="B1100" s="81"/>
      <c r="C1100" s="82" t="s">
        <v>26</v>
      </c>
      <c r="D1100" s="72" t="s">
        <v>0</v>
      </c>
      <c r="E1100" s="72">
        <v>1</v>
      </c>
      <c r="F1100" s="72"/>
      <c r="G1100" s="72"/>
      <c r="H1100" s="72"/>
      <c r="I1100" s="72"/>
      <c r="J1100" s="72"/>
      <c r="K1100" s="83"/>
      <c r="L1100" s="83"/>
      <c r="M1100" s="83"/>
      <c r="N1100" s="83"/>
      <c r="O1100" s="87">
        <f>VLOOKUP($B1100,BOM!$A$2:$K$94,10,0)</f>
        <v>0</v>
      </c>
      <c r="P1100" s="87">
        <f t="shared" si="48"/>
        <v>0</v>
      </c>
    </row>
    <row r="1101" spans="2:16" s="45" customFormat="1" ht="30">
      <c r="B1101" s="48" t="s">
        <v>303</v>
      </c>
      <c r="C1101" s="49" t="s">
        <v>304</v>
      </c>
      <c r="D1101" s="42" t="s">
        <v>64</v>
      </c>
      <c r="E1101" s="43">
        <v>1</v>
      </c>
      <c r="F1101" s="41"/>
      <c r="G1101" s="41"/>
      <c r="H1101" s="41"/>
      <c r="I1101" s="41"/>
      <c r="J1101" s="44">
        <v>1</v>
      </c>
      <c r="K1101" s="41" t="s">
        <v>143</v>
      </c>
      <c r="L1101" s="41" t="s">
        <v>151</v>
      </c>
      <c r="M1101" s="44" t="s">
        <v>144</v>
      </c>
      <c r="N1101" s="44" t="s">
        <v>64</v>
      </c>
      <c r="O1101" s="87">
        <f>VLOOKUP($B1101,BOM!$A$2:$K$94,10,0)</f>
        <v>0</v>
      </c>
      <c r="P1101" s="87">
        <f t="shared" si="48"/>
        <v>0</v>
      </c>
    </row>
    <row r="1102" spans="2:16" s="45" customFormat="1" ht="30">
      <c r="B1102" s="41" t="s">
        <v>137</v>
      </c>
      <c r="C1102" s="46" t="s">
        <v>138</v>
      </c>
      <c r="D1102" s="42" t="s">
        <v>64</v>
      </c>
      <c r="E1102" s="47">
        <f>E1101</f>
        <v>1</v>
      </c>
      <c r="F1102" s="41"/>
      <c r="G1102" s="41"/>
      <c r="H1102" s="41"/>
      <c r="I1102" s="41"/>
      <c r="J1102" s="44"/>
      <c r="K1102" s="41" t="s">
        <v>143</v>
      </c>
      <c r="L1102" s="41" t="s">
        <v>151</v>
      </c>
      <c r="M1102" s="44" t="s">
        <v>144</v>
      </c>
      <c r="N1102" s="44" t="s">
        <v>64</v>
      </c>
      <c r="O1102" s="87">
        <f>VLOOKUP($B1102,BOM!$A$2:$K$94,10,0)</f>
        <v>0</v>
      </c>
      <c r="P1102" s="87">
        <f t="shared" si="48"/>
        <v>0</v>
      </c>
    </row>
    <row r="1103" spans="2:16" outlineLevel="1">
      <c r="B1103" s="117"/>
      <c r="C1103" s="118" t="s">
        <v>67</v>
      </c>
      <c r="D1103" s="119" t="s">
        <v>0</v>
      </c>
      <c r="E1103" s="120">
        <v>1</v>
      </c>
      <c r="F1103" s="121"/>
      <c r="G1103" s="121"/>
      <c r="H1103" s="121" t="s">
        <v>69</v>
      </c>
      <c r="I1103" s="122"/>
      <c r="J1103" s="122">
        <v>1</v>
      </c>
      <c r="K1103" s="63"/>
      <c r="L1103" s="63"/>
      <c r="M1103" s="63"/>
      <c r="N1103" s="63"/>
      <c r="O1103" s="87">
        <f>VLOOKUP($B1103,BOM!$A$2:$K$94,10,0)</f>
        <v>0</v>
      </c>
      <c r="P1103" s="87">
        <f t="shared" si="48"/>
        <v>0</v>
      </c>
    </row>
    <row r="1104" spans="2:16" outlineLevel="1">
      <c r="B1104" s="117"/>
      <c r="C1104" s="118" t="s">
        <v>70</v>
      </c>
      <c r="D1104" s="119" t="s">
        <v>0</v>
      </c>
      <c r="E1104" s="120">
        <v>1</v>
      </c>
      <c r="F1104" s="121"/>
      <c r="G1104" s="121"/>
      <c r="H1104" s="121" t="s">
        <v>69</v>
      </c>
      <c r="I1104" s="122"/>
      <c r="J1104" s="122">
        <v>1</v>
      </c>
      <c r="K1104" s="63"/>
      <c r="L1104" s="63"/>
      <c r="M1104" s="63"/>
      <c r="N1104" s="63"/>
      <c r="O1104" s="87">
        <f>VLOOKUP($B1104,BOM!$A$2:$K$94,10,0)</f>
        <v>0</v>
      </c>
      <c r="P1104" s="87">
        <f t="shared" si="48"/>
        <v>0</v>
      </c>
    </row>
    <row r="1105" spans="2:16">
      <c r="B1105" s="81"/>
      <c r="C1105" s="82" t="s">
        <v>18</v>
      </c>
      <c r="D1105" s="72" t="s">
        <v>0</v>
      </c>
      <c r="E1105" s="72">
        <v>1</v>
      </c>
      <c r="F1105" s="72"/>
      <c r="G1105" s="72"/>
      <c r="H1105" s="72"/>
      <c r="I1105" s="72"/>
      <c r="J1105" s="72"/>
      <c r="K1105" s="83"/>
      <c r="L1105" s="83"/>
      <c r="M1105" s="83"/>
      <c r="N1105" s="83"/>
      <c r="O1105" s="87">
        <f>VLOOKUP($B1105,BOM!$A$2:$K$94,10,0)</f>
        <v>0</v>
      </c>
      <c r="P1105" s="87">
        <f t="shared" si="48"/>
        <v>0</v>
      </c>
    </row>
    <row r="1106" spans="2:16" s="45" customFormat="1" ht="30">
      <c r="B1106" s="62">
        <v>760237046</v>
      </c>
      <c r="C1106" s="21" t="s">
        <v>19</v>
      </c>
      <c r="D1106" s="85" t="s">
        <v>3</v>
      </c>
      <c r="E1106" s="85">
        <f>E1101</f>
        <v>1</v>
      </c>
      <c r="F1106" s="62"/>
      <c r="G1106" s="62"/>
      <c r="H1106" s="62"/>
      <c r="I1106" s="62"/>
      <c r="J1106" s="86">
        <v>1</v>
      </c>
      <c r="K1106" s="62" t="s">
        <v>4</v>
      </c>
      <c r="L1106" s="62" t="s">
        <v>5</v>
      </c>
      <c r="M1106" s="86" t="s">
        <v>6</v>
      </c>
      <c r="N1106" s="86" t="s">
        <v>3</v>
      </c>
      <c r="O1106" s="87">
        <f>VLOOKUP($B1106,BOM!$A$2:$K$94,10,0)</f>
        <v>0</v>
      </c>
      <c r="P1106" s="87">
        <f t="shared" si="48"/>
        <v>0</v>
      </c>
    </row>
    <row r="1107" spans="2:16" s="45" customFormat="1" ht="30">
      <c r="B1107" s="62" t="s">
        <v>23</v>
      </c>
      <c r="C1107" s="21" t="s">
        <v>24</v>
      </c>
      <c r="D1107" s="85" t="s">
        <v>3</v>
      </c>
      <c r="E1107" s="85">
        <f>E1106*24</f>
        <v>24</v>
      </c>
      <c r="F1107" s="62"/>
      <c r="G1107" s="62"/>
      <c r="H1107" s="62"/>
      <c r="I1107" s="62"/>
      <c r="J1107" s="86"/>
      <c r="K1107" s="62" t="s">
        <v>25</v>
      </c>
      <c r="L1107" s="62" t="s">
        <v>5</v>
      </c>
      <c r="M1107" s="86" t="s">
        <v>6</v>
      </c>
      <c r="N1107" s="86" t="s">
        <v>3</v>
      </c>
      <c r="O1107" s="87">
        <f>VLOOKUP($B1107,BOM!$A$2:$K$94,10,0)</f>
        <v>0</v>
      </c>
      <c r="P1107" s="87">
        <f t="shared" si="48"/>
        <v>0</v>
      </c>
    </row>
    <row r="1108" spans="2:16" s="45" customFormat="1">
      <c r="B1108" s="62" t="s">
        <v>20</v>
      </c>
      <c r="C1108" s="21" t="s">
        <v>21</v>
      </c>
      <c r="D1108" s="85" t="s">
        <v>3</v>
      </c>
      <c r="E1108" s="85">
        <f>E1106</f>
        <v>1</v>
      </c>
      <c r="F1108" s="62"/>
      <c r="G1108" s="62"/>
      <c r="H1108" s="62"/>
      <c r="I1108" s="62"/>
      <c r="J1108" s="86">
        <v>1</v>
      </c>
      <c r="K1108" s="62" t="s">
        <v>4</v>
      </c>
      <c r="L1108" s="62" t="s">
        <v>5</v>
      </c>
      <c r="M1108" s="86" t="s">
        <v>22</v>
      </c>
      <c r="N1108" s="86" t="s">
        <v>3</v>
      </c>
      <c r="O1108" s="87">
        <f>VLOOKUP($B1108,BOM!$A$2:$K$94,10,0)</f>
        <v>0</v>
      </c>
      <c r="P1108" s="87">
        <f t="shared" si="48"/>
        <v>0</v>
      </c>
    </row>
    <row r="1109" spans="2:16">
      <c r="B1109" s="81"/>
      <c r="C1109" s="82" t="s">
        <v>71</v>
      </c>
      <c r="D1109" s="72" t="s">
        <v>0</v>
      </c>
      <c r="E1109" s="72">
        <v>1</v>
      </c>
      <c r="F1109" s="72"/>
      <c r="G1109" s="72"/>
      <c r="H1109" s="72"/>
      <c r="I1109" s="72"/>
      <c r="J1109" s="72"/>
      <c r="K1109" s="83"/>
      <c r="L1109" s="83"/>
      <c r="M1109" s="83"/>
      <c r="N1109" s="83"/>
      <c r="O1109" s="87">
        <f>VLOOKUP($B1109,BOM!$A$2:$K$94,10,0)</f>
        <v>0</v>
      </c>
      <c r="P1109" s="87">
        <f t="shared" si="48"/>
        <v>0</v>
      </c>
    </row>
    <row r="1110" spans="2:16" s="110" customFormat="1">
      <c r="B1110" s="66" t="s">
        <v>233</v>
      </c>
      <c r="C1110" s="66" t="s">
        <v>234</v>
      </c>
      <c r="D1110" s="124" t="s">
        <v>51</v>
      </c>
      <c r="E1110" s="89">
        <v>1</v>
      </c>
      <c r="F1110" s="108"/>
      <c r="G1110" s="108"/>
      <c r="H1110" s="108"/>
      <c r="I1110" s="108"/>
      <c r="J1110" s="109">
        <f>E1110*6</f>
        <v>6</v>
      </c>
      <c r="K1110" s="108"/>
      <c r="L1110" s="108" t="s">
        <v>5</v>
      </c>
      <c r="M1110" s="109" t="s">
        <v>28</v>
      </c>
      <c r="N1110" s="109" t="s">
        <v>3</v>
      </c>
      <c r="O1110" s="87">
        <f>VLOOKUP($B1110,BOM!$A$2:$K$94,10,0)</f>
        <v>0</v>
      </c>
      <c r="P1110" s="87">
        <f t="shared" si="48"/>
        <v>0</v>
      </c>
    </row>
    <row r="1111" spans="2:16" s="45" customFormat="1">
      <c r="B1111" s="62"/>
      <c r="C1111" s="21"/>
      <c r="D1111" s="116"/>
      <c r="E1111" s="85"/>
      <c r="F1111" s="62"/>
      <c r="G1111" s="62"/>
      <c r="H1111" s="62"/>
      <c r="I1111" s="62"/>
      <c r="J1111" s="86"/>
      <c r="K1111" s="62"/>
      <c r="L1111" s="62"/>
      <c r="M1111" s="86"/>
      <c r="N1111" s="86"/>
      <c r="O1111" s="87">
        <f>VLOOKUP($B1111,BOM!$A$2:$K$94,10,0)</f>
        <v>0</v>
      </c>
      <c r="P1111" s="87">
        <f t="shared" si="48"/>
        <v>0</v>
      </c>
    </row>
    <row r="1112" spans="2:16" s="45" customFormat="1">
      <c r="B1112" s="62" t="s">
        <v>225</v>
      </c>
      <c r="C1112" s="21" t="s">
        <v>72</v>
      </c>
      <c r="D1112" s="116" t="s">
        <v>64</v>
      </c>
      <c r="E1112" s="85">
        <v>0</v>
      </c>
      <c r="F1112" s="62"/>
      <c r="G1112" s="62"/>
      <c r="H1112" s="62"/>
      <c r="I1112" s="62"/>
      <c r="J1112" s="86"/>
      <c r="K1112" s="62"/>
      <c r="L1112" s="62" t="s">
        <v>5</v>
      </c>
      <c r="M1112" s="86" t="s">
        <v>28</v>
      </c>
      <c r="N1112" s="86" t="s">
        <v>3</v>
      </c>
      <c r="O1112" s="87">
        <f>VLOOKUP($B1112,BOM!$A$2:$K$94,10,0)</f>
        <v>0</v>
      </c>
      <c r="P1112" s="87">
        <f t="shared" si="48"/>
        <v>0</v>
      </c>
    </row>
    <row r="1113" spans="2:16">
      <c r="B1113" s="81"/>
      <c r="C1113" s="82" t="s">
        <v>31</v>
      </c>
      <c r="D1113" s="72" t="s">
        <v>0</v>
      </c>
      <c r="E1113" s="72">
        <v>1</v>
      </c>
      <c r="F1113" s="72"/>
      <c r="G1113" s="72"/>
      <c r="H1113" s="72"/>
      <c r="I1113" s="72"/>
      <c r="J1113" s="72"/>
      <c r="K1113" s="83"/>
      <c r="L1113" s="83"/>
      <c r="M1113" s="83"/>
      <c r="N1113" s="83"/>
      <c r="O1113" s="87">
        <f>VLOOKUP($B1113,BOM!$A$2:$K$94,10,0)</f>
        <v>0</v>
      </c>
      <c r="P1113" s="87">
        <f t="shared" si="48"/>
        <v>0</v>
      </c>
    </row>
    <row r="1114" spans="2:16">
      <c r="B1114" s="81"/>
      <c r="C1114" s="82" t="s">
        <v>32</v>
      </c>
      <c r="D1114" s="72"/>
      <c r="E1114" s="72"/>
      <c r="F1114" s="72"/>
      <c r="G1114" s="72"/>
      <c r="H1114" s="72"/>
      <c r="I1114" s="72"/>
      <c r="J1114" s="72"/>
      <c r="K1114" s="83"/>
      <c r="L1114" s="83"/>
      <c r="M1114" s="83"/>
      <c r="N1114" s="83"/>
      <c r="O1114" s="87">
        <f>VLOOKUP($B1114,BOM!$A$2:$K$94,10,0)</f>
        <v>0</v>
      </c>
      <c r="P1114" s="87">
        <f t="shared" si="48"/>
        <v>0</v>
      </c>
    </row>
    <row r="1115" spans="2:16" s="45" customFormat="1" ht="20.45" customHeight="1">
      <c r="B1115" s="62" t="s">
        <v>33</v>
      </c>
      <c r="C1115" s="21" t="s">
        <v>34</v>
      </c>
      <c r="D1115" s="85" t="s">
        <v>3</v>
      </c>
      <c r="E1115" s="90">
        <f>E1116</f>
        <v>0</v>
      </c>
      <c r="F1115" s="62"/>
      <c r="G1115" s="62"/>
      <c r="H1115" s="62"/>
      <c r="I1115" s="62"/>
      <c r="J1115" s="86"/>
      <c r="K1115" s="62" t="s">
        <v>35</v>
      </c>
      <c r="L1115" s="62" t="s">
        <v>5</v>
      </c>
      <c r="M1115" s="86" t="s">
        <v>6</v>
      </c>
      <c r="N1115" s="86" t="s">
        <v>3</v>
      </c>
      <c r="O1115" s="87">
        <f>VLOOKUP($B1115,BOM!$A$2:$K$94,10,0)</f>
        <v>0</v>
      </c>
      <c r="P1115" s="87">
        <f t="shared" si="48"/>
        <v>0</v>
      </c>
    </row>
    <row r="1116" spans="2:16" s="45" customFormat="1">
      <c r="B1116" s="62" t="s">
        <v>330</v>
      </c>
      <c r="C1116" s="21" t="s">
        <v>36</v>
      </c>
      <c r="D1116" s="85" t="s">
        <v>3</v>
      </c>
      <c r="E1116" s="90">
        <f>G1114+H1114</f>
        <v>0</v>
      </c>
      <c r="F1116" s="62"/>
      <c r="G1116" s="62"/>
      <c r="H1116" s="62"/>
      <c r="I1116" s="62"/>
      <c r="J1116" s="86"/>
      <c r="K1116" s="62" t="s">
        <v>37</v>
      </c>
      <c r="L1116" s="62" t="s">
        <v>5</v>
      </c>
      <c r="M1116" s="86" t="s">
        <v>37</v>
      </c>
      <c r="N1116" s="86" t="s">
        <v>3</v>
      </c>
      <c r="O1116" s="87">
        <f>VLOOKUP($B1116,BOM!$A$2:$K$94,10,0)</f>
        <v>0</v>
      </c>
      <c r="P1116" s="87">
        <f t="shared" si="48"/>
        <v>0</v>
      </c>
    </row>
    <row r="1117" spans="2:16" s="45" customFormat="1" ht="30">
      <c r="B1117" s="62" t="s">
        <v>38</v>
      </c>
      <c r="C1117" s="21" t="s">
        <v>39</v>
      </c>
      <c r="D1117" s="85" t="s">
        <v>3</v>
      </c>
      <c r="E1117" s="90">
        <f>E1116</f>
        <v>0</v>
      </c>
      <c r="F1117" s="62"/>
      <c r="G1117" s="62"/>
      <c r="H1117" s="62"/>
      <c r="I1117" s="62"/>
      <c r="J1117" s="86"/>
      <c r="K1117" s="62" t="s">
        <v>25</v>
      </c>
      <c r="L1117" s="62" t="s">
        <v>5</v>
      </c>
      <c r="M1117" s="86" t="s">
        <v>6</v>
      </c>
      <c r="N1117" s="86" t="s">
        <v>3</v>
      </c>
      <c r="O1117" s="87">
        <f>VLOOKUP($B1117,BOM!$A$2:$K$94,10,0)</f>
        <v>0</v>
      </c>
      <c r="P1117" s="87">
        <f t="shared" si="48"/>
        <v>0</v>
      </c>
    </row>
    <row r="1118" spans="2:16">
      <c r="B1118" s="81"/>
      <c r="C1118" s="82" t="s">
        <v>40</v>
      </c>
      <c r="D1118" s="72"/>
      <c r="E1118" s="72"/>
      <c r="F1118" s="72"/>
      <c r="G1118" s="72"/>
      <c r="H1118" s="72">
        <v>8</v>
      </c>
      <c r="I1118" s="72"/>
      <c r="J1118" s="72"/>
      <c r="K1118" s="83"/>
      <c r="L1118" s="83"/>
      <c r="M1118" s="83"/>
      <c r="N1118" s="83"/>
      <c r="O1118" s="87">
        <f>VLOOKUP($B1118,BOM!$A$2:$K$94,10,0)</f>
        <v>0</v>
      </c>
      <c r="P1118" s="87">
        <f t="shared" si="48"/>
        <v>0</v>
      </c>
    </row>
    <row r="1119" spans="2:16" s="45" customFormat="1">
      <c r="B1119" s="62" t="s">
        <v>41</v>
      </c>
      <c r="C1119" s="21" t="s">
        <v>42</v>
      </c>
      <c r="D1119" s="85" t="s">
        <v>3</v>
      </c>
      <c r="E1119" s="85">
        <f>G1118+H1118</f>
        <v>8</v>
      </c>
      <c r="F1119" s="62"/>
      <c r="G1119" s="62"/>
      <c r="H1119" s="62"/>
      <c r="I1119" s="62"/>
      <c r="J1119" s="86"/>
      <c r="K1119" s="62" t="s">
        <v>4</v>
      </c>
      <c r="L1119" s="62" t="s">
        <v>5</v>
      </c>
      <c r="M1119" s="86" t="s">
        <v>6</v>
      </c>
      <c r="N1119" s="86" t="s">
        <v>3</v>
      </c>
      <c r="O1119" s="87">
        <f>VLOOKUP($B1119,BOM!$A$2:$K$94,10,0)</f>
        <v>0</v>
      </c>
      <c r="P1119" s="87">
        <f t="shared" si="48"/>
        <v>0</v>
      </c>
    </row>
    <row r="1120" spans="2:16" s="45" customFormat="1">
      <c r="B1120" s="65" t="s">
        <v>43</v>
      </c>
      <c r="C1120" s="103" t="s">
        <v>44</v>
      </c>
      <c r="D1120" s="85" t="s">
        <v>3</v>
      </c>
      <c r="E1120" s="85">
        <f>E1119</f>
        <v>8</v>
      </c>
      <c r="F1120" s="62"/>
      <c r="G1120" s="62"/>
      <c r="H1120" s="62"/>
      <c r="I1120" s="62"/>
      <c r="J1120" s="86"/>
      <c r="K1120" s="62" t="s">
        <v>4</v>
      </c>
      <c r="L1120" s="62" t="s">
        <v>5</v>
      </c>
      <c r="M1120" s="86" t="s">
        <v>6</v>
      </c>
      <c r="N1120" s="86" t="s">
        <v>3</v>
      </c>
      <c r="O1120" s="87">
        <f>VLOOKUP($B1120,BOM!$A$2:$K$94,10,0)</f>
        <v>0</v>
      </c>
      <c r="P1120" s="87">
        <f t="shared" si="48"/>
        <v>0</v>
      </c>
    </row>
    <row r="1121" spans="1:16">
      <c r="B1121" s="81"/>
      <c r="C1121" s="82" t="s">
        <v>45</v>
      </c>
      <c r="D1121" s="72"/>
      <c r="E1121" s="72"/>
      <c r="F1121" s="72"/>
      <c r="G1121" s="72"/>
      <c r="H1121" s="72"/>
      <c r="I1121" s="72"/>
      <c r="J1121" s="72"/>
      <c r="K1121" s="83"/>
      <c r="L1121" s="83"/>
      <c r="M1121" s="83"/>
      <c r="N1121" s="83"/>
      <c r="O1121" s="87">
        <f>VLOOKUP($B1121,BOM!$A$2:$K$94,10,0)</f>
        <v>0</v>
      </c>
      <c r="P1121" s="87">
        <f t="shared" si="48"/>
        <v>0</v>
      </c>
    </row>
    <row r="1122" spans="1:16" s="45" customFormat="1" ht="30">
      <c r="B1122" s="62" t="s">
        <v>48</v>
      </c>
      <c r="C1122" s="21" t="s">
        <v>49</v>
      </c>
      <c r="D1122" s="85" t="s">
        <v>14</v>
      </c>
      <c r="E1122" s="85">
        <f>E1119+1</f>
        <v>9</v>
      </c>
      <c r="F1122" s="62"/>
      <c r="G1122" s="62"/>
      <c r="H1122" s="62"/>
      <c r="I1122" s="62"/>
      <c r="J1122" s="86"/>
      <c r="K1122" s="62"/>
      <c r="L1122" s="62" t="s">
        <v>5</v>
      </c>
      <c r="M1122" s="86" t="s">
        <v>6</v>
      </c>
      <c r="N1122" s="86" t="s">
        <v>15</v>
      </c>
      <c r="O1122" s="87">
        <f>VLOOKUP($B1122,BOM!$A$2:$K$94,10,0)</f>
        <v>0</v>
      </c>
      <c r="P1122" s="87">
        <f t="shared" si="48"/>
        <v>0</v>
      </c>
    </row>
    <row r="1123" spans="1:16" s="45" customFormat="1" ht="30">
      <c r="B1123" s="62" t="s">
        <v>48</v>
      </c>
      <c r="C1123" s="21" t="s">
        <v>49</v>
      </c>
      <c r="D1123" s="85" t="s">
        <v>14</v>
      </c>
      <c r="E1123" s="90">
        <f>ROUNDUP(E1122*0.2,0)</f>
        <v>2</v>
      </c>
      <c r="F1123" s="62"/>
      <c r="G1123" s="62"/>
      <c r="H1123" s="62"/>
      <c r="I1123" s="62"/>
      <c r="J1123" s="86"/>
      <c r="K1123" s="62" t="s">
        <v>4</v>
      </c>
      <c r="L1123" s="62" t="s">
        <v>5</v>
      </c>
      <c r="M1123" s="86" t="s">
        <v>6</v>
      </c>
      <c r="N1123" s="86" t="s">
        <v>15</v>
      </c>
      <c r="O1123" s="87">
        <f>VLOOKUP($B1123,BOM!$A$2:$K$94,10,0)</f>
        <v>0</v>
      </c>
      <c r="P1123" s="87">
        <f t="shared" si="48"/>
        <v>0</v>
      </c>
    </row>
    <row r="1124" spans="1:16">
      <c r="B1124" s="81"/>
      <c r="C1124" s="82" t="s">
        <v>50</v>
      </c>
      <c r="D1124" s="72"/>
      <c r="E1124" s="72"/>
      <c r="F1124" s="72"/>
      <c r="G1124" s="72"/>
      <c r="H1124" s="72"/>
      <c r="I1124" s="72"/>
      <c r="J1124" s="72"/>
      <c r="K1124" s="83"/>
      <c r="L1124" s="83"/>
      <c r="M1124" s="83"/>
      <c r="N1124" s="83"/>
      <c r="O1124" s="87">
        <f>VLOOKUP($B1124,BOM!$A$2:$K$94,10,0)</f>
        <v>0</v>
      </c>
      <c r="P1124" s="87">
        <f t="shared" si="48"/>
        <v>0</v>
      </c>
    </row>
    <row r="1125" spans="1:16" s="45" customFormat="1">
      <c r="B1125" s="62" t="s">
        <v>332</v>
      </c>
      <c r="C1125" s="21" t="s">
        <v>332</v>
      </c>
      <c r="D1125" s="85" t="s">
        <v>51</v>
      </c>
      <c r="E1125" s="85">
        <f>E1110</f>
        <v>1</v>
      </c>
      <c r="F1125" s="62"/>
      <c r="G1125" s="62"/>
      <c r="H1125" s="62"/>
      <c r="I1125" s="62"/>
      <c r="J1125" s="86"/>
      <c r="K1125" s="62"/>
      <c r="L1125" s="62"/>
      <c r="M1125" s="86"/>
      <c r="N1125" s="86" t="s">
        <v>51</v>
      </c>
      <c r="O1125" s="87">
        <f>VLOOKUP($B1125,BOM!$A$2:$K$94,10,0)</f>
        <v>0</v>
      </c>
      <c r="P1125" s="87">
        <f t="shared" si="48"/>
        <v>0</v>
      </c>
    </row>
    <row r="1126" spans="1:16" s="45" customFormat="1">
      <c r="B1126" s="62" t="s">
        <v>52</v>
      </c>
      <c r="C1126" s="21" t="s">
        <v>53</v>
      </c>
      <c r="D1126" s="86" t="s">
        <v>54</v>
      </c>
      <c r="E1126" s="105">
        <f>E1123+E1122</f>
        <v>11</v>
      </c>
      <c r="F1126" s="62"/>
      <c r="G1126" s="62"/>
      <c r="H1126" s="62"/>
      <c r="I1126" s="62"/>
      <c r="J1126" s="86"/>
      <c r="K1126" s="62"/>
      <c r="L1126" s="62"/>
      <c r="M1126" s="86" t="s">
        <v>55</v>
      </c>
      <c r="N1126" s="86" t="s">
        <v>54</v>
      </c>
      <c r="O1126" s="87">
        <f>VLOOKUP($B1126,BOM!$A$2:$K$94,10,0)</f>
        <v>0</v>
      </c>
      <c r="P1126" s="87">
        <f t="shared" si="48"/>
        <v>0</v>
      </c>
    </row>
    <row r="1127" spans="1:16" s="45" customFormat="1" ht="30">
      <c r="B1127" s="62" t="s">
        <v>56</v>
      </c>
      <c r="C1127" s="21" t="s">
        <v>57</v>
      </c>
      <c r="D1127" s="86" t="s">
        <v>14</v>
      </c>
      <c r="E1127" s="105">
        <f>E1095</f>
        <v>4</v>
      </c>
      <c r="F1127" s="62"/>
      <c r="G1127" s="62"/>
      <c r="H1127" s="62"/>
      <c r="I1127" s="62"/>
      <c r="J1127" s="86"/>
      <c r="K1127" s="62"/>
      <c r="L1127" s="62"/>
      <c r="M1127" s="86" t="s">
        <v>55</v>
      </c>
      <c r="N1127" s="86" t="s">
        <v>14</v>
      </c>
      <c r="O1127" s="87">
        <f>VLOOKUP($B1127,BOM!$A$2:$K$94,10,0)</f>
        <v>0</v>
      </c>
      <c r="P1127" s="87">
        <f t="shared" si="48"/>
        <v>0</v>
      </c>
    </row>
    <row r="1128" spans="1:16" s="45" customFormat="1" ht="30">
      <c r="B1128" s="62" t="s">
        <v>58</v>
      </c>
      <c r="C1128" s="21" t="s">
        <v>59</v>
      </c>
      <c r="D1128" s="86" t="s">
        <v>60</v>
      </c>
      <c r="E1128" s="105">
        <f>E1127*2</f>
        <v>8</v>
      </c>
      <c r="F1128" s="62"/>
      <c r="G1128" s="62"/>
      <c r="H1128" s="62"/>
      <c r="I1128" s="62"/>
      <c r="J1128" s="86"/>
      <c r="K1128" s="62"/>
      <c r="L1128" s="62"/>
      <c r="M1128" s="86" t="s">
        <v>61</v>
      </c>
      <c r="N1128" s="86" t="s">
        <v>60</v>
      </c>
      <c r="O1128" s="87">
        <f>VLOOKUP($B1128,BOM!$A$2:$K$94,10,0)</f>
        <v>0</v>
      </c>
      <c r="P1128" s="87">
        <f t="shared" si="48"/>
        <v>0</v>
      </c>
    </row>
    <row r="1129" spans="1:16" s="45" customFormat="1" ht="45">
      <c r="B1129" s="62" t="s">
        <v>62</v>
      </c>
      <c r="C1129" s="21" t="s">
        <v>63</v>
      </c>
      <c r="D1129" s="86" t="s">
        <v>64</v>
      </c>
      <c r="E1129" s="105">
        <f>E1106</f>
        <v>1</v>
      </c>
      <c r="F1129" s="62"/>
      <c r="G1129" s="62"/>
      <c r="H1129" s="62"/>
      <c r="I1129" s="62"/>
      <c r="J1129" s="86"/>
      <c r="K1129" s="62"/>
      <c r="L1129" s="62"/>
      <c r="M1129" s="86" t="s">
        <v>61</v>
      </c>
      <c r="N1129" s="86" t="s">
        <v>64</v>
      </c>
      <c r="O1129" s="87">
        <f>VLOOKUP($B1129,BOM!$A$2:$K$94,10,0)</f>
        <v>0</v>
      </c>
      <c r="P1129" s="87">
        <f t="shared" si="48"/>
        <v>0</v>
      </c>
    </row>
    <row r="1130" spans="1:16">
      <c r="A1130" s="35">
        <v>24</v>
      </c>
      <c r="B1130" s="36"/>
      <c r="C1130" s="37" t="s">
        <v>94</v>
      </c>
      <c r="D1130" s="38" t="s">
        <v>0</v>
      </c>
      <c r="E1130" s="36">
        <v>1</v>
      </c>
      <c r="F1130" s="36"/>
      <c r="G1130" s="36">
        <v>8</v>
      </c>
      <c r="H1130" s="36"/>
      <c r="I1130" s="36"/>
      <c r="J1130" s="36">
        <f>SUBTOTAL(9,J1133:J1157)</f>
        <v>13</v>
      </c>
      <c r="K1130" s="39"/>
      <c r="L1130" s="39"/>
      <c r="M1130" s="39"/>
      <c r="N1130" s="39"/>
      <c r="O1130" s="87">
        <f>VLOOKUP($B1130,BOM!$A$2:$K$94,10,0)</f>
        <v>0</v>
      </c>
      <c r="P1130" s="87">
        <f t="shared" si="48"/>
        <v>0</v>
      </c>
    </row>
    <row r="1131" spans="1:16">
      <c r="B1131" s="81"/>
      <c r="C1131" s="82" t="s">
        <v>124</v>
      </c>
      <c r="D1131" s="72" t="s">
        <v>0</v>
      </c>
      <c r="E1131" s="72">
        <v>1</v>
      </c>
      <c r="F1131" s="72"/>
      <c r="G1131" s="72"/>
      <c r="H1131" s="72"/>
      <c r="I1131" s="72"/>
      <c r="J1131" s="72"/>
      <c r="K1131" s="83"/>
      <c r="L1131" s="83"/>
      <c r="M1131" s="83"/>
      <c r="N1131" s="83"/>
      <c r="O1131" s="87">
        <f>VLOOKUP($B1131,BOM!$A$2:$K$94,10,0)</f>
        <v>0</v>
      </c>
      <c r="P1131" s="87">
        <f t="shared" si="48"/>
        <v>0</v>
      </c>
    </row>
    <row r="1132" spans="1:16" s="19" customFormat="1">
      <c r="B1132" s="20" t="s">
        <v>226</v>
      </c>
      <c r="C1132" s="20" t="s">
        <v>227</v>
      </c>
      <c r="D1132" s="21"/>
      <c r="E1132" s="22">
        <v>1</v>
      </c>
      <c r="F1132" s="21"/>
      <c r="G1132" s="21"/>
      <c r="H1132" s="21"/>
      <c r="I1132" s="21"/>
      <c r="J1132" s="22"/>
      <c r="K1132" s="21" t="s">
        <v>4</v>
      </c>
      <c r="L1132" s="21" t="s">
        <v>203</v>
      </c>
      <c r="M1132" s="22" t="s">
        <v>22</v>
      </c>
      <c r="N1132" s="22" t="s">
        <v>3</v>
      </c>
      <c r="O1132" s="87">
        <f>VLOOKUP($B1132,BOM!$A$2:$K$94,10,0)</f>
        <v>0</v>
      </c>
      <c r="P1132" s="87">
        <f t="shared" si="48"/>
        <v>0</v>
      </c>
    </row>
    <row r="1133" spans="1:16" s="19" customFormat="1">
      <c r="B1133" s="21" t="s">
        <v>122</v>
      </c>
      <c r="C1133" s="21" t="s">
        <v>123</v>
      </c>
      <c r="D1133" s="21"/>
      <c r="E1133" s="22">
        <v>1</v>
      </c>
      <c r="F1133" s="21"/>
      <c r="G1133" s="21"/>
      <c r="H1133" s="21"/>
      <c r="I1133" s="21"/>
      <c r="J1133" s="22">
        <v>1</v>
      </c>
      <c r="K1133" s="21" t="s">
        <v>4</v>
      </c>
      <c r="L1133" s="21" t="s">
        <v>5</v>
      </c>
      <c r="M1133" s="22" t="s">
        <v>22</v>
      </c>
      <c r="N1133" s="22" t="s">
        <v>3</v>
      </c>
      <c r="O1133" s="87">
        <f>VLOOKUP($B1133,BOM!$A$2:$K$94,10,0)</f>
        <v>0</v>
      </c>
      <c r="P1133" s="87">
        <f t="shared" si="48"/>
        <v>0</v>
      </c>
    </row>
    <row r="1134" spans="1:16">
      <c r="B1134" s="81"/>
      <c r="C1134" s="82" t="s">
        <v>1</v>
      </c>
      <c r="D1134" s="72" t="s">
        <v>0</v>
      </c>
      <c r="E1134" s="72">
        <v>1</v>
      </c>
      <c r="F1134" s="72"/>
      <c r="G1134" s="72">
        <f>ROUNDUP(G1130/24,0)</f>
        <v>1</v>
      </c>
      <c r="H1134" s="72">
        <f t="shared" ref="H1134" si="49">ROUNDUP(H1130/24,0)</f>
        <v>0</v>
      </c>
      <c r="I1134" s="72"/>
      <c r="J1134" s="72"/>
      <c r="K1134" s="83"/>
      <c r="L1134" s="83"/>
      <c r="M1134" s="83"/>
      <c r="N1134" s="83"/>
      <c r="O1134" s="87">
        <f>VLOOKUP($B1134,BOM!$A$2:$K$94,10,0)</f>
        <v>0</v>
      </c>
      <c r="P1134" s="87">
        <f t="shared" si="48"/>
        <v>0</v>
      </c>
    </row>
    <row r="1135" spans="1:16" s="45" customFormat="1">
      <c r="B1135" s="62">
        <v>760249997</v>
      </c>
      <c r="C1135" s="21" t="s">
        <v>2</v>
      </c>
      <c r="D1135" s="85" t="s">
        <v>3</v>
      </c>
      <c r="E1135" s="85">
        <f>ROUNDUP(E1137/3,0)</f>
        <v>1</v>
      </c>
      <c r="F1135" s="62"/>
      <c r="G1135" s="62"/>
      <c r="H1135" s="62"/>
      <c r="I1135" s="62"/>
      <c r="J1135" s="86">
        <v>1</v>
      </c>
      <c r="K1135" s="62" t="s">
        <v>4</v>
      </c>
      <c r="L1135" s="62" t="s">
        <v>5</v>
      </c>
      <c r="M1135" s="86" t="s">
        <v>6</v>
      </c>
      <c r="N1135" s="86" t="s">
        <v>3</v>
      </c>
      <c r="O1135" s="87">
        <f>VLOOKUP($B1135,BOM!$A$2:$K$94,10,0)</f>
        <v>0</v>
      </c>
      <c r="P1135" s="87">
        <f t="shared" si="48"/>
        <v>0</v>
      </c>
    </row>
    <row r="1136" spans="1:16" s="45" customFormat="1">
      <c r="B1136" s="62">
        <v>760241378</v>
      </c>
      <c r="C1136" s="21" t="s">
        <v>7</v>
      </c>
      <c r="D1136" s="85" t="s">
        <v>3</v>
      </c>
      <c r="E1136" s="85">
        <f>IF(E1137&lt;=2,1,ROUNDUP(E1135*1.5,0))</f>
        <v>1</v>
      </c>
      <c r="F1136" s="62"/>
      <c r="G1136" s="62"/>
      <c r="H1136" s="62"/>
      <c r="I1136" s="62"/>
      <c r="J1136" s="86"/>
      <c r="K1136" s="62" t="s">
        <v>4</v>
      </c>
      <c r="L1136" s="62" t="s">
        <v>5</v>
      </c>
      <c r="M1136" s="86" t="s">
        <v>6</v>
      </c>
      <c r="N1136" s="86" t="s">
        <v>3</v>
      </c>
      <c r="O1136" s="87">
        <f>VLOOKUP($B1136,BOM!$A$2:$K$94,10,0)</f>
        <v>0</v>
      </c>
      <c r="P1136" s="87">
        <f t="shared" si="48"/>
        <v>0</v>
      </c>
    </row>
    <row r="1137" spans="2:16" s="45" customFormat="1">
      <c r="B1137" s="62" t="s">
        <v>8</v>
      </c>
      <c r="C1137" s="21" t="s">
        <v>9</v>
      </c>
      <c r="D1137" s="85" t="s">
        <v>3</v>
      </c>
      <c r="E1137" s="85">
        <f>SUM(G1134:I1134)</f>
        <v>1</v>
      </c>
      <c r="F1137" s="62"/>
      <c r="G1137" s="62"/>
      <c r="H1137" s="62"/>
      <c r="I1137" s="62"/>
      <c r="J1137" s="86"/>
      <c r="K1137" s="62" t="s">
        <v>4</v>
      </c>
      <c r="L1137" s="62" t="s">
        <v>5</v>
      </c>
      <c r="M1137" s="86" t="s">
        <v>6</v>
      </c>
      <c r="N1137" s="86" t="s">
        <v>3</v>
      </c>
      <c r="O1137" s="87">
        <f>VLOOKUP($B1137,BOM!$A$2:$K$94,10,0)</f>
        <v>0</v>
      </c>
      <c r="P1137" s="87">
        <f t="shared" si="48"/>
        <v>0</v>
      </c>
    </row>
    <row r="1138" spans="2:16" s="45" customFormat="1">
      <c r="B1138" s="62" t="s">
        <v>10</v>
      </c>
      <c r="C1138" s="21" t="s">
        <v>11</v>
      </c>
      <c r="D1138" s="85" t="s">
        <v>3</v>
      </c>
      <c r="E1138" s="85">
        <f>E1135*3-E1137</f>
        <v>2</v>
      </c>
      <c r="F1138" s="62"/>
      <c r="G1138" s="62"/>
      <c r="H1138" s="62"/>
      <c r="I1138" s="62"/>
      <c r="J1138" s="86"/>
      <c r="K1138" s="62" t="s">
        <v>4</v>
      </c>
      <c r="L1138" s="62" t="s">
        <v>5</v>
      </c>
      <c r="M1138" s="86" t="s">
        <v>6</v>
      </c>
      <c r="N1138" s="86" t="s">
        <v>3</v>
      </c>
      <c r="O1138" s="87">
        <f>VLOOKUP($B1138,BOM!$A$2:$K$94,10,0)</f>
        <v>0</v>
      </c>
      <c r="P1138" s="87">
        <f t="shared" si="48"/>
        <v>0</v>
      </c>
    </row>
    <row r="1139" spans="2:16" s="45" customFormat="1">
      <c r="B1139" s="62" t="s">
        <v>12</v>
      </c>
      <c r="C1139" s="21" t="s">
        <v>13</v>
      </c>
      <c r="D1139" s="85" t="s">
        <v>14</v>
      </c>
      <c r="E1139" s="90">
        <f>SUM(G1130:I1130)/2</f>
        <v>4</v>
      </c>
      <c r="F1139" s="62"/>
      <c r="G1139" s="62"/>
      <c r="H1139" s="62"/>
      <c r="I1139" s="62"/>
      <c r="J1139" s="86"/>
      <c r="K1139" s="62" t="s">
        <v>4</v>
      </c>
      <c r="L1139" s="62" t="s">
        <v>5</v>
      </c>
      <c r="M1139" s="86" t="s">
        <v>6</v>
      </c>
      <c r="N1139" s="86" t="s">
        <v>15</v>
      </c>
      <c r="O1139" s="87">
        <f>VLOOKUP($B1139,BOM!$A$2:$K$94,10,0)</f>
        <v>0</v>
      </c>
      <c r="P1139" s="87">
        <f t="shared" si="48"/>
        <v>0</v>
      </c>
    </row>
    <row r="1140" spans="2:16" s="45" customFormat="1" ht="30">
      <c r="B1140" s="62" t="s">
        <v>16</v>
      </c>
      <c r="C1140" s="21" t="s">
        <v>17</v>
      </c>
      <c r="D1140" s="85" t="s">
        <v>14</v>
      </c>
      <c r="E1140" s="85">
        <f>ROUNDUP((E1146+E1149)*1.3,0)</f>
        <v>3</v>
      </c>
      <c r="F1140" s="62"/>
      <c r="G1140" s="62"/>
      <c r="H1140" s="62"/>
      <c r="I1140" s="62"/>
      <c r="J1140" s="86"/>
      <c r="K1140" s="62" t="s">
        <v>4</v>
      </c>
      <c r="L1140" s="62" t="s">
        <v>5</v>
      </c>
      <c r="M1140" s="86" t="s">
        <v>6</v>
      </c>
      <c r="N1140" s="86" t="s">
        <v>15</v>
      </c>
      <c r="O1140" s="87">
        <f>VLOOKUP($B1140,BOM!$A$2:$K$94,10,0)</f>
        <v>0</v>
      </c>
      <c r="P1140" s="87">
        <f t="shared" si="48"/>
        <v>0</v>
      </c>
    </row>
    <row r="1141" spans="2:16" s="110" customFormat="1">
      <c r="B1141" s="66" t="s">
        <v>198</v>
      </c>
      <c r="C1141" s="106" t="s">
        <v>199</v>
      </c>
      <c r="D1141" s="89" t="s">
        <v>3</v>
      </c>
      <c r="E1141" s="89">
        <f>H1134</f>
        <v>0</v>
      </c>
      <c r="F1141" s="66"/>
      <c r="G1141" s="66"/>
      <c r="H1141" s="66"/>
      <c r="I1141" s="66"/>
      <c r="J1141" s="107"/>
      <c r="K1141" s="108" t="s">
        <v>4</v>
      </c>
      <c r="L1141" s="108" t="s">
        <v>5</v>
      </c>
      <c r="M1141" s="109" t="s">
        <v>6</v>
      </c>
      <c r="N1141" s="109" t="s">
        <v>15</v>
      </c>
      <c r="O1141" s="87">
        <f>VLOOKUP($B1141,BOM!$A$2:$K$94,10,0)</f>
        <v>0</v>
      </c>
      <c r="P1141" s="87">
        <f t="shared" si="48"/>
        <v>0</v>
      </c>
    </row>
    <row r="1142" spans="2:16" s="111" customFormat="1">
      <c r="B1142" s="66" t="s">
        <v>194</v>
      </c>
      <c r="C1142" s="106" t="s">
        <v>195</v>
      </c>
      <c r="D1142" s="89" t="s">
        <v>14</v>
      </c>
      <c r="E1142" s="89">
        <v>0</v>
      </c>
      <c r="F1142" s="108"/>
      <c r="G1142" s="108"/>
      <c r="H1142" s="108"/>
      <c r="I1142" s="108"/>
      <c r="J1142" s="109"/>
      <c r="K1142" s="108" t="s">
        <v>4</v>
      </c>
      <c r="L1142" s="108" t="s">
        <v>5</v>
      </c>
      <c r="M1142" s="109" t="s">
        <v>6</v>
      </c>
      <c r="N1142" s="109" t="s">
        <v>15</v>
      </c>
      <c r="O1142" s="87">
        <f>VLOOKUP($B1142,BOM!$A$2:$K$94,10,0)</f>
        <v>0</v>
      </c>
      <c r="P1142" s="87">
        <f t="shared" si="48"/>
        <v>0</v>
      </c>
    </row>
    <row r="1143" spans="2:16" s="110" customFormat="1">
      <c r="B1143" s="66" t="s">
        <v>196</v>
      </c>
      <c r="C1143" s="106" t="s">
        <v>197</v>
      </c>
      <c r="D1143" s="89" t="s">
        <v>14</v>
      </c>
      <c r="E1143" s="89">
        <f>H1130/2</f>
        <v>0</v>
      </c>
      <c r="F1143" s="66"/>
      <c r="G1143" s="66"/>
      <c r="H1143" s="66"/>
      <c r="I1143" s="66"/>
      <c r="J1143" s="107"/>
      <c r="K1143" s="108" t="s">
        <v>4</v>
      </c>
      <c r="L1143" s="108" t="s">
        <v>5</v>
      </c>
      <c r="M1143" s="109" t="s">
        <v>6</v>
      </c>
      <c r="N1143" s="109" t="s">
        <v>15</v>
      </c>
      <c r="O1143" s="87">
        <f>VLOOKUP($B1143,BOM!$A$2:$K$94,10,0)</f>
        <v>0</v>
      </c>
      <c r="P1143" s="87">
        <f t="shared" si="48"/>
        <v>0</v>
      </c>
    </row>
    <row r="1144" spans="2:16">
      <c r="B1144" s="81"/>
      <c r="C1144" s="82" t="s">
        <v>26</v>
      </c>
      <c r="D1144" s="72" t="s">
        <v>0</v>
      </c>
      <c r="E1144" s="72">
        <v>1</v>
      </c>
      <c r="F1144" s="72"/>
      <c r="G1144" s="72"/>
      <c r="H1144" s="72"/>
      <c r="I1144" s="72"/>
      <c r="J1144" s="72"/>
      <c r="K1144" s="83"/>
      <c r="L1144" s="83"/>
      <c r="M1144" s="83"/>
      <c r="N1144" s="83"/>
      <c r="O1144" s="87">
        <f>VLOOKUP($B1144,BOM!$A$2:$K$94,10,0)</f>
        <v>0</v>
      </c>
      <c r="P1144" s="87">
        <f t="shared" si="48"/>
        <v>0</v>
      </c>
    </row>
    <row r="1145" spans="2:16" s="45" customFormat="1">
      <c r="B1145" s="41" t="s">
        <v>152</v>
      </c>
      <c r="C1145" s="41" t="s">
        <v>153</v>
      </c>
      <c r="D1145" s="42" t="s">
        <v>64</v>
      </c>
      <c r="E1145" s="43">
        <v>1</v>
      </c>
      <c r="F1145" s="41"/>
      <c r="G1145" s="41"/>
      <c r="H1145" s="41"/>
      <c r="I1145" s="41"/>
      <c r="J1145" s="44">
        <v>1</v>
      </c>
      <c r="K1145" s="41" t="s">
        <v>143</v>
      </c>
      <c r="L1145" s="41" t="s">
        <v>151</v>
      </c>
      <c r="M1145" s="44" t="s">
        <v>144</v>
      </c>
      <c r="N1145" s="44" t="s">
        <v>64</v>
      </c>
      <c r="O1145" s="87">
        <f>VLOOKUP($B1145,BOM!$A$2:$K$94,10,0)</f>
        <v>0</v>
      </c>
      <c r="P1145" s="87">
        <f t="shared" si="48"/>
        <v>0</v>
      </c>
    </row>
    <row r="1146" spans="2:16" s="45" customFormat="1">
      <c r="B1146" s="41" t="s">
        <v>137</v>
      </c>
      <c r="C1146" s="41" t="s">
        <v>138</v>
      </c>
      <c r="D1146" s="42" t="s">
        <v>64</v>
      </c>
      <c r="E1146" s="47">
        <f>E1145</f>
        <v>1</v>
      </c>
      <c r="F1146" s="41"/>
      <c r="G1146" s="41"/>
      <c r="H1146" s="41"/>
      <c r="I1146" s="41"/>
      <c r="J1146" s="44"/>
      <c r="K1146" s="41" t="s">
        <v>143</v>
      </c>
      <c r="L1146" s="41" t="s">
        <v>151</v>
      </c>
      <c r="M1146" s="44" t="s">
        <v>144</v>
      </c>
      <c r="N1146" s="44" t="s">
        <v>64</v>
      </c>
      <c r="O1146" s="87">
        <f>VLOOKUP($B1146,BOM!$A$2:$K$94,10,0)</f>
        <v>0</v>
      </c>
      <c r="P1146" s="87">
        <f t="shared" si="48"/>
        <v>0</v>
      </c>
    </row>
    <row r="1147" spans="2:16" outlineLevel="1">
      <c r="B1147" s="117"/>
      <c r="C1147" s="118" t="s">
        <v>67</v>
      </c>
      <c r="D1147" s="119" t="s">
        <v>0</v>
      </c>
      <c r="E1147" s="120">
        <v>1</v>
      </c>
      <c r="F1147" s="121"/>
      <c r="G1147" s="121"/>
      <c r="H1147" s="121" t="s">
        <v>69</v>
      </c>
      <c r="I1147" s="122"/>
      <c r="J1147" s="122">
        <v>1</v>
      </c>
      <c r="K1147" s="63"/>
      <c r="L1147" s="63"/>
      <c r="M1147" s="63"/>
      <c r="N1147" s="63"/>
      <c r="O1147" s="87">
        <f>VLOOKUP($B1147,BOM!$A$2:$K$94,10,0)</f>
        <v>0</v>
      </c>
      <c r="P1147" s="87">
        <f t="shared" si="48"/>
        <v>0</v>
      </c>
    </row>
    <row r="1148" spans="2:16" outlineLevel="1">
      <c r="B1148" s="117"/>
      <c r="C1148" s="118" t="s">
        <v>70</v>
      </c>
      <c r="D1148" s="119" t="s">
        <v>0</v>
      </c>
      <c r="E1148" s="120">
        <v>1</v>
      </c>
      <c r="F1148" s="121"/>
      <c r="G1148" s="121"/>
      <c r="H1148" s="121" t="s">
        <v>69</v>
      </c>
      <c r="I1148" s="122"/>
      <c r="J1148" s="122">
        <v>1</v>
      </c>
      <c r="K1148" s="63"/>
      <c r="L1148" s="63"/>
      <c r="M1148" s="63"/>
      <c r="N1148" s="63"/>
      <c r="O1148" s="87">
        <f>VLOOKUP($B1148,BOM!$A$2:$K$94,10,0)</f>
        <v>0</v>
      </c>
      <c r="P1148" s="87">
        <f t="shared" si="48"/>
        <v>0</v>
      </c>
    </row>
    <row r="1149" spans="2:16">
      <c r="B1149" s="81"/>
      <c r="C1149" s="82" t="s">
        <v>18</v>
      </c>
      <c r="D1149" s="72" t="s">
        <v>0</v>
      </c>
      <c r="E1149" s="72">
        <v>1</v>
      </c>
      <c r="F1149" s="72"/>
      <c r="G1149" s="72"/>
      <c r="H1149" s="72"/>
      <c r="I1149" s="72"/>
      <c r="J1149" s="72"/>
      <c r="K1149" s="83"/>
      <c r="L1149" s="83"/>
      <c r="M1149" s="83"/>
      <c r="N1149" s="83"/>
      <c r="O1149" s="87">
        <f>VLOOKUP($B1149,BOM!$A$2:$K$94,10,0)</f>
        <v>0</v>
      </c>
      <c r="P1149" s="87">
        <f t="shared" si="48"/>
        <v>0</v>
      </c>
    </row>
    <row r="1150" spans="2:16" s="45" customFormat="1" ht="30">
      <c r="B1150" s="62">
        <v>760237046</v>
      </c>
      <c r="C1150" s="21" t="s">
        <v>19</v>
      </c>
      <c r="D1150" s="85" t="s">
        <v>3</v>
      </c>
      <c r="E1150" s="85">
        <f>E1145</f>
        <v>1</v>
      </c>
      <c r="F1150" s="62"/>
      <c r="G1150" s="62"/>
      <c r="H1150" s="62"/>
      <c r="I1150" s="62"/>
      <c r="J1150" s="86">
        <v>1</v>
      </c>
      <c r="K1150" s="62" t="s">
        <v>4</v>
      </c>
      <c r="L1150" s="62" t="s">
        <v>5</v>
      </c>
      <c r="M1150" s="86" t="s">
        <v>6</v>
      </c>
      <c r="N1150" s="86" t="s">
        <v>3</v>
      </c>
      <c r="O1150" s="87">
        <f>VLOOKUP($B1150,BOM!$A$2:$K$94,10,0)</f>
        <v>0</v>
      </c>
      <c r="P1150" s="87">
        <f t="shared" si="48"/>
        <v>0</v>
      </c>
    </row>
    <row r="1151" spans="2:16" s="45" customFormat="1" ht="30">
      <c r="B1151" s="62" t="s">
        <v>23</v>
      </c>
      <c r="C1151" s="21" t="s">
        <v>24</v>
      </c>
      <c r="D1151" s="85" t="s">
        <v>3</v>
      </c>
      <c r="E1151" s="85">
        <f>E1150*24</f>
        <v>24</v>
      </c>
      <c r="F1151" s="62"/>
      <c r="G1151" s="62"/>
      <c r="H1151" s="62"/>
      <c r="I1151" s="62"/>
      <c r="J1151" s="86"/>
      <c r="K1151" s="62" t="s">
        <v>25</v>
      </c>
      <c r="L1151" s="62" t="s">
        <v>5</v>
      </c>
      <c r="M1151" s="86" t="s">
        <v>6</v>
      </c>
      <c r="N1151" s="86" t="s">
        <v>3</v>
      </c>
      <c r="O1151" s="87">
        <f>VLOOKUP($B1151,BOM!$A$2:$K$94,10,0)</f>
        <v>0</v>
      </c>
      <c r="P1151" s="87">
        <f t="shared" si="48"/>
        <v>0</v>
      </c>
    </row>
    <row r="1152" spans="2:16" s="45" customFormat="1">
      <c r="B1152" s="62" t="s">
        <v>20</v>
      </c>
      <c r="C1152" s="21" t="s">
        <v>21</v>
      </c>
      <c r="D1152" s="85" t="s">
        <v>3</v>
      </c>
      <c r="E1152" s="85">
        <f>E1150</f>
        <v>1</v>
      </c>
      <c r="F1152" s="62"/>
      <c r="G1152" s="62"/>
      <c r="H1152" s="62"/>
      <c r="I1152" s="62"/>
      <c r="J1152" s="86">
        <v>1</v>
      </c>
      <c r="K1152" s="62" t="s">
        <v>4</v>
      </c>
      <c r="L1152" s="62" t="s">
        <v>5</v>
      </c>
      <c r="M1152" s="86" t="s">
        <v>22</v>
      </c>
      <c r="N1152" s="86" t="s">
        <v>3</v>
      </c>
      <c r="O1152" s="87">
        <f>VLOOKUP($B1152,BOM!$A$2:$K$94,10,0)</f>
        <v>0</v>
      </c>
      <c r="P1152" s="87">
        <f t="shared" si="48"/>
        <v>0</v>
      </c>
    </row>
    <row r="1153" spans="2:16">
      <c r="B1153" s="81"/>
      <c r="C1153" s="82" t="s">
        <v>71</v>
      </c>
      <c r="D1153" s="72" t="s">
        <v>0</v>
      </c>
      <c r="E1153" s="72">
        <v>1</v>
      </c>
      <c r="F1153" s="72"/>
      <c r="G1153" s="72"/>
      <c r="H1153" s="72"/>
      <c r="I1153" s="72"/>
      <c r="J1153" s="72"/>
      <c r="K1153" s="83"/>
      <c r="L1153" s="83"/>
      <c r="M1153" s="83"/>
      <c r="N1153" s="83"/>
      <c r="O1153" s="87">
        <f>VLOOKUP($B1153,BOM!$A$2:$K$94,10,0)</f>
        <v>0</v>
      </c>
      <c r="P1153" s="87">
        <f t="shared" si="48"/>
        <v>0</v>
      </c>
    </row>
    <row r="1154" spans="2:16" s="45" customFormat="1">
      <c r="B1154" s="62" t="s">
        <v>312</v>
      </c>
      <c r="C1154" s="21" t="s">
        <v>315</v>
      </c>
      <c r="D1154" s="116" t="s">
        <v>51</v>
      </c>
      <c r="E1154" s="85">
        <v>1</v>
      </c>
      <c r="F1154" s="62"/>
      <c r="G1154" s="62"/>
      <c r="H1154" s="62"/>
      <c r="I1154" s="62"/>
      <c r="J1154" s="86">
        <f>E1154*6</f>
        <v>6</v>
      </c>
      <c r="K1154" s="62"/>
      <c r="L1154" s="62" t="s">
        <v>5</v>
      </c>
      <c r="M1154" s="86" t="s">
        <v>28</v>
      </c>
      <c r="N1154" s="86" t="s">
        <v>3</v>
      </c>
      <c r="O1154" s="87">
        <f>VLOOKUP($B1154,BOM!$A$2:$K$94,10,0)</f>
        <v>0</v>
      </c>
      <c r="P1154" s="87">
        <f t="shared" si="48"/>
        <v>0</v>
      </c>
    </row>
    <row r="1155" spans="2:16" s="45" customFormat="1">
      <c r="B1155" s="62"/>
      <c r="C1155" s="21"/>
      <c r="D1155" s="116"/>
      <c r="E1155" s="85"/>
      <c r="F1155" s="62"/>
      <c r="G1155" s="62"/>
      <c r="H1155" s="62"/>
      <c r="I1155" s="62"/>
      <c r="J1155" s="86"/>
      <c r="K1155" s="62"/>
      <c r="L1155" s="62"/>
      <c r="M1155" s="86"/>
      <c r="N1155" s="86"/>
      <c r="O1155" s="87">
        <f>VLOOKUP($B1155,BOM!$A$2:$K$94,10,0)</f>
        <v>0</v>
      </c>
      <c r="P1155" s="87">
        <f t="shared" si="48"/>
        <v>0</v>
      </c>
    </row>
    <row r="1156" spans="2:16" s="45" customFormat="1">
      <c r="B1156" s="62" t="s">
        <v>225</v>
      </c>
      <c r="C1156" s="21" t="s">
        <v>72</v>
      </c>
      <c r="D1156" s="116" t="s">
        <v>64</v>
      </c>
      <c r="E1156" s="85">
        <v>0</v>
      </c>
      <c r="F1156" s="62"/>
      <c r="G1156" s="62"/>
      <c r="H1156" s="62"/>
      <c r="I1156" s="62"/>
      <c r="J1156" s="86"/>
      <c r="K1156" s="62"/>
      <c r="L1156" s="62" t="s">
        <v>5</v>
      </c>
      <c r="M1156" s="86" t="s">
        <v>28</v>
      </c>
      <c r="N1156" s="86" t="s">
        <v>3</v>
      </c>
      <c r="O1156" s="87">
        <f>VLOOKUP($B1156,BOM!$A$2:$K$94,10,0)</f>
        <v>0</v>
      </c>
      <c r="P1156" s="87">
        <f t="shared" ref="P1156:P1219" si="50">O1156*E1156</f>
        <v>0</v>
      </c>
    </row>
    <row r="1157" spans="2:16">
      <c r="B1157" s="81"/>
      <c r="C1157" s="82" t="s">
        <v>31</v>
      </c>
      <c r="D1157" s="72" t="s">
        <v>0</v>
      </c>
      <c r="E1157" s="72">
        <v>1</v>
      </c>
      <c r="F1157" s="72"/>
      <c r="G1157" s="72"/>
      <c r="H1157" s="72"/>
      <c r="I1157" s="72"/>
      <c r="J1157" s="72"/>
      <c r="K1157" s="83"/>
      <c r="L1157" s="83"/>
      <c r="M1157" s="83"/>
      <c r="N1157" s="83"/>
      <c r="O1157" s="87">
        <f>VLOOKUP($B1157,BOM!$A$2:$K$94,10,0)</f>
        <v>0</v>
      </c>
      <c r="P1157" s="87">
        <f t="shared" si="50"/>
        <v>0</v>
      </c>
    </row>
    <row r="1158" spans="2:16">
      <c r="B1158" s="81"/>
      <c r="C1158" s="82" t="s">
        <v>32</v>
      </c>
      <c r="D1158" s="72"/>
      <c r="E1158" s="72"/>
      <c r="F1158" s="72"/>
      <c r="G1158" s="72"/>
      <c r="H1158" s="72"/>
      <c r="I1158" s="72"/>
      <c r="J1158" s="72"/>
      <c r="K1158" s="83"/>
      <c r="L1158" s="83"/>
      <c r="M1158" s="83"/>
      <c r="N1158" s="83"/>
      <c r="O1158" s="87">
        <f>VLOOKUP($B1158,BOM!$A$2:$K$94,10,0)</f>
        <v>0</v>
      </c>
      <c r="P1158" s="87">
        <f t="shared" si="50"/>
        <v>0</v>
      </c>
    </row>
    <row r="1159" spans="2:16" s="45" customFormat="1" ht="20.45" customHeight="1">
      <c r="B1159" s="62" t="s">
        <v>33</v>
      </c>
      <c r="C1159" s="21" t="s">
        <v>34</v>
      </c>
      <c r="D1159" s="85" t="s">
        <v>3</v>
      </c>
      <c r="E1159" s="90">
        <f>E1160</f>
        <v>0</v>
      </c>
      <c r="F1159" s="62"/>
      <c r="G1159" s="62"/>
      <c r="H1159" s="62"/>
      <c r="I1159" s="62"/>
      <c r="J1159" s="86"/>
      <c r="K1159" s="62" t="s">
        <v>35</v>
      </c>
      <c r="L1159" s="62" t="s">
        <v>5</v>
      </c>
      <c r="M1159" s="86" t="s">
        <v>6</v>
      </c>
      <c r="N1159" s="86" t="s">
        <v>3</v>
      </c>
      <c r="O1159" s="87">
        <f>VLOOKUP($B1159,BOM!$A$2:$K$94,10,0)</f>
        <v>0</v>
      </c>
      <c r="P1159" s="87">
        <f t="shared" si="50"/>
        <v>0</v>
      </c>
    </row>
    <row r="1160" spans="2:16" s="45" customFormat="1">
      <c r="B1160" s="62" t="s">
        <v>330</v>
      </c>
      <c r="C1160" s="21" t="s">
        <v>36</v>
      </c>
      <c r="D1160" s="85" t="s">
        <v>3</v>
      </c>
      <c r="E1160" s="90">
        <f>G1158+H1158</f>
        <v>0</v>
      </c>
      <c r="F1160" s="62"/>
      <c r="G1160" s="62"/>
      <c r="H1160" s="62"/>
      <c r="I1160" s="62"/>
      <c r="J1160" s="86"/>
      <c r="K1160" s="62" t="s">
        <v>37</v>
      </c>
      <c r="L1160" s="62" t="s">
        <v>5</v>
      </c>
      <c r="M1160" s="86" t="s">
        <v>37</v>
      </c>
      <c r="N1160" s="86" t="s">
        <v>3</v>
      </c>
      <c r="O1160" s="87">
        <f>VLOOKUP($B1160,BOM!$A$2:$K$94,10,0)</f>
        <v>0</v>
      </c>
      <c r="P1160" s="87">
        <f t="shared" si="50"/>
        <v>0</v>
      </c>
    </row>
    <row r="1161" spans="2:16" s="45" customFormat="1" ht="30">
      <c r="B1161" s="62" t="s">
        <v>38</v>
      </c>
      <c r="C1161" s="21" t="s">
        <v>39</v>
      </c>
      <c r="D1161" s="85" t="s">
        <v>3</v>
      </c>
      <c r="E1161" s="90">
        <f>E1160</f>
        <v>0</v>
      </c>
      <c r="F1161" s="62"/>
      <c r="G1161" s="62"/>
      <c r="H1161" s="62"/>
      <c r="I1161" s="62"/>
      <c r="J1161" s="86"/>
      <c r="K1161" s="62" t="s">
        <v>25</v>
      </c>
      <c r="L1161" s="62" t="s">
        <v>5</v>
      </c>
      <c r="M1161" s="86" t="s">
        <v>6</v>
      </c>
      <c r="N1161" s="86" t="s">
        <v>3</v>
      </c>
      <c r="O1161" s="87">
        <f>VLOOKUP($B1161,BOM!$A$2:$K$94,10,0)</f>
        <v>0</v>
      </c>
      <c r="P1161" s="87">
        <f t="shared" si="50"/>
        <v>0</v>
      </c>
    </row>
    <row r="1162" spans="2:16">
      <c r="B1162" s="81"/>
      <c r="C1162" s="82" t="s">
        <v>40</v>
      </c>
      <c r="D1162" s="72"/>
      <c r="E1162" s="72"/>
      <c r="F1162" s="72"/>
      <c r="G1162" s="72"/>
      <c r="H1162" s="72">
        <v>18</v>
      </c>
      <c r="I1162" s="72"/>
      <c r="J1162" s="72"/>
      <c r="K1162" s="83"/>
      <c r="L1162" s="83"/>
      <c r="M1162" s="83"/>
      <c r="N1162" s="83"/>
      <c r="O1162" s="87">
        <f>VLOOKUP($B1162,BOM!$A$2:$K$94,10,0)</f>
        <v>0</v>
      </c>
      <c r="P1162" s="87">
        <f t="shared" si="50"/>
        <v>0</v>
      </c>
    </row>
    <row r="1163" spans="2:16" s="45" customFormat="1">
      <c r="B1163" s="62" t="s">
        <v>41</v>
      </c>
      <c r="C1163" s="21" t="s">
        <v>42</v>
      </c>
      <c r="D1163" s="85" t="s">
        <v>3</v>
      </c>
      <c r="E1163" s="85">
        <f>G1162+H1162</f>
        <v>18</v>
      </c>
      <c r="F1163" s="62"/>
      <c r="G1163" s="62"/>
      <c r="H1163" s="62"/>
      <c r="I1163" s="62"/>
      <c r="J1163" s="86"/>
      <c r="K1163" s="62" t="s">
        <v>4</v>
      </c>
      <c r="L1163" s="62" t="s">
        <v>5</v>
      </c>
      <c r="M1163" s="86" t="s">
        <v>6</v>
      </c>
      <c r="N1163" s="86" t="s">
        <v>3</v>
      </c>
      <c r="O1163" s="87">
        <f>VLOOKUP($B1163,BOM!$A$2:$K$94,10,0)</f>
        <v>0</v>
      </c>
      <c r="P1163" s="87">
        <f t="shared" si="50"/>
        <v>0</v>
      </c>
    </row>
    <row r="1164" spans="2:16" s="45" customFormat="1">
      <c r="B1164" s="65" t="s">
        <v>43</v>
      </c>
      <c r="C1164" s="103" t="s">
        <v>44</v>
      </c>
      <c r="D1164" s="85" t="s">
        <v>3</v>
      </c>
      <c r="E1164" s="85">
        <f>E1163</f>
        <v>18</v>
      </c>
      <c r="F1164" s="62"/>
      <c r="G1164" s="62"/>
      <c r="H1164" s="62"/>
      <c r="I1164" s="62"/>
      <c r="J1164" s="86"/>
      <c r="K1164" s="62" t="s">
        <v>4</v>
      </c>
      <c r="L1164" s="62" t="s">
        <v>5</v>
      </c>
      <c r="M1164" s="86" t="s">
        <v>6</v>
      </c>
      <c r="N1164" s="86" t="s">
        <v>3</v>
      </c>
      <c r="O1164" s="87">
        <f>VLOOKUP($B1164,BOM!$A$2:$K$94,10,0)</f>
        <v>0</v>
      </c>
      <c r="P1164" s="87">
        <f t="shared" si="50"/>
        <v>0</v>
      </c>
    </row>
    <row r="1165" spans="2:16">
      <c r="B1165" s="81"/>
      <c r="C1165" s="82" t="s">
        <v>45</v>
      </c>
      <c r="D1165" s="72"/>
      <c r="E1165" s="72"/>
      <c r="F1165" s="72"/>
      <c r="G1165" s="72"/>
      <c r="H1165" s="72"/>
      <c r="I1165" s="72"/>
      <c r="J1165" s="72"/>
      <c r="K1165" s="83"/>
      <c r="L1165" s="83"/>
      <c r="M1165" s="83"/>
      <c r="N1165" s="83"/>
      <c r="O1165" s="87">
        <f>VLOOKUP($B1165,BOM!$A$2:$K$94,10,0)</f>
        <v>0</v>
      </c>
      <c r="P1165" s="87">
        <f t="shared" si="50"/>
        <v>0</v>
      </c>
    </row>
    <row r="1166" spans="2:16" s="45" customFormat="1" ht="30">
      <c r="B1166" s="62" t="s">
        <v>48</v>
      </c>
      <c r="C1166" s="21" t="s">
        <v>49</v>
      </c>
      <c r="D1166" s="85" t="s">
        <v>14</v>
      </c>
      <c r="E1166" s="85">
        <f>E1163+1</f>
        <v>19</v>
      </c>
      <c r="F1166" s="62"/>
      <c r="G1166" s="62"/>
      <c r="H1166" s="62"/>
      <c r="I1166" s="62"/>
      <c r="J1166" s="86"/>
      <c r="K1166" s="62"/>
      <c r="L1166" s="62" t="s">
        <v>5</v>
      </c>
      <c r="M1166" s="86" t="s">
        <v>6</v>
      </c>
      <c r="N1166" s="86" t="s">
        <v>15</v>
      </c>
      <c r="O1166" s="87">
        <f>VLOOKUP($B1166,BOM!$A$2:$K$94,10,0)</f>
        <v>0</v>
      </c>
      <c r="P1166" s="87">
        <f t="shared" si="50"/>
        <v>0</v>
      </c>
    </row>
    <row r="1167" spans="2:16" s="45" customFormat="1" ht="30">
      <c r="B1167" s="62" t="s">
        <v>48</v>
      </c>
      <c r="C1167" s="21" t="s">
        <v>49</v>
      </c>
      <c r="D1167" s="85" t="s">
        <v>14</v>
      </c>
      <c r="E1167" s="90">
        <f>ROUNDUP(E1166*0.2,0)</f>
        <v>4</v>
      </c>
      <c r="F1167" s="62"/>
      <c r="G1167" s="62"/>
      <c r="H1167" s="62"/>
      <c r="I1167" s="62"/>
      <c r="J1167" s="86"/>
      <c r="K1167" s="62" t="s">
        <v>4</v>
      </c>
      <c r="L1167" s="62" t="s">
        <v>5</v>
      </c>
      <c r="M1167" s="86" t="s">
        <v>6</v>
      </c>
      <c r="N1167" s="86" t="s">
        <v>15</v>
      </c>
      <c r="O1167" s="87">
        <f>VLOOKUP($B1167,BOM!$A$2:$K$94,10,0)</f>
        <v>0</v>
      </c>
      <c r="P1167" s="87">
        <f t="shared" si="50"/>
        <v>0</v>
      </c>
    </row>
    <row r="1168" spans="2:16">
      <c r="B1168" s="81"/>
      <c r="C1168" s="82" t="s">
        <v>50</v>
      </c>
      <c r="D1168" s="72"/>
      <c r="E1168" s="72"/>
      <c r="F1168" s="72"/>
      <c r="G1168" s="72"/>
      <c r="H1168" s="72"/>
      <c r="I1168" s="72"/>
      <c r="J1168" s="72"/>
      <c r="K1168" s="83"/>
      <c r="L1168" s="83"/>
      <c r="M1168" s="83"/>
      <c r="N1168" s="83"/>
      <c r="O1168" s="87">
        <f>VLOOKUP($B1168,BOM!$A$2:$K$94,10,0)</f>
        <v>0</v>
      </c>
      <c r="P1168" s="87">
        <f t="shared" si="50"/>
        <v>0</v>
      </c>
    </row>
    <row r="1169" spans="1:16" s="45" customFormat="1">
      <c r="B1169" s="62" t="s">
        <v>332</v>
      </c>
      <c r="C1169" s="21" t="s">
        <v>332</v>
      </c>
      <c r="D1169" s="85" t="s">
        <v>51</v>
      </c>
      <c r="E1169" s="85">
        <f>E1154</f>
        <v>1</v>
      </c>
      <c r="F1169" s="62"/>
      <c r="G1169" s="62"/>
      <c r="H1169" s="62"/>
      <c r="I1169" s="62"/>
      <c r="J1169" s="86"/>
      <c r="K1169" s="62"/>
      <c r="L1169" s="62"/>
      <c r="M1169" s="86"/>
      <c r="N1169" s="86" t="s">
        <v>51</v>
      </c>
      <c r="O1169" s="87">
        <f>VLOOKUP($B1169,BOM!$A$2:$K$94,10,0)</f>
        <v>0</v>
      </c>
      <c r="P1169" s="87">
        <f t="shared" si="50"/>
        <v>0</v>
      </c>
    </row>
    <row r="1170" spans="1:16" s="45" customFormat="1">
      <c r="B1170" s="62" t="s">
        <v>52</v>
      </c>
      <c r="C1170" s="21" t="s">
        <v>53</v>
      </c>
      <c r="D1170" s="86" t="s">
        <v>54</v>
      </c>
      <c r="E1170" s="105">
        <f>E1167+E1166</f>
        <v>23</v>
      </c>
      <c r="F1170" s="62"/>
      <c r="G1170" s="62"/>
      <c r="H1170" s="62"/>
      <c r="I1170" s="62"/>
      <c r="J1170" s="86"/>
      <c r="K1170" s="62"/>
      <c r="L1170" s="62"/>
      <c r="M1170" s="86" t="s">
        <v>55</v>
      </c>
      <c r="N1170" s="86" t="s">
        <v>54</v>
      </c>
      <c r="O1170" s="87">
        <f>VLOOKUP($B1170,BOM!$A$2:$K$94,10,0)</f>
        <v>0</v>
      </c>
      <c r="P1170" s="87">
        <f t="shared" si="50"/>
        <v>0</v>
      </c>
    </row>
    <row r="1171" spans="1:16" s="45" customFormat="1" ht="30">
      <c r="B1171" s="62" t="s">
        <v>56</v>
      </c>
      <c r="C1171" s="21" t="s">
        <v>57</v>
      </c>
      <c r="D1171" s="86" t="s">
        <v>14</v>
      </c>
      <c r="E1171" s="105">
        <f>E1139</f>
        <v>4</v>
      </c>
      <c r="F1171" s="62"/>
      <c r="G1171" s="62"/>
      <c r="H1171" s="62"/>
      <c r="I1171" s="62"/>
      <c r="J1171" s="86"/>
      <c r="K1171" s="62"/>
      <c r="L1171" s="62"/>
      <c r="M1171" s="86" t="s">
        <v>55</v>
      </c>
      <c r="N1171" s="86" t="s">
        <v>14</v>
      </c>
      <c r="O1171" s="87">
        <f>VLOOKUP($B1171,BOM!$A$2:$K$94,10,0)</f>
        <v>0</v>
      </c>
      <c r="P1171" s="87">
        <f t="shared" si="50"/>
        <v>0</v>
      </c>
    </row>
    <row r="1172" spans="1:16" s="45" customFormat="1" ht="30">
      <c r="B1172" s="62" t="s">
        <v>58</v>
      </c>
      <c r="C1172" s="21" t="s">
        <v>59</v>
      </c>
      <c r="D1172" s="86" t="s">
        <v>60</v>
      </c>
      <c r="E1172" s="105">
        <f>E1171*2</f>
        <v>8</v>
      </c>
      <c r="F1172" s="62"/>
      <c r="G1172" s="62"/>
      <c r="H1172" s="62"/>
      <c r="I1172" s="62"/>
      <c r="J1172" s="86"/>
      <c r="K1172" s="62"/>
      <c r="L1172" s="62"/>
      <c r="M1172" s="86" t="s">
        <v>61</v>
      </c>
      <c r="N1172" s="86" t="s">
        <v>60</v>
      </c>
      <c r="O1172" s="87">
        <f>VLOOKUP($B1172,BOM!$A$2:$K$94,10,0)</f>
        <v>0</v>
      </c>
      <c r="P1172" s="87">
        <f t="shared" si="50"/>
        <v>0</v>
      </c>
    </row>
    <row r="1173" spans="1:16" s="45" customFormat="1" ht="45">
      <c r="B1173" s="62" t="s">
        <v>62</v>
      </c>
      <c r="C1173" s="21" t="s">
        <v>63</v>
      </c>
      <c r="D1173" s="86" t="s">
        <v>64</v>
      </c>
      <c r="E1173" s="105">
        <f>E1150</f>
        <v>1</v>
      </c>
      <c r="F1173" s="62"/>
      <c r="G1173" s="62"/>
      <c r="H1173" s="62"/>
      <c r="I1173" s="62"/>
      <c r="J1173" s="86"/>
      <c r="K1173" s="62"/>
      <c r="L1173" s="62"/>
      <c r="M1173" s="86" t="s">
        <v>61</v>
      </c>
      <c r="N1173" s="86" t="s">
        <v>64</v>
      </c>
      <c r="O1173" s="87">
        <f>VLOOKUP($B1173,BOM!$A$2:$K$94,10,0)</f>
        <v>0</v>
      </c>
      <c r="P1173" s="87">
        <f t="shared" si="50"/>
        <v>0</v>
      </c>
    </row>
    <row r="1174" spans="1:16">
      <c r="A1174" s="35">
        <v>25</v>
      </c>
      <c r="B1174" s="36"/>
      <c r="C1174" s="37" t="s">
        <v>95</v>
      </c>
      <c r="D1174" s="38" t="s">
        <v>0</v>
      </c>
      <c r="E1174" s="36">
        <v>1</v>
      </c>
      <c r="F1174" s="36"/>
      <c r="G1174" s="36">
        <v>8</v>
      </c>
      <c r="H1174" s="36">
        <v>0</v>
      </c>
      <c r="I1174" s="36"/>
      <c r="J1174" s="36">
        <f>SUBTOTAL(9,J1177:J1201)</f>
        <v>9</v>
      </c>
      <c r="K1174" s="39"/>
      <c r="L1174" s="39"/>
      <c r="M1174" s="39"/>
      <c r="N1174" s="39"/>
      <c r="O1174" s="87">
        <f>VLOOKUP($B1174,BOM!$A$2:$K$94,10,0)</f>
        <v>0</v>
      </c>
      <c r="P1174" s="87">
        <f t="shared" si="50"/>
        <v>0</v>
      </c>
    </row>
    <row r="1175" spans="1:16">
      <c r="B1175" s="81"/>
      <c r="C1175" s="82" t="s">
        <v>124</v>
      </c>
      <c r="D1175" s="72" t="s">
        <v>0</v>
      </c>
      <c r="E1175" s="72">
        <v>1</v>
      </c>
      <c r="F1175" s="72"/>
      <c r="G1175" s="72"/>
      <c r="H1175" s="72"/>
      <c r="I1175" s="72"/>
      <c r="J1175" s="72"/>
      <c r="K1175" s="83"/>
      <c r="L1175" s="83"/>
      <c r="M1175" s="83"/>
      <c r="N1175" s="83"/>
      <c r="O1175" s="87">
        <f>VLOOKUP($B1175,BOM!$A$2:$K$94,10,0)</f>
        <v>0</v>
      </c>
      <c r="P1175" s="87">
        <f t="shared" si="50"/>
        <v>0</v>
      </c>
    </row>
    <row r="1176" spans="1:16" s="19" customFormat="1">
      <c r="B1176" s="2" t="s">
        <v>310</v>
      </c>
      <c r="C1176" s="2" t="s">
        <v>311</v>
      </c>
      <c r="D1176" s="21"/>
      <c r="E1176" s="22">
        <v>1</v>
      </c>
      <c r="F1176" s="21"/>
      <c r="G1176" s="21"/>
      <c r="H1176" s="21"/>
      <c r="I1176" s="21"/>
      <c r="J1176" s="22"/>
      <c r="K1176" s="21" t="s">
        <v>4</v>
      </c>
      <c r="L1176" s="21" t="s">
        <v>203</v>
      </c>
      <c r="M1176" s="22" t="s">
        <v>22</v>
      </c>
      <c r="N1176" s="22" t="s">
        <v>3</v>
      </c>
      <c r="O1176" s="87">
        <f>VLOOKUP($B1176,BOM!$A$2:$K$94,10,0)</f>
        <v>0</v>
      </c>
      <c r="P1176" s="87">
        <f t="shared" si="50"/>
        <v>0</v>
      </c>
    </row>
    <row r="1177" spans="1:16" s="19" customFormat="1">
      <c r="B1177" s="21" t="s">
        <v>122</v>
      </c>
      <c r="C1177" s="21" t="s">
        <v>123</v>
      </c>
      <c r="D1177" s="21"/>
      <c r="E1177" s="22">
        <v>1</v>
      </c>
      <c r="F1177" s="21"/>
      <c r="G1177" s="21"/>
      <c r="H1177" s="21"/>
      <c r="I1177" s="21"/>
      <c r="J1177" s="22">
        <v>1</v>
      </c>
      <c r="K1177" s="21" t="s">
        <v>4</v>
      </c>
      <c r="L1177" s="21" t="s">
        <v>5</v>
      </c>
      <c r="M1177" s="22" t="s">
        <v>22</v>
      </c>
      <c r="N1177" s="22" t="s">
        <v>3</v>
      </c>
      <c r="O1177" s="87">
        <f>VLOOKUP($B1177,BOM!$A$2:$K$94,10,0)</f>
        <v>0</v>
      </c>
      <c r="P1177" s="87">
        <f t="shared" si="50"/>
        <v>0</v>
      </c>
    </row>
    <row r="1178" spans="1:16">
      <c r="B1178" s="81"/>
      <c r="C1178" s="82" t="s">
        <v>1</v>
      </c>
      <c r="D1178" s="72" t="s">
        <v>0</v>
      </c>
      <c r="E1178" s="72">
        <v>1</v>
      </c>
      <c r="F1178" s="72"/>
      <c r="G1178" s="72">
        <f>ROUNDUP(G1174/24,0)</f>
        <v>1</v>
      </c>
      <c r="H1178" s="72">
        <f t="shared" ref="H1178" si="51">ROUNDUP(H1174/24,0)</f>
        <v>0</v>
      </c>
      <c r="I1178" s="72"/>
      <c r="J1178" s="72"/>
      <c r="K1178" s="83"/>
      <c r="L1178" s="83"/>
      <c r="M1178" s="83"/>
      <c r="N1178" s="83"/>
      <c r="O1178" s="87">
        <f>VLOOKUP($B1178,BOM!$A$2:$K$94,10,0)</f>
        <v>0</v>
      </c>
      <c r="P1178" s="87">
        <f t="shared" si="50"/>
        <v>0</v>
      </c>
    </row>
    <row r="1179" spans="1:16" s="45" customFormat="1">
      <c r="B1179" s="62">
        <v>760249997</v>
      </c>
      <c r="C1179" s="21" t="s">
        <v>2</v>
      </c>
      <c r="D1179" s="85" t="s">
        <v>3</v>
      </c>
      <c r="E1179" s="85">
        <f>ROUNDUP(E1181/3,0)</f>
        <v>1</v>
      </c>
      <c r="F1179" s="62"/>
      <c r="G1179" s="62"/>
      <c r="H1179" s="62"/>
      <c r="I1179" s="62"/>
      <c r="J1179" s="86">
        <v>1</v>
      </c>
      <c r="K1179" s="62" t="s">
        <v>4</v>
      </c>
      <c r="L1179" s="62" t="s">
        <v>5</v>
      </c>
      <c r="M1179" s="86" t="s">
        <v>6</v>
      </c>
      <c r="N1179" s="86" t="s">
        <v>3</v>
      </c>
      <c r="O1179" s="87">
        <f>VLOOKUP($B1179,BOM!$A$2:$K$94,10,0)</f>
        <v>0</v>
      </c>
      <c r="P1179" s="87">
        <f t="shared" si="50"/>
        <v>0</v>
      </c>
    </row>
    <row r="1180" spans="1:16" s="45" customFormat="1">
      <c r="B1180" s="62">
        <v>760241378</v>
      </c>
      <c r="C1180" s="21" t="s">
        <v>7</v>
      </c>
      <c r="D1180" s="85" t="s">
        <v>3</v>
      </c>
      <c r="E1180" s="85">
        <f>IF(E1181&lt;=2,1,ROUNDUP(E1179*1.5,0))</f>
        <v>1</v>
      </c>
      <c r="F1180" s="62"/>
      <c r="G1180" s="62"/>
      <c r="H1180" s="62"/>
      <c r="I1180" s="62"/>
      <c r="J1180" s="86"/>
      <c r="K1180" s="62" t="s">
        <v>4</v>
      </c>
      <c r="L1180" s="62" t="s">
        <v>5</v>
      </c>
      <c r="M1180" s="86" t="s">
        <v>6</v>
      </c>
      <c r="N1180" s="86" t="s">
        <v>3</v>
      </c>
      <c r="O1180" s="87">
        <f>VLOOKUP($B1180,BOM!$A$2:$K$94,10,0)</f>
        <v>0</v>
      </c>
      <c r="P1180" s="87">
        <f t="shared" si="50"/>
        <v>0</v>
      </c>
    </row>
    <row r="1181" spans="1:16" s="45" customFormat="1">
      <c r="B1181" s="62" t="s">
        <v>8</v>
      </c>
      <c r="C1181" s="21" t="s">
        <v>9</v>
      </c>
      <c r="D1181" s="85" t="s">
        <v>3</v>
      </c>
      <c r="E1181" s="85">
        <f>SUM(G1178:I1178)</f>
        <v>1</v>
      </c>
      <c r="F1181" s="62"/>
      <c r="G1181" s="62"/>
      <c r="H1181" s="62"/>
      <c r="I1181" s="62"/>
      <c r="J1181" s="86"/>
      <c r="K1181" s="62" t="s">
        <v>4</v>
      </c>
      <c r="L1181" s="62" t="s">
        <v>5</v>
      </c>
      <c r="M1181" s="86" t="s">
        <v>6</v>
      </c>
      <c r="N1181" s="86" t="s">
        <v>3</v>
      </c>
      <c r="O1181" s="87">
        <f>VLOOKUP($B1181,BOM!$A$2:$K$94,10,0)</f>
        <v>0</v>
      </c>
      <c r="P1181" s="87">
        <f t="shared" si="50"/>
        <v>0</v>
      </c>
    </row>
    <row r="1182" spans="1:16" s="45" customFormat="1">
      <c r="B1182" s="62" t="s">
        <v>10</v>
      </c>
      <c r="C1182" s="21" t="s">
        <v>11</v>
      </c>
      <c r="D1182" s="85" t="s">
        <v>3</v>
      </c>
      <c r="E1182" s="85">
        <f>E1179*3-E1181</f>
        <v>2</v>
      </c>
      <c r="F1182" s="62"/>
      <c r="G1182" s="62"/>
      <c r="H1182" s="62"/>
      <c r="I1182" s="62"/>
      <c r="J1182" s="86"/>
      <c r="K1182" s="62" t="s">
        <v>4</v>
      </c>
      <c r="L1182" s="62" t="s">
        <v>5</v>
      </c>
      <c r="M1182" s="86" t="s">
        <v>6</v>
      </c>
      <c r="N1182" s="86" t="s">
        <v>3</v>
      </c>
      <c r="O1182" s="87">
        <f>VLOOKUP($B1182,BOM!$A$2:$K$94,10,0)</f>
        <v>0</v>
      </c>
      <c r="P1182" s="87">
        <f t="shared" si="50"/>
        <v>0</v>
      </c>
    </row>
    <row r="1183" spans="1:16" s="45" customFormat="1">
      <c r="B1183" s="62" t="s">
        <v>12</v>
      </c>
      <c r="C1183" s="21" t="s">
        <v>13</v>
      </c>
      <c r="D1183" s="85" t="s">
        <v>14</v>
      </c>
      <c r="E1183" s="90">
        <f>SUM(G1174:I1174)/2</f>
        <v>4</v>
      </c>
      <c r="F1183" s="62"/>
      <c r="G1183" s="62"/>
      <c r="H1183" s="62"/>
      <c r="I1183" s="62"/>
      <c r="J1183" s="86"/>
      <c r="K1183" s="62" t="s">
        <v>4</v>
      </c>
      <c r="L1183" s="62" t="s">
        <v>5</v>
      </c>
      <c r="M1183" s="86" t="s">
        <v>6</v>
      </c>
      <c r="N1183" s="86" t="s">
        <v>15</v>
      </c>
      <c r="O1183" s="87">
        <f>VLOOKUP($B1183,BOM!$A$2:$K$94,10,0)</f>
        <v>0</v>
      </c>
      <c r="P1183" s="87">
        <f t="shared" si="50"/>
        <v>0</v>
      </c>
    </row>
    <row r="1184" spans="1:16" s="45" customFormat="1" ht="30">
      <c r="B1184" s="62" t="s">
        <v>16</v>
      </c>
      <c r="C1184" s="21" t="s">
        <v>17</v>
      </c>
      <c r="D1184" s="85" t="s">
        <v>14</v>
      </c>
      <c r="E1184" s="85">
        <f>ROUNDUP((E1190+E1193)*1.3,0)</f>
        <v>3</v>
      </c>
      <c r="F1184" s="62"/>
      <c r="G1184" s="62"/>
      <c r="H1184" s="62"/>
      <c r="I1184" s="62"/>
      <c r="J1184" s="86"/>
      <c r="K1184" s="62" t="s">
        <v>4</v>
      </c>
      <c r="L1184" s="62" t="s">
        <v>5</v>
      </c>
      <c r="M1184" s="86" t="s">
        <v>6</v>
      </c>
      <c r="N1184" s="86" t="s">
        <v>15</v>
      </c>
      <c r="O1184" s="87">
        <f>VLOOKUP($B1184,BOM!$A$2:$K$94,10,0)</f>
        <v>0</v>
      </c>
      <c r="P1184" s="87">
        <f t="shared" si="50"/>
        <v>0</v>
      </c>
    </row>
    <row r="1185" spans="2:16" s="110" customFormat="1">
      <c r="B1185" s="66" t="s">
        <v>198</v>
      </c>
      <c r="C1185" s="106" t="s">
        <v>199</v>
      </c>
      <c r="D1185" s="89" t="s">
        <v>3</v>
      </c>
      <c r="E1185" s="89">
        <f>H1178</f>
        <v>0</v>
      </c>
      <c r="F1185" s="66"/>
      <c r="G1185" s="66"/>
      <c r="H1185" s="66"/>
      <c r="I1185" s="66"/>
      <c r="J1185" s="107"/>
      <c r="K1185" s="108" t="s">
        <v>4</v>
      </c>
      <c r="L1185" s="108" t="s">
        <v>5</v>
      </c>
      <c r="M1185" s="109" t="s">
        <v>6</v>
      </c>
      <c r="N1185" s="109" t="s">
        <v>15</v>
      </c>
      <c r="O1185" s="87">
        <f>VLOOKUP($B1185,BOM!$A$2:$K$94,10,0)</f>
        <v>0</v>
      </c>
      <c r="P1185" s="87">
        <f t="shared" si="50"/>
        <v>0</v>
      </c>
    </row>
    <row r="1186" spans="2:16" s="111" customFormat="1">
      <c r="B1186" s="66" t="s">
        <v>194</v>
      </c>
      <c r="C1186" s="106" t="s">
        <v>195</v>
      </c>
      <c r="D1186" s="89" t="s">
        <v>14</v>
      </c>
      <c r="E1186" s="89">
        <v>0</v>
      </c>
      <c r="F1186" s="108"/>
      <c r="G1186" s="108"/>
      <c r="H1186" s="108"/>
      <c r="I1186" s="108"/>
      <c r="J1186" s="109"/>
      <c r="K1186" s="108" t="s">
        <v>4</v>
      </c>
      <c r="L1186" s="108" t="s">
        <v>5</v>
      </c>
      <c r="M1186" s="109" t="s">
        <v>6</v>
      </c>
      <c r="N1186" s="109" t="s">
        <v>15</v>
      </c>
      <c r="O1186" s="87">
        <f>VLOOKUP($B1186,BOM!$A$2:$K$94,10,0)</f>
        <v>0</v>
      </c>
      <c r="P1186" s="87">
        <f t="shared" si="50"/>
        <v>0</v>
      </c>
    </row>
    <row r="1187" spans="2:16" s="110" customFormat="1">
      <c r="B1187" s="66" t="s">
        <v>196</v>
      </c>
      <c r="C1187" s="106" t="s">
        <v>197</v>
      </c>
      <c r="D1187" s="89" t="s">
        <v>14</v>
      </c>
      <c r="E1187" s="89">
        <f>H1174/2</f>
        <v>0</v>
      </c>
      <c r="F1187" s="66"/>
      <c r="G1187" s="66"/>
      <c r="H1187" s="66"/>
      <c r="I1187" s="66"/>
      <c r="J1187" s="107"/>
      <c r="K1187" s="108" t="s">
        <v>4</v>
      </c>
      <c r="L1187" s="108" t="s">
        <v>5</v>
      </c>
      <c r="M1187" s="109" t="s">
        <v>6</v>
      </c>
      <c r="N1187" s="109" t="s">
        <v>15</v>
      </c>
      <c r="O1187" s="87">
        <f>VLOOKUP($B1187,BOM!$A$2:$K$94,10,0)</f>
        <v>0</v>
      </c>
      <c r="P1187" s="87">
        <f t="shared" si="50"/>
        <v>0</v>
      </c>
    </row>
    <row r="1188" spans="2:16">
      <c r="B1188" s="81"/>
      <c r="C1188" s="82" t="s">
        <v>26</v>
      </c>
      <c r="D1188" s="72" t="s">
        <v>0</v>
      </c>
      <c r="E1188" s="72">
        <v>1</v>
      </c>
      <c r="F1188" s="72"/>
      <c r="G1188" s="72"/>
      <c r="H1188" s="72"/>
      <c r="I1188" s="72"/>
      <c r="J1188" s="72"/>
      <c r="K1188" s="83"/>
      <c r="L1188" s="83"/>
      <c r="M1188" s="83"/>
      <c r="N1188" s="83"/>
      <c r="O1188" s="87">
        <f>VLOOKUP($B1188,BOM!$A$2:$K$94,10,0)</f>
        <v>0</v>
      </c>
      <c r="P1188" s="87">
        <f t="shared" si="50"/>
        <v>0</v>
      </c>
    </row>
    <row r="1189" spans="2:16" s="45" customFormat="1" ht="30">
      <c r="B1189" s="48" t="s">
        <v>303</v>
      </c>
      <c r="C1189" s="49" t="s">
        <v>304</v>
      </c>
      <c r="D1189" s="42" t="s">
        <v>64</v>
      </c>
      <c r="E1189" s="43">
        <v>1</v>
      </c>
      <c r="F1189" s="41"/>
      <c r="G1189" s="41"/>
      <c r="H1189" s="41"/>
      <c r="I1189" s="41"/>
      <c r="J1189" s="44">
        <v>1</v>
      </c>
      <c r="K1189" s="41" t="s">
        <v>143</v>
      </c>
      <c r="L1189" s="41" t="s">
        <v>151</v>
      </c>
      <c r="M1189" s="44" t="s">
        <v>144</v>
      </c>
      <c r="N1189" s="44" t="s">
        <v>64</v>
      </c>
      <c r="O1189" s="87">
        <f>VLOOKUP($B1189,BOM!$A$2:$K$94,10,0)</f>
        <v>0</v>
      </c>
      <c r="P1189" s="87">
        <f t="shared" si="50"/>
        <v>0</v>
      </c>
    </row>
    <row r="1190" spans="2:16" s="45" customFormat="1" ht="30">
      <c r="B1190" s="41" t="s">
        <v>137</v>
      </c>
      <c r="C1190" s="46" t="s">
        <v>138</v>
      </c>
      <c r="D1190" s="42" t="s">
        <v>64</v>
      </c>
      <c r="E1190" s="47">
        <f>E1189</f>
        <v>1</v>
      </c>
      <c r="F1190" s="41"/>
      <c r="G1190" s="41"/>
      <c r="H1190" s="41"/>
      <c r="I1190" s="41"/>
      <c r="J1190" s="44"/>
      <c r="K1190" s="41" t="s">
        <v>143</v>
      </c>
      <c r="L1190" s="41" t="s">
        <v>151</v>
      </c>
      <c r="M1190" s="44" t="s">
        <v>144</v>
      </c>
      <c r="N1190" s="44" t="s">
        <v>64</v>
      </c>
      <c r="O1190" s="87">
        <f>VLOOKUP($B1190,BOM!$A$2:$K$94,10,0)</f>
        <v>0</v>
      </c>
      <c r="P1190" s="87">
        <f t="shared" si="50"/>
        <v>0</v>
      </c>
    </row>
    <row r="1191" spans="2:16" outlineLevel="1">
      <c r="B1191" s="117"/>
      <c r="C1191" s="118" t="s">
        <v>67</v>
      </c>
      <c r="D1191" s="119" t="s">
        <v>0</v>
      </c>
      <c r="E1191" s="120">
        <v>1</v>
      </c>
      <c r="F1191" s="121"/>
      <c r="G1191" s="121"/>
      <c r="H1191" s="121" t="s">
        <v>69</v>
      </c>
      <c r="I1191" s="122"/>
      <c r="J1191" s="122">
        <v>1</v>
      </c>
      <c r="K1191" s="63"/>
      <c r="L1191" s="63"/>
      <c r="M1191" s="63"/>
      <c r="N1191" s="63"/>
      <c r="O1191" s="87">
        <f>VLOOKUP($B1191,BOM!$A$2:$K$94,10,0)</f>
        <v>0</v>
      </c>
      <c r="P1191" s="87">
        <f t="shared" si="50"/>
        <v>0</v>
      </c>
    </row>
    <row r="1192" spans="2:16" outlineLevel="1">
      <c r="B1192" s="117"/>
      <c r="C1192" s="118" t="s">
        <v>70</v>
      </c>
      <c r="D1192" s="119" t="s">
        <v>0</v>
      </c>
      <c r="E1192" s="120">
        <v>1</v>
      </c>
      <c r="F1192" s="121"/>
      <c r="G1192" s="121"/>
      <c r="H1192" s="121" t="s">
        <v>69</v>
      </c>
      <c r="I1192" s="122"/>
      <c r="J1192" s="122">
        <v>1</v>
      </c>
      <c r="K1192" s="63"/>
      <c r="L1192" s="63"/>
      <c r="M1192" s="63"/>
      <c r="N1192" s="63"/>
      <c r="O1192" s="87">
        <f>VLOOKUP($B1192,BOM!$A$2:$K$94,10,0)</f>
        <v>0</v>
      </c>
      <c r="P1192" s="87">
        <f t="shared" si="50"/>
        <v>0</v>
      </c>
    </row>
    <row r="1193" spans="2:16">
      <c r="B1193" s="81"/>
      <c r="C1193" s="82" t="s">
        <v>18</v>
      </c>
      <c r="D1193" s="72" t="s">
        <v>0</v>
      </c>
      <c r="E1193" s="72">
        <v>1</v>
      </c>
      <c r="F1193" s="72"/>
      <c r="G1193" s="72"/>
      <c r="H1193" s="72"/>
      <c r="I1193" s="72"/>
      <c r="J1193" s="72"/>
      <c r="K1193" s="83"/>
      <c r="L1193" s="83"/>
      <c r="M1193" s="83"/>
      <c r="N1193" s="83"/>
      <c r="O1193" s="87">
        <f>VLOOKUP($B1193,BOM!$A$2:$K$94,10,0)</f>
        <v>0</v>
      </c>
      <c r="P1193" s="87">
        <f t="shared" si="50"/>
        <v>0</v>
      </c>
    </row>
    <row r="1194" spans="2:16" s="45" customFormat="1" ht="30">
      <c r="B1194" s="62">
        <v>760237046</v>
      </c>
      <c r="C1194" s="21" t="s">
        <v>19</v>
      </c>
      <c r="D1194" s="85" t="s">
        <v>3</v>
      </c>
      <c r="E1194" s="85">
        <f>E1189</f>
        <v>1</v>
      </c>
      <c r="F1194" s="62"/>
      <c r="G1194" s="62"/>
      <c r="H1194" s="62"/>
      <c r="I1194" s="62"/>
      <c r="J1194" s="86">
        <v>1</v>
      </c>
      <c r="K1194" s="62" t="s">
        <v>4</v>
      </c>
      <c r="L1194" s="62" t="s">
        <v>5</v>
      </c>
      <c r="M1194" s="86" t="s">
        <v>6</v>
      </c>
      <c r="N1194" s="86" t="s">
        <v>3</v>
      </c>
      <c r="O1194" s="87">
        <f>VLOOKUP($B1194,BOM!$A$2:$K$94,10,0)</f>
        <v>0</v>
      </c>
      <c r="P1194" s="87">
        <f t="shared" si="50"/>
        <v>0</v>
      </c>
    </row>
    <row r="1195" spans="2:16" s="45" customFormat="1" ht="30">
      <c r="B1195" s="62" t="s">
        <v>23</v>
      </c>
      <c r="C1195" s="21" t="s">
        <v>24</v>
      </c>
      <c r="D1195" s="85" t="s">
        <v>3</v>
      </c>
      <c r="E1195" s="85">
        <f>E1194*24</f>
        <v>24</v>
      </c>
      <c r="F1195" s="62"/>
      <c r="G1195" s="62"/>
      <c r="H1195" s="62"/>
      <c r="I1195" s="62"/>
      <c r="J1195" s="86"/>
      <c r="K1195" s="62" t="s">
        <v>25</v>
      </c>
      <c r="L1195" s="62" t="s">
        <v>5</v>
      </c>
      <c r="M1195" s="86" t="s">
        <v>6</v>
      </c>
      <c r="N1195" s="86" t="s">
        <v>3</v>
      </c>
      <c r="O1195" s="87">
        <f>VLOOKUP($B1195,BOM!$A$2:$K$94,10,0)</f>
        <v>0</v>
      </c>
      <c r="P1195" s="87">
        <f t="shared" si="50"/>
        <v>0</v>
      </c>
    </row>
    <row r="1196" spans="2:16" s="45" customFormat="1">
      <c r="B1196" s="62" t="s">
        <v>20</v>
      </c>
      <c r="C1196" s="21" t="s">
        <v>21</v>
      </c>
      <c r="D1196" s="85" t="s">
        <v>3</v>
      </c>
      <c r="E1196" s="85">
        <f>E1194</f>
        <v>1</v>
      </c>
      <c r="F1196" s="62"/>
      <c r="G1196" s="62"/>
      <c r="H1196" s="62"/>
      <c r="I1196" s="62"/>
      <c r="J1196" s="86">
        <v>1</v>
      </c>
      <c r="K1196" s="62" t="s">
        <v>4</v>
      </c>
      <c r="L1196" s="62" t="s">
        <v>5</v>
      </c>
      <c r="M1196" s="86" t="s">
        <v>22</v>
      </c>
      <c r="N1196" s="86" t="s">
        <v>3</v>
      </c>
      <c r="O1196" s="87">
        <f>VLOOKUP($B1196,BOM!$A$2:$K$94,10,0)</f>
        <v>0</v>
      </c>
      <c r="P1196" s="87">
        <f t="shared" si="50"/>
        <v>0</v>
      </c>
    </row>
    <row r="1197" spans="2:16">
      <c r="B1197" s="81"/>
      <c r="C1197" s="82" t="s">
        <v>71</v>
      </c>
      <c r="D1197" s="72" t="s">
        <v>0</v>
      </c>
      <c r="E1197" s="72">
        <v>1</v>
      </c>
      <c r="F1197" s="72"/>
      <c r="G1197" s="72"/>
      <c r="H1197" s="72"/>
      <c r="I1197" s="72"/>
      <c r="J1197" s="72"/>
      <c r="K1197" s="83"/>
      <c r="L1197" s="83"/>
      <c r="M1197" s="83"/>
      <c r="N1197" s="83"/>
      <c r="O1197" s="87">
        <f>VLOOKUP($B1197,BOM!$A$2:$K$94,10,0)</f>
        <v>0</v>
      </c>
      <c r="P1197" s="87">
        <f t="shared" si="50"/>
        <v>0</v>
      </c>
    </row>
    <row r="1198" spans="2:16" s="45" customFormat="1">
      <c r="B1198" s="66" t="s">
        <v>233</v>
      </c>
      <c r="C1198" s="66" t="s">
        <v>234</v>
      </c>
      <c r="D1198" s="116" t="s">
        <v>51</v>
      </c>
      <c r="E1198" s="85">
        <v>1</v>
      </c>
      <c r="F1198" s="62"/>
      <c r="G1198" s="62"/>
      <c r="H1198" s="62"/>
      <c r="I1198" s="62"/>
      <c r="J1198" s="86">
        <v>2</v>
      </c>
      <c r="K1198" s="62"/>
      <c r="L1198" s="62" t="s">
        <v>5</v>
      </c>
      <c r="M1198" s="86" t="s">
        <v>28</v>
      </c>
      <c r="N1198" s="86" t="s">
        <v>3</v>
      </c>
      <c r="O1198" s="87">
        <f>VLOOKUP($B1198,BOM!$A$2:$K$94,10,0)</f>
        <v>0</v>
      </c>
      <c r="P1198" s="87">
        <f t="shared" si="50"/>
        <v>0</v>
      </c>
    </row>
    <row r="1199" spans="2:16" s="45" customFormat="1">
      <c r="B1199" s="62"/>
      <c r="C1199" s="21"/>
      <c r="D1199" s="116"/>
      <c r="E1199" s="85"/>
      <c r="F1199" s="62"/>
      <c r="G1199" s="62"/>
      <c r="H1199" s="62"/>
      <c r="I1199" s="62"/>
      <c r="J1199" s="86"/>
      <c r="K1199" s="62"/>
      <c r="L1199" s="62"/>
      <c r="M1199" s="86"/>
      <c r="N1199" s="86"/>
      <c r="O1199" s="87">
        <f>VLOOKUP($B1199,BOM!$A$2:$K$94,10,0)</f>
        <v>0</v>
      </c>
      <c r="P1199" s="87">
        <f t="shared" si="50"/>
        <v>0</v>
      </c>
    </row>
    <row r="1200" spans="2:16" s="45" customFormat="1">
      <c r="B1200" s="62" t="s">
        <v>225</v>
      </c>
      <c r="C1200" s="21" t="s">
        <v>72</v>
      </c>
      <c r="D1200" s="116" t="s">
        <v>64</v>
      </c>
      <c r="E1200" s="85">
        <v>0</v>
      </c>
      <c r="F1200" s="62"/>
      <c r="G1200" s="62"/>
      <c r="H1200" s="62"/>
      <c r="I1200" s="62"/>
      <c r="J1200" s="86"/>
      <c r="K1200" s="62"/>
      <c r="L1200" s="62" t="s">
        <v>5</v>
      </c>
      <c r="M1200" s="86" t="s">
        <v>28</v>
      </c>
      <c r="N1200" s="86" t="s">
        <v>3</v>
      </c>
      <c r="O1200" s="87">
        <f>VLOOKUP($B1200,BOM!$A$2:$K$94,10,0)</f>
        <v>0</v>
      </c>
      <c r="P1200" s="87">
        <f t="shared" si="50"/>
        <v>0</v>
      </c>
    </row>
    <row r="1201" spans="2:16">
      <c r="B1201" s="81"/>
      <c r="C1201" s="82" t="s">
        <v>31</v>
      </c>
      <c r="D1201" s="72" t="s">
        <v>0</v>
      </c>
      <c r="E1201" s="72">
        <v>1</v>
      </c>
      <c r="F1201" s="72"/>
      <c r="G1201" s="72"/>
      <c r="H1201" s="72"/>
      <c r="I1201" s="72"/>
      <c r="J1201" s="72"/>
      <c r="K1201" s="83"/>
      <c r="L1201" s="83"/>
      <c r="M1201" s="83"/>
      <c r="N1201" s="83"/>
      <c r="O1201" s="87">
        <f>VLOOKUP($B1201,BOM!$A$2:$K$94,10,0)</f>
        <v>0</v>
      </c>
      <c r="P1201" s="87">
        <f t="shared" si="50"/>
        <v>0</v>
      </c>
    </row>
    <row r="1202" spans="2:16">
      <c r="B1202" s="81"/>
      <c r="C1202" s="82" t="s">
        <v>32</v>
      </c>
      <c r="D1202" s="72"/>
      <c r="E1202" s="72"/>
      <c r="F1202" s="72"/>
      <c r="G1202" s="72"/>
      <c r="H1202" s="72"/>
      <c r="I1202" s="72"/>
      <c r="J1202" s="72"/>
      <c r="K1202" s="83"/>
      <c r="L1202" s="83"/>
      <c r="M1202" s="83"/>
      <c r="N1202" s="83"/>
      <c r="O1202" s="87">
        <f>VLOOKUP($B1202,BOM!$A$2:$K$94,10,0)</f>
        <v>0</v>
      </c>
      <c r="P1202" s="87">
        <f t="shared" si="50"/>
        <v>0</v>
      </c>
    </row>
    <row r="1203" spans="2:16" s="45" customFormat="1" ht="20.45" customHeight="1">
      <c r="B1203" s="62" t="s">
        <v>33</v>
      </c>
      <c r="C1203" s="21" t="s">
        <v>34</v>
      </c>
      <c r="D1203" s="85" t="s">
        <v>3</v>
      </c>
      <c r="E1203" s="90">
        <f>E1204</f>
        <v>0</v>
      </c>
      <c r="F1203" s="62"/>
      <c r="G1203" s="62"/>
      <c r="H1203" s="62"/>
      <c r="I1203" s="62"/>
      <c r="J1203" s="86"/>
      <c r="K1203" s="62" t="s">
        <v>35</v>
      </c>
      <c r="L1203" s="62" t="s">
        <v>5</v>
      </c>
      <c r="M1203" s="86" t="s">
        <v>6</v>
      </c>
      <c r="N1203" s="86" t="s">
        <v>3</v>
      </c>
      <c r="O1203" s="87">
        <f>VLOOKUP($B1203,BOM!$A$2:$K$94,10,0)</f>
        <v>0</v>
      </c>
      <c r="P1203" s="87">
        <f t="shared" si="50"/>
        <v>0</v>
      </c>
    </row>
    <row r="1204" spans="2:16" s="45" customFormat="1">
      <c r="B1204" s="62" t="s">
        <v>330</v>
      </c>
      <c r="C1204" s="21" t="s">
        <v>36</v>
      </c>
      <c r="D1204" s="85" t="s">
        <v>3</v>
      </c>
      <c r="E1204" s="90">
        <f>G1202+H1202</f>
        <v>0</v>
      </c>
      <c r="F1204" s="62"/>
      <c r="G1204" s="62"/>
      <c r="H1204" s="62"/>
      <c r="I1204" s="62"/>
      <c r="J1204" s="86"/>
      <c r="K1204" s="62" t="s">
        <v>37</v>
      </c>
      <c r="L1204" s="62" t="s">
        <v>5</v>
      </c>
      <c r="M1204" s="86" t="s">
        <v>37</v>
      </c>
      <c r="N1204" s="86" t="s">
        <v>3</v>
      </c>
      <c r="O1204" s="87">
        <f>VLOOKUP($B1204,BOM!$A$2:$K$94,10,0)</f>
        <v>0</v>
      </c>
      <c r="P1204" s="87">
        <f t="shared" si="50"/>
        <v>0</v>
      </c>
    </row>
    <row r="1205" spans="2:16" s="45" customFormat="1" ht="30">
      <c r="B1205" s="62" t="s">
        <v>38</v>
      </c>
      <c r="C1205" s="21" t="s">
        <v>39</v>
      </c>
      <c r="D1205" s="85" t="s">
        <v>3</v>
      </c>
      <c r="E1205" s="90">
        <f>E1204</f>
        <v>0</v>
      </c>
      <c r="F1205" s="62"/>
      <c r="G1205" s="62"/>
      <c r="H1205" s="62"/>
      <c r="I1205" s="62"/>
      <c r="J1205" s="86"/>
      <c r="K1205" s="62" t="s">
        <v>25</v>
      </c>
      <c r="L1205" s="62" t="s">
        <v>5</v>
      </c>
      <c r="M1205" s="86" t="s">
        <v>6</v>
      </c>
      <c r="N1205" s="86" t="s">
        <v>3</v>
      </c>
      <c r="O1205" s="87">
        <f>VLOOKUP($B1205,BOM!$A$2:$K$94,10,0)</f>
        <v>0</v>
      </c>
      <c r="P1205" s="87">
        <f t="shared" si="50"/>
        <v>0</v>
      </c>
    </row>
    <row r="1206" spans="2:16">
      <c r="B1206" s="81"/>
      <c r="C1206" s="82" t="s">
        <v>40</v>
      </c>
      <c r="D1206" s="72"/>
      <c r="E1206" s="72"/>
      <c r="F1206" s="72"/>
      <c r="G1206" s="72"/>
      <c r="H1206" s="72">
        <v>3</v>
      </c>
      <c r="I1206" s="72"/>
      <c r="J1206" s="72"/>
      <c r="K1206" s="83"/>
      <c r="L1206" s="83"/>
      <c r="M1206" s="83"/>
      <c r="N1206" s="83"/>
      <c r="O1206" s="87">
        <f>VLOOKUP($B1206,BOM!$A$2:$K$94,10,0)</f>
        <v>0</v>
      </c>
      <c r="P1206" s="87">
        <f t="shared" si="50"/>
        <v>0</v>
      </c>
    </row>
    <row r="1207" spans="2:16" s="45" customFormat="1">
      <c r="B1207" s="62" t="s">
        <v>41</v>
      </c>
      <c r="C1207" s="21" t="s">
        <v>42</v>
      </c>
      <c r="D1207" s="85" t="s">
        <v>3</v>
      </c>
      <c r="E1207" s="85">
        <f>G1206+H1206</f>
        <v>3</v>
      </c>
      <c r="F1207" s="62"/>
      <c r="G1207" s="62"/>
      <c r="H1207" s="62"/>
      <c r="I1207" s="62"/>
      <c r="J1207" s="86"/>
      <c r="K1207" s="62" t="s">
        <v>4</v>
      </c>
      <c r="L1207" s="62" t="s">
        <v>5</v>
      </c>
      <c r="M1207" s="86" t="s">
        <v>6</v>
      </c>
      <c r="N1207" s="86" t="s">
        <v>3</v>
      </c>
      <c r="O1207" s="87">
        <f>VLOOKUP($B1207,BOM!$A$2:$K$94,10,0)</f>
        <v>0</v>
      </c>
      <c r="P1207" s="87">
        <f t="shared" si="50"/>
        <v>0</v>
      </c>
    </row>
    <row r="1208" spans="2:16" s="45" customFormat="1">
      <c r="B1208" s="65" t="s">
        <v>43</v>
      </c>
      <c r="C1208" s="103" t="s">
        <v>44</v>
      </c>
      <c r="D1208" s="85" t="s">
        <v>3</v>
      </c>
      <c r="E1208" s="85">
        <f>E1207</f>
        <v>3</v>
      </c>
      <c r="F1208" s="62"/>
      <c r="G1208" s="62"/>
      <c r="H1208" s="62"/>
      <c r="I1208" s="62"/>
      <c r="J1208" s="86"/>
      <c r="K1208" s="62" t="s">
        <v>4</v>
      </c>
      <c r="L1208" s="62" t="s">
        <v>5</v>
      </c>
      <c r="M1208" s="86" t="s">
        <v>6</v>
      </c>
      <c r="N1208" s="86" t="s">
        <v>3</v>
      </c>
      <c r="O1208" s="87">
        <f>VLOOKUP($B1208,BOM!$A$2:$K$94,10,0)</f>
        <v>0</v>
      </c>
      <c r="P1208" s="87">
        <f t="shared" si="50"/>
        <v>0</v>
      </c>
    </row>
    <row r="1209" spans="2:16">
      <c r="B1209" s="81"/>
      <c r="C1209" s="82" t="s">
        <v>45</v>
      </c>
      <c r="D1209" s="72"/>
      <c r="E1209" s="72"/>
      <c r="F1209" s="72"/>
      <c r="G1209" s="72"/>
      <c r="H1209" s="72"/>
      <c r="I1209" s="72"/>
      <c r="J1209" s="72"/>
      <c r="K1209" s="83"/>
      <c r="L1209" s="83"/>
      <c r="M1209" s="83"/>
      <c r="N1209" s="83"/>
      <c r="O1209" s="87">
        <f>VLOOKUP($B1209,BOM!$A$2:$K$94,10,0)</f>
        <v>0</v>
      </c>
      <c r="P1209" s="87">
        <f t="shared" si="50"/>
        <v>0</v>
      </c>
    </row>
    <row r="1210" spans="2:16" s="45" customFormat="1" ht="30">
      <c r="B1210" s="62" t="s">
        <v>48</v>
      </c>
      <c r="C1210" s="21" t="s">
        <v>49</v>
      </c>
      <c r="D1210" s="85" t="s">
        <v>14</v>
      </c>
      <c r="E1210" s="85">
        <f>E1207+1</f>
        <v>4</v>
      </c>
      <c r="F1210" s="62"/>
      <c r="G1210" s="62"/>
      <c r="H1210" s="62"/>
      <c r="I1210" s="62"/>
      <c r="J1210" s="86"/>
      <c r="K1210" s="62"/>
      <c r="L1210" s="62" t="s">
        <v>5</v>
      </c>
      <c r="M1210" s="86" t="s">
        <v>6</v>
      </c>
      <c r="N1210" s="86" t="s">
        <v>15</v>
      </c>
      <c r="O1210" s="87">
        <f>VLOOKUP($B1210,BOM!$A$2:$K$94,10,0)</f>
        <v>0</v>
      </c>
      <c r="P1210" s="87">
        <f t="shared" si="50"/>
        <v>0</v>
      </c>
    </row>
    <row r="1211" spans="2:16" s="45" customFormat="1" ht="30">
      <c r="B1211" s="62" t="s">
        <v>48</v>
      </c>
      <c r="C1211" s="21" t="s">
        <v>49</v>
      </c>
      <c r="D1211" s="85" t="s">
        <v>14</v>
      </c>
      <c r="E1211" s="90">
        <f>ROUNDUP(E1210*0.2,0)</f>
        <v>1</v>
      </c>
      <c r="F1211" s="62"/>
      <c r="G1211" s="62"/>
      <c r="H1211" s="62"/>
      <c r="I1211" s="62"/>
      <c r="J1211" s="86"/>
      <c r="K1211" s="62" t="s">
        <v>4</v>
      </c>
      <c r="L1211" s="62" t="s">
        <v>5</v>
      </c>
      <c r="M1211" s="86" t="s">
        <v>6</v>
      </c>
      <c r="N1211" s="86" t="s">
        <v>15</v>
      </c>
      <c r="O1211" s="87">
        <f>VLOOKUP($B1211,BOM!$A$2:$K$94,10,0)</f>
        <v>0</v>
      </c>
      <c r="P1211" s="87">
        <f t="shared" si="50"/>
        <v>0</v>
      </c>
    </row>
    <row r="1212" spans="2:16">
      <c r="B1212" s="81"/>
      <c r="C1212" s="82" t="s">
        <v>50</v>
      </c>
      <c r="D1212" s="72"/>
      <c r="E1212" s="72"/>
      <c r="F1212" s="72"/>
      <c r="G1212" s="72"/>
      <c r="H1212" s="72"/>
      <c r="I1212" s="72"/>
      <c r="J1212" s="72"/>
      <c r="K1212" s="83"/>
      <c r="L1212" s="83"/>
      <c r="M1212" s="83"/>
      <c r="N1212" s="83"/>
      <c r="O1212" s="87">
        <f>VLOOKUP($B1212,BOM!$A$2:$K$94,10,0)</f>
        <v>0</v>
      </c>
      <c r="P1212" s="87">
        <f t="shared" si="50"/>
        <v>0</v>
      </c>
    </row>
    <row r="1213" spans="2:16" s="45" customFormat="1">
      <c r="B1213" s="62" t="s">
        <v>332</v>
      </c>
      <c r="C1213" s="21" t="s">
        <v>332</v>
      </c>
      <c r="D1213" s="85" t="s">
        <v>51</v>
      </c>
      <c r="E1213" s="85">
        <f>E1198</f>
        <v>1</v>
      </c>
      <c r="F1213" s="62"/>
      <c r="G1213" s="62"/>
      <c r="H1213" s="62"/>
      <c r="I1213" s="62"/>
      <c r="J1213" s="86"/>
      <c r="K1213" s="62"/>
      <c r="L1213" s="62"/>
      <c r="M1213" s="86"/>
      <c r="N1213" s="86" t="s">
        <v>51</v>
      </c>
      <c r="O1213" s="87">
        <f>VLOOKUP($B1213,BOM!$A$2:$K$94,10,0)</f>
        <v>0</v>
      </c>
      <c r="P1213" s="87">
        <f t="shared" si="50"/>
        <v>0</v>
      </c>
    </row>
    <row r="1214" spans="2:16" s="45" customFormat="1">
      <c r="B1214" s="62" t="s">
        <v>52</v>
      </c>
      <c r="C1214" s="21" t="s">
        <v>53</v>
      </c>
      <c r="D1214" s="86" t="s">
        <v>54</v>
      </c>
      <c r="E1214" s="105">
        <f>E1211+E1210</f>
        <v>5</v>
      </c>
      <c r="F1214" s="62"/>
      <c r="G1214" s="62"/>
      <c r="H1214" s="62"/>
      <c r="I1214" s="62"/>
      <c r="J1214" s="86"/>
      <c r="K1214" s="62"/>
      <c r="L1214" s="62"/>
      <c r="M1214" s="86" t="s">
        <v>55</v>
      </c>
      <c r="N1214" s="86" t="s">
        <v>54</v>
      </c>
      <c r="O1214" s="87">
        <f>VLOOKUP($B1214,BOM!$A$2:$K$94,10,0)</f>
        <v>0</v>
      </c>
      <c r="P1214" s="87">
        <f t="shared" si="50"/>
        <v>0</v>
      </c>
    </row>
    <row r="1215" spans="2:16" s="45" customFormat="1" ht="30">
      <c r="B1215" s="62" t="s">
        <v>56</v>
      </c>
      <c r="C1215" s="21" t="s">
        <v>57</v>
      </c>
      <c r="D1215" s="86" t="s">
        <v>14</v>
      </c>
      <c r="E1215" s="105">
        <f>E1183</f>
        <v>4</v>
      </c>
      <c r="F1215" s="62"/>
      <c r="G1215" s="62"/>
      <c r="H1215" s="62"/>
      <c r="I1215" s="62"/>
      <c r="J1215" s="86"/>
      <c r="K1215" s="62"/>
      <c r="L1215" s="62"/>
      <c r="M1215" s="86" t="s">
        <v>55</v>
      </c>
      <c r="N1215" s="86" t="s">
        <v>14</v>
      </c>
      <c r="O1215" s="87">
        <f>VLOOKUP($B1215,BOM!$A$2:$K$94,10,0)</f>
        <v>0</v>
      </c>
      <c r="P1215" s="87">
        <f t="shared" si="50"/>
        <v>0</v>
      </c>
    </row>
    <row r="1216" spans="2:16" s="45" customFormat="1" ht="30">
      <c r="B1216" s="62" t="s">
        <v>58</v>
      </c>
      <c r="C1216" s="21" t="s">
        <v>59</v>
      </c>
      <c r="D1216" s="86" t="s">
        <v>60</v>
      </c>
      <c r="E1216" s="105">
        <f>E1215*2</f>
        <v>8</v>
      </c>
      <c r="F1216" s="62"/>
      <c r="G1216" s="62"/>
      <c r="H1216" s="62"/>
      <c r="I1216" s="62"/>
      <c r="J1216" s="86"/>
      <c r="K1216" s="62"/>
      <c r="L1216" s="62"/>
      <c r="M1216" s="86" t="s">
        <v>61</v>
      </c>
      <c r="N1216" s="86" t="s">
        <v>60</v>
      </c>
      <c r="O1216" s="87">
        <f>VLOOKUP($B1216,BOM!$A$2:$K$94,10,0)</f>
        <v>0</v>
      </c>
      <c r="P1216" s="87">
        <f t="shared" si="50"/>
        <v>0</v>
      </c>
    </row>
    <row r="1217" spans="1:16" s="45" customFormat="1" ht="45">
      <c r="B1217" s="62" t="s">
        <v>62</v>
      </c>
      <c r="C1217" s="21" t="s">
        <v>63</v>
      </c>
      <c r="D1217" s="86" t="s">
        <v>64</v>
      </c>
      <c r="E1217" s="105">
        <f>E1194</f>
        <v>1</v>
      </c>
      <c r="F1217" s="62"/>
      <c r="G1217" s="62"/>
      <c r="H1217" s="62"/>
      <c r="I1217" s="62"/>
      <c r="J1217" s="86"/>
      <c r="K1217" s="62"/>
      <c r="L1217" s="62"/>
      <c r="M1217" s="86" t="s">
        <v>61</v>
      </c>
      <c r="N1217" s="86" t="s">
        <v>64</v>
      </c>
      <c r="O1217" s="87">
        <f>VLOOKUP($B1217,BOM!$A$2:$K$94,10,0)</f>
        <v>0</v>
      </c>
      <c r="P1217" s="87">
        <f t="shared" si="50"/>
        <v>0</v>
      </c>
    </row>
    <row r="1218" spans="1:16">
      <c r="A1218" s="35">
        <v>26</v>
      </c>
      <c r="B1218" s="36"/>
      <c r="C1218" s="37" t="s">
        <v>96</v>
      </c>
      <c r="D1218" s="38" t="s">
        <v>0</v>
      </c>
      <c r="E1218" s="36">
        <v>1</v>
      </c>
      <c r="F1218" s="36"/>
      <c r="G1218" s="36">
        <v>8</v>
      </c>
      <c r="H1218" s="36">
        <v>0</v>
      </c>
      <c r="I1218" s="36"/>
      <c r="J1218" s="36">
        <f>SUBTOTAL(9,J1221:J1245)</f>
        <v>13</v>
      </c>
      <c r="K1218" s="39"/>
      <c r="L1218" s="39"/>
      <c r="M1218" s="39"/>
      <c r="N1218" s="39"/>
      <c r="O1218" s="87">
        <f>VLOOKUP($B1218,BOM!$A$2:$K$94,10,0)</f>
        <v>0</v>
      </c>
      <c r="P1218" s="87">
        <f t="shared" si="50"/>
        <v>0</v>
      </c>
    </row>
    <row r="1219" spans="1:16">
      <c r="B1219" s="81"/>
      <c r="C1219" s="82" t="s">
        <v>124</v>
      </c>
      <c r="D1219" s="72" t="s">
        <v>0</v>
      </c>
      <c r="E1219" s="72">
        <v>1</v>
      </c>
      <c r="F1219" s="72"/>
      <c r="G1219" s="72"/>
      <c r="H1219" s="72"/>
      <c r="I1219" s="72"/>
      <c r="J1219" s="72"/>
      <c r="K1219" s="83"/>
      <c r="L1219" s="83"/>
      <c r="M1219" s="83"/>
      <c r="N1219" s="83"/>
      <c r="O1219" s="87">
        <f>VLOOKUP($B1219,BOM!$A$2:$K$94,10,0)</f>
        <v>0</v>
      </c>
      <c r="P1219" s="87">
        <f t="shared" si="50"/>
        <v>0</v>
      </c>
    </row>
    <row r="1220" spans="1:16" s="19" customFormat="1">
      <c r="B1220" s="20" t="s">
        <v>226</v>
      </c>
      <c r="C1220" s="20" t="s">
        <v>227</v>
      </c>
      <c r="D1220" s="21"/>
      <c r="E1220" s="22">
        <v>1</v>
      </c>
      <c r="F1220" s="21"/>
      <c r="G1220" s="21"/>
      <c r="H1220" s="21"/>
      <c r="I1220" s="21"/>
      <c r="J1220" s="22"/>
      <c r="K1220" s="21" t="s">
        <v>4</v>
      </c>
      <c r="L1220" s="21" t="s">
        <v>203</v>
      </c>
      <c r="M1220" s="22" t="s">
        <v>22</v>
      </c>
      <c r="N1220" s="22" t="s">
        <v>3</v>
      </c>
      <c r="O1220" s="87">
        <f>VLOOKUP($B1220,BOM!$A$2:$K$94,10,0)</f>
        <v>0</v>
      </c>
      <c r="P1220" s="87">
        <f t="shared" ref="P1220:P1283" si="52">O1220*E1220</f>
        <v>0</v>
      </c>
    </row>
    <row r="1221" spans="1:16" s="19" customFormat="1">
      <c r="B1221" s="21" t="s">
        <v>122</v>
      </c>
      <c r="C1221" s="21" t="s">
        <v>123</v>
      </c>
      <c r="D1221" s="21"/>
      <c r="E1221" s="22">
        <v>1</v>
      </c>
      <c r="F1221" s="21"/>
      <c r="G1221" s="21"/>
      <c r="H1221" s="21"/>
      <c r="I1221" s="21"/>
      <c r="J1221" s="22">
        <v>1</v>
      </c>
      <c r="K1221" s="21" t="s">
        <v>4</v>
      </c>
      <c r="L1221" s="21" t="s">
        <v>5</v>
      </c>
      <c r="M1221" s="22" t="s">
        <v>22</v>
      </c>
      <c r="N1221" s="22" t="s">
        <v>3</v>
      </c>
      <c r="O1221" s="87">
        <f>VLOOKUP($B1221,BOM!$A$2:$K$94,10,0)</f>
        <v>0</v>
      </c>
      <c r="P1221" s="87">
        <f t="shared" si="52"/>
        <v>0</v>
      </c>
    </row>
    <row r="1222" spans="1:16">
      <c r="B1222" s="81"/>
      <c r="C1222" s="82" t="s">
        <v>1</v>
      </c>
      <c r="D1222" s="72" t="s">
        <v>0</v>
      </c>
      <c r="E1222" s="72">
        <v>1</v>
      </c>
      <c r="F1222" s="72"/>
      <c r="G1222" s="72">
        <f>ROUNDUP(G1218/24,0)</f>
        <v>1</v>
      </c>
      <c r="H1222" s="72">
        <f t="shared" ref="H1222" si="53">ROUNDUP(H1218/24,0)</f>
        <v>0</v>
      </c>
      <c r="I1222" s="72"/>
      <c r="J1222" s="72"/>
      <c r="K1222" s="83"/>
      <c r="L1222" s="83"/>
      <c r="M1222" s="83"/>
      <c r="N1222" s="83"/>
      <c r="O1222" s="87">
        <f>VLOOKUP($B1222,BOM!$A$2:$K$94,10,0)</f>
        <v>0</v>
      </c>
      <c r="P1222" s="87">
        <f t="shared" si="52"/>
        <v>0</v>
      </c>
    </row>
    <row r="1223" spans="1:16" s="45" customFormat="1">
      <c r="B1223" s="62">
        <v>760249997</v>
      </c>
      <c r="C1223" s="21" t="s">
        <v>2</v>
      </c>
      <c r="D1223" s="85" t="s">
        <v>3</v>
      </c>
      <c r="E1223" s="85">
        <f>ROUNDUP(E1225/3,0)</f>
        <v>1</v>
      </c>
      <c r="F1223" s="62"/>
      <c r="G1223" s="62"/>
      <c r="H1223" s="62"/>
      <c r="I1223" s="62"/>
      <c r="J1223" s="86">
        <v>1</v>
      </c>
      <c r="K1223" s="62" t="s">
        <v>4</v>
      </c>
      <c r="L1223" s="62" t="s">
        <v>5</v>
      </c>
      <c r="M1223" s="86" t="s">
        <v>6</v>
      </c>
      <c r="N1223" s="86" t="s">
        <v>3</v>
      </c>
      <c r="O1223" s="87">
        <f>VLOOKUP($B1223,BOM!$A$2:$K$94,10,0)</f>
        <v>0</v>
      </c>
      <c r="P1223" s="87">
        <f t="shared" si="52"/>
        <v>0</v>
      </c>
    </row>
    <row r="1224" spans="1:16" s="45" customFormat="1">
      <c r="B1224" s="62">
        <v>760241378</v>
      </c>
      <c r="C1224" s="21" t="s">
        <v>7</v>
      </c>
      <c r="D1224" s="85" t="s">
        <v>3</v>
      </c>
      <c r="E1224" s="85">
        <f>IF(E1225&lt;=2,1,ROUNDUP(E1223*1.5,0))</f>
        <v>1</v>
      </c>
      <c r="F1224" s="62"/>
      <c r="G1224" s="62"/>
      <c r="H1224" s="62"/>
      <c r="I1224" s="62"/>
      <c r="J1224" s="86"/>
      <c r="K1224" s="62" t="s">
        <v>4</v>
      </c>
      <c r="L1224" s="62" t="s">
        <v>5</v>
      </c>
      <c r="M1224" s="86" t="s">
        <v>6</v>
      </c>
      <c r="N1224" s="86" t="s">
        <v>3</v>
      </c>
      <c r="O1224" s="87">
        <f>VLOOKUP($B1224,BOM!$A$2:$K$94,10,0)</f>
        <v>0</v>
      </c>
      <c r="P1224" s="87">
        <f t="shared" si="52"/>
        <v>0</v>
      </c>
    </row>
    <row r="1225" spans="1:16" s="45" customFormat="1">
      <c r="B1225" s="62" t="s">
        <v>8</v>
      </c>
      <c r="C1225" s="21" t="s">
        <v>9</v>
      </c>
      <c r="D1225" s="85" t="s">
        <v>3</v>
      </c>
      <c r="E1225" s="85">
        <f>SUM(G1222:I1222)</f>
        <v>1</v>
      </c>
      <c r="F1225" s="62"/>
      <c r="G1225" s="62"/>
      <c r="H1225" s="62"/>
      <c r="I1225" s="62"/>
      <c r="J1225" s="86"/>
      <c r="K1225" s="62" t="s">
        <v>4</v>
      </c>
      <c r="L1225" s="62" t="s">
        <v>5</v>
      </c>
      <c r="M1225" s="86" t="s">
        <v>6</v>
      </c>
      <c r="N1225" s="86" t="s">
        <v>3</v>
      </c>
      <c r="O1225" s="87">
        <f>VLOOKUP($B1225,BOM!$A$2:$K$94,10,0)</f>
        <v>0</v>
      </c>
      <c r="P1225" s="87">
        <f t="shared" si="52"/>
        <v>0</v>
      </c>
    </row>
    <row r="1226" spans="1:16" s="45" customFormat="1">
      <c r="B1226" s="62" t="s">
        <v>10</v>
      </c>
      <c r="C1226" s="21" t="s">
        <v>11</v>
      </c>
      <c r="D1226" s="85" t="s">
        <v>3</v>
      </c>
      <c r="E1226" s="85">
        <f>E1223*3-E1225</f>
        <v>2</v>
      </c>
      <c r="F1226" s="62"/>
      <c r="G1226" s="62"/>
      <c r="H1226" s="62"/>
      <c r="I1226" s="62"/>
      <c r="J1226" s="86"/>
      <c r="K1226" s="62" t="s">
        <v>4</v>
      </c>
      <c r="L1226" s="62" t="s">
        <v>5</v>
      </c>
      <c r="M1226" s="86" t="s">
        <v>6</v>
      </c>
      <c r="N1226" s="86" t="s">
        <v>3</v>
      </c>
      <c r="O1226" s="87">
        <f>VLOOKUP($B1226,BOM!$A$2:$K$94,10,0)</f>
        <v>0</v>
      </c>
      <c r="P1226" s="87">
        <f t="shared" si="52"/>
        <v>0</v>
      </c>
    </row>
    <row r="1227" spans="1:16" s="45" customFormat="1">
      <c r="B1227" s="62" t="s">
        <v>12</v>
      </c>
      <c r="C1227" s="21" t="s">
        <v>13</v>
      </c>
      <c r="D1227" s="85" t="s">
        <v>14</v>
      </c>
      <c r="E1227" s="90">
        <f>SUM(G1218:I1218)/2</f>
        <v>4</v>
      </c>
      <c r="F1227" s="62"/>
      <c r="G1227" s="62"/>
      <c r="H1227" s="62"/>
      <c r="I1227" s="62"/>
      <c r="J1227" s="86"/>
      <c r="K1227" s="62" t="s">
        <v>4</v>
      </c>
      <c r="L1227" s="62" t="s">
        <v>5</v>
      </c>
      <c r="M1227" s="86" t="s">
        <v>6</v>
      </c>
      <c r="N1227" s="86" t="s">
        <v>15</v>
      </c>
      <c r="O1227" s="87">
        <f>VLOOKUP($B1227,BOM!$A$2:$K$94,10,0)</f>
        <v>0</v>
      </c>
      <c r="P1227" s="87">
        <f t="shared" si="52"/>
        <v>0</v>
      </c>
    </row>
    <row r="1228" spans="1:16" s="45" customFormat="1" ht="30">
      <c r="B1228" s="62" t="s">
        <v>16</v>
      </c>
      <c r="C1228" s="21" t="s">
        <v>17</v>
      </c>
      <c r="D1228" s="85" t="s">
        <v>14</v>
      </c>
      <c r="E1228" s="85">
        <f>ROUNDUP((E1234+E1237)*1.3,0)</f>
        <v>3</v>
      </c>
      <c r="F1228" s="62"/>
      <c r="G1228" s="62"/>
      <c r="H1228" s="62"/>
      <c r="I1228" s="62"/>
      <c r="J1228" s="86"/>
      <c r="K1228" s="62" t="s">
        <v>4</v>
      </c>
      <c r="L1228" s="62" t="s">
        <v>5</v>
      </c>
      <c r="M1228" s="86" t="s">
        <v>6</v>
      </c>
      <c r="N1228" s="86" t="s">
        <v>15</v>
      </c>
      <c r="O1228" s="87">
        <f>VLOOKUP($B1228,BOM!$A$2:$K$94,10,0)</f>
        <v>0</v>
      </c>
      <c r="P1228" s="87">
        <f t="shared" si="52"/>
        <v>0</v>
      </c>
    </row>
    <row r="1229" spans="1:16" s="110" customFormat="1">
      <c r="B1229" s="66" t="s">
        <v>198</v>
      </c>
      <c r="C1229" s="106" t="s">
        <v>199</v>
      </c>
      <c r="D1229" s="89" t="s">
        <v>3</v>
      </c>
      <c r="E1229" s="89">
        <f>H1222</f>
        <v>0</v>
      </c>
      <c r="F1229" s="66"/>
      <c r="G1229" s="66"/>
      <c r="H1229" s="66"/>
      <c r="I1229" s="66"/>
      <c r="J1229" s="107"/>
      <c r="K1229" s="108" t="s">
        <v>4</v>
      </c>
      <c r="L1229" s="108" t="s">
        <v>5</v>
      </c>
      <c r="M1229" s="109" t="s">
        <v>6</v>
      </c>
      <c r="N1229" s="109" t="s">
        <v>15</v>
      </c>
      <c r="O1229" s="87">
        <f>VLOOKUP($B1229,BOM!$A$2:$K$94,10,0)</f>
        <v>0</v>
      </c>
      <c r="P1229" s="87">
        <f t="shared" si="52"/>
        <v>0</v>
      </c>
    </row>
    <row r="1230" spans="1:16" s="111" customFormat="1">
      <c r="B1230" s="66" t="s">
        <v>194</v>
      </c>
      <c r="C1230" s="106" t="s">
        <v>195</v>
      </c>
      <c r="D1230" s="89" t="s">
        <v>14</v>
      </c>
      <c r="E1230" s="89">
        <v>0</v>
      </c>
      <c r="F1230" s="108"/>
      <c r="G1230" s="108"/>
      <c r="H1230" s="108"/>
      <c r="I1230" s="108"/>
      <c r="J1230" s="109"/>
      <c r="K1230" s="108" t="s">
        <v>4</v>
      </c>
      <c r="L1230" s="108" t="s">
        <v>5</v>
      </c>
      <c r="M1230" s="109" t="s">
        <v>6</v>
      </c>
      <c r="N1230" s="109" t="s">
        <v>15</v>
      </c>
      <c r="O1230" s="87">
        <f>VLOOKUP($B1230,BOM!$A$2:$K$94,10,0)</f>
        <v>0</v>
      </c>
      <c r="P1230" s="87">
        <f t="shared" si="52"/>
        <v>0</v>
      </c>
    </row>
    <row r="1231" spans="1:16" s="110" customFormat="1">
      <c r="B1231" s="66" t="s">
        <v>196</v>
      </c>
      <c r="C1231" s="106" t="s">
        <v>197</v>
      </c>
      <c r="D1231" s="89" t="s">
        <v>14</v>
      </c>
      <c r="E1231" s="89">
        <f>H1218/2</f>
        <v>0</v>
      </c>
      <c r="F1231" s="66"/>
      <c r="G1231" s="66"/>
      <c r="H1231" s="66"/>
      <c r="I1231" s="66"/>
      <c r="J1231" s="107"/>
      <c r="K1231" s="108" t="s">
        <v>4</v>
      </c>
      <c r="L1231" s="108" t="s">
        <v>5</v>
      </c>
      <c r="M1231" s="109" t="s">
        <v>6</v>
      </c>
      <c r="N1231" s="109" t="s">
        <v>15</v>
      </c>
      <c r="O1231" s="87">
        <f>VLOOKUP($B1231,BOM!$A$2:$K$94,10,0)</f>
        <v>0</v>
      </c>
      <c r="P1231" s="87">
        <f t="shared" si="52"/>
        <v>0</v>
      </c>
    </row>
    <row r="1232" spans="1:16">
      <c r="B1232" s="81"/>
      <c r="C1232" s="82" t="s">
        <v>26</v>
      </c>
      <c r="D1232" s="72" t="s">
        <v>0</v>
      </c>
      <c r="E1232" s="72">
        <v>1</v>
      </c>
      <c r="F1232" s="72"/>
      <c r="G1232" s="72"/>
      <c r="H1232" s="72"/>
      <c r="I1232" s="72"/>
      <c r="J1232" s="72"/>
      <c r="K1232" s="83"/>
      <c r="L1232" s="83"/>
      <c r="M1232" s="83"/>
      <c r="N1232" s="83"/>
      <c r="O1232" s="87">
        <f>VLOOKUP($B1232,BOM!$A$2:$K$94,10,0)</f>
        <v>0</v>
      </c>
      <c r="P1232" s="87">
        <f t="shared" si="52"/>
        <v>0</v>
      </c>
    </row>
    <row r="1233" spans="2:16" s="45" customFormat="1">
      <c r="B1233" s="41" t="s">
        <v>152</v>
      </c>
      <c r="C1233" s="41" t="s">
        <v>153</v>
      </c>
      <c r="D1233" s="42" t="s">
        <v>64</v>
      </c>
      <c r="E1233" s="43">
        <v>1</v>
      </c>
      <c r="F1233" s="41"/>
      <c r="G1233" s="41"/>
      <c r="H1233" s="41"/>
      <c r="I1233" s="41"/>
      <c r="J1233" s="44">
        <v>1</v>
      </c>
      <c r="K1233" s="41" t="s">
        <v>143</v>
      </c>
      <c r="L1233" s="41" t="s">
        <v>151</v>
      </c>
      <c r="M1233" s="44" t="s">
        <v>144</v>
      </c>
      <c r="N1233" s="44" t="s">
        <v>64</v>
      </c>
      <c r="O1233" s="87">
        <f>VLOOKUP($B1233,BOM!$A$2:$K$94,10,0)</f>
        <v>0</v>
      </c>
      <c r="P1233" s="87">
        <f t="shared" si="52"/>
        <v>0</v>
      </c>
    </row>
    <row r="1234" spans="2:16" s="45" customFormat="1" ht="30">
      <c r="B1234" s="41" t="s">
        <v>137</v>
      </c>
      <c r="C1234" s="46" t="s">
        <v>138</v>
      </c>
      <c r="D1234" s="42" t="s">
        <v>64</v>
      </c>
      <c r="E1234" s="47">
        <f>E1233</f>
        <v>1</v>
      </c>
      <c r="F1234" s="41"/>
      <c r="G1234" s="41"/>
      <c r="H1234" s="41"/>
      <c r="I1234" s="41"/>
      <c r="J1234" s="44"/>
      <c r="K1234" s="41" t="s">
        <v>143</v>
      </c>
      <c r="L1234" s="41" t="s">
        <v>151</v>
      </c>
      <c r="M1234" s="44" t="s">
        <v>144</v>
      </c>
      <c r="N1234" s="44" t="s">
        <v>64</v>
      </c>
      <c r="O1234" s="87">
        <f>VLOOKUP($B1234,BOM!$A$2:$K$94,10,0)</f>
        <v>0</v>
      </c>
      <c r="P1234" s="87">
        <f t="shared" si="52"/>
        <v>0</v>
      </c>
    </row>
    <row r="1235" spans="2:16" outlineLevel="1">
      <c r="B1235" s="117"/>
      <c r="C1235" s="118" t="s">
        <v>67</v>
      </c>
      <c r="D1235" s="119" t="s">
        <v>0</v>
      </c>
      <c r="E1235" s="120">
        <v>1</v>
      </c>
      <c r="F1235" s="121"/>
      <c r="G1235" s="121"/>
      <c r="H1235" s="121" t="s">
        <v>69</v>
      </c>
      <c r="I1235" s="122"/>
      <c r="J1235" s="122">
        <v>1</v>
      </c>
      <c r="K1235" s="63"/>
      <c r="L1235" s="63"/>
      <c r="M1235" s="63"/>
      <c r="N1235" s="63"/>
      <c r="O1235" s="87">
        <f>VLOOKUP($B1235,BOM!$A$2:$K$94,10,0)</f>
        <v>0</v>
      </c>
      <c r="P1235" s="87">
        <f t="shared" si="52"/>
        <v>0</v>
      </c>
    </row>
    <row r="1236" spans="2:16" outlineLevel="1">
      <c r="B1236" s="117"/>
      <c r="C1236" s="118" t="s">
        <v>70</v>
      </c>
      <c r="D1236" s="119" t="s">
        <v>0</v>
      </c>
      <c r="E1236" s="120">
        <v>1</v>
      </c>
      <c r="F1236" s="121"/>
      <c r="G1236" s="121"/>
      <c r="H1236" s="121" t="s">
        <v>69</v>
      </c>
      <c r="I1236" s="122"/>
      <c r="J1236" s="122">
        <v>1</v>
      </c>
      <c r="K1236" s="63"/>
      <c r="L1236" s="63"/>
      <c r="M1236" s="63"/>
      <c r="N1236" s="63"/>
      <c r="O1236" s="87">
        <f>VLOOKUP($B1236,BOM!$A$2:$K$94,10,0)</f>
        <v>0</v>
      </c>
      <c r="P1236" s="87">
        <f t="shared" si="52"/>
        <v>0</v>
      </c>
    </row>
    <row r="1237" spans="2:16">
      <c r="B1237" s="81"/>
      <c r="C1237" s="82" t="s">
        <v>18</v>
      </c>
      <c r="D1237" s="72" t="s">
        <v>0</v>
      </c>
      <c r="E1237" s="72">
        <v>1</v>
      </c>
      <c r="F1237" s="72"/>
      <c r="G1237" s="72"/>
      <c r="H1237" s="72"/>
      <c r="I1237" s="72"/>
      <c r="J1237" s="72"/>
      <c r="K1237" s="83"/>
      <c r="L1237" s="83"/>
      <c r="M1237" s="83"/>
      <c r="N1237" s="83"/>
      <c r="O1237" s="87">
        <f>VLOOKUP($B1237,BOM!$A$2:$K$94,10,0)</f>
        <v>0</v>
      </c>
      <c r="P1237" s="87">
        <f t="shared" si="52"/>
        <v>0</v>
      </c>
    </row>
    <row r="1238" spans="2:16" s="45" customFormat="1" ht="30">
      <c r="B1238" s="62">
        <v>760237046</v>
      </c>
      <c r="C1238" s="21" t="s">
        <v>19</v>
      </c>
      <c r="D1238" s="85" t="s">
        <v>3</v>
      </c>
      <c r="E1238" s="85">
        <f>E1233</f>
        <v>1</v>
      </c>
      <c r="F1238" s="62"/>
      <c r="G1238" s="62"/>
      <c r="H1238" s="62"/>
      <c r="I1238" s="62"/>
      <c r="J1238" s="86">
        <v>1</v>
      </c>
      <c r="K1238" s="62" t="s">
        <v>4</v>
      </c>
      <c r="L1238" s="62" t="s">
        <v>5</v>
      </c>
      <c r="M1238" s="86" t="s">
        <v>6</v>
      </c>
      <c r="N1238" s="86" t="s">
        <v>3</v>
      </c>
      <c r="O1238" s="87">
        <f>VLOOKUP($B1238,BOM!$A$2:$K$94,10,0)</f>
        <v>0</v>
      </c>
      <c r="P1238" s="87">
        <f t="shared" si="52"/>
        <v>0</v>
      </c>
    </row>
    <row r="1239" spans="2:16" s="45" customFormat="1" ht="30">
      <c r="B1239" s="62" t="s">
        <v>23</v>
      </c>
      <c r="C1239" s="21" t="s">
        <v>24</v>
      </c>
      <c r="D1239" s="85" t="s">
        <v>3</v>
      </c>
      <c r="E1239" s="85">
        <f>E1238*24</f>
        <v>24</v>
      </c>
      <c r="F1239" s="62"/>
      <c r="G1239" s="62"/>
      <c r="H1239" s="62"/>
      <c r="I1239" s="62"/>
      <c r="J1239" s="86"/>
      <c r="K1239" s="62" t="s">
        <v>25</v>
      </c>
      <c r="L1239" s="62" t="s">
        <v>5</v>
      </c>
      <c r="M1239" s="86" t="s">
        <v>6</v>
      </c>
      <c r="N1239" s="86" t="s">
        <v>3</v>
      </c>
      <c r="O1239" s="87">
        <f>VLOOKUP($B1239,BOM!$A$2:$K$94,10,0)</f>
        <v>0</v>
      </c>
      <c r="P1239" s="87">
        <f t="shared" si="52"/>
        <v>0</v>
      </c>
    </row>
    <row r="1240" spans="2:16" s="45" customFormat="1">
      <c r="B1240" s="62" t="s">
        <v>20</v>
      </c>
      <c r="C1240" s="21" t="s">
        <v>21</v>
      </c>
      <c r="D1240" s="85" t="s">
        <v>3</v>
      </c>
      <c r="E1240" s="85">
        <f>E1238</f>
        <v>1</v>
      </c>
      <c r="F1240" s="62"/>
      <c r="G1240" s="62"/>
      <c r="H1240" s="62"/>
      <c r="I1240" s="62"/>
      <c r="J1240" s="86">
        <v>1</v>
      </c>
      <c r="K1240" s="62" t="s">
        <v>4</v>
      </c>
      <c r="L1240" s="62" t="s">
        <v>5</v>
      </c>
      <c r="M1240" s="86" t="s">
        <v>22</v>
      </c>
      <c r="N1240" s="86" t="s">
        <v>3</v>
      </c>
      <c r="O1240" s="87">
        <f>VLOOKUP($B1240,BOM!$A$2:$K$94,10,0)</f>
        <v>0</v>
      </c>
      <c r="P1240" s="87">
        <f t="shared" si="52"/>
        <v>0</v>
      </c>
    </row>
    <row r="1241" spans="2:16">
      <c r="B1241" s="81"/>
      <c r="C1241" s="82" t="s">
        <v>71</v>
      </c>
      <c r="D1241" s="72" t="s">
        <v>0</v>
      </c>
      <c r="E1241" s="72">
        <v>1</v>
      </c>
      <c r="F1241" s="72"/>
      <c r="G1241" s="72"/>
      <c r="H1241" s="72"/>
      <c r="I1241" s="72"/>
      <c r="J1241" s="72"/>
      <c r="K1241" s="83"/>
      <c r="L1241" s="83"/>
      <c r="M1241" s="83"/>
      <c r="N1241" s="83"/>
      <c r="O1241" s="87">
        <f>VLOOKUP($B1241,BOM!$A$2:$K$94,10,0)</f>
        <v>0</v>
      </c>
      <c r="P1241" s="87">
        <f t="shared" si="52"/>
        <v>0</v>
      </c>
    </row>
    <row r="1242" spans="2:16" s="45" customFormat="1">
      <c r="B1242" s="62" t="s">
        <v>312</v>
      </c>
      <c r="C1242" s="21" t="s">
        <v>315</v>
      </c>
      <c r="D1242" s="116" t="s">
        <v>51</v>
      </c>
      <c r="E1242" s="85">
        <v>1</v>
      </c>
      <c r="F1242" s="62"/>
      <c r="G1242" s="62"/>
      <c r="H1242" s="62"/>
      <c r="I1242" s="62"/>
      <c r="J1242" s="86">
        <f>E1242*6</f>
        <v>6</v>
      </c>
      <c r="K1242" s="62"/>
      <c r="L1242" s="62" t="s">
        <v>5</v>
      </c>
      <c r="M1242" s="86" t="s">
        <v>28</v>
      </c>
      <c r="N1242" s="86" t="s">
        <v>3</v>
      </c>
      <c r="O1242" s="87">
        <f>VLOOKUP($B1242,BOM!$A$2:$K$94,10,0)</f>
        <v>0</v>
      </c>
      <c r="P1242" s="87">
        <f t="shared" si="52"/>
        <v>0</v>
      </c>
    </row>
    <row r="1243" spans="2:16" s="45" customFormat="1">
      <c r="B1243" s="62"/>
      <c r="C1243" s="21"/>
      <c r="D1243" s="116"/>
      <c r="E1243" s="85"/>
      <c r="F1243" s="62"/>
      <c r="G1243" s="62"/>
      <c r="H1243" s="62"/>
      <c r="I1243" s="62"/>
      <c r="J1243" s="86"/>
      <c r="K1243" s="62"/>
      <c r="L1243" s="62"/>
      <c r="M1243" s="86"/>
      <c r="N1243" s="86"/>
      <c r="O1243" s="87">
        <f>VLOOKUP($B1243,BOM!$A$2:$K$94,10,0)</f>
        <v>0</v>
      </c>
      <c r="P1243" s="87">
        <f t="shared" si="52"/>
        <v>0</v>
      </c>
    </row>
    <row r="1244" spans="2:16" s="45" customFormat="1">
      <c r="B1244" s="62" t="s">
        <v>225</v>
      </c>
      <c r="C1244" s="21" t="s">
        <v>72</v>
      </c>
      <c r="D1244" s="116" t="s">
        <v>64</v>
      </c>
      <c r="E1244" s="85">
        <v>0</v>
      </c>
      <c r="F1244" s="62"/>
      <c r="G1244" s="62"/>
      <c r="H1244" s="62"/>
      <c r="I1244" s="62"/>
      <c r="J1244" s="86"/>
      <c r="K1244" s="62"/>
      <c r="L1244" s="62" t="s">
        <v>5</v>
      </c>
      <c r="M1244" s="86" t="s">
        <v>28</v>
      </c>
      <c r="N1244" s="86" t="s">
        <v>3</v>
      </c>
      <c r="O1244" s="87">
        <f>VLOOKUP($B1244,BOM!$A$2:$K$94,10,0)</f>
        <v>0</v>
      </c>
      <c r="P1244" s="87">
        <f t="shared" si="52"/>
        <v>0</v>
      </c>
    </row>
    <row r="1245" spans="2:16">
      <c r="B1245" s="81"/>
      <c r="C1245" s="82" t="s">
        <v>31</v>
      </c>
      <c r="D1245" s="72" t="s">
        <v>0</v>
      </c>
      <c r="E1245" s="72">
        <v>1</v>
      </c>
      <c r="F1245" s="72"/>
      <c r="G1245" s="72"/>
      <c r="H1245" s="72"/>
      <c r="I1245" s="72"/>
      <c r="J1245" s="72"/>
      <c r="K1245" s="83"/>
      <c r="L1245" s="83"/>
      <c r="M1245" s="83"/>
      <c r="N1245" s="83"/>
      <c r="O1245" s="87">
        <f>VLOOKUP($B1245,BOM!$A$2:$K$94,10,0)</f>
        <v>0</v>
      </c>
      <c r="P1245" s="87">
        <f t="shared" si="52"/>
        <v>0</v>
      </c>
    </row>
    <row r="1246" spans="2:16">
      <c r="B1246" s="81"/>
      <c r="C1246" s="82" t="s">
        <v>32</v>
      </c>
      <c r="D1246" s="72"/>
      <c r="E1246" s="72"/>
      <c r="F1246" s="72"/>
      <c r="G1246" s="72"/>
      <c r="H1246" s="72"/>
      <c r="I1246" s="72"/>
      <c r="J1246" s="72"/>
      <c r="K1246" s="83"/>
      <c r="L1246" s="83"/>
      <c r="M1246" s="83"/>
      <c r="N1246" s="83"/>
      <c r="O1246" s="87">
        <f>VLOOKUP($B1246,BOM!$A$2:$K$94,10,0)</f>
        <v>0</v>
      </c>
      <c r="P1246" s="87">
        <f t="shared" si="52"/>
        <v>0</v>
      </c>
    </row>
    <row r="1247" spans="2:16" s="45" customFormat="1" ht="30">
      <c r="B1247" s="62" t="s">
        <v>33</v>
      </c>
      <c r="C1247" s="21" t="s">
        <v>34</v>
      </c>
      <c r="D1247" s="85" t="s">
        <v>3</v>
      </c>
      <c r="E1247" s="90">
        <f>E1248</f>
        <v>0</v>
      </c>
      <c r="F1247" s="62"/>
      <c r="G1247" s="62"/>
      <c r="H1247" s="62"/>
      <c r="I1247" s="62"/>
      <c r="J1247" s="86"/>
      <c r="K1247" s="62" t="s">
        <v>35</v>
      </c>
      <c r="L1247" s="62" t="s">
        <v>5</v>
      </c>
      <c r="M1247" s="86" t="s">
        <v>6</v>
      </c>
      <c r="N1247" s="86" t="s">
        <v>3</v>
      </c>
      <c r="O1247" s="87">
        <f>VLOOKUP($B1247,BOM!$A$2:$K$94,10,0)</f>
        <v>0</v>
      </c>
      <c r="P1247" s="87">
        <f t="shared" si="52"/>
        <v>0</v>
      </c>
    </row>
    <row r="1248" spans="2:16" s="45" customFormat="1">
      <c r="B1248" s="62" t="s">
        <v>330</v>
      </c>
      <c r="C1248" s="21" t="s">
        <v>36</v>
      </c>
      <c r="D1248" s="85" t="s">
        <v>3</v>
      </c>
      <c r="E1248" s="90">
        <f>G1246+H1246</f>
        <v>0</v>
      </c>
      <c r="F1248" s="62"/>
      <c r="G1248" s="62"/>
      <c r="H1248" s="62"/>
      <c r="I1248" s="62"/>
      <c r="J1248" s="86"/>
      <c r="K1248" s="62" t="s">
        <v>37</v>
      </c>
      <c r="L1248" s="62" t="s">
        <v>5</v>
      </c>
      <c r="M1248" s="86" t="s">
        <v>37</v>
      </c>
      <c r="N1248" s="86" t="s">
        <v>3</v>
      </c>
      <c r="O1248" s="87">
        <f>VLOOKUP($B1248,BOM!$A$2:$K$94,10,0)</f>
        <v>0</v>
      </c>
      <c r="P1248" s="87">
        <f t="shared" si="52"/>
        <v>0</v>
      </c>
    </row>
    <row r="1249" spans="1:16" s="45" customFormat="1" ht="30">
      <c r="B1249" s="62" t="s">
        <v>38</v>
      </c>
      <c r="C1249" s="21" t="s">
        <v>39</v>
      </c>
      <c r="D1249" s="85" t="s">
        <v>3</v>
      </c>
      <c r="E1249" s="90">
        <f>E1248</f>
        <v>0</v>
      </c>
      <c r="F1249" s="62"/>
      <c r="G1249" s="62"/>
      <c r="H1249" s="62"/>
      <c r="I1249" s="62"/>
      <c r="J1249" s="86"/>
      <c r="K1249" s="62" t="s">
        <v>25</v>
      </c>
      <c r="L1249" s="62" t="s">
        <v>5</v>
      </c>
      <c r="M1249" s="86" t="s">
        <v>6</v>
      </c>
      <c r="N1249" s="86" t="s">
        <v>3</v>
      </c>
      <c r="O1249" s="87">
        <f>VLOOKUP($B1249,BOM!$A$2:$K$94,10,0)</f>
        <v>0</v>
      </c>
      <c r="P1249" s="87">
        <f t="shared" si="52"/>
        <v>0</v>
      </c>
    </row>
    <row r="1250" spans="1:16">
      <c r="B1250" s="81"/>
      <c r="C1250" s="82" t="s">
        <v>40</v>
      </c>
      <c r="D1250" s="72"/>
      <c r="E1250" s="72"/>
      <c r="F1250" s="72"/>
      <c r="G1250" s="72"/>
      <c r="H1250" s="72">
        <v>11</v>
      </c>
      <c r="I1250" s="72"/>
      <c r="J1250" s="72"/>
      <c r="K1250" s="83"/>
      <c r="L1250" s="83"/>
      <c r="M1250" s="83"/>
      <c r="N1250" s="83"/>
      <c r="O1250" s="87">
        <f>VLOOKUP($B1250,BOM!$A$2:$K$94,10,0)</f>
        <v>0</v>
      </c>
      <c r="P1250" s="87">
        <f t="shared" si="52"/>
        <v>0</v>
      </c>
    </row>
    <row r="1251" spans="1:16" s="45" customFormat="1">
      <c r="B1251" s="62" t="s">
        <v>41</v>
      </c>
      <c r="C1251" s="21" t="s">
        <v>42</v>
      </c>
      <c r="D1251" s="85" t="s">
        <v>3</v>
      </c>
      <c r="E1251" s="85">
        <f>G1250+H1250</f>
        <v>11</v>
      </c>
      <c r="F1251" s="62"/>
      <c r="G1251" s="62"/>
      <c r="H1251" s="62"/>
      <c r="I1251" s="62"/>
      <c r="J1251" s="86"/>
      <c r="K1251" s="62" t="s">
        <v>4</v>
      </c>
      <c r="L1251" s="62" t="s">
        <v>5</v>
      </c>
      <c r="M1251" s="86" t="s">
        <v>6</v>
      </c>
      <c r="N1251" s="86" t="s">
        <v>3</v>
      </c>
      <c r="O1251" s="87">
        <f>VLOOKUP($B1251,BOM!$A$2:$K$94,10,0)</f>
        <v>0</v>
      </c>
      <c r="P1251" s="87">
        <f t="shared" si="52"/>
        <v>0</v>
      </c>
    </row>
    <row r="1252" spans="1:16" s="45" customFormat="1">
      <c r="B1252" s="65" t="s">
        <v>43</v>
      </c>
      <c r="C1252" s="103" t="s">
        <v>44</v>
      </c>
      <c r="D1252" s="85" t="s">
        <v>3</v>
      </c>
      <c r="E1252" s="85">
        <f>E1251</f>
        <v>11</v>
      </c>
      <c r="F1252" s="62"/>
      <c r="G1252" s="62"/>
      <c r="H1252" s="62"/>
      <c r="I1252" s="62"/>
      <c r="J1252" s="86"/>
      <c r="K1252" s="62" t="s">
        <v>4</v>
      </c>
      <c r="L1252" s="62" t="s">
        <v>5</v>
      </c>
      <c r="M1252" s="86" t="s">
        <v>6</v>
      </c>
      <c r="N1252" s="86" t="s">
        <v>3</v>
      </c>
      <c r="O1252" s="87">
        <f>VLOOKUP($B1252,BOM!$A$2:$K$94,10,0)</f>
        <v>0</v>
      </c>
      <c r="P1252" s="87">
        <f t="shared" si="52"/>
        <v>0</v>
      </c>
    </row>
    <row r="1253" spans="1:16">
      <c r="B1253" s="81"/>
      <c r="C1253" s="82" t="s">
        <v>45</v>
      </c>
      <c r="D1253" s="72"/>
      <c r="E1253" s="72"/>
      <c r="F1253" s="72"/>
      <c r="G1253" s="72"/>
      <c r="H1253" s="72"/>
      <c r="I1253" s="72"/>
      <c r="J1253" s="72"/>
      <c r="K1253" s="83"/>
      <c r="L1253" s="83"/>
      <c r="M1253" s="83"/>
      <c r="N1253" s="83"/>
      <c r="O1253" s="87">
        <f>VLOOKUP($B1253,BOM!$A$2:$K$94,10,0)</f>
        <v>0</v>
      </c>
      <c r="P1253" s="87">
        <f t="shared" si="52"/>
        <v>0</v>
      </c>
    </row>
    <row r="1254" spans="1:16" s="45" customFormat="1" ht="30">
      <c r="B1254" s="62" t="s">
        <v>48</v>
      </c>
      <c r="C1254" s="21" t="s">
        <v>49</v>
      </c>
      <c r="D1254" s="85" t="s">
        <v>14</v>
      </c>
      <c r="E1254" s="85">
        <f>E1251+1</f>
        <v>12</v>
      </c>
      <c r="F1254" s="62"/>
      <c r="G1254" s="62"/>
      <c r="H1254" s="62"/>
      <c r="I1254" s="62"/>
      <c r="J1254" s="86"/>
      <c r="K1254" s="62"/>
      <c r="L1254" s="62" t="s">
        <v>5</v>
      </c>
      <c r="M1254" s="86" t="s">
        <v>6</v>
      </c>
      <c r="N1254" s="86" t="s">
        <v>15</v>
      </c>
      <c r="O1254" s="87">
        <f>VLOOKUP($B1254,BOM!$A$2:$K$94,10,0)</f>
        <v>0</v>
      </c>
      <c r="P1254" s="87">
        <f t="shared" si="52"/>
        <v>0</v>
      </c>
    </row>
    <row r="1255" spans="1:16" s="45" customFormat="1" ht="30">
      <c r="B1255" s="62" t="s">
        <v>48</v>
      </c>
      <c r="C1255" s="21" t="s">
        <v>49</v>
      </c>
      <c r="D1255" s="85" t="s">
        <v>14</v>
      </c>
      <c r="E1255" s="90">
        <f>ROUNDUP(E1254*0.2,0)</f>
        <v>3</v>
      </c>
      <c r="F1255" s="62"/>
      <c r="G1255" s="62"/>
      <c r="H1255" s="62"/>
      <c r="I1255" s="62"/>
      <c r="J1255" s="86"/>
      <c r="K1255" s="62" t="s">
        <v>4</v>
      </c>
      <c r="L1255" s="62" t="s">
        <v>5</v>
      </c>
      <c r="M1255" s="86" t="s">
        <v>6</v>
      </c>
      <c r="N1255" s="86" t="s">
        <v>15</v>
      </c>
      <c r="O1255" s="87">
        <f>VLOOKUP($B1255,BOM!$A$2:$K$94,10,0)</f>
        <v>0</v>
      </c>
      <c r="P1255" s="87">
        <f t="shared" si="52"/>
        <v>0</v>
      </c>
    </row>
    <row r="1256" spans="1:16">
      <c r="B1256" s="81"/>
      <c r="C1256" s="82" t="s">
        <v>50</v>
      </c>
      <c r="D1256" s="72"/>
      <c r="E1256" s="72"/>
      <c r="F1256" s="72"/>
      <c r="G1256" s="72"/>
      <c r="H1256" s="72"/>
      <c r="I1256" s="72"/>
      <c r="J1256" s="72"/>
      <c r="K1256" s="83"/>
      <c r="L1256" s="83"/>
      <c r="M1256" s="83"/>
      <c r="N1256" s="83"/>
      <c r="O1256" s="87">
        <f>VLOOKUP($B1256,BOM!$A$2:$K$94,10,0)</f>
        <v>0</v>
      </c>
      <c r="P1256" s="87">
        <f t="shared" si="52"/>
        <v>0</v>
      </c>
    </row>
    <row r="1257" spans="1:16" s="45" customFormat="1">
      <c r="B1257" s="62" t="s">
        <v>332</v>
      </c>
      <c r="C1257" s="21" t="s">
        <v>332</v>
      </c>
      <c r="D1257" s="85" t="s">
        <v>51</v>
      </c>
      <c r="E1257" s="85">
        <f>E1242</f>
        <v>1</v>
      </c>
      <c r="F1257" s="62"/>
      <c r="G1257" s="62"/>
      <c r="H1257" s="62"/>
      <c r="I1257" s="62"/>
      <c r="J1257" s="86"/>
      <c r="K1257" s="62"/>
      <c r="L1257" s="62"/>
      <c r="M1257" s="86"/>
      <c r="N1257" s="86" t="s">
        <v>51</v>
      </c>
      <c r="O1257" s="87">
        <f>VLOOKUP($B1257,BOM!$A$2:$K$94,10,0)</f>
        <v>0</v>
      </c>
      <c r="P1257" s="87">
        <f t="shared" si="52"/>
        <v>0</v>
      </c>
    </row>
    <row r="1258" spans="1:16" s="45" customFormat="1">
      <c r="B1258" s="62" t="s">
        <v>52</v>
      </c>
      <c r="C1258" s="21" t="s">
        <v>53</v>
      </c>
      <c r="D1258" s="86" t="s">
        <v>54</v>
      </c>
      <c r="E1258" s="105">
        <f>E1255+E1254</f>
        <v>15</v>
      </c>
      <c r="F1258" s="62"/>
      <c r="G1258" s="62"/>
      <c r="H1258" s="62"/>
      <c r="I1258" s="62"/>
      <c r="J1258" s="86"/>
      <c r="K1258" s="62"/>
      <c r="L1258" s="62"/>
      <c r="M1258" s="86" t="s">
        <v>55</v>
      </c>
      <c r="N1258" s="86" t="s">
        <v>54</v>
      </c>
      <c r="O1258" s="87">
        <f>VLOOKUP($B1258,BOM!$A$2:$K$94,10,0)</f>
        <v>0</v>
      </c>
      <c r="P1258" s="87">
        <f t="shared" si="52"/>
        <v>0</v>
      </c>
    </row>
    <row r="1259" spans="1:16" s="45" customFormat="1" ht="30">
      <c r="B1259" s="62" t="s">
        <v>56</v>
      </c>
      <c r="C1259" s="21" t="s">
        <v>57</v>
      </c>
      <c r="D1259" s="86" t="s">
        <v>14</v>
      </c>
      <c r="E1259" s="105">
        <f>E1227</f>
        <v>4</v>
      </c>
      <c r="F1259" s="62"/>
      <c r="G1259" s="62"/>
      <c r="H1259" s="62"/>
      <c r="I1259" s="62"/>
      <c r="J1259" s="86"/>
      <c r="K1259" s="62"/>
      <c r="L1259" s="62"/>
      <c r="M1259" s="86" t="s">
        <v>55</v>
      </c>
      <c r="N1259" s="86" t="s">
        <v>14</v>
      </c>
      <c r="O1259" s="87">
        <f>VLOOKUP($B1259,BOM!$A$2:$K$94,10,0)</f>
        <v>0</v>
      </c>
      <c r="P1259" s="87">
        <f t="shared" si="52"/>
        <v>0</v>
      </c>
    </row>
    <row r="1260" spans="1:16" s="45" customFormat="1" ht="30">
      <c r="B1260" s="62" t="s">
        <v>58</v>
      </c>
      <c r="C1260" s="21" t="s">
        <v>59</v>
      </c>
      <c r="D1260" s="86" t="s">
        <v>60</v>
      </c>
      <c r="E1260" s="105">
        <f>E1259*2</f>
        <v>8</v>
      </c>
      <c r="F1260" s="62"/>
      <c r="G1260" s="62"/>
      <c r="H1260" s="62"/>
      <c r="I1260" s="62"/>
      <c r="J1260" s="86"/>
      <c r="K1260" s="62"/>
      <c r="L1260" s="62"/>
      <c r="M1260" s="86" t="s">
        <v>61</v>
      </c>
      <c r="N1260" s="86" t="s">
        <v>60</v>
      </c>
      <c r="O1260" s="87">
        <f>VLOOKUP($B1260,BOM!$A$2:$K$94,10,0)</f>
        <v>0</v>
      </c>
      <c r="P1260" s="87">
        <f t="shared" si="52"/>
        <v>0</v>
      </c>
    </row>
    <row r="1261" spans="1:16" s="45" customFormat="1" ht="45">
      <c r="B1261" s="62" t="s">
        <v>62</v>
      </c>
      <c r="C1261" s="21" t="s">
        <v>63</v>
      </c>
      <c r="D1261" s="86" t="s">
        <v>64</v>
      </c>
      <c r="E1261" s="105">
        <f>E1238</f>
        <v>1</v>
      </c>
      <c r="F1261" s="62"/>
      <c r="G1261" s="62"/>
      <c r="H1261" s="62"/>
      <c r="I1261" s="62"/>
      <c r="J1261" s="86"/>
      <c r="K1261" s="62"/>
      <c r="L1261" s="62"/>
      <c r="M1261" s="86" t="s">
        <v>61</v>
      </c>
      <c r="N1261" s="86" t="s">
        <v>64</v>
      </c>
      <c r="O1261" s="87">
        <f>VLOOKUP($B1261,BOM!$A$2:$K$94,10,0)</f>
        <v>0</v>
      </c>
      <c r="P1261" s="87">
        <f t="shared" si="52"/>
        <v>0</v>
      </c>
    </row>
    <row r="1262" spans="1:16">
      <c r="A1262" s="15">
        <v>27</v>
      </c>
      <c r="B1262" s="36"/>
      <c r="C1262" s="50" t="s">
        <v>297</v>
      </c>
      <c r="D1262" s="38" t="s">
        <v>0</v>
      </c>
      <c r="E1262" s="36">
        <v>1</v>
      </c>
      <c r="F1262" s="36"/>
      <c r="G1262" s="36"/>
      <c r="H1262" s="36"/>
      <c r="I1262" s="38"/>
      <c r="J1262" s="38"/>
      <c r="K1262" s="39"/>
      <c r="L1262" s="39"/>
      <c r="M1262" s="39"/>
      <c r="N1262" s="39"/>
      <c r="O1262" s="87">
        <f>VLOOKUP($B1262,BOM!$A$2:$K$94,10,0)</f>
        <v>0</v>
      </c>
      <c r="P1262" s="87">
        <f t="shared" si="52"/>
        <v>0</v>
      </c>
    </row>
    <row r="1263" spans="1:16">
      <c r="B1263" s="81"/>
      <c r="C1263" s="82" t="s">
        <v>121</v>
      </c>
      <c r="D1263" s="72" t="s">
        <v>0</v>
      </c>
      <c r="E1263" s="72">
        <v>1</v>
      </c>
      <c r="F1263" s="72"/>
      <c r="G1263" s="72"/>
      <c r="H1263" s="72"/>
      <c r="I1263" s="72"/>
      <c r="J1263" s="72"/>
      <c r="K1263" s="83"/>
      <c r="L1263" s="83"/>
      <c r="M1263" s="83"/>
      <c r="N1263" s="83"/>
      <c r="O1263" s="87">
        <f>VLOOKUP($B1263,BOM!$A$2:$K$94,10,0)</f>
        <v>0</v>
      </c>
      <c r="P1263" s="87">
        <f t="shared" si="52"/>
        <v>0</v>
      </c>
    </row>
    <row r="1264" spans="1:16" s="19" customFormat="1">
      <c r="B1264" s="21"/>
      <c r="C1264" s="21"/>
      <c r="D1264" s="86"/>
      <c r="E1264" s="22"/>
      <c r="F1264" s="21"/>
      <c r="G1264" s="21"/>
      <c r="H1264" s="21"/>
      <c r="I1264" s="21"/>
      <c r="J1264" s="22"/>
      <c r="K1264" s="21"/>
      <c r="L1264" s="21"/>
      <c r="M1264" s="22"/>
      <c r="N1264" s="22"/>
      <c r="O1264" s="87">
        <f>VLOOKUP($B1264,BOM!$A$2:$K$94,10,0)</f>
        <v>0</v>
      </c>
      <c r="P1264" s="87">
        <f t="shared" si="52"/>
        <v>0</v>
      </c>
    </row>
    <row r="1265" spans="2:16" s="19" customFormat="1">
      <c r="B1265" s="21"/>
      <c r="C1265" s="21"/>
      <c r="D1265" s="86"/>
      <c r="E1265" s="22"/>
      <c r="F1265" s="21"/>
      <c r="G1265" s="21"/>
      <c r="H1265" s="21"/>
      <c r="I1265" s="21"/>
      <c r="J1265" s="22"/>
      <c r="K1265" s="21"/>
      <c r="L1265" s="21"/>
      <c r="M1265" s="22"/>
      <c r="N1265" s="22"/>
      <c r="O1265" s="87">
        <f>VLOOKUP($B1265,BOM!$A$2:$K$94,10,0)</f>
        <v>0</v>
      </c>
      <c r="P1265" s="87">
        <f t="shared" si="52"/>
        <v>0</v>
      </c>
    </row>
    <row r="1266" spans="2:16" s="19" customFormat="1">
      <c r="B1266" s="21"/>
      <c r="C1266" s="21"/>
      <c r="D1266" s="86"/>
      <c r="E1266" s="22"/>
      <c r="F1266" s="21"/>
      <c r="G1266" s="21"/>
      <c r="H1266" s="21"/>
      <c r="I1266" s="21"/>
      <c r="J1266" s="22"/>
      <c r="K1266" s="21"/>
      <c r="L1266" s="21"/>
      <c r="M1266" s="22"/>
      <c r="N1266" s="22"/>
      <c r="O1266" s="87">
        <f>VLOOKUP($B1266,BOM!$A$2:$K$94,10,0)</f>
        <v>0</v>
      </c>
      <c r="P1266" s="87">
        <f t="shared" si="52"/>
        <v>0</v>
      </c>
    </row>
    <row r="1267" spans="2:16">
      <c r="B1267" s="81"/>
      <c r="C1267" s="82"/>
      <c r="D1267" s="72"/>
      <c r="E1267" s="72"/>
      <c r="F1267" s="72"/>
      <c r="G1267" s="72"/>
      <c r="H1267" s="72"/>
      <c r="I1267" s="72"/>
      <c r="J1267" s="72"/>
      <c r="K1267" s="83"/>
      <c r="L1267" s="83"/>
      <c r="M1267" s="83"/>
      <c r="N1267" s="83"/>
      <c r="O1267" s="87">
        <f>VLOOKUP($B1267,BOM!$A$2:$K$94,10,0)</f>
        <v>0</v>
      </c>
      <c r="P1267" s="87">
        <f t="shared" si="52"/>
        <v>0</v>
      </c>
    </row>
    <row r="1268" spans="2:16" s="45" customFormat="1">
      <c r="B1268" s="62"/>
      <c r="C1268" s="21"/>
      <c r="D1268" s="85"/>
      <c r="E1268" s="85"/>
      <c r="F1268" s="62"/>
      <c r="G1268" s="62"/>
      <c r="H1268" s="62"/>
      <c r="I1268" s="62"/>
      <c r="J1268" s="86"/>
      <c r="K1268" s="62"/>
      <c r="L1268" s="62"/>
      <c r="M1268" s="86"/>
      <c r="N1268" s="86"/>
      <c r="O1268" s="87">
        <f>VLOOKUP($B1268,BOM!$A$2:$K$94,10,0)</f>
        <v>0</v>
      </c>
      <c r="P1268" s="87">
        <f t="shared" si="52"/>
        <v>0</v>
      </c>
    </row>
    <row r="1269" spans="2:16" s="45" customFormat="1">
      <c r="B1269" s="62"/>
      <c r="C1269" s="21"/>
      <c r="D1269" s="85"/>
      <c r="E1269" s="85"/>
      <c r="F1269" s="62"/>
      <c r="G1269" s="62"/>
      <c r="H1269" s="62"/>
      <c r="I1269" s="62"/>
      <c r="J1269" s="86"/>
      <c r="K1269" s="62"/>
      <c r="L1269" s="62"/>
      <c r="M1269" s="86"/>
      <c r="N1269" s="86"/>
      <c r="O1269" s="87">
        <f>VLOOKUP($B1269,BOM!$A$2:$K$94,10,0)</f>
        <v>0</v>
      </c>
      <c r="P1269" s="87">
        <f t="shared" si="52"/>
        <v>0</v>
      </c>
    </row>
    <row r="1270" spans="2:16" s="45" customFormat="1">
      <c r="B1270" s="62"/>
      <c r="C1270" s="21"/>
      <c r="D1270" s="85"/>
      <c r="E1270" s="85"/>
      <c r="F1270" s="62"/>
      <c r="G1270" s="62"/>
      <c r="H1270" s="62"/>
      <c r="I1270" s="62"/>
      <c r="J1270" s="86"/>
      <c r="K1270" s="62"/>
      <c r="L1270" s="62"/>
      <c r="M1270" s="86"/>
      <c r="N1270" s="86"/>
      <c r="O1270" s="87">
        <f>VLOOKUP($B1270,BOM!$A$2:$K$94,10,0)</f>
        <v>0</v>
      </c>
      <c r="P1270" s="87">
        <f t="shared" si="52"/>
        <v>0</v>
      </c>
    </row>
    <row r="1271" spans="2:16" s="45" customFormat="1">
      <c r="B1271" s="62"/>
      <c r="C1271" s="21"/>
      <c r="D1271" s="85"/>
      <c r="E1271" s="85"/>
      <c r="F1271" s="62"/>
      <c r="G1271" s="62"/>
      <c r="H1271" s="62"/>
      <c r="I1271" s="62"/>
      <c r="J1271" s="86"/>
      <c r="K1271" s="62"/>
      <c r="L1271" s="62"/>
      <c r="M1271" s="86"/>
      <c r="N1271" s="86"/>
      <c r="O1271" s="87">
        <f>VLOOKUP($B1271,BOM!$A$2:$K$94,10,0)</f>
        <v>0</v>
      </c>
      <c r="P1271" s="87">
        <f t="shared" si="52"/>
        <v>0</v>
      </c>
    </row>
    <row r="1272" spans="2:16" s="45" customFormat="1">
      <c r="B1272" s="62"/>
      <c r="C1272" s="21"/>
      <c r="D1272" s="85"/>
      <c r="E1272" s="85"/>
      <c r="F1272" s="62"/>
      <c r="G1272" s="62"/>
      <c r="H1272" s="62"/>
      <c r="I1272" s="62"/>
      <c r="J1272" s="86"/>
      <c r="K1272" s="62"/>
      <c r="L1272" s="62"/>
      <c r="M1272" s="86"/>
      <c r="N1272" s="86"/>
      <c r="O1272" s="87">
        <f>VLOOKUP($B1272,BOM!$A$2:$K$94,10,0)</f>
        <v>0</v>
      </c>
      <c r="P1272" s="87">
        <f t="shared" si="52"/>
        <v>0</v>
      </c>
    </row>
    <row r="1273" spans="2:16" s="45" customFormat="1">
      <c r="B1273" s="62"/>
      <c r="C1273" s="21"/>
      <c r="D1273" s="85"/>
      <c r="E1273" s="85"/>
      <c r="F1273" s="62"/>
      <c r="G1273" s="62"/>
      <c r="H1273" s="62"/>
      <c r="I1273" s="62"/>
      <c r="J1273" s="86"/>
      <c r="K1273" s="62"/>
      <c r="L1273" s="62"/>
      <c r="M1273" s="86"/>
      <c r="N1273" s="86"/>
      <c r="O1273" s="87">
        <f>VLOOKUP($B1273,BOM!$A$2:$K$94,10,0)</f>
        <v>0</v>
      </c>
      <c r="P1273" s="87">
        <f t="shared" si="52"/>
        <v>0</v>
      </c>
    </row>
    <row r="1274" spans="2:16" s="110" customFormat="1">
      <c r="B1274" s="66"/>
      <c r="C1274" s="106"/>
      <c r="D1274" s="89"/>
      <c r="E1274" s="89"/>
      <c r="F1274" s="66"/>
      <c r="G1274" s="66"/>
      <c r="H1274" s="66"/>
      <c r="I1274" s="66"/>
      <c r="J1274" s="107"/>
      <c r="K1274" s="108"/>
      <c r="L1274" s="108"/>
      <c r="M1274" s="109"/>
      <c r="N1274" s="109"/>
      <c r="O1274" s="87">
        <f>VLOOKUP($B1274,BOM!$A$2:$K$94,10,0)</f>
        <v>0</v>
      </c>
      <c r="P1274" s="87">
        <f t="shared" si="52"/>
        <v>0</v>
      </c>
    </row>
    <row r="1275" spans="2:16" s="111" customFormat="1">
      <c r="B1275" s="66"/>
      <c r="C1275" s="106"/>
      <c r="D1275" s="89"/>
      <c r="E1275" s="89"/>
      <c r="F1275" s="108"/>
      <c r="G1275" s="108"/>
      <c r="H1275" s="108"/>
      <c r="I1275" s="108"/>
      <c r="J1275" s="109"/>
      <c r="K1275" s="108"/>
      <c r="L1275" s="108"/>
      <c r="M1275" s="109"/>
      <c r="N1275" s="109"/>
      <c r="O1275" s="87">
        <f>VLOOKUP($B1275,BOM!$A$2:$K$94,10,0)</f>
        <v>0</v>
      </c>
      <c r="P1275" s="87">
        <f t="shared" si="52"/>
        <v>0</v>
      </c>
    </row>
    <row r="1276" spans="2:16" s="110" customFormat="1">
      <c r="B1276" s="66"/>
      <c r="C1276" s="106"/>
      <c r="D1276" s="89"/>
      <c r="E1276" s="89"/>
      <c r="F1276" s="66"/>
      <c r="G1276" s="66"/>
      <c r="H1276" s="66"/>
      <c r="I1276" s="66"/>
      <c r="J1276" s="107"/>
      <c r="K1276" s="108"/>
      <c r="L1276" s="108"/>
      <c r="M1276" s="109"/>
      <c r="N1276" s="109"/>
      <c r="O1276" s="87">
        <f>VLOOKUP($B1276,BOM!$A$2:$K$94,10,0)</f>
        <v>0</v>
      </c>
      <c r="P1276" s="87">
        <f t="shared" si="52"/>
        <v>0</v>
      </c>
    </row>
    <row r="1277" spans="2:16">
      <c r="B1277" s="81"/>
      <c r="C1277" s="82"/>
      <c r="D1277" s="72"/>
      <c r="E1277" s="72"/>
      <c r="F1277" s="72"/>
      <c r="G1277" s="72"/>
      <c r="H1277" s="72"/>
      <c r="I1277" s="72"/>
      <c r="J1277" s="72"/>
      <c r="K1277" s="83"/>
      <c r="L1277" s="83"/>
      <c r="M1277" s="83"/>
      <c r="N1277" s="83"/>
      <c r="O1277" s="87">
        <f>VLOOKUP($B1277,BOM!$A$2:$K$94,10,0)</f>
        <v>0</v>
      </c>
      <c r="P1277" s="87">
        <f t="shared" si="52"/>
        <v>0</v>
      </c>
    </row>
    <row r="1278" spans="2:16" s="45" customFormat="1">
      <c r="B1278" s="62"/>
      <c r="C1278" s="21"/>
      <c r="D1278" s="85"/>
      <c r="E1278" s="85"/>
      <c r="F1278" s="62"/>
      <c r="G1278" s="62"/>
      <c r="H1278" s="62"/>
      <c r="I1278" s="62"/>
      <c r="J1278" s="86"/>
      <c r="K1278" s="62"/>
      <c r="L1278" s="62"/>
      <c r="M1278" s="86"/>
      <c r="N1278" s="86"/>
      <c r="O1278" s="87">
        <f>VLOOKUP($B1278,BOM!$A$2:$K$94,10,0)</f>
        <v>0</v>
      </c>
      <c r="P1278" s="87">
        <f t="shared" si="52"/>
        <v>0</v>
      </c>
    </row>
    <row r="1279" spans="2:16">
      <c r="B1279" s="81"/>
      <c r="C1279" s="82"/>
      <c r="D1279" s="72"/>
      <c r="E1279" s="72"/>
      <c r="F1279" s="72"/>
      <c r="G1279" s="72"/>
      <c r="H1279" s="72"/>
      <c r="I1279" s="72"/>
      <c r="J1279" s="72"/>
      <c r="K1279" s="83"/>
      <c r="L1279" s="83"/>
      <c r="M1279" s="83"/>
      <c r="N1279" s="83"/>
      <c r="O1279" s="87">
        <f>VLOOKUP($B1279,BOM!$A$2:$K$94,10,0)</f>
        <v>0</v>
      </c>
      <c r="P1279" s="87">
        <f t="shared" si="52"/>
        <v>0</v>
      </c>
    </row>
    <row r="1280" spans="2:16">
      <c r="B1280" s="81"/>
      <c r="C1280" s="82"/>
      <c r="D1280" s="72"/>
      <c r="E1280" s="72"/>
      <c r="F1280" s="72"/>
      <c r="G1280" s="72"/>
      <c r="H1280" s="72"/>
      <c r="I1280" s="72"/>
      <c r="J1280" s="72"/>
      <c r="K1280" s="83"/>
      <c r="L1280" s="83"/>
      <c r="M1280" s="83"/>
      <c r="N1280" s="83"/>
      <c r="O1280" s="87">
        <f>VLOOKUP($B1280,BOM!$A$2:$K$94,10,0)</f>
        <v>0</v>
      </c>
      <c r="P1280" s="87">
        <f t="shared" si="52"/>
        <v>0</v>
      </c>
    </row>
    <row r="1281" spans="2:16">
      <c r="B1281" s="81"/>
      <c r="C1281" s="82"/>
      <c r="D1281" s="72"/>
      <c r="E1281" s="72"/>
      <c r="F1281" s="72"/>
      <c r="G1281" s="72"/>
      <c r="H1281" s="72"/>
      <c r="I1281" s="72"/>
      <c r="J1281" s="72"/>
      <c r="K1281" s="83"/>
      <c r="L1281" s="83"/>
      <c r="M1281" s="83"/>
      <c r="N1281" s="83"/>
      <c r="O1281" s="87">
        <f>VLOOKUP($B1281,BOM!$A$2:$K$94,10,0)</f>
        <v>0</v>
      </c>
      <c r="P1281" s="87">
        <f t="shared" si="52"/>
        <v>0</v>
      </c>
    </row>
    <row r="1282" spans="2:16">
      <c r="B1282" s="81"/>
      <c r="C1282" s="82"/>
      <c r="D1282" s="72"/>
      <c r="E1282" s="72"/>
      <c r="F1282" s="72"/>
      <c r="G1282" s="72"/>
      <c r="H1282" s="72"/>
      <c r="I1282" s="72"/>
      <c r="J1282" s="72"/>
      <c r="K1282" s="83"/>
      <c r="L1282" s="83"/>
      <c r="M1282" s="83"/>
      <c r="N1282" s="83"/>
      <c r="O1282" s="87">
        <f>VLOOKUP($B1282,BOM!$A$2:$K$94,10,0)</f>
        <v>0</v>
      </c>
      <c r="P1282" s="87">
        <f t="shared" si="52"/>
        <v>0</v>
      </c>
    </row>
    <row r="1283" spans="2:16" s="45" customFormat="1">
      <c r="B1283" s="62"/>
      <c r="C1283" s="21"/>
      <c r="D1283" s="85"/>
      <c r="E1283" s="85"/>
      <c r="F1283" s="62"/>
      <c r="G1283" s="62"/>
      <c r="H1283" s="62"/>
      <c r="I1283" s="62"/>
      <c r="J1283" s="86"/>
      <c r="K1283" s="62"/>
      <c r="L1283" s="62"/>
      <c r="M1283" s="86"/>
      <c r="N1283" s="86"/>
      <c r="O1283" s="87">
        <f>VLOOKUP($B1283,BOM!$A$2:$K$94,10,0)</f>
        <v>0</v>
      </c>
      <c r="P1283" s="87">
        <f t="shared" si="52"/>
        <v>0</v>
      </c>
    </row>
    <row r="1284" spans="2:16" s="45" customFormat="1">
      <c r="B1284" s="62"/>
      <c r="C1284" s="21"/>
      <c r="D1284" s="85"/>
      <c r="E1284" s="85"/>
      <c r="F1284" s="62"/>
      <c r="G1284" s="62"/>
      <c r="H1284" s="62"/>
      <c r="I1284" s="62"/>
      <c r="J1284" s="86"/>
      <c r="K1284" s="62"/>
      <c r="L1284" s="62"/>
      <c r="M1284" s="86"/>
      <c r="N1284" s="86"/>
      <c r="O1284" s="87">
        <f>VLOOKUP($B1284,BOM!$A$2:$K$94,10,0)</f>
        <v>0</v>
      </c>
      <c r="P1284" s="87">
        <f t="shared" ref="P1284:P1347" si="54">O1284*E1284</f>
        <v>0</v>
      </c>
    </row>
    <row r="1285" spans="2:16" s="45" customFormat="1">
      <c r="B1285" s="62"/>
      <c r="C1285" s="21"/>
      <c r="D1285" s="85"/>
      <c r="E1285" s="85"/>
      <c r="F1285" s="62"/>
      <c r="G1285" s="62"/>
      <c r="H1285" s="62"/>
      <c r="I1285" s="62"/>
      <c r="J1285" s="86"/>
      <c r="K1285" s="62"/>
      <c r="L1285" s="62"/>
      <c r="M1285" s="86"/>
      <c r="N1285" s="86"/>
      <c r="O1285" s="87">
        <f>VLOOKUP($B1285,BOM!$A$2:$K$94,10,0)</f>
        <v>0</v>
      </c>
      <c r="P1285" s="87">
        <f t="shared" si="54"/>
        <v>0</v>
      </c>
    </row>
    <row r="1286" spans="2:16">
      <c r="B1286" s="81"/>
      <c r="C1286" s="82"/>
      <c r="D1286" s="72"/>
      <c r="E1286" s="72"/>
      <c r="F1286" s="72"/>
      <c r="G1286" s="72"/>
      <c r="H1286" s="72"/>
      <c r="I1286" s="72"/>
      <c r="J1286" s="72"/>
      <c r="K1286" s="83"/>
      <c r="L1286" s="83"/>
      <c r="M1286" s="83"/>
      <c r="N1286" s="83"/>
      <c r="O1286" s="87">
        <f>VLOOKUP($B1286,BOM!$A$2:$K$94,10,0)</f>
        <v>0</v>
      </c>
      <c r="P1286" s="87">
        <f t="shared" si="54"/>
        <v>0</v>
      </c>
    </row>
    <row r="1287" spans="2:16" s="45" customFormat="1">
      <c r="B1287" s="62"/>
      <c r="C1287" s="21"/>
      <c r="D1287" s="125"/>
      <c r="E1287" s="90"/>
      <c r="F1287" s="62"/>
      <c r="G1287" s="62"/>
      <c r="H1287" s="62"/>
      <c r="I1287" s="62"/>
      <c r="J1287" s="86"/>
      <c r="K1287" s="62"/>
      <c r="L1287" s="62"/>
      <c r="M1287" s="86"/>
      <c r="N1287" s="86"/>
      <c r="O1287" s="87">
        <f>VLOOKUP($B1287,BOM!$A$2:$K$94,10,0)</f>
        <v>0</v>
      </c>
      <c r="P1287" s="87">
        <f t="shared" si="54"/>
        <v>0</v>
      </c>
    </row>
    <row r="1288" spans="2:16" s="45" customFormat="1">
      <c r="B1288" s="62"/>
      <c r="C1288" s="21"/>
      <c r="D1288" s="125"/>
      <c r="E1288" s="90"/>
      <c r="F1288" s="62"/>
      <c r="G1288" s="62"/>
      <c r="H1288" s="62"/>
      <c r="I1288" s="62"/>
      <c r="J1288" s="86"/>
      <c r="K1288" s="62"/>
      <c r="L1288" s="62"/>
      <c r="M1288" s="86"/>
      <c r="N1288" s="86"/>
      <c r="O1288" s="87">
        <f>VLOOKUP($B1288,BOM!$A$2:$K$94,10,0)</f>
        <v>0</v>
      </c>
      <c r="P1288" s="87">
        <f t="shared" si="54"/>
        <v>0</v>
      </c>
    </row>
    <row r="1289" spans="2:16">
      <c r="B1289" s="81"/>
      <c r="C1289" s="82"/>
      <c r="D1289" s="72"/>
      <c r="E1289" s="72"/>
      <c r="F1289" s="72"/>
      <c r="G1289" s="72"/>
      <c r="H1289" s="72"/>
      <c r="I1289" s="72"/>
      <c r="J1289" s="72"/>
      <c r="K1289" s="83"/>
      <c r="L1289" s="83"/>
      <c r="M1289" s="83"/>
      <c r="N1289" s="83"/>
      <c r="O1289" s="87">
        <f>VLOOKUP($B1289,BOM!$A$2:$K$94,10,0)</f>
        <v>0</v>
      </c>
      <c r="P1289" s="87">
        <f t="shared" si="54"/>
        <v>0</v>
      </c>
    </row>
    <row r="1290" spans="2:16">
      <c r="B1290" s="81"/>
      <c r="C1290" s="82"/>
      <c r="D1290" s="72"/>
      <c r="E1290" s="72"/>
      <c r="F1290" s="72"/>
      <c r="G1290" s="72"/>
      <c r="H1290" s="72"/>
      <c r="I1290" s="72"/>
      <c r="J1290" s="72"/>
      <c r="K1290" s="83"/>
      <c r="L1290" s="83"/>
      <c r="M1290" s="83"/>
      <c r="N1290" s="83"/>
      <c r="O1290" s="87">
        <f>VLOOKUP($B1290,BOM!$A$2:$K$94,10,0)</f>
        <v>0</v>
      </c>
      <c r="P1290" s="87">
        <f t="shared" si="54"/>
        <v>0</v>
      </c>
    </row>
    <row r="1291" spans="2:16" s="45" customFormat="1" ht="20.45" customHeight="1">
      <c r="B1291" s="62"/>
      <c r="C1291" s="21"/>
      <c r="D1291" s="85"/>
      <c r="E1291" s="90"/>
      <c r="F1291" s="62"/>
      <c r="G1291" s="62"/>
      <c r="H1291" s="62"/>
      <c r="I1291" s="62"/>
      <c r="J1291" s="86"/>
      <c r="K1291" s="62"/>
      <c r="L1291" s="62"/>
      <c r="M1291" s="86"/>
      <c r="N1291" s="86"/>
      <c r="O1291" s="87">
        <f>VLOOKUP($B1291,BOM!$A$2:$K$94,10,0)</f>
        <v>0</v>
      </c>
      <c r="P1291" s="87">
        <f t="shared" si="54"/>
        <v>0</v>
      </c>
    </row>
    <row r="1292" spans="2:16" s="45" customFormat="1">
      <c r="B1292" s="62"/>
      <c r="C1292" s="21"/>
      <c r="D1292" s="85"/>
      <c r="E1292" s="90"/>
      <c r="F1292" s="62"/>
      <c r="G1292" s="62"/>
      <c r="H1292" s="62"/>
      <c r="I1292" s="62"/>
      <c r="J1292" s="86"/>
      <c r="K1292" s="62"/>
      <c r="L1292" s="62"/>
      <c r="M1292" s="86"/>
      <c r="N1292" s="86"/>
      <c r="O1292" s="87">
        <f>VLOOKUP($B1292,BOM!$A$2:$K$94,10,0)</f>
        <v>0</v>
      </c>
      <c r="P1292" s="87">
        <f t="shared" si="54"/>
        <v>0</v>
      </c>
    </row>
    <row r="1293" spans="2:16" s="45" customFormat="1">
      <c r="B1293" s="62"/>
      <c r="C1293" s="21"/>
      <c r="D1293" s="85"/>
      <c r="E1293" s="90"/>
      <c r="F1293" s="62"/>
      <c r="G1293" s="62"/>
      <c r="H1293" s="62"/>
      <c r="I1293" s="62"/>
      <c r="J1293" s="86"/>
      <c r="K1293" s="62"/>
      <c r="L1293" s="62"/>
      <c r="M1293" s="86"/>
      <c r="N1293" s="86"/>
      <c r="O1293" s="87">
        <f>VLOOKUP($B1293,BOM!$A$2:$K$94,10,0)</f>
        <v>0</v>
      </c>
      <c r="P1293" s="87">
        <f t="shared" si="54"/>
        <v>0</v>
      </c>
    </row>
    <row r="1294" spans="2:16">
      <c r="B1294" s="81"/>
      <c r="C1294" s="82"/>
      <c r="D1294" s="72"/>
      <c r="E1294" s="72"/>
      <c r="F1294" s="72"/>
      <c r="G1294" s="72"/>
      <c r="H1294" s="72"/>
      <c r="I1294" s="72"/>
      <c r="J1294" s="72"/>
      <c r="K1294" s="83"/>
      <c r="L1294" s="83"/>
      <c r="M1294" s="83"/>
      <c r="N1294" s="83"/>
      <c r="O1294" s="87">
        <f>VLOOKUP($B1294,BOM!$A$2:$K$94,10,0)</f>
        <v>0</v>
      </c>
      <c r="P1294" s="87">
        <f t="shared" si="54"/>
        <v>0</v>
      </c>
    </row>
    <row r="1295" spans="2:16" s="45" customFormat="1">
      <c r="B1295" s="62"/>
      <c r="C1295" s="21"/>
      <c r="D1295" s="85"/>
      <c r="E1295" s="85"/>
      <c r="F1295" s="62"/>
      <c r="G1295" s="62"/>
      <c r="H1295" s="62"/>
      <c r="I1295" s="62"/>
      <c r="J1295" s="86"/>
      <c r="K1295" s="62"/>
      <c r="L1295" s="62"/>
      <c r="M1295" s="86"/>
      <c r="N1295" s="86"/>
      <c r="O1295" s="87">
        <f>VLOOKUP($B1295,BOM!$A$2:$K$94,10,0)</f>
        <v>0</v>
      </c>
      <c r="P1295" s="87">
        <f t="shared" si="54"/>
        <v>0</v>
      </c>
    </row>
    <row r="1296" spans="2:16" s="45" customFormat="1">
      <c r="B1296" s="65"/>
      <c r="C1296" s="103"/>
      <c r="D1296" s="85"/>
      <c r="E1296" s="85"/>
      <c r="F1296" s="62"/>
      <c r="G1296" s="62"/>
      <c r="H1296" s="62"/>
      <c r="I1296" s="62"/>
      <c r="J1296" s="86"/>
      <c r="K1296" s="62"/>
      <c r="L1296" s="62"/>
      <c r="M1296" s="86"/>
      <c r="N1296" s="86"/>
      <c r="O1296" s="87">
        <f>VLOOKUP($B1296,BOM!$A$2:$K$94,10,0)</f>
        <v>0</v>
      </c>
      <c r="P1296" s="87">
        <f t="shared" si="54"/>
        <v>0</v>
      </c>
    </row>
    <row r="1297" spans="1:16">
      <c r="B1297" s="81"/>
      <c r="C1297" s="82"/>
      <c r="D1297" s="72"/>
      <c r="E1297" s="72"/>
      <c r="F1297" s="72"/>
      <c r="G1297" s="72"/>
      <c r="H1297" s="72"/>
      <c r="I1297" s="72"/>
      <c r="J1297" s="72"/>
      <c r="K1297" s="83"/>
      <c r="L1297" s="83"/>
      <c r="M1297" s="83"/>
      <c r="N1297" s="83"/>
      <c r="O1297" s="87">
        <f>VLOOKUP($B1297,BOM!$A$2:$K$94,10,0)</f>
        <v>0</v>
      </c>
      <c r="P1297" s="87">
        <f t="shared" si="54"/>
        <v>0</v>
      </c>
    </row>
    <row r="1298" spans="1:16" s="45" customFormat="1">
      <c r="B1298" s="62"/>
      <c r="C1298" s="21"/>
      <c r="D1298" s="85"/>
      <c r="E1298" s="85"/>
      <c r="F1298" s="62"/>
      <c r="G1298" s="62"/>
      <c r="H1298" s="62"/>
      <c r="I1298" s="62"/>
      <c r="J1298" s="86"/>
      <c r="K1298" s="62"/>
      <c r="L1298" s="62"/>
      <c r="M1298" s="86"/>
      <c r="N1298" s="86"/>
      <c r="O1298" s="87">
        <f>VLOOKUP($B1298,BOM!$A$2:$K$94,10,0)</f>
        <v>0</v>
      </c>
      <c r="P1298" s="87">
        <f t="shared" si="54"/>
        <v>0</v>
      </c>
    </row>
    <row r="1299" spans="1:16" s="45" customFormat="1">
      <c r="B1299" s="62"/>
      <c r="C1299" s="21"/>
      <c r="D1299" s="85"/>
      <c r="E1299" s="104"/>
      <c r="F1299" s="62"/>
      <c r="G1299" s="62"/>
      <c r="H1299" s="62"/>
      <c r="I1299" s="62"/>
      <c r="J1299" s="86"/>
      <c r="K1299" s="62"/>
      <c r="L1299" s="62"/>
      <c r="M1299" s="86"/>
      <c r="N1299" s="86"/>
      <c r="O1299" s="87">
        <f>VLOOKUP($B1299,BOM!$A$2:$K$94,10,0)</f>
        <v>0</v>
      </c>
      <c r="P1299" s="87">
        <f t="shared" si="54"/>
        <v>0</v>
      </c>
    </row>
    <row r="1300" spans="1:16">
      <c r="B1300" s="81"/>
      <c r="C1300" s="82"/>
      <c r="D1300" s="72"/>
      <c r="E1300" s="72"/>
      <c r="F1300" s="72"/>
      <c r="G1300" s="72"/>
      <c r="H1300" s="72"/>
      <c r="I1300" s="72"/>
      <c r="J1300" s="72"/>
      <c r="K1300" s="83"/>
      <c r="L1300" s="83"/>
      <c r="M1300" s="83"/>
      <c r="N1300" s="83"/>
      <c r="O1300" s="87">
        <f>VLOOKUP($B1300,BOM!$A$2:$K$94,10,0)</f>
        <v>0</v>
      </c>
      <c r="P1300" s="87">
        <f t="shared" si="54"/>
        <v>0</v>
      </c>
    </row>
    <row r="1301" spans="1:16" s="45" customFormat="1">
      <c r="B1301" s="62"/>
      <c r="C1301" s="21"/>
      <c r="D1301" s="85"/>
      <c r="E1301" s="85"/>
      <c r="F1301" s="62"/>
      <c r="G1301" s="62"/>
      <c r="H1301" s="62"/>
      <c r="I1301" s="62"/>
      <c r="J1301" s="86"/>
      <c r="K1301" s="62"/>
      <c r="L1301" s="62"/>
      <c r="M1301" s="86"/>
      <c r="N1301" s="86"/>
      <c r="O1301" s="87">
        <f>VLOOKUP($B1301,BOM!$A$2:$K$94,10,0)</f>
        <v>0</v>
      </c>
      <c r="P1301" s="87">
        <f t="shared" si="54"/>
        <v>0</v>
      </c>
    </row>
    <row r="1302" spans="1:16" s="45" customFormat="1">
      <c r="B1302" s="62"/>
      <c r="C1302" s="21"/>
      <c r="D1302" s="86"/>
      <c r="E1302" s="105"/>
      <c r="F1302" s="62"/>
      <c r="G1302" s="62"/>
      <c r="H1302" s="62"/>
      <c r="I1302" s="62"/>
      <c r="J1302" s="86"/>
      <c r="K1302" s="62"/>
      <c r="L1302" s="62"/>
      <c r="M1302" s="86"/>
      <c r="N1302" s="86"/>
      <c r="O1302" s="87">
        <f>VLOOKUP($B1302,BOM!$A$2:$K$94,10,0)</f>
        <v>0</v>
      </c>
      <c r="P1302" s="87">
        <f t="shared" si="54"/>
        <v>0</v>
      </c>
    </row>
    <row r="1303" spans="1:16" s="45" customFormat="1">
      <c r="B1303" s="62"/>
      <c r="C1303" s="21"/>
      <c r="D1303" s="86"/>
      <c r="E1303" s="105"/>
      <c r="F1303" s="62"/>
      <c r="G1303" s="62"/>
      <c r="H1303" s="62"/>
      <c r="I1303" s="62"/>
      <c r="J1303" s="86"/>
      <c r="K1303" s="62"/>
      <c r="L1303" s="62"/>
      <c r="M1303" s="86"/>
      <c r="N1303" s="86"/>
      <c r="O1303" s="87">
        <f>VLOOKUP($B1303,BOM!$A$2:$K$94,10,0)</f>
        <v>0</v>
      </c>
      <c r="P1303" s="87">
        <f t="shared" si="54"/>
        <v>0</v>
      </c>
    </row>
    <row r="1304" spans="1:16" s="45" customFormat="1">
      <c r="B1304" s="62"/>
      <c r="C1304" s="21"/>
      <c r="D1304" s="86"/>
      <c r="E1304" s="105"/>
      <c r="F1304" s="62"/>
      <c r="G1304" s="62"/>
      <c r="H1304" s="62"/>
      <c r="I1304" s="62"/>
      <c r="J1304" s="86"/>
      <c r="K1304" s="62"/>
      <c r="L1304" s="62"/>
      <c r="M1304" s="86"/>
      <c r="N1304" s="86"/>
      <c r="O1304" s="87">
        <f>VLOOKUP($B1304,BOM!$A$2:$K$94,10,0)</f>
        <v>0</v>
      </c>
      <c r="P1304" s="87">
        <f t="shared" si="54"/>
        <v>0</v>
      </c>
    </row>
    <row r="1305" spans="1:16" s="45" customFormat="1">
      <c r="B1305" s="62"/>
      <c r="C1305" s="21"/>
      <c r="D1305" s="86"/>
      <c r="E1305" s="105"/>
      <c r="F1305" s="62"/>
      <c r="G1305" s="62"/>
      <c r="H1305" s="62"/>
      <c r="I1305" s="62"/>
      <c r="J1305" s="86"/>
      <c r="K1305" s="62"/>
      <c r="L1305" s="62"/>
      <c r="M1305" s="86"/>
      <c r="N1305" s="86"/>
      <c r="O1305" s="87">
        <f>VLOOKUP($B1305,BOM!$A$2:$K$94,10,0)</f>
        <v>0</v>
      </c>
      <c r="P1305" s="87">
        <f t="shared" si="54"/>
        <v>0</v>
      </c>
    </row>
    <row r="1306" spans="1:16">
      <c r="A1306" s="15">
        <v>28</v>
      </c>
      <c r="B1306" s="36"/>
      <c r="C1306" s="50" t="s">
        <v>295</v>
      </c>
      <c r="D1306" s="38" t="s">
        <v>0</v>
      </c>
      <c r="E1306" s="36">
        <v>1</v>
      </c>
      <c r="F1306" s="36"/>
      <c r="G1306" s="36">
        <f>15*12*2</f>
        <v>360</v>
      </c>
      <c r="H1306" s="36">
        <f>5*6*2</f>
        <v>60</v>
      </c>
      <c r="I1306" s="38"/>
      <c r="J1306" s="38"/>
      <c r="K1306" s="39"/>
      <c r="L1306" s="39"/>
      <c r="M1306" s="39"/>
      <c r="N1306" s="39"/>
      <c r="O1306" s="87">
        <f>VLOOKUP($B1306,BOM!$A$2:$K$94,10,0)</f>
        <v>0</v>
      </c>
      <c r="P1306" s="87">
        <f t="shared" si="54"/>
        <v>0</v>
      </c>
    </row>
    <row r="1307" spans="1:16">
      <c r="B1307" s="81"/>
      <c r="C1307" s="82" t="s">
        <v>121</v>
      </c>
      <c r="D1307" s="72" t="s">
        <v>0</v>
      </c>
      <c r="E1307" s="72">
        <v>1</v>
      </c>
      <c r="F1307" s="72"/>
      <c r="G1307" s="72"/>
      <c r="H1307" s="72"/>
      <c r="I1307" s="72"/>
      <c r="J1307" s="72"/>
      <c r="K1307" s="83"/>
      <c r="L1307" s="83"/>
      <c r="M1307" s="83"/>
      <c r="N1307" s="83"/>
      <c r="O1307" s="87">
        <f>VLOOKUP($B1307,BOM!$A$2:$K$94,10,0)</f>
        <v>0</v>
      </c>
      <c r="P1307" s="87">
        <f t="shared" si="54"/>
        <v>0</v>
      </c>
    </row>
    <row r="1308" spans="1:16" s="19" customFormat="1">
      <c r="B1308" s="21"/>
      <c r="C1308" s="21"/>
      <c r="D1308" s="21"/>
      <c r="E1308" s="22"/>
      <c r="F1308" s="21"/>
      <c r="G1308" s="21"/>
      <c r="H1308" s="21"/>
      <c r="I1308" s="21"/>
      <c r="J1308" s="22"/>
      <c r="K1308" s="21"/>
      <c r="L1308" s="21"/>
      <c r="M1308" s="22"/>
      <c r="N1308" s="22"/>
      <c r="O1308" s="87">
        <f>VLOOKUP($B1308,BOM!$A$2:$K$94,10,0)</f>
        <v>0</v>
      </c>
      <c r="P1308" s="87">
        <f t="shared" si="54"/>
        <v>0</v>
      </c>
    </row>
    <row r="1309" spans="1:16" s="19" customFormat="1">
      <c r="B1309" s="21"/>
      <c r="C1309" s="21"/>
      <c r="D1309" s="21"/>
      <c r="E1309" s="22"/>
      <c r="F1309" s="21"/>
      <c r="G1309" s="21"/>
      <c r="H1309" s="21"/>
      <c r="I1309" s="21"/>
      <c r="J1309" s="22"/>
      <c r="K1309" s="21"/>
      <c r="L1309" s="21"/>
      <c r="M1309" s="22"/>
      <c r="N1309" s="22"/>
      <c r="O1309" s="87">
        <f>VLOOKUP($B1309,BOM!$A$2:$K$94,10,0)</f>
        <v>0</v>
      </c>
      <c r="P1309" s="87">
        <f t="shared" si="54"/>
        <v>0</v>
      </c>
    </row>
    <row r="1310" spans="1:16" s="19" customFormat="1">
      <c r="B1310" s="21"/>
      <c r="C1310" s="21"/>
      <c r="D1310" s="21"/>
      <c r="E1310" s="22"/>
      <c r="F1310" s="21"/>
      <c r="G1310" s="21"/>
      <c r="H1310" s="21"/>
      <c r="I1310" s="21"/>
      <c r="J1310" s="22"/>
      <c r="K1310" s="21"/>
      <c r="L1310" s="21"/>
      <c r="M1310" s="22"/>
      <c r="N1310" s="22"/>
      <c r="O1310" s="87">
        <f>VLOOKUP($B1310,BOM!$A$2:$K$94,10,0)</f>
        <v>0</v>
      </c>
      <c r="P1310" s="87">
        <f t="shared" si="54"/>
        <v>0</v>
      </c>
    </row>
    <row r="1311" spans="1:16">
      <c r="B1311" s="81"/>
      <c r="C1311" s="82"/>
      <c r="D1311" s="72"/>
      <c r="E1311" s="72"/>
      <c r="F1311" s="72"/>
      <c r="G1311" s="72"/>
      <c r="H1311" s="72"/>
      <c r="I1311" s="72"/>
      <c r="J1311" s="72"/>
      <c r="K1311" s="83"/>
      <c r="L1311" s="83"/>
      <c r="M1311" s="83"/>
      <c r="N1311" s="83"/>
      <c r="O1311" s="87">
        <f>VLOOKUP($B1311,BOM!$A$2:$K$94,10,0)</f>
        <v>0</v>
      </c>
      <c r="P1311" s="87">
        <f t="shared" si="54"/>
        <v>0</v>
      </c>
    </row>
    <row r="1312" spans="1:16" s="45" customFormat="1">
      <c r="B1312" s="62"/>
      <c r="C1312" s="77"/>
      <c r="D1312" s="85"/>
      <c r="E1312" s="85"/>
      <c r="F1312" s="62"/>
      <c r="G1312" s="62"/>
      <c r="H1312" s="62"/>
      <c r="I1312" s="62"/>
      <c r="J1312" s="86"/>
      <c r="K1312" s="62"/>
      <c r="L1312" s="62"/>
      <c r="M1312" s="86"/>
      <c r="N1312" s="86"/>
      <c r="O1312" s="87">
        <f>VLOOKUP($B1312,BOM!$A$2:$K$94,10,0)</f>
        <v>0</v>
      </c>
      <c r="P1312" s="87">
        <f t="shared" si="54"/>
        <v>0</v>
      </c>
    </row>
    <row r="1313" spans="2:16">
      <c r="B1313" s="81"/>
      <c r="C1313" s="82"/>
      <c r="D1313" s="72"/>
      <c r="E1313" s="72"/>
      <c r="F1313" s="72"/>
      <c r="G1313" s="72"/>
      <c r="H1313" s="72"/>
      <c r="I1313" s="72"/>
      <c r="J1313" s="72"/>
      <c r="K1313" s="83"/>
      <c r="L1313" s="83"/>
      <c r="M1313" s="83"/>
      <c r="N1313" s="83"/>
      <c r="O1313" s="87">
        <f>VLOOKUP($B1313,BOM!$A$2:$K$94,10,0)</f>
        <v>0</v>
      </c>
      <c r="P1313" s="87">
        <f t="shared" si="54"/>
        <v>0</v>
      </c>
    </row>
    <row r="1314" spans="2:16" s="45" customFormat="1">
      <c r="B1314" s="62"/>
      <c r="C1314" s="21"/>
      <c r="D1314" s="85"/>
      <c r="E1314" s="85"/>
      <c r="F1314" s="62"/>
      <c r="G1314" s="62"/>
      <c r="H1314" s="62"/>
      <c r="I1314" s="62"/>
      <c r="J1314" s="86"/>
      <c r="K1314" s="62"/>
      <c r="L1314" s="62"/>
      <c r="M1314" s="86"/>
      <c r="N1314" s="86"/>
      <c r="O1314" s="87">
        <f>VLOOKUP($B1314,BOM!$A$2:$K$94,10,0)</f>
        <v>0</v>
      </c>
      <c r="P1314" s="87">
        <f t="shared" si="54"/>
        <v>0</v>
      </c>
    </row>
    <row r="1315" spans="2:16">
      <c r="B1315" s="81"/>
      <c r="C1315" s="82"/>
      <c r="D1315" s="72"/>
      <c r="E1315" s="72"/>
      <c r="F1315" s="72"/>
      <c r="G1315" s="72"/>
      <c r="H1315" s="72"/>
      <c r="I1315" s="72"/>
      <c r="J1315" s="72"/>
      <c r="K1315" s="83"/>
      <c r="L1315" s="83"/>
      <c r="M1315" s="83"/>
      <c r="N1315" s="83"/>
      <c r="O1315" s="87">
        <f>VLOOKUP($B1315,BOM!$A$2:$K$94,10,0)</f>
        <v>0</v>
      </c>
      <c r="P1315" s="87">
        <f t="shared" si="54"/>
        <v>0</v>
      </c>
    </row>
    <row r="1316" spans="2:16" s="45" customFormat="1">
      <c r="B1316" s="62"/>
      <c r="C1316" s="21"/>
      <c r="D1316" s="85"/>
      <c r="E1316" s="85"/>
      <c r="F1316" s="62"/>
      <c r="G1316" s="62"/>
      <c r="H1316" s="62"/>
      <c r="I1316" s="62"/>
      <c r="J1316" s="86"/>
      <c r="K1316" s="62"/>
      <c r="L1316" s="62"/>
      <c r="M1316" s="86"/>
      <c r="N1316" s="86"/>
      <c r="O1316" s="87">
        <f>VLOOKUP($B1316,BOM!$A$2:$K$94,10,0)</f>
        <v>0</v>
      </c>
      <c r="P1316" s="87">
        <f t="shared" si="54"/>
        <v>0</v>
      </c>
    </row>
    <row r="1317" spans="2:16" s="45" customFormat="1">
      <c r="B1317" s="62"/>
      <c r="C1317" s="21"/>
      <c r="D1317" s="85"/>
      <c r="E1317" s="85"/>
      <c r="F1317" s="62"/>
      <c r="G1317" s="62"/>
      <c r="H1317" s="62"/>
      <c r="I1317" s="62"/>
      <c r="J1317" s="86"/>
      <c r="K1317" s="62"/>
      <c r="L1317" s="62"/>
      <c r="M1317" s="86"/>
      <c r="N1317" s="86"/>
      <c r="O1317" s="87">
        <f>VLOOKUP($B1317,BOM!$A$2:$K$94,10,0)</f>
        <v>0</v>
      </c>
      <c r="P1317" s="87">
        <f t="shared" si="54"/>
        <v>0</v>
      </c>
    </row>
    <row r="1318" spans="2:16" s="45" customFormat="1">
      <c r="B1318" s="62"/>
      <c r="C1318" s="21"/>
      <c r="D1318" s="85"/>
      <c r="E1318" s="85"/>
      <c r="F1318" s="62"/>
      <c r="G1318" s="62"/>
      <c r="H1318" s="62"/>
      <c r="I1318" s="62"/>
      <c r="J1318" s="86"/>
      <c r="K1318" s="62"/>
      <c r="L1318" s="62"/>
      <c r="M1318" s="86"/>
      <c r="N1318" s="86"/>
      <c r="O1318" s="87">
        <f>VLOOKUP($B1318,BOM!$A$2:$K$94,10,0)</f>
        <v>0</v>
      </c>
      <c r="P1318" s="87">
        <f t="shared" si="54"/>
        <v>0</v>
      </c>
    </row>
    <row r="1319" spans="2:16" s="45" customFormat="1">
      <c r="B1319" s="62"/>
      <c r="C1319" s="21"/>
      <c r="D1319" s="85"/>
      <c r="E1319" s="85"/>
      <c r="F1319" s="62"/>
      <c r="G1319" s="62"/>
      <c r="H1319" s="62"/>
      <c r="I1319" s="62"/>
      <c r="J1319" s="86"/>
      <c r="K1319" s="62"/>
      <c r="L1319" s="62"/>
      <c r="M1319" s="86"/>
      <c r="N1319" s="86"/>
      <c r="O1319" s="87">
        <f>VLOOKUP($B1319,BOM!$A$2:$K$94,10,0)</f>
        <v>0</v>
      </c>
      <c r="P1319" s="87">
        <f t="shared" si="54"/>
        <v>0</v>
      </c>
    </row>
    <row r="1320" spans="2:16" s="45" customFormat="1">
      <c r="B1320" s="62"/>
      <c r="C1320" s="21"/>
      <c r="D1320" s="85"/>
      <c r="E1320" s="85"/>
      <c r="F1320" s="62"/>
      <c r="G1320" s="62"/>
      <c r="H1320" s="62"/>
      <c r="I1320" s="62"/>
      <c r="J1320" s="86"/>
      <c r="K1320" s="62"/>
      <c r="L1320" s="62"/>
      <c r="M1320" s="86"/>
      <c r="N1320" s="86"/>
      <c r="O1320" s="87">
        <f>VLOOKUP($B1320,BOM!$A$2:$K$94,10,0)</f>
        <v>0</v>
      </c>
      <c r="P1320" s="87">
        <f t="shared" si="54"/>
        <v>0</v>
      </c>
    </row>
    <row r="1321" spans="2:16" s="45" customFormat="1">
      <c r="B1321" s="62"/>
      <c r="C1321" s="21"/>
      <c r="D1321" s="85"/>
      <c r="E1321" s="85"/>
      <c r="F1321" s="62"/>
      <c r="G1321" s="62"/>
      <c r="H1321" s="62"/>
      <c r="I1321" s="62"/>
      <c r="J1321" s="86"/>
      <c r="K1321" s="62"/>
      <c r="L1321" s="62"/>
      <c r="M1321" s="86"/>
      <c r="N1321" s="86"/>
      <c r="O1321" s="87">
        <f>VLOOKUP($B1321,BOM!$A$2:$K$94,10,0)</f>
        <v>0</v>
      </c>
      <c r="P1321" s="87">
        <f t="shared" si="54"/>
        <v>0</v>
      </c>
    </row>
    <row r="1322" spans="2:16" s="45" customFormat="1">
      <c r="B1322" s="62"/>
      <c r="C1322" s="21"/>
      <c r="D1322" s="85"/>
      <c r="E1322" s="85"/>
      <c r="F1322" s="62"/>
      <c r="G1322" s="62"/>
      <c r="H1322" s="62"/>
      <c r="I1322" s="62"/>
      <c r="J1322" s="86"/>
      <c r="K1322" s="62"/>
      <c r="L1322" s="62"/>
      <c r="M1322" s="86"/>
      <c r="N1322" s="86"/>
      <c r="O1322" s="87">
        <f>VLOOKUP($B1322,BOM!$A$2:$K$94,10,0)</f>
        <v>0</v>
      </c>
      <c r="P1322" s="87">
        <f t="shared" si="54"/>
        <v>0</v>
      </c>
    </row>
    <row r="1323" spans="2:16" s="45" customFormat="1">
      <c r="B1323" s="62"/>
      <c r="C1323" s="21"/>
      <c r="D1323" s="85"/>
      <c r="E1323" s="85"/>
      <c r="F1323" s="62"/>
      <c r="G1323" s="62"/>
      <c r="H1323" s="62"/>
      <c r="I1323" s="62"/>
      <c r="J1323" s="86"/>
      <c r="K1323" s="62"/>
      <c r="L1323" s="62"/>
      <c r="M1323" s="86"/>
      <c r="N1323" s="86"/>
      <c r="O1323" s="87">
        <f>VLOOKUP($B1323,BOM!$A$2:$K$94,10,0)</f>
        <v>0</v>
      </c>
      <c r="P1323" s="87">
        <f t="shared" si="54"/>
        <v>0</v>
      </c>
    </row>
    <row r="1324" spans="2:16">
      <c r="B1324" s="81"/>
      <c r="C1324" s="82"/>
      <c r="D1324" s="72"/>
      <c r="E1324" s="72"/>
      <c r="F1324" s="72"/>
      <c r="G1324" s="72"/>
      <c r="H1324" s="72"/>
      <c r="I1324" s="72"/>
      <c r="J1324" s="72"/>
      <c r="K1324" s="83"/>
      <c r="L1324" s="83"/>
      <c r="M1324" s="83"/>
      <c r="N1324" s="83"/>
      <c r="O1324" s="87">
        <f>VLOOKUP($B1324,BOM!$A$2:$K$94,10,0)</f>
        <v>0</v>
      </c>
      <c r="P1324" s="87">
        <f t="shared" si="54"/>
        <v>0</v>
      </c>
    </row>
    <row r="1325" spans="2:16" s="45" customFormat="1">
      <c r="B1325" s="62"/>
      <c r="C1325" s="21"/>
      <c r="D1325" s="85"/>
      <c r="E1325" s="85"/>
      <c r="F1325" s="62"/>
      <c r="G1325" s="62"/>
      <c r="H1325" s="62"/>
      <c r="I1325" s="62"/>
      <c r="J1325" s="86"/>
      <c r="K1325" s="62"/>
      <c r="L1325" s="62"/>
      <c r="M1325" s="86"/>
      <c r="N1325" s="86"/>
      <c r="O1325" s="87">
        <f>VLOOKUP($B1325,BOM!$A$2:$K$94,10,0)</f>
        <v>0</v>
      </c>
      <c r="P1325" s="87">
        <f t="shared" si="54"/>
        <v>0</v>
      </c>
    </row>
    <row r="1326" spans="2:16" s="45" customFormat="1">
      <c r="B1326" s="62"/>
      <c r="C1326" s="21"/>
      <c r="D1326" s="85"/>
      <c r="E1326" s="85"/>
      <c r="F1326" s="62"/>
      <c r="G1326" s="62"/>
      <c r="H1326" s="62"/>
      <c r="I1326" s="62"/>
      <c r="J1326" s="86"/>
      <c r="K1326" s="62"/>
      <c r="L1326" s="62"/>
      <c r="M1326" s="86"/>
      <c r="N1326" s="86"/>
      <c r="O1326" s="87">
        <f>VLOOKUP($B1326,BOM!$A$2:$K$94,10,0)</f>
        <v>0</v>
      </c>
      <c r="P1326" s="87">
        <f t="shared" si="54"/>
        <v>0</v>
      </c>
    </row>
    <row r="1327" spans="2:16" s="45" customFormat="1">
      <c r="B1327" s="62"/>
      <c r="C1327" s="21"/>
      <c r="D1327" s="85"/>
      <c r="E1327" s="85"/>
      <c r="F1327" s="62"/>
      <c r="G1327" s="62"/>
      <c r="H1327" s="62"/>
      <c r="I1327" s="62"/>
      <c r="J1327" s="86"/>
      <c r="K1327" s="62"/>
      <c r="L1327" s="62"/>
      <c r="M1327" s="86"/>
      <c r="N1327" s="86"/>
      <c r="O1327" s="87">
        <f>VLOOKUP($B1327,BOM!$A$2:$K$94,10,0)</f>
        <v>0</v>
      </c>
      <c r="P1327" s="87">
        <f t="shared" si="54"/>
        <v>0</v>
      </c>
    </row>
    <row r="1328" spans="2:16" s="45" customFormat="1">
      <c r="B1328" s="62"/>
      <c r="C1328" s="21"/>
      <c r="D1328" s="85"/>
      <c r="E1328" s="85"/>
      <c r="F1328" s="62"/>
      <c r="G1328" s="62"/>
      <c r="H1328" s="62"/>
      <c r="I1328" s="62"/>
      <c r="J1328" s="86"/>
      <c r="K1328" s="62"/>
      <c r="L1328" s="62"/>
      <c r="M1328" s="86"/>
      <c r="N1328" s="86"/>
      <c r="O1328" s="87">
        <f>VLOOKUP($B1328,BOM!$A$2:$K$94,10,0)</f>
        <v>0</v>
      </c>
      <c r="P1328" s="87">
        <f t="shared" si="54"/>
        <v>0</v>
      </c>
    </row>
    <row r="1329" spans="2:16" s="45" customFormat="1">
      <c r="B1329" s="62"/>
      <c r="C1329" s="21"/>
      <c r="D1329" s="85"/>
      <c r="E1329" s="85"/>
      <c r="F1329" s="62"/>
      <c r="G1329" s="62"/>
      <c r="H1329" s="62"/>
      <c r="I1329" s="62"/>
      <c r="J1329" s="86"/>
      <c r="K1329" s="62"/>
      <c r="L1329" s="62"/>
      <c r="M1329" s="86"/>
      <c r="N1329" s="86"/>
      <c r="O1329" s="87">
        <f>VLOOKUP($B1329,BOM!$A$2:$K$94,10,0)</f>
        <v>0</v>
      </c>
      <c r="P1329" s="87">
        <f t="shared" si="54"/>
        <v>0</v>
      </c>
    </row>
    <row r="1330" spans="2:16" s="45" customFormat="1">
      <c r="B1330" s="62"/>
      <c r="C1330" s="21"/>
      <c r="D1330" s="85"/>
      <c r="E1330" s="85"/>
      <c r="F1330" s="62"/>
      <c r="G1330" s="62"/>
      <c r="H1330" s="62"/>
      <c r="I1330" s="62"/>
      <c r="J1330" s="86"/>
      <c r="K1330" s="62"/>
      <c r="L1330" s="62"/>
      <c r="M1330" s="86"/>
      <c r="N1330" s="86"/>
      <c r="O1330" s="87">
        <f>VLOOKUP($B1330,BOM!$A$2:$K$94,10,0)</f>
        <v>0</v>
      </c>
      <c r="P1330" s="87">
        <f t="shared" si="54"/>
        <v>0</v>
      </c>
    </row>
    <row r="1331" spans="2:16" s="110" customFormat="1">
      <c r="B1331" s="66"/>
      <c r="C1331" s="106"/>
      <c r="D1331" s="89"/>
      <c r="E1331" s="89"/>
      <c r="F1331" s="66"/>
      <c r="G1331" s="66"/>
      <c r="H1331" s="66"/>
      <c r="I1331" s="66"/>
      <c r="J1331" s="107"/>
      <c r="K1331" s="108"/>
      <c r="L1331" s="108"/>
      <c r="M1331" s="109"/>
      <c r="N1331" s="109"/>
      <c r="O1331" s="87">
        <f>VLOOKUP($B1331,BOM!$A$2:$K$94,10,0)</f>
        <v>0</v>
      </c>
      <c r="P1331" s="87">
        <f t="shared" si="54"/>
        <v>0</v>
      </c>
    </row>
    <row r="1332" spans="2:16" s="111" customFormat="1">
      <c r="B1332" s="66"/>
      <c r="C1332" s="106"/>
      <c r="D1332" s="89"/>
      <c r="E1332" s="89"/>
      <c r="F1332" s="108"/>
      <c r="G1332" s="108"/>
      <c r="H1332" s="108"/>
      <c r="I1332" s="108"/>
      <c r="J1332" s="109"/>
      <c r="K1332" s="108"/>
      <c r="L1332" s="108"/>
      <c r="M1332" s="109"/>
      <c r="N1332" s="109"/>
      <c r="O1332" s="87">
        <f>VLOOKUP($B1332,BOM!$A$2:$K$94,10,0)</f>
        <v>0</v>
      </c>
      <c r="P1332" s="87">
        <f t="shared" si="54"/>
        <v>0</v>
      </c>
    </row>
    <row r="1333" spans="2:16" s="110" customFormat="1">
      <c r="B1333" s="66"/>
      <c r="C1333" s="106"/>
      <c r="D1333" s="89"/>
      <c r="E1333" s="89"/>
      <c r="F1333" s="66"/>
      <c r="G1333" s="66"/>
      <c r="H1333" s="66"/>
      <c r="I1333" s="66"/>
      <c r="J1333" s="107"/>
      <c r="K1333" s="108"/>
      <c r="L1333" s="108"/>
      <c r="M1333" s="109"/>
      <c r="N1333" s="109"/>
      <c r="O1333" s="87">
        <f>VLOOKUP($B1333,BOM!$A$2:$K$94,10,0)</f>
        <v>0</v>
      </c>
      <c r="P1333" s="87">
        <f t="shared" si="54"/>
        <v>0</v>
      </c>
    </row>
    <row r="1334" spans="2:16">
      <c r="B1334" s="81"/>
      <c r="C1334" s="82"/>
      <c r="D1334" s="72"/>
      <c r="E1334" s="72"/>
      <c r="F1334" s="72"/>
      <c r="G1334" s="72"/>
      <c r="H1334" s="72"/>
      <c r="I1334" s="72"/>
      <c r="J1334" s="72"/>
      <c r="K1334" s="83"/>
      <c r="L1334" s="83"/>
      <c r="M1334" s="83"/>
      <c r="N1334" s="83"/>
      <c r="O1334" s="87">
        <f>VLOOKUP($B1334,BOM!$A$2:$K$94,10,0)</f>
        <v>0</v>
      </c>
      <c r="P1334" s="87">
        <f t="shared" si="54"/>
        <v>0</v>
      </c>
    </row>
    <row r="1335" spans="2:16" s="45" customFormat="1">
      <c r="B1335" s="62"/>
      <c r="C1335" s="21"/>
      <c r="D1335" s="85"/>
      <c r="E1335" s="85"/>
      <c r="F1335" s="62"/>
      <c r="G1335" s="62"/>
      <c r="H1335" s="62"/>
      <c r="I1335" s="62"/>
      <c r="J1335" s="86"/>
      <c r="K1335" s="62"/>
      <c r="L1335" s="62"/>
      <c r="M1335" s="86"/>
      <c r="N1335" s="86"/>
      <c r="O1335" s="87">
        <f>VLOOKUP($B1335,BOM!$A$2:$K$94,10,0)</f>
        <v>0</v>
      </c>
      <c r="P1335" s="87">
        <f t="shared" si="54"/>
        <v>0</v>
      </c>
    </row>
    <row r="1336" spans="2:16" s="45" customFormat="1">
      <c r="B1336" s="62"/>
      <c r="C1336" s="21"/>
      <c r="D1336" s="85"/>
      <c r="E1336" s="85"/>
      <c r="F1336" s="62"/>
      <c r="G1336" s="62"/>
      <c r="H1336" s="62"/>
      <c r="I1336" s="62"/>
      <c r="J1336" s="86"/>
      <c r="K1336" s="62"/>
      <c r="L1336" s="62"/>
      <c r="M1336" s="86"/>
      <c r="N1336" s="86"/>
      <c r="O1336" s="87">
        <f>VLOOKUP($B1336,BOM!$A$2:$K$94,10,0)</f>
        <v>0</v>
      </c>
      <c r="P1336" s="87">
        <f t="shared" si="54"/>
        <v>0</v>
      </c>
    </row>
    <row r="1337" spans="2:16" s="45" customFormat="1">
      <c r="B1337" s="62"/>
      <c r="C1337" s="21"/>
      <c r="D1337" s="85"/>
      <c r="E1337" s="85"/>
      <c r="F1337" s="62"/>
      <c r="G1337" s="62"/>
      <c r="H1337" s="62"/>
      <c r="I1337" s="62"/>
      <c r="J1337" s="86"/>
      <c r="K1337" s="62"/>
      <c r="L1337" s="62"/>
      <c r="M1337" s="86"/>
      <c r="N1337" s="86"/>
      <c r="O1337" s="87">
        <f>VLOOKUP($B1337,BOM!$A$2:$K$94,10,0)</f>
        <v>0</v>
      </c>
      <c r="P1337" s="87">
        <f t="shared" si="54"/>
        <v>0</v>
      </c>
    </row>
    <row r="1338" spans="2:16">
      <c r="B1338" s="81"/>
      <c r="C1338" s="82"/>
      <c r="D1338" s="72"/>
      <c r="E1338" s="72"/>
      <c r="F1338" s="72"/>
      <c r="G1338" s="72"/>
      <c r="H1338" s="72"/>
      <c r="I1338" s="72"/>
      <c r="J1338" s="72"/>
      <c r="K1338" s="83"/>
      <c r="L1338" s="83"/>
      <c r="M1338" s="83"/>
      <c r="N1338" s="83"/>
      <c r="O1338" s="87">
        <f>VLOOKUP($B1338,BOM!$A$2:$K$94,10,0)</f>
        <v>0</v>
      </c>
      <c r="P1338" s="87">
        <f t="shared" si="54"/>
        <v>0</v>
      </c>
    </row>
    <row r="1339" spans="2:16" s="45" customFormat="1">
      <c r="B1339" s="62"/>
      <c r="C1339" s="21"/>
      <c r="D1339" s="125"/>
      <c r="E1339" s="90"/>
      <c r="F1339" s="62"/>
      <c r="G1339" s="62"/>
      <c r="H1339" s="62"/>
      <c r="I1339" s="62"/>
      <c r="J1339" s="86"/>
      <c r="K1339" s="62"/>
      <c r="L1339" s="62"/>
      <c r="M1339" s="86"/>
      <c r="N1339" s="86"/>
      <c r="O1339" s="87">
        <f>VLOOKUP($B1339,BOM!$A$2:$K$94,10,0)</f>
        <v>0</v>
      </c>
      <c r="P1339" s="87">
        <f t="shared" si="54"/>
        <v>0</v>
      </c>
    </row>
    <row r="1340" spans="2:16" s="45" customFormat="1">
      <c r="B1340" s="62"/>
      <c r="C1340" s="21"/>
      <c r="D1340" s="125"/>
      <c r="E1340" s="90"/>
      <c r="F1340" s="62"/>
      <c r="G1340" s="62"/>
      <c r="H1340" s="62"/>
      <c r="I1340" s="62"/>
      <c r="J1340" s="86"/>
      <c r="K1340" s="62"/>
      <c r="L1340" s="62"/>
      <c r="M1340" s="86"/>
      <c r="N1340" s="86"/>
      <c r="O1340" s="87">
        <f>VLOOKUP($B1340,BOM!$A$2:$K$94,10,0)</f>
        <v>0</v>
      </c>
      <c r="P1340" s="87">
        <f t="shared" si="54"/>
        <v>0</v>
      </c>
    </row>
    <row r="1341" spans="2:16">
      <c r="B1341" s="81"/>
      <c r="C1341" s="82"/>
      <c r="D1341" s="72"/>
      <c r="E1341" s="72"/>
      <c r="F1341" s="72"/>
      <c r="G1341" s="72"/>
      <c r="H1341" s="72"/>
      <c r="I1341" s="72"/>
      <c r="J1341" s="72"/>
      <c r="K1341" s="83"/>
      <c r="L1341" s="83"/>
      <c r="M1341" s="83"/>
      <c r="N1341" s="83"/>
      <c r="O1341" s="87">
        <f>VLOOKUP($B1341,BOM!$A$2:$K$94,10,0)</f>
        <v>0</v>
      </c>
      <c r="P1341" s="87">
        <f t="shared" si="54"/>
        <v>0</v>
      </c>
    </row>
    <row r="1342" spans="2:16" s="45" customFormat="1">
      <c r="B1342" s="62"/>
      <c r="C1342" s="21"/>
      <c r="D1342" s="85"/>
      <c r="E1342" s="85"/>
      <c r="F1342" s="62"/>
      <c r="G1342" s="62"/>
      <c r="H1342" s="62"/>
      <c r="I1342" s="62"/>
      <c r="J1342" s="86"/>
      <c r="K1342" s="62"/>
      <c r="L1342" s="62"/>
      <c r="M1342" s="86"/>
      <c r="N1342" s="86"/>
      <c r="O1342" s="87">
        <f>VLOOKUP($B1342,BOM!$A$2:$K$94,10,0)</f>
        <v>0</v>
      </c>
      <c r="P1342" s="87">
        <f t="shared" si="54"/>
        <v>0</v>
      </c>
    </row>
    <row r="1343" spans="2:16">
      <c r="B1343" s="81"/>
      <c r="C1343" s="82"/>
      <c r="D1343" s="72"/>
      <c r="E1343" s="72"/>
      <c r="F1343" s="72"/>
      <c r="G1343" s="72"/>
      <c r="H1343" s="72"/>
      <c r="I1343" s="72"/>
      <c r="J1343" s="72"/>
      <c r="K1343" s="83"/>
      <c r="L1343" s="83"/>
      <c r="M1343" s="83"/>
      <c r="N1343" s="83"/>
      <c r="O1343" s="87">
        <f>VLOOKUP($B1343,BOM!$A$2:$K$94,10,0)</f>
        <v>0</v>
      </c>
      <c r="P1343" s="87">
        <f t="shared" si="54"/>
        <v>0</v>
      </c>
    </row>
    <row r="1344" spans="2:16" s="128" customFormat="1">
      <c r="B1344" s="126"/>
      <c r="C1344" s="127"/>
      <c r="D1344" s="126"/>
      <c r="E1344" s="126"/>
      <c r="F1344" s="126"/>
      <c r="G1344" s="126"/>
      <c r="H1344" s="126"/>
      <c r="I1344" s="126"/>
      <c r="J1344" s="126"/>
      <c r="K1344" s="126"/>
      <c r="L1344" s="126"/>
      <c r="M1344" s="126"/>
      <c r="N1344" s="126"/>
      <c r="O1344" s="87">
        <f>VLOOKUP($B1344,BOM!$A$2:$K$94,10,0)</f>
        <v>0</v>
      </c>
      <c r="P1344" s="87">
        <f t="shared" si="54"/>
        <v>0</v>
      </c>
    </row>
    <row r="1345" spans="2:16" s="45" customFormat="1">
      <c r="B1345" s="62"/>
      <c r="C1345" s="21"/>
      <c r="D1345" s="85"/>
      <c r="E1345" s="85"/>
      <c r="F1345" s="62"/>
      <c r="G1345" s="62"/>
      <c r="H1345" s="62"/>
      <c r="I1345" s="62"/>
      <c r="J1345" s="86"/>
      <c r="K1345" s="62"/>
      <c r="L1345" s="62"/>
      <c r="M1345" s="86"/>
      <c r="N1345" s="86"/>
      <c r="O1345" s="87">
        <f>VLOOKUP($B1345,BOM!$A$2:$K$94,10,0)</f>
        <v>0</v>
      </c>
      <c r="P1345" s="87">
        <f t="shared" si="54"/>
        <v>0</v>
      </c>
    </row>
    <row r="1346" spans="2:16">
      <c r="B1346" s="81"/>
      <c r="C1346" s="82"/>
      <c r="D1346" s="72"/>
      <c r="E1346" s="72"/>
      <c r="F1346" s="72"/>
      <c r="G1346" s="72"/>
      <c r="H1346" s="72"/>
      <c r="I1346" s="72"/>
      <c r="J1346" s="72"/>
      <c r="K1346" s="83"/>
      <c r="L1346" s="83"/>
      <c r="M1346" s="83"/>
      <c r="N1346" s="83"/>
      <c r="O1346" s="87">
        <f>VLOOKUP($B1346,BOM!$A$2:$K$94,10,0)</f>
        <v>0</v>
      </c>
      <c r="P1346" s="87">
        <f t="shared" si="54"/>
        <v>0</v>
      </c>
    </row>
    <row r="1347" spans="2:16">
      <c r="B1347" s="81"/>
      <c r="C1347" s="82"/>
      <c r="D1347" s="72"/>
      <c r="E1347" s="72"/>
      <c r="F1347" s="72"/>
      <c r="G1347" s="72"/>
      <c r="H1347" s="72"/>
      <c r="I1347" s="72"/>
      <c r="J1347" s="72"/>
      <c r="K1347" s="83"/>
      <c r="L1347" s="83"/>
      <c r="M1347" s="83"/>
      <c r="N1347" s="83"/>
      <c r="O1347" s="87">
        <f>VLOOKUP($B1347,BOM!$A$2:$K$94,10,0)</f>
        <v>0</v>
      </c>
      <c r="P1347" s="87">
        <f t="shared" si="54"/>
        <v>0</v>
      </c>
    </row>
    <row r="1348" spans="2:16" s="45" customFormat="1" ht="20.45" customHeight="1">
      <c r="B1348" s="62"/>
      <c r="C1348" s="21"/>
      <c r="D1348" s="85"/>
      <c r="E1348" s="90"/>
      <c r="F1348" s="62"/>
      <c r="G1348" s="62"/>
      <c r="H1348" s="62"/>
      <c r="I1348" s="62"/>
      <c r="J1348" s="86"/>
      <c r="K1348" s="62"/>
      <c r="L1348" s="62"/>
      <c r="M1348" s="86"/>
      <c r="N1348" s="86"/>
      <c r="O1348" s="87">
        <f>VLOOKUP($B1348,BOM!$A$2:$K$94,10,0)</f>
        <v>0</v>
      </c>
      <c r="P1348" s="87">
        <f t="shared" ref="P1348:P1374" si="55">O1348*E1348</f>
        <v>0</v>
      </c>
    </row>
    <row r="1349" spans="2:16" s="45" customFormat="1">
      <c r="B1349" s="62"/>
      <c r="C1349" s="21"/>
      <c r="D1349" s="85"/>
      <c r="E1349" s="90"/>
      <c r="F1349" s="62"/>
      <c r="G1349" s="62"/>
      <c r="H1349" s="62"/>
      <c r="I1349" s="62"/>
      <c r="J1349" s="86"/>
      <c r="K1349" s="62"/>
      <c r="L1349" s="62"/>
      <c r="M1349" s="86"/>
      <c r="N1349" s="86"/>
      <c r="O1349" s="87">
        <f>VLOOKUP($B1349,BOM!$A$2:$K$94,10,0)</f>
        <v>0</v>
      </c>
      <c r="P1349" s="87">
        <f t="shared" si="55"/>
        <v>0</v>
      </c>
    </row>
    <row r="1350" spans="2:16" s="45" customFormat="1">
      <c r="B1350" s="62"/>
      <c r="C1350" s="21"/>
      <c r="D1350" s="85"/>
      <c r="E1350" s="90"/>
      <c r="F1350" s="62"/>
      <c r="G1350" s="62"/>
      <c r="H1350" s="62"/>
      <c r="I1350" s="62"/>
      <c r="J1350" s="86"/>
      <c r="K1350" s="62"/>
      <c r="L1350" s="62"/>
      <c r="M1350" s="86"/>
      <c r="N1350" s="86"/>
      <c r="O1350" s="87">
        <f>VLOOKUP($B1350,BOM!$A$2:$K$94,10,0)</f>
        <v>0</v>
      </c>
      <c r="P1350" s="87">
        <f t="shared" si="55"/>
        <v>0</v>
      </c>
    </row>
    <row r="1351" spans="2:16">
      <c r="B1351" s="81"/>
      <c r="C1351" s="82"/>
      <c r="D1351" s="72"/>
      <c r="E1351" s="72"/>
      <c r="F1351" s="72"/>
      <c r="G1351" s="72"/>
      <c r="H1351" s="72"/>
      <c r="I1351" s="72"/>
      <c r="J1351" s="72"/>
      <c r="K1351" s="83"/>
      <c r="L1351" s="83"/>
      <c r="M1351" s="83"/>
      <c r="N1351" s="83"/>
      <c r="O1351" s="87">
        <f>VLOOKUP($B1351,BOM!$A$2:$K$94,10,0)</f>
        <v>0</v>
      </c>
      <c r="P1351" s="87">
        <f t="shared" si="55"/>
        <v>0</v>
      </c>
    </row>
    <row r="1352" spans="2:16" s="45" customFormat="1">
      <c r="B1352" s="62"/>
      <c r="C1352" s="21"/>
      <c r="D1352" s="85"/>
      <c r="E1352" s="104"/>
      <c r="F1352" s="62"/>
      <c r="G1352" s="62"/>
      <c r="H1352" s="62"/>
      <c r="I1352" s="62"/>
      <c r="J1352" s="86"/>
      <c r="K1352" s="62"/>
      <c r="L1352" s="62"/>
      <c r="M1352" s="86"/>
      <c r="N1352" s="86"/>
      <c r="O1352" s="87">
        <f>VLOOKUP($B1352,BOM!$A$2:$K$94,10,0)</f>
        <v>0</v>
      </c>
      <c r="P1352" s="87">
        <f t="shared" si="55"/>
        <v>0</v>
      </c>
    </row>
    <row r="1353" spans="2:16" s="45" customFormat="1">
      <c r="B1353" s="65"/>
      <c r="C1353" s="103"/>
      <c r="D1353" s="85"/>
      <c r="E1353" s="85"/>
      <c r="F1353" s="62"/>
      <c r="G1353" s="62"/>
      <c r="H1353" s="62"/>
      <c r="I1353" s="62"/>
      <c r="J1353" s="86"/>
      <c r="K1353" s="62"/>
      <c r="L1353" s="62"/>
      <c r="M1353" s="86"/>
      <c r="N1353" s="86"/>
      <c r="O1353" s="87">
        <f>VLOOKUP($B1353,BOM!$A$2:$K$94,10,0)</f>
        <v>0</v>
      </c>
      <c r="P1353" s="87">
        <f t="shared" si="55"/>
        <v>0</v>
      </c>
    </row>
    <row r="1354" spans="2:16">
      <c r="B1354" s="81"/>
      <c r="C1354" s="82"/>
      <c r="D1354" s="72"/>
      <c r="E1354" s="72"/>
      <c r="F1354" s="72"/>
      <c r="G1354" s="72"/>
      <c r="H1354" s="72"/>
      <c r="I1354" s="72"/>
      <c r="J1354" s="72"/>
      <c r="K1354" s="83"/>
      <c r="L1354" s="83"/>
      <c r="M1354" s="83"/>
      <c r="N1354" s="83"/>
      <c r="O1354" s="87">
        <f>VLOOKUP($B1354,BOM!$A$2:$K$94,10,0)</f>
        <v>0</v>
      </c>
      <c r="P1354" s="87">
        <f t="shared" si="55"/>
        <v>0</v>
      </c>
    </row>
    <row r="1355" spans="2:16" s="45" customFormat="1">
      <c r="B1355" s="62"/>
      <c r="C1355" s="21"/>
      <c r="D1355" s="85"/>
      <c r="E1355" s="85"/>
      <c r="F1355" s="62"/>
      <c r="G1355" s="62"/>
      <c r="H1355" s="62"/>
      <c r="I1355" s="62"/>
      <c r="J1355" s="86"/>
      <c r="K1355" s="62"/>
      <c r="L1355" s="62"/>
      <c r="M1355" s="86"/>
      <c r="N1355" s="86"/>
      <c r="O1355" s="87">
        <f>VLOOKUP($B1355,BOM!$A$2:$K$94,10,0)</f>
        <v>0</v>
      </c>
      <c r="P1355" s="87">
        <f t="shared" si="55"/>
        <v>0</v>
      </c>
    </row>
    <row r="1356" spans="2:16" s="45" customFormat="1">
      <c r="B1356" s="62"/>
      <c r="C1356" s="21"/>
      <c r="D1356" s="85"/>
      <c r="E1356" s="104"/>
      <c r="F1356" s="62"/>
      <c r="G1356" s="62"/>
      <c r="H1356" s="62"/>
      <c r="I1356" s="62"/>
      <c r="J1356" s="86"/>
      <c r="K1356" s="62"/>
      <c r="L1356" s="62"/>
      <c r="M1356" s="86"/>
      <c r="N1356" s="86"/>
      <c r="O1356" s="87">
        <f>VLOOKUP($B1356,BOM!$A$2:$K$94,10,0)</f>
        <v>0</v>
      </c>
      <c r="P1356" s="87">
        <f t="shared" si="55"/>
        <v>0</v>
      </c>
    </row>
    <row r="1357" spans="2:16">
      <c r="B1357" s="81"/>
      <c r="C1357" s="82"/>
      <c r="D1357" s="72"/>
      <c r="E1357" s="72"/>
      <c r="F1357" s="72"/>
      <c r="G1357" s="72"/>
      <c r="H1357" s="72"/>
      <c r="I1357" s="72"/>
      <c r="J1357" s="72"/>
      <c r="K1357" s="83"/>
      <c r="L1357" s="83"/>
      <c r="M1357" s="83"/>
      <c r="N1357" s="83"/>
      <c r="O1357" s="87">
        <f>VLOOKUP($B1357,BOM!$A$2:$K$94,10,0)</f>
        <v>0</v>
      </c>
      <c r="P1357" s="87">
        <f t="shared" si="55"/>
        <v>0</v>
      </c>
    </row>
    <row r="1358" spans="2:16" s="45" customFormat="1">
      <c r="B1358" s="62"/>
      <c r="C1358" s="21"/>
      <c r="D1358" s="85"/>
      <c r="E1358" s="85"/>
      <c r="F1358" s="62"/>
      <c r="G1358" s="62"/>
      <c r="H1358" s="62"/>
      <c r="I1358" s="62"/>
      <c r="J1358" s="86"/>
      <c r="K1358" s="62"/>
      <c r="L1358" s="62"/>
      <c r="M1358" s="86"/>
      <c r="N1358" s="86"/>
      <c r="O1358" s="87">
        <f>VLOOKUP($B1358,BOM!$A$2:$K$94,10,0)</f>
        <v>0</v>
      </c>
      <c r="P1358" s="87">
        <f t="shared" si="55"/>
        <v>0</v>
      </c>
    </row>
    <row r="1359" spans="2:16" s="45" customFormat="1">
      <c r="B1359" s="62"/>
      <c r="C1359" s="21"/>
      <c r="D1359" s="86"/>
      <c r="E1359" s="105"/>
      <c r="F1359" s="62"/>
      <c r="G1359" s="62"/>
      <c r="H1359" s="62"/>
      <c r="I1359" s="62"/>
      <c r="J1359" s="86"/>
      <c r="K1359" s="62"/>
      <c r="L1359" s="62"/>
      <c r="M1359" s="86"/>
      <c r="N1359" s="86"/>
      <c r="O1359" s="87">
        <f>VLOOKUP($B1359,BOM!$A$2:$K$94,10,0)</f>
        <v>0</v>
      </c>
      <c r="P1359" s="87">
        <f t="shared" si="55"/>
        <v>0</v>
      </c>
    </row>
    <row r="1360" spans="2:16" s="45" customFormat="1">
      <c r="B1360" s="62"/>
      <c r="C1360" s="21"/>
      <c r="D1360" s="86"/>
      <c r="E1360" s="105"/>
      <c r="F1360" s="62"/>
      <c r="G1360" s="62"/>
      <c r="H1360" s="62"/>
      <c r="I1360" s="62"/>
      <c r="J1360" s="86"/>
      <c r="K1360" s="62"/>
      <c r="L1360" s="62"/>
      <c r="M1360" s="86"/>
      <c r="N1360" s="86"/>
      <c r="O1360" s="87">
        <f>VLOOKUP($B1360,BOM!$A$2:$K$94,10,0)</f>
        <v>0</v>
      </c>
      <c r="P1360" s="87">
        <f t="shared" si="55"/>
        <v>0</v>
      </c>
    </row>
    <row r="1361" spans="2:16" s="45" customFormat="1">
      <c r="B1361" s="62"/>
      <c r="C1361" s="21"/>
      <c r="D1361" s="86"/>
      <c r="E1361" s="105"/>
      <c r="F1361" s="62"/>
      <c r="G1361" s="62"/>
      <c r="H1361" s="62"/>
      <c r="I1361" s="62"/>
      <c r="J1361" s="86"/>
      <c r="K1361" s="62"/>
      <c r="L1361" s="62"/>
      <c r="M1361" s="86"/>
      <c r="N1361" s="86"/>
      <c r="O1361" s="87">
        <f>VLOOKUP($B1361,BOM!$A$2:$K$94,10,0)</f>
        <v>0</v>
      </c>
      <c r="P1361" s="87">
        <f t="shared" si="55"/>
        <v>0</v>
      </c>
    </row>
    <row r="1362" spans="2:16" s="45" customFormat="1">
      <c r="B1362" s="62"/>
      <c r="C1362" s="21"/>
      <c r="D1362" s="86"/>
      <c r="E1362" s="105"/>
      <c r="F1362" s="62"/>
      <c r="G1362" s="62"/>
      <c r="H1362" s="62"/>
      <c r="I1362" s="62"/>
      <c r="J1362" s="86"/>
      <c r="K1362" s="62"/>
      <c r="L1362" s="62"/>
      <c r="M1362" s="86"/>
      <c r="N1362" s="86"/>
      <c r="O1362" s="87">
        <f>VLOOKUP($B1362,BOM!$A$2:$K$94,10,0)</f>
        <v>0</v>
      </c>
      <c r="P1362" s="87">
        <f t="shared" si="55"/>
        <v>0</v>
      </c>
    </row>
    <row r="1363" spans="2:16">
      <c r="B1363" s="36"/>
      <c r="C1363" s="50"/>
      <c r="D1363" s="38"/>
      <c r="E1363" s="36"/>
      <c r="F1363" s="36"/>
      <c r="G1363" s="36"/>
      <c r="H1363" s="36"/>
      <c r="I1363" s="38"/>
      <c r="J1363" s="38"/>
      <c r="K1363" s="39"/>
      <c r="L1363" s="39"/>
      <c r="M1363" s="39"/>
      <c r="N1363" s="39"/>
      <c r="O1363" s="87">
        <f>VLOOKUP($B1363,BOM!$A$2:$K$94,10,0)</f>
        <v>0</v>
      </c>
      <c r="P1363" s="87">
        <f t="shared" si="55"/>
        <v>0</v>
      </c>
    </row>
    <row r="1364" spans="2:16">
      <c r="B1364" s="65"/>
      <c r="C1364" s="129"/>
      <c r="D1364" s="63"/>
      <c r="E1364" s="90"/>
      <c r="F1364" s="63"/>
      <c r="G1364" s="63"/>
      <c r="H1364" s="63"/>
      <c r="I1364" s="63"/>
      <c r="J1364" s="90"/>
      <c r="K1364" s="63"/>
      <c r="L1364" s="63"/>
      <c r="M1364" s="63"/>
      <c r="N1364" s="63"/>
      <c r="O1364" s="87">
        <f>VLOOKUP($B1364,BOM!$A$2:$K$94,10,0)</f>
        <v>0</v>
      </c>
      <c r="P1364" s="87">
        <f t="shared" si="55"/>
        <v>0</v>
      </c>
    </row>
    <row r="1365" spans="2:16">
      <c r="B1365" s="36"/>
      <c r="C1365" s="50"/>
      <c r="D1365" s="38"/>
      <c r="E1365" s="36"/>
      <c r="F1365" s="36"/>
      <c r="G1365" s="36"/>
      <c r="H1365" s="36"/>
      <c r="I1365" s="38"/>
      <c r="J1365" s="38"/>
      <c r="K1365" s="39"/>
      <c r="L1365" s="39"/>
      <c r="M1365" s="39"/>
      <c r="N1365" s="39"/>
      <c r="O1365" s="87">
        <f>VLOOKUP($B1365,BOM!$A$2:$K$94,10,0)</f>
        <v>0</v>
      </c>
      <c r="P1365" s="87">
        <f t="shared" si="55"/>
        <v>0</v>
      </c>
    </row>
    <row r="1366" spans="2:16">
      <c r="B1366" s="65"/>
      <c r="C1366" s="129"/>
      <c r="D1366" s="63"/>
      <c r="E1366" s="90"/>
      <c r="F1366" s="63"/>
      <c r="G1366" s="63"/>
      <c r="H1366" s="63"/>
      <c r="I1366" s="63"/>
      <c r="J1366" s="90"/>
      <c r="K1366" s="63"/>
      <c r="L1366" s="63"/>
      <c r="M1366" s="63"/>
      <c r="N1366" s="63"/>
      <c r="O1366" s="87">
        <f>VLOOKUP($B1366,BOM!$A$2:$K$94,10,0)</f>
        <v>0</v>
      </c>
      <c r="P1366" s="87">
        <f t="shared" si="55"/>
        <v>0</v>
      </c>
    </row>
    <row r="1367" spans="2:16">
      <c r="B1367" s="36"/>
      <c r="C1367" s="50"/>
      <c r="D1367" s="38"/>
      <c r="E1367" s="36"/>
      <c r="F1367" s="36"/>
      <c r="G1367" s="36"/>
      <c r="H1367" s="36"/>
      <c r="I1367" s="38"/>
      <c r="J1367" s="38"/>
      <c r="K1367" s="39"/>
      <c r="L1367" s="39"/>
      <c r="M1367" s="39"/>
      <c r="N1367" s="39"/>
      <c r="O1367" s="87">
        <f>VLOOKUP($B1367,BOM!$A$2:$K$94,10,0)</f>
        <v>0</v>
      </c>
      <c r="P1367" s="87">
        <f t="shared" si="55"/>
        <v>0</v>
      </c>
    </row>
    <row r="1368" spans="2:16">
      <c r="B1368" s="65"/>
      <c r="C1368" s="129"/>
      <c r="D1368" s="63"/>
      <c r="E1368" s="90"/>
      <c r="F1368" s="63"/>
      <c r="G1368" s="63"/>
      <c r="H1368" s="63"/>
      <c r="I1368" s="63"/>
      <c r="J1368" s="90"/>
      <c r="K1368" s="63"/>
      <c r="L1368" s="63"/>
      <c r="M1368" s="63"/>
      <c r="N1368" s="63"/>
      <c r="O1368" s="87">
        <f>VLOOKUP($B1368,BOM!$A$2:$K$94,10,0)</f>
        <v>0</v>
      </c>
      <c r="P1368" s="87">
        <f t="shared" si="55"/>
        <v>0</v>
      </c>
    </row>
    <row r="1369" spans="2:16">
      <c r="B1369" s="65"/>
      <c r="C1369" s="129"/>
      <c r="D1369" s="63"/>
      <c r="E1369" s="90"/>
      <c r="F1369" s="63"/>
      <c r="G1369" s="63"/>
      <c r="H1369" s="63"/>
      <c r="I1369" s="63"/>
      <c r="J1369" s="90"/>
      <c r="K1369" s="63"/>
      <c r="L1369" s="63"/>
      <c r="M1369" s="63"/>
      <c r="N1369" s="63"/>
      <c r="O1369" s="87">
        <f>VLOOKUP($B1369,BOM!$A$2:$K$94,10,0)</f>
        <v>0</v>
      </c>
      <c r="P1369" s="87">
        <f t="shared" si="55"/>
        <v>0</v>
      </c>
    </row>
    <row r="1370" spans="2:16">
      <c r="B1370" s="36"/>
      <c r="C1370" s="50"/>
      <c r="D1370" s="38"/>
      <c r="E1370" s="36"/>
      <c r="F1370" s="36"/>
      <c r="G1370" s="36"/>
      <c r="H1370" s="36"/>
      <c r="I1370" s="38"/>
      <c r="J1370" s="38"/>
      <c r="K1370" s="39"/>
      <c r="L1370" s="39"/>
      <c r="M1370" s="39"/>
      <c r="N1370" s="39"/>
      <c r="O1370" s="87">
        <f>VLOOKUP($B1370,BOM!$A$2:$K$94,10,0)</f>
        <v>0</v>
      </c>
      <c r="P1370" s="87">
        <f t="shared" si="55"/>
        <v>0</v>
      </c>
    </row>
    <row r="1371" spans="2:16">
      <c r="B1371" s="36"/>
      <c r="C1371" s="50"/>
      <c r="D1371" s="38"/>
      <c r="E1371" s="36"/>
      <c r="F1371" s="36"/>
      <c r="G1371" s="36"/>
      <c r="H1371" s="36"/>
      <c r="I1371" s="38"/>
      <c r="J1371" s="38"/>
      <c r="K1371" s="39"/>
      <c r="L1371" s="39"/>
      <c r="M1371" s="39"/>
      <c r="N1371" s="39"/>
      <c r="O1371" s="87">
        <f>VLOOKUP($B1371,BOM!$A$2:$K$94,10,0)</f>
        <v>0</v>
      </c>
      <c r="P1371" s="87">
        <f t="shared" si="55"/>
        <v>0</v>
      </c>
    </row>
    <row r="1372" spans="2:16">
      <c r="B1372" s="65"/>
      <c r="C1372" s="129"/>
      <c r="D1372" s="63"/>
      <c r="E1372" s="90"/>
      <c r="F1372" s="63"/>
      <c r="G1372" s="63"/>
      <c r="H1372" s="63"/>
      <c r="I1372" s="63"/>
      <c r="J1372" s="90"/>
      <c r="K1372" s="63"/>
      <c r="L1372" s="63"/>
      <c r="M1372" s="63"/>
      <c r="N1372" s="63"/>
      <c r="O1372" s="87">
        <f>VLOOKUP($B1372,BOM!$A$2:$K$94,10,0)</f>
        <v>0</v>
      </c>
      <c r="P1372" s="87">
        <f t="shared" si="55"/>
        <v>0</v>
      </c>
    </row>
    <row r="1373" spans="2:16" s="19" customFormat="1">
      <c r="B1373" s="21"/>
      <c r="C1373" s="21"/>
      <c r="D1373" s="21"/>
      <c r="E1373" s="22"/>
      <c r="F1373" s="21"/>
      <c r="G1373" s="21"/>
      <c r="H1373" s="21"/>
      <c r="I1373" s="21"/>
      <c r="J1373" s="22"/>
      <c r="K1373" s="21"/>
      <c r="L1373" s="21"/>
      <c r="M1373" s="22"/>
      <c r="N1373" s="22"/>
      <c r="O1373" s="87">
        <f>VLOOKUP($B1373,BOM!$A$2:$K$94,10,0)</f>
        <v>0</v>
      </c>
      <c r="P1373" s="87">
        <f t="shared" si="55"/>
        <v>0</v>
      </c>
    </row>
    <row r="1374" spans="2:16" s="19" customFormat="1">
      <c r="B1374" s="21"/>
      <c r="C1374" s="21"/>
      <c r="D1374" s="21"/>
      <c r="E1374" s="22"/>
      <c r="F1374" s="21"/>
      <c r="G1374" s="21"/>
      <c r="H1374" s="21"/>
      <c r="I1374" s="21"/>
      <c r="J1374" s="22"/>
      <c r="K1374" s="21"/>
      <c r="L1374" s="21"/>
      <c r="M1374" s="22"/>
      <c r="N1374" s="22"/>
      <c r="O1374" s="87">
        <f>VLOOKUP($B1374,BOM!$A$2:$K$94,10,0)</f>
        <v>0</v>
      </c>
      <c r="P1374" s="87">
        <f t="shared" si="55"/>
        <v>0</v>
      </c>
    </row>
    <row r="1375" spans="2:16">
      <c r="C1375" s="130"/>
    </row>
    <row r="1376" spans="2:16">
      <c r="C1376" s="130"/>
      <c r="P1376" s="18">
        <f>SUM(P5:P1375)</f>
        <v>0</v>
      </c>
    </row>
    <row r="1377" spans="3:5">
      <c r="C1377" s="130"/>
    </row>
    <row r="1378" spans="3:5">
      <c r="C1378" s="130"/>
    </row>
    <row r="1379" spans="3:5">
      <c r="C1379" s="130"/>
      <c r="E1379" s="24">
        <f>SUBTOTAL(9,E13:E1231)</f>
        <v>4933</v>
      </c>
    </row>
    <row r="1380" spans="3:5">
      <c r="E1380" s="15"/>
    </row>
  </sheetData>
  <autoFilter ref="C1:C1380" xr:uid="{1EE0E1E7-621F-45C6-B97C-9128A4B7826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E39E-25DB-4559-915C-A10AD150BA19}">
  <dimension ref="A1:Q1172"/>
  <sheetViews>
    <sheetView zoomScale="70" zoomScaleNormal="70" workbookViewId="0">
      <pane ySplit="1" topLeftCell="A353" activePane="bottomLeft" state="frozen"/>
      <selection pane="bottomLeft" activeCell="H231" sqref="H231"/>
    </sheetView>
  </sheetViews>
  <sheetFormatPr defaultColWidth="9.125" defaultRowHeight="15" outlineLevelRow="1"/>
  <cols>
    <col min="1" max="1" width="9.125" style="15"/>
    <col min="2" max="2" width="22.75" style="166" bestFit="1" customWidth="1"/>
    <col min="3" max="3" width="102.625" style="15" customWidth="1"/>
    <col min="4" max="4" width="5" style="15" bestFit="1" customWidth="1"/>
    <col min="5" max="5" width="6.25" style="24" bestFit="1" customWidth="1"/>
    <col min="6" max="6" width="9.125" style="15"/>
    <col min="7" max="9" width="9.25" style="15" bestFit="1" customWidth="1"/>
    <col min="10" max="12" width="9.125" style="15"/>
    <col min="13" max="13" width="13.5" style="15" bestFit="1" customWidth="1"/>
    <col min="14" max="14" width="9.125" style="15"/>
    <col min="15" max="17" width="18.125" style="132" bestFit="1" customWidth="1"/>
    <col min="18" max="16384" width="9.125" style="15"/>
  </cols>
  <sheetData>
    <row r="1" spans="1:17" ht="60" customHeight="1">
      <c r="B1" s="131" t="s">
        <v>160</v>
      </c>
      <c r="C1" s="69"/>
      <c r="D1" s="69"/>
      <c r="E1" s="69"/>
      <c r="F1" s="69"/>
      <c r="G1" s="69" t="s">
        <v>208</v>
      </c>
      <c r="H1" s="69" t="s">
        <v>209</v>
      </c>
      <c r="I1" s="17"/>
      <c r="J1" s="69" t="s">
        <v>210</v>
      </c>
    </row>
    <row r="2" spans="1:17" ht="41.25" customHeight="1">
      <c r="B2" s="133" t="s">
        <v>161</v>
      </c>
      <c r="C2" s="70" t="s">
        <v>162</v>
      </c>
      <c r="D2" s="70" t="s">
        <v>163</v>
      </c>
      <c r="E2" s="70" t="s">
        <v>164</v>
      </c>
      <c r="F2" s="70" t="s">
        <v>165</v>
      </c>
      <c r="G2" s="70" t="s">
        <v>166</v>
      </c>
      <c r="H2" s="70" t="s">
        <v>167</v>
      </c>
      <c r="I2" s="70"/>
      <c r="J2" s="63"/>
      <c r="K2" s="63"/>
      <c r="L2" s="63"/>
      <c r="M2" s="63"/>
      <c r="N2" s="63"/>
      <c r="O2" s="80"/>
      <c r="P2" s="80"/>
      <c r="Q2" s="80"/>
    </row>
    <row r="3" spans="1:17" s="140" customFormat="1">
      <c r="A3" s="134">
        <v>0</v>
      </c>
      <c r="B3" s="135"/>
      <c r="C3" s="71" t="s">
        <v>133</v>
      </c>
      <c r="D3" s="136" t="s">
        <v>0</v>
      </c>
      <c r="E3" s="134">
        <v>1</v>
      </c>
      <c r="F3" s="134"/>
      <c r="G3" s="134"/>
      <c r="H3" s="134"/>
      <c r="I3" s="134"/>
      <c r="J3" s="137"/>
      <c r="K3" s="137" t="s">
        <v>185</v>
      </c>
      <c r="L3" s="137" t="s">
        <v>186</v>
      </c>
      <c r="M3" s="137" t="s">
        <v>187</v>
      </c>
      <c r="N3" s="137" t="s">
        <v>188</v>
      </c>
      <c r="O3" s="138" t="s">
        <v>189</v>
      </c>
      <c r="P3" s="138" t="s">
        <v>190</v>
      </c>
      <c r="Q3" s="139"/>
    </row>
    <row r="4" spans="1:17">
      <c r="A4" s="141"/>
      <c r="B4" s="81"/>
      <c r="C4" s="72" t="s">
        <v>124</v>
      </c>
      <c r="D4" s="72" t="s">
        <v>0</v>
      </c>
      <c r="E4" s="72">
        <v>1</v>
      </c>
      <c r="F4" s="72"/>
      <c r="G4" s="72"/>
      <c r="H4" s="72"/>
      <c r="I4" s="72"/>
      <c r="J4" s="72"/>
      <c r="K4" s="83"/>
      <c r="L4" s="83"/>
      <c r="M4" s="83"/>
      <c r="N4" s="83"/>
      <c r="O4" s="84"/>
      <c r="P4" s="84"/>
      <c r="Q4" s="84"/>
    </row>
    <row r="5" spans="1:17" s="19" customFormat="1">
      <c r="A5" s="141"/>
      <c r="B5" s="21"/>
      <c r="C5" s="21"/>
      <c r="D5" s="21"/>
      <c r="E5" s="22"/>
      <c r="F5" s="21"/>
      <c r="G5" s="21"/>
      <c r="H5" s="21"/>
      <c r="I5" s="21"/>
      <c r="J5" s="21"/>
      <c r="K5" s="21"/>
      <c r="L5" s="21"/>
      <c r="M5" s="22"/>
      <c r="N5" s="22"/>
      <c r="O5" s="87">
        <f>VLOOKUP($B5,BOM!$A$2:$K$94,10,0)</f>
        <v>0</v>
      </c>
      <c r="P5" s="142"/>
      <c r="Q5" s="142">
        <f>VLOOKUP($B5,BOM!$A$2:$K$94,9,0)</f>
        <v>0</v>
      </c>
    </row>
    <row r="6" spans="1:17" s="19" customFormat="1">
      <c r="A6" s="141"/>
      <c r="B6" s="21"/>
      <c r="C6" s="21"/>
      <c r="D6" s="21"/>
      <c r="E6" s="22"/>
      <c r="F6" s="21"/>
      <c r="G6" s="21"/>
      <c r="H6" s="21"/>
      <c r="I6" s="21"/>
      <c r="J6" s="21"/>
      <c r="K6" s="21"/>
      <c r="L6" s="21"/>
      <c r="M6" s="22"/>
      <c r="N6" s="22"/>
      <c r="O6" s="87">
        <f>VLOOKUP($B6,BOM!$A$2:$K$94,10,0)</f>
        <v>0</v>
      </c>
      <c r="P6" s="142"/>
      <c r="Q6" s="142">
        <f>VLOOKUP($B6,BOM!$A$2:$K$94,9,0)</f>
        <v>0</v>
      </c>
    </row>
    <row r="7" spans="1:17" s="19" customFormat="1">
      <c r="A7" s="141"/>
      <c r="B7" s="21"/>
      <c r="C7" s="21"/>
      <c r="D7" s="21"/>
      <c r="E7" s="22"/>
      <c r="F7" s="21"/>
      <c r="G7" s="21"/>
      <c r="H7" s="21"/>
      <c r="I7" s="21"/>
      <c r="J7" s="21"/>
      <c r="K7" s="21"/>
      <c r="L7" s="21"/>
      <c r="M7" s="22"/>
      <c r="N7" s="22"/>
      <c r="O7" s="87">
        <f>VLOOKUP($B7,BOM!$A$2:$K$94,10,0)</f>
        <v>0</v>
      </c>
      <c r="P7" s="142"/>
      <c r="Q7" s="142">
        <f>VLOOKUP($B7,BOM!$A$2:$K$94,9,0)</f>
        <v>0</v>
      </c>
    </row>
    <row r="8" spans="1:17">
      <c r="A8" s="141"/>
      <c r="B8" s="81"/>
      <c r="C8" s="72" t="s">
        <v>1</v>
      </c>
      <c r="D8" s="72" t="s">
        <v>0</v>
      </c>
      <c r="E8" s="72">
        <v>1</v>
      </c>
      <c r="F8" s="72"/>
      <c r="G8" s="72">
        <f>ROUNDUP(G3/24,0)</f>
        <v>0</v>
      </c>
      <c r="H8" s="72">
        <f t="shared" ref="H8" si="0">ROUNDUP(H3/24,0)</f>
        <v>0</v>
      </c>
      <c r="I8" s="72"/>
      <c r="J8" s="72"/>
      <c r="K8" s="83"/>
      <c r="L8" s="83"/>
      <c r="M8" s="83"/>
      <c r="N8" s="83"/>
      <c r="O8" s="87">
        <f>VLOOKUP($B8,BOM!$A$2:$K$94,10,0)</f>
        <v>0</v>
      </c>
      <c r="P8" s="84">
        <f t="shared" ref="P8:P9" si="1">O8*E8</f>
        <v>0</v>
      </c>
      <c r="Q8" s="84">
        <f>VLOOKUP($B8,BOM!$A$2:$K$94,9,0)</f>
        <v>0</v>
      </c>
    </row>
    <row r="9" spans="1:17" s="45" customFormat="1">
      <c r="A9" s="141"/>
      <c r="B9" s="62">
        <v>760249997</v>
      </c>
      <c r="C9" s="62" t="s">
        <v>2</v>
      </c>
      <c r="D9" s="85" t="s">
        <v>3</v>
      </c>
      <c r="E9" s="85">
        <f>ROUNDUP(E11/3,0)</f>
        <v>0</v>
      </c>
      <c r="F9" s="62"/>
      <c r="G9" s="62"/>
      <c r="H9" s="62"/>
      <c r="I9" s="62"/>
      <c r="J9" s="62"/>
      <c r="K9" s="62" t="s">
        <v>4</v>
      </c>
      <c r="L9" s="62" t="s">
        <v>5</v>
      </c>
      <c r="M9" s="86" t="s">
        <v>6</v>
      </c>
      <c r="N9" s="86" t="s">
        <v>3</v>
      </c>
      <c r="O9" s="87">
        <f>VLOOKUP($B9,BOM!$A$2:$K$94,10,0)</f>
        <v>0</v>
      </c>
      <c r="P9" s="87">
        <f t="shared" si="1"/>
        <v>0</v>
      </c>
      <c r="Q9" s="87" t="str">
        <f>VLOOKUP($B9,BOM!$A$2:$K$94,9,0)</f>
        <v>Cái</v>
      </c>
    </row>
    <row r="10" spans="1:17" s="45" customFormat="1">
      <c r="A10" s="141"/>
      <c r="B10" s="62">
        <v>760241378</v>
      </c>
      <c r="C10" s="62" t="s">
        <v>7</v>
      </c>
      <c r="D10" s="85" t="s">
        <v>3</v>
      </c>
      <c r="E10" s="85">
        <v>0</v>
      </c>
      <c r="F10" s="62"/>
      <c r="G10" s="62"/>
      <c r="H10" s="62"/>
      <c r="I10" s="62"/>
      <c r="J10" s="62"/>
      <c r="K10" s="62" t="s">
        <v>4</v>
      </c>
      <c r="L10" s="62" t="s">
        <v>5</v>
      </c>
      <c r="M10" s="86" t="s">
        <v>6</v>
      </c>
      <c r="N10" s="86" t="s">
        <v>3</v>
      </c>
      <c r="O10" s="87">
        <f>VLOOKUP($B10,BOM!$A$2:$K$94,10,0)</f>
        <v>0</v>
      </c>
      <c r="P10" s="87">
        <f t="shared" ref="P10:P73" si="2">O10*E10</f>
        <v>0</v>
      </c>
      <c r="Q10" s="87" t="str">
        <f>VLOOKUP($B10,BOM!$A$2:$K$94,9,0)</f>
        <v>Cái</v>
      </c>
    </row>
    <row r="11" spans="1:17" s="45" customFormat="1">
      <c r="A11" s="141"/>
      <c r="B11" s="62" t="s">
        <v>8</v>
      </c>
      <c r="C11" s="62" t="s">
        <v>9</v>
      </c>
      <c r="D11" s="85" t="s">
        <v>3</v>
      </c>
      <c r="E11" s="85">
        <f>SUM(G8:I8)</f>
        <v>0</v>
      </c>
      <c r="F11" s="62"/>
      <c r="G11" s="62"/>
      <c r="H11" s="62"/>
      <c r="I11" s="62"/>
      <c r="J11" s="62"/>
      <c r="K11" s="62" t="s">
        <v>4</v>
      </c>
      <c r="L11" s="62" t="s">
        <v>5</v>
      </c>
      <c r="M11" s="86" t="s">
        <v>6</v>
      </c>
      <c r="N11" s="86" t="s">
        <v>3</v>
      </c>
      <c r="O11" s="87">
        <f>VLOOKUP($B11,BOM!$A$2:$K$94,10,0)</f>
        <v>0</v>
      </c>
      <c r="P11" s="87">
        <f t="shared" si="2"/>
        <v>0</v>
      </c>
      <c r="Q11" s="87" t="str">
        <f>VLOOKUP($B11,BOM!$A$2:$K$94,9,0)</f>
        <v>Cái</v>
      </c>
    </row>
    <row r="12" spans="1:17" s="45" customFormat="1">
      <c r="A12" s="141"/>
      <c r="B12" s="62" t="s">
        <v>10</v>
      </c>
      <c r="C12" s="62" t="s">
        <v>11</v>
      </c>
      <c r="D12" s="85" t="s">
        <v>3</v>
      </c>
      <c r="E12" s="85">
        <f>E9*3-E11</f>
        <v>0</v>
      </c>
      <c r="F12" s="62"/>
      <c r="G12" s="62"/>
      <c r="H12" s="62"/>
      <c r="I12" s="62"/>
      <c r="J12" s="62"/>
      <c r="K12" s="62" t="s">
        <v>4</v>
      </c>
      <c r="L12" s="62" t="s">
        <v>5</v>
      </c>
      <c r="M12" s="86" t="s">
        <v>6</v>
      </c>
      <c r="N12" s="86" t="s">
        <v>3</v>
      </c>
      <c r="O12" s="87">
        <f>VLOOKUP($B12,BOM!$A$2:$K$94,10,0)</f>
        <v>0</v>
      </c>
      <c r="P12" s="87">
        <f t="shared" si="2"/>
        <v>0</v>
      </c>
      <c r="Q12" s="87" t="str">
        <f>VLOOKUP($B12,BOM!$A$2:$K$94,9,0)</f>
        <v>Cái</v>
      </c>
    </row>
    <row r="13" spans="1:17" s="45" customFormat="1">
      <c r="A13" s="141"/>
      <c r="B13" s="62" t="s">
        <v>12</v>
      </c>
      <c r="C13" s="62" t="s">
        <v>13</v>
      </c>
      <c r="D13" s="85" t="s">
        <v>14</v>
      </c>
      <c r="E13" s="85" cm="1">
        <f t="array" ref="E13">SUM(G3:I3/2)</f>
        <v>0</v>
      </c>
      <c r="F13" s="62"/>
      <c r="G13" s="62"/>
      <c r="H13" s="62"/>
      <c r="I13" s="62"/>
      <c r="J13" s="62"/>
      <c r="K13" s="62" t="s">
        <v>4</v>
      </c>
      <c r="L13" s="62" t="s">
        <v>5</v>
      </c>
      <c r="M13" s="86" t="s">
        <v>6</v>
      </c>
      <c r="N13" s="86" t="s">
        <v>15</v>
      </c>
      <c r="O13" s="87">
        <f>VLOOKUP($B13,BOM!$A$2:$K$94,10,0)</f>
        <v>0</v>
      </c>
      <c r="P13" s="87">
        <f t="shared" si="2"/>
        <v>0</v>
      </c>
      <c r="Q13" s="87" t="str">
        <f>VLOOKUP($B13,BOM!$A$2:$K$94,9,0)</f>
        <v>Sợi</v>
      </c>
    </row>
    <row r="14" spans="1:17" s="45" customFormat="1">
      <c r="A14" s="141"/>
      <c r="B14" s="62" t="s">
        <v>16</v>
      </c>
      <c r="C14" s="62" t="s">
        <v>17</v>
      </c>
      <c r="D14" s="85" t="s">
        <v>14</v>
      </c>
      <c r="E14" s="85">
        <v>0</v>
      </c>
      <c r="F14" s="62"/>
      <c r="G14" s="62"/>
      <c r="H14" s="62"/>
      <c r="I14" s="62"/>
      <c r="J14" s="62"/>
      <c r="K14" s="62" t="s">
        <v>4</v>
      </c>
      <c r="L14" s="62" t="s">
        <v>5</v>
      </c>
      <c r="M14" s="86" t="s">
        <v>6</v>
      </c>
      <c r="N14" s="86" t="s">
        <v>15</v>
      </c>
      <c r="O14" s="87">
        <f>VLOOKUP($B14,BOM!$A$2:$K$94,10,0)</f>
        <v>0</v>
      </c>
      <c r="P14" s="87">
        <f t="shared" si="2"/>
        <v>0</v>
      </c>
      <c r="Q14" s="87" t="str">
        <f>VLOOKUP($B14,BOM!$A$2:$K$94,9,0)</f>
        <v>Sợi</v>
      </c>
    </row>
    <row r="15" spans="1:17" s="45" customFormat="1">
      <c r="A15" s="141"/>
      <c r="B15" s="41" t="s">
        <v>198</v>
      </c>
      <c r="C15" s="41" t="s">
        <v>199</v>
      </c>
      <c r="D15" s="85" t="s">
        <v>3</v>
      </c>
      <c r="E15" s="85">
        <f>SUM(G12:I12)</f>
        <v>0</v>
      </c>
      <c r="F15" s="41"/>
      <c r="G15" s="41"/>
      <c r="H15" s="41"/>
      <c r="I15" s="41"/>
      <c r="J15" s="41"/>
      <c r="K15" s="62" t="s">
        <v>4</v>
      </c>
      <c r="L15" s="62" t="s">
        <v>5</v>
      </c>
      <c r="M15" s="86" t="s">
        <v>6</v>
      </c>
      <c r="N15" s="86" t="s">
        <v>15</v>
      </c>
      <c r="O15" s="87">
        <f>VLOOKUP($B15,BOM!$A$2:$K$94,10,0)</f>
        <v>0</v>
      </c>
      <c r="P15" s="87">
        <f t="shared" si="2"/>
        <v>0</v>
      </c>
      <c r="Q15" s="143" t="str">
        <f>VLOOKUP($B15,BOM!$A$2:$K$94,9,0)</f>
        <v>Cái</v>
      </c>
    </row>
    <row r="16" spans="1:17">
      <c r="A16" s="141"/>
      <c r="B16" s="41" t="s">
        <v>194</v>
      </c>
      <c r="C16" s="41" t="s">
        <v>195</v>
      </c>
      <c r="D16" s="85" t="s">
        <v>14</v>
      </c>
      <c r="E16" s="85" cm="1">
        <f t="array" ref="E16">SUM(G5:I5/2)</f>
        <v>0</v>
      </c>
      <c r="F16" s="62"/>
      <c r="G16" s="62"/>
      <c r="H16" s="62"/>
      <c r="I16" s="62"/>
      <c r="J16" s="62"/>
      <c r="K16" s="62" t="s">
        <v>4</v>
      </c>
      <c r="L16" s="62" t="s">
        <v>5</v>
      </c>
      <c r="M16" s="86" t="s">
        <v>6</v>
      </c>
      <c r="N16" s="86" t="s">
        <v>15</v>
      </c>
      <c r="O16" s="87">
        <f>VLOOKUP($B16,BOM!$A$2:$K$94,10,0)</f>
        <v>0</v>
      </c>
      <c r="P16" s="87">
        <f t="shared" si="2"/>
        <v>0</v>
      </c>
      <c r="Q16" s="143" t="str">
        <f>VLOOKUP($B16,BOM!$A$2:$K$94,9,0)</f>
        <v>Cái</v>
      </c>
    </row>
    <row r="17" spans="1:17" s="45" customFormat="1">
      <c r="A17" s="141"/>
      <c r="B17" s="41" t="s">
        <v>196</v>
      </c>
      <c r="C17" s="41" t="s">
        <v>197</v>
      </c>
      <c r="D17" s="85" t="s">
        <v>14</v>
      </c>
      <c r="E17" s="85">
        <v>0</v>
      </c>
      <c r="F17" s="41"/>
      <c r="G17" s="41"/>
      <c r="H17" s="41"/>
      <c r="I17" s="41"/>
      <c r="J17" s="41"/>
      <c r="K17" s="62" t="s">
        <v>4</v>
      </c>
      <c r="L17" s="62" t="s">
        <v>5</v>
      </c>
      <c r="M17" s="86" t="s">
        <v>6</v>
      </c>
      <c r="N17" s="86" t="s">
        <v>15</v>
      </c>
      <c r="O17" s="87">
        <f>VLOOKUP($B17,BOM!$A$2:$K$94,10,0)</f>
        <v>0</v>
      </c>
      <c r="P17" s="87">
        <f t="shared" si="2"/>
        <v>0</v>
      </c>
      <c r="Q17" s="143" t="str">
        <f>VLOOKUP($B17,BOM!$A$2:$K$94,9,0)</f>
        <v>Cái</v>
      </c>
    </row>
    <row r="18" spans="1:17">
      <c r="A18" s="141"/>
      <c r="B18" s="81"/>
      <c r="C18" s="72" t="s">
        <v>18</v>
      </c>
      <c r="D18" s="72" t="s">
        <v>0</v>
      </c>
      <c r="E18" s="72"/>
      <c r="F18" s="72"/>
      <c r="G18" s="72"/>
      <c r="H18" s="72"/>
      <c r="I18" s="72"/>
      <c r="J18" s="72"/>
      <c r="K18" s="83"/>
      <c r="L18" s="83"/>
      <c r="M18" s="83"/>
      <c r="N18" s="83"/>
      <c r="O18" s="87">
        <f>VLOOKUP($B18,BOM!$A$2:$K$94,10,0)</f>
        <v>0</v>
      </c>
      <c r="P18" s="87">
        <f t="shared" si="2"/>
        <v>0</v>
      </c>
      <c r="Q18" s="84">
        <f>VLOOKUP($B18,BOM!$A$2:$K$94,9,0)</f>
        <v>0</v>
      </c>
    </row>
    <row r="19" spans="1:17" s="45" customFormat="1">
      <c r="A19" s="141"/>
      <c r="B19" s="62">
        <v>760237046</v>
      </c>
      <c r="C19" s="62" t="s">
        <v>19</v>
      </c>
      <c r="D19" s="85" t="s">
        <v>3</v>
      </c>
      <c r="E19" s="90">
        <f>E23+E28</f>
        <v>0</v>
      </c>
      <c r="F19" s="62"/>
      <c r="G19" s="62"/>
      <c r="H19" s="62"/>
      <c r="I19" s="62"/>
      <c r="J19" s="62"/>
      <c r="K19" s="62" t="s">
        <v>4</v>
      </c>
      <c r="L19" s="62" t="s">
        <v>5</v>
      </c>
      <c r="M19" s="86" t="s">
        <v>6</v>
      </c>
      <c r="N19" s="86" t="s">
        <v>3</v>
      </c>
      <c r="O19" s="87">
        <f>VLOOKUP($B19,BOM!$A$2:$K$94,10,0)</f>
        <v>0</v>
      </c>
      <c r="P19" s="87">
        <f t="shared" si="2"/>
        <v>0</v>
      </c>
      <c r="Q19" s="87" t="str">
        <f>VLOOKUP($B19,BOM!$A$2:$K$94,9,0)</f>
        <v>Cái</v>
      </c>
    </row>
    <row r="20" spans="1:17" s="45" customFormat="1">
      <c r="A20" s="141"/>
      <c r="B20" s="62" t="s">
        <v>20</v>
      </c>
      <c r="C20" s="62" t="s">
        <v>21</v>
      </c>
      <c r="D20" s="85" t="s">
        <v>3</v>
      </c>
      <c r="E20" s="90">
        <f>E19</f>
        <v>0</v>
      </c>
      <c r="F20" s="62"/>
      <c r="G20" s="62"/>
      <c r="H20" s="62"/>
      <c r="I20" s="62"/>
      <c r="J20" s="62"/>
      <c r="K20" s="62" t="s">
        <v>4</v>
      </c>
      <c r="L20" s="62" t="s">
        <v>5</v>
      </c>
      <c r="M20" s="86" t="s">
        <v>22</v>
      </c>
      <c r="N20" s="86" t="s">
        <v>3</v>
      </c>
      <c r="O20" s="87">
        <f>VLOOKUP($B20,BOM!$A$2:$K$94,10,0)</f>
        <v>0</v>
      </c>
      <c r="P20" s="87">
        <f t="shared" si="2"/>
        <v>0</v>
      </c>
      <c r="Q20" s="87" t="str">
        <f>VLOOKUP($B20,BOM!$A$2:$K$94,9,0)</f>
        <v>Cái</v>
      </c>
    </row>
    <row r="21" spans="1:17" s="45" customFormat="1">
      <c r="A21" s="141"/>
      <c r="B21" s="62" t="s">
        <v>23</v>
      </c>
      <c r="C21" s="62" t="s">
        <v>24</v>
      </c>
      <c r="D21" s="85" t="s">
        <v>3</v>
      </c>
      <c r="E21" s="90">
        <f>E19*24</f>
        <v>0</v>
      </c>
      <c r="F21" s="62"/>
      <c r="G21" s="62"/>
      <c r="H21" s="62"/>
      <c r="I21" s="62"/>
      <c r="J21" s="62"/>
      <c r="K21" s="62" t="s">
        <v>25</v>
      </c>
      <c r="L21" s="62" t="s">
        <v>5</v>
      </c>
      <c r="M21" s="86" t="s">
        <v>6</v>
      </c>
      <c r="N21" s="86" t="s">
        <v>3</v>
      </c>
      <c r="O21" s="87">
        <f>VLOOKUP($B21,BOM!$A$2:$K$94,10,0)</f>
        <v>0</v>
      </c>
      <c r="P21" s="87">
        <f t="shared" si="2"/>
        <v>0</v>
      </c>
      <c r="Q21" s="87" t="str">
        <f>VLOOKUP($B21,BOM!$A$2:$K$94,9,0)</f>
        <v>Cái</v>
      </c>
    </row>
    <row r="22" spans="1:17">
      <c r="A22" s="141"/>
      <c r="B22" s="81"/>
      <c r="C22" s="72"/>
      <c r="D22" s="72"/>
      <c r="E22" s="72"/>
      <c r="F22" s="72"/>
      <c r="G22" s="72"/>
      <c r="H22" s="72"/>
      <c r="I22" s="72"/>
      <c r="J22" s="72"/>
      <c r="K22" s="83"/>
      <c r="L22" s="83"/>
      <c r="M22" s="83"/>
      <c r="N22" s="83"/>
      <c r="O22" s="87">
        <f>VLOOKUP($B22,BOM!$A$2:$K$94,10,0)</f>
        <v>0</v>
      </c>
      <c r="P22" s="87">
        <f t="shared" si="2"/>
        <v>0</v>
      </c>
      <c r="Q22" s="84">
        <f>VLOOKUP($B22,BOM!$A$2:$K$94,9,0)</f>
        <v>0</v>
      </c>
    </row>
    <row r="23" spans="1:17" s="45" customFormat="1">
      <c r="A23" s="141"/>
      <c r="B23" s="62"/>
      <c r="C23" s="62"/>
      <c r="D23" s="85"/>
      <c r="E23" s="90"/>
      <c r="F23" s="62"/>
      <c r="G23" s="62"/>
      <c r="H23" s="62"/>
      <c r="I23" s="62"/>
      <c r="J23" s="62"/>
      <c r="K23" s="62"/>
      <c r="L23" s="62"/>
      <c r="M23" s="86"/>
      <c r="N23" s="86"/>
      <c r="O23" s="87">
        <f>VLOOKUP($B23,BOM!$A$2:$K$94,10,0)</f>
        <v>0</v>
      </c>
      <c r="P23" s="87">
        <f t="shared" si="2"/>
        <v>0</v>
      </c>
      <c r="Q23" s="87">
        <f>VLOOKUP($B23,BOM!$A$2:$K$94,9,0)</f>
        <v>0</v>
      </c>
    </row>
    <row r="24" spans="1:17" s="45" customFormat="1">
      <c r="A24" s="141"/>
      <c r="B24" s="62"/>
      <c r="C24" s="62"/>
      <c r="D24" s="85"/>
      <c r="E24" s="90"/>
      <c r="F24" s="62"/>
      <c r="G24" s="62"/>
      <c r="H24" s="62"/>
      <c r="I24" s="62"/>
      <c r="J24" s="62"/>
      <c r="K24" s="62"/>
      <c r="L24" s="62"/>
      <c r="M24" s="86"/>
      <c r="N24" s="86"/>
      <c r="O24" s="87">
        <f>VLOOKUP($B24,BOM!$A$2:$K$94,10,0)</f>
        <v>0</v>
      </c>
      <c r="P24" s="87">
        <f t="shared" si="2"/>
        <v>0</v>
      </c>
      <c r="Q24" s="87">
        <f>VLOOKUP($B24,BOM!$A$2:$K$94,9,0)</f>
        <v>0</v>
      </c>
    </row>
    <row r="25" spans="1:17" s="45" customFormat="1">
      <c r="A25" s="141"/>
      <c r="B25" s="62"/>
      <c r="C25" s="62"/>
      <c r="D25" s="85"/>
      <c r="E25" s="90"/>
      <c r="F25" s="62"/>
      <c r="G25" s="62"/>
      <c r="H25" s="62"/>
      <c r="I25" s="62"/>
      <c r="J25" s="62"/>
      <c r="K25" s="62"/>
      <c r="L25" s="62"/>
      <c r="M25" s="86"/>
      <c r="N25" s="86"/>
      <c r="O25" s="87">
        <f>VLOOKUP($B25,BOM!$A$2:$K$94,10,0)</f>
        <v>0</v>
      </c>
      <c r="P25" s="87">
        <f t="shared" si="2"/>
        <v>0</v>
      </c>
      <c r="Q25" s="87">
        <f>VLOOKUP($B25,BOM!$A$2:$K$94,9,0)</f>
        <v>0</v>
      </c>
    </row>
    <row r="26" spans="1:17" s="45" customFormat="1">
      <c r="A26" s="141"/>
      <c r="B26" s="62"/>
      <c r="C26" s="62"/>
      <c r="D26" s="85"/>
      <c r="E26" s="90"/>
      <c r="F26" s="62"/>
      <c r="G26" s="62"/>
      <c r="H26" s="62"/>
      <c r="I26" s="62"/>
      <c r="J26" s="62"/>
      <c r="K26" s="62"/>
      <c r="L26" s="62"/>
      <c r="M26" s="86"/>
      <c r="N26" s="86"/>
      <c r="O26" s="87">
        <f>VLOOKUP($B26,BOM!$A$2:$K$94,10,0)</f>
        <v>0</v>
      </c>
      <c r="P26" s="87">
        <f t="shared" si="2"/>
        <v>0</v>
      </c>
      <c r="Q26" s="87">
        <f>VLOOKUP($B26,BOM!$A$2:$K$94,9,0)</f>
        <v>0</v>
      </c>
    </row>
    <row r="27" spans="1:17">
      <c r="A27" s="141"/>
      <c r="B27" s="81"/>
      <c r="C27" s="72" t="s">
        <v>145</v>
      </c>
      <c r="D27" s="72" t="s">
        <v>0</v>
      </c>
      <c r="E27" s="72">
        <v>3</v>
      </c>
      <c r="F27" s="72"/>
      <c r="G27" s="72"/>
      <c r="H27" s="72"/>
      <c r="I27" s="72"/>
      <c r="J27" s="72"/>
      <c r="K27" s="83"/>
      <c r="L27" s="83"/>
      <c r="M27" s="83"/>
      <c r="N27" s="83"/>
      <c r="O27" s="87">
        <f>VLOOKUP($B27,BOM!$A$2:$K$94,10,0)</f>
        <v>0</v>
      </c>
      <c r="P27" s="87">
        <f t="shared" si="2"/>
        <v>0</v>
      </c>
      <c r="Q27" s="84">
        <f>VLOOKUP($B27,BOM!$A$2:$K$94,9,0)</f>
        <v>0</v>
      </c>
    </row>
    <row r="28" spans="1:17" s="45" customFormat="1">
      <c r="A28" s="141"/>
      <c r="B28" s="62"/>
      <c r="C28" s="62"/>
      <c r="D28" s="85"/>
      <c r="E28" s="90"/>
      <c r="F28" s="62"/>
      <c r="G28" s="62"/>
      <c r="H28" s="62"/>
      <c r="I28" s="62"/>
      <c r="J28" s="62"/>
      <c r="K28" s="62"/>
      <c r="L28" s="62"/>
      <c r="M28" s="86"/>
      <c r="N28" s="86"/>
      <c r="O28" s="87">
        <f>VLOOKUP($B28,BOM!$A$2:$K$94,10,0)</f>
        <v>0</v>
      </c>
      <c r="P28" s="87">
        <f t="shared" si="2"/>
        <v>0</v>
      </c>
      <c r="Q28" s="87">
        <f>VLOOKUP($B28,BOM!$A$2:$K$94,9,0)</f>
        <v>0</v>
      </c>
    </row>
    <row r="29" spans="1:17" s="45" customFormat="1">
      <c r="A29" s="141"/>
      <c r="B29" s="62"/>
      <c r="C29" s="62"/>
      <c r="D29" s="85"/>
      <c r="E29" s="90"/>
      <c r="F29" s="62"/>
      <c r="G29" s="62"/>
      <c r="H29" s="62"/>
      <c r="I29" s="62"/>
      <c r="J29" s="62"/>
      <c r="K29" s="62"/>
      <c r="L29" s="62"/>
      <c r="M29" s="86"/>
      <c r="N29" s="86"/>
      <c r="O29" s="87">
        <f>VLOOKUP($B29,BOM!$A$2:$K$94,10,0)</f>
        <v>0</v>
      </c>
      <c r="P29" s="87">
        <f t="shared" si="2"/>
        <v>0</v>
      </c>
      <c r="Q29" s="87">
        <f>VLOOKUP($B29,BOM!$A$2:$K$94,9,0)</f>
        <v>0</v>
      </c>
    </row>
    <row r="30" spans="1:17" s="101" customFormat="1">
      <c r="A30" s="141"/>
      <c r="B30" s="144"/>
      <c r="C30" s="73" t="s">
        <v>67</v>
      </c>
      <c r="D30" s="100" t="s">
        <v>0</v>
      </c>
      <c r="E30" s="100">
        <v>1</v>
      </c>
      <c r="F30" s="73"/>
      <c r="G30" s="73"/>
      <c r="H30" s="73" t="s">
        <v>69</v>
      </c>
      <c r="I30" s="73"/>
      <c r="J30" s="73"/>
      <c r="K30" s="73"/>
      <c r="L30" s="73"/>
      <c r="M30" s="73"/>
      <c r="N30" s="73"/>
      <c r="O30" s="87">
        <f>VLOOKUP($B30,BOM!$A$2:$K$94,10,0)</f>
        <v>0</v>
      </c>
      <c r="P30" s="87">
        <f t="shared" si="2"/>
        <v>0</v>
      </c>
      <c r="Q30" s="145">
        <f>VLOOKUP($B30,BOM!$A$2:$K$94,9,0)</f>
        <v>0</v>
      </c>
    </row>
    <row r="31" spans="1:17" s="101" customFormat="1">
      <c r="A31" s="141"/>
      <c r="B31" s="144"/>
      <c r="C31" s="73" t="s">
        <v>70</v>
      </c>
      <c r="D31" s="100" t="s">
        <v>0</v>
      </c>
      <c r="E31" s="100">
        <v>1</v>
      </c>
      <c r="F31" s="73"/>
      <c r="G31" s="73" t="s">
        <v>68</v>
      </c>
      <c r="H31" s="73" t="s">
        <v>69</v>
      </c>
      <c r="I31" s="73"/>
      <c r="J31" s="73"/>
      <c r="K31" s="73"/>
      <c r="L31" s="73"/>
      <c r="M31" s="73"/>
      <c r="N31" s="73"/>
      <c r="O31" s="87">
        <f>VLOOKUP($B31,BOM!$A$2:$K$94,10,0)</f>
        <v>0</v>
      </c>
      <c r="P31" s="87">
        <f t="shared" si="2"/>
        <v>0</v>
      </c>
      <c r="Q31" s="145">
        <f>VLOOKUP($B31,BOM!$A$2:$K$94,9,0)</f>
        <v>0</v>
      </c>
    </row>
    <row r="32" spans="1:17" s="101" customFormat="1">
      <c r="A32" s="141"/>
      <c r="B32" s="144"/>
      <c r="C32" s="73" t="s">
        <v>146</v>
      </c>
      <c r="D32" s="100" t="s">
        <v>0</v>
      </c>
      <c r="E32" s="100">
        <v>1</v>
      </c>
      <c r="F32" s="73"/>
      <c r="G32" s="73" t="s">
        <v>68</v>
      </c>
      <c r="H32" s="73" t="s">
        <v>69</v>
      </c>
      <c r="I32" s="73"/>
      <c r="J32" s="73"/>
      <c r="K32" s="73"/>
      <c r="L32" s="73"/>
      <c r="M32" s="73"/>
      <c r="N32" s="73"/>
      <c r="O32" s="87">
        <f>VLOOKUP($B32,BOM!$A$2:$K$94,10,0)</f>
        <v>0</v>
      </c>
      <c r="P32" s="87">
        <f t="shared" si="2"/>
        <v>0</v>
      </c>
      <c r="Q32" s="145">
        <f>VLOOKUP($B32,BOM!$A$2:$K$94,9,0)</f>
        <v>0</v>
      </c>
    </row>
    <row r="33" spans="1:17" s="101" customFormat="1">
      <c r="A33" s="141"/>
      <c r="B33" s="144"/>
      <c r="C33" s="73" t="s">
        <v>147</v>
      </c>
      <c r="D33" s="100" t="s">
        <v>0</v>
      </c>
      <c r="E33" s="100">
        <v>1</v>
      </c>
      <c r="F33" s="73"/>
      <c r="G33" s="73"/>
      <c r="H33" s="73" t="s">
        <v>69</v>
      </c>
      <c r="I33" s="73"/>
      <c r="J33" s="73"/>
      <c r="K33" s="73"/>
      <c r="L33" s="73"/>
      <c r="M33" s="73"/>
      <c r="N33" s="73"/>
      <c r="O33" s="87">
        <f>VLOOKUP($B33,BOM!$A$2:$K$94,10,0)</f>
        <v>0</v>
      </c>
      <c r="P33" s="87">
        <f t="shared" si="2"/>
        <v>0</v>
      </c>
      <c r="Q33" s="145">
        <f>VLOOKUP($B33,BOM!$A$2:$K$94,9,0)</f>
        <v>0</v>
      </c>
    </row>
    <row r="34" spans="1:17" s="101" customFormat="1">
      <c r="A34" s="141"/>
      <c r="B34" s="144"/>
      <c r="C34" s="73" t="s">
        <v>148</v>
      </c>
      <c r="D34" s="100" t="s">
        <v>0</v>
      </c>
      <c r="E34" s="100">
        <v>1</v>
      </c>
      <c r="F34" s="73"/>
      <c r="G34" s="73"/>
      <c r="H34" s="73" t="s">
        <v>69</v>
      </c>
      <c r="I34" s="73"/>
      <c r="J34" s="73"/>
      <c r="K34" s="73"/>
      <c r="L34" s="73"/>
      <c r="M34" s="73"/>
      <c r="N34" s="73"/>
      <c r="O34" s="87">
        <f>VLOOKUP($B34,BOM!$A$2:$K$94,10,0)</f>
        <v>0</v>
      </c>
      <c r="P34" s="87">
        <f t="shared" si="2"/>
        <v>0</v>
      </c>
      <c r="Q34" s="145">
        <f>VLOOKUP($B34,BOM!$A$2:$K$94,9,0)</f>
        <v>0</v>
      </c>
    </row>
    <row r="35" spans="1:17" s="101" customFormat="1">
      <c r="A35" s="141"/>
      <c r="B35" s="144"/>
      <c r="C35" s="73" t="s">
        <v>149</v>
      </c>
      <c r="D35" s="100" t="s">
        <v>0</v>
      </c>
      <c r="E35" s="100">
        <v>1</v>
      </c>
      <c r="F35" s="73"/>
      <c r="G35" s="73"/>
      <c r="H35" s="73" t="s">
        <v>150</v>
      </c>
      <c r="I35" s="73"/>
      <c r="J35" s="73"/>
      <c r="K35" s="73"/>
      <c r="L35" s="73"/>
      <c r="M35" s="73"/>
      <c r="N35" s="73"/>
      <c r="O35" s="87">
        <f>VLOOKUP($B35,BOM!$A$2:$K$94,10,0)</f>
        <v>0</v>
      </c>
      <c r="P35" s="87">
        <f t="shared" si="2"/>
        <v>0</v>
      </c>
      <c r="Q35" s="145">
        <f>VLOOKUP($B35,BOM!$A$2:$K$94,9,0)</f>
        <v>0</v>
      </c>
    </row>
    <row r="36" spans="1:17" s="101" customFormat="1">
      <c r="A36" s="141"/>
      <c r="B36" s="144"/>
      <c r="C36" s="73" t="s">
        <v>27</v>
      </c>
      <c r="D36" s="100" t="s">
        <v>0</v>
      </c>
      <c r="E36" s="100">
        <v>1</v>
      </c>
      <c r="F36" s="73"/>
      <c r="G36" s="73"/>
      <c r="H36" s="73"/>
      <c r="I36" s="73"/>
      <c r="J36" s="73"/>
      <c r="K36" s="73"/>
      <c r="L36" s="73"/>
      <c r="M36" s="73"/>
      <c r="N36" s="73"/>
      <c r="O36" s="87">
        <f>VLOOKUP($B36,BOM!$A$2:$K$94,10,0)</f>
        <v>0</v>
      </c>
      <c r="P36" s="87">
        <f t="shared" si="2"/>
        <v>0</v>
      </c>
      <c r="Q36" s="145">
        <f>VLOOKUP($B36,BOM!$A$2:$K$94,9,0)</f>
        <v>0</v>
      </c>
    </row>
    <row r="37" spans="1:17" s="45" customFormat="1">
      <c r="A37" s="141"/>
      <c r="B37" s="62"/>
      <c r="C37" s="62"/>
      <c r="D37" s="125"/>
      <c r="E37" s="90"/>
      <c r="F37" s="62"/>
      <c r="G37" s="62"/>
      <c r="H37" s="62"/>
      <c r="I37" s="62"/>
      <c r="J37" s="62"/>
      <c r="K37" s="62"/>
      <c r="L37" s="62"/>
      <c r="M37" s="86"/>
      <c r="N37" s="86"/>
      <c r="O37" s="87">
        <f>VLOOKUP($B37,BOM!$A$2:$K$94,10,0)</f>
        <v>0</v>
      </c>
      <c r="P37" s="87">
        <f t="shared" si="2"/>
        <v>0</v>
      </c>
      <c r="Q37" s="87">
        <f>VLOOKUP($B37,BOM!$A$2:$K$94,9,0)</f>
        <v>0</v>
      </c>
    </row>
    <row r="38" spans="1:17" s="45" customFormat="1">
      <c r="A38" s="141"/>
      <c r="B38" s="62"/>
      <c r="C38" s="62"/>
      <c r="D38" s="125"/>
      <c r="E38" s="90"/>
      <c r="F38" s="62"/>
      <c r="G38" s="62"/>
      <c r="H38" s="62"/>
      <c r="I38" s="62"/>
      <c r="J38" s="62"/>
      <c r="K38" s="62"/>
      <c r="L38" s="62"/>
      <c r="M38" s="86"/>
      <c r="N38" s="86"/>
      <c r="O38" s="87">
        <f>VLOOKUP($B38,BOM!$A$2:$K$94,10,0)</f>
        <v>0</v>
      </c>
      <c r="P38" s="87">
        <f t="shared" si="2"/>
        <v>0</v>
      </c>
      <c r="Q38" s="87">
        <f>VLOOKUP($B38,BOM!$A$2:$K$94,9,0)</f>
        <v>0</v>
      </c>
    </row>
    <row r="39" spans="1:17">
      <c r="A39" s="141"/>
      <c r="B39" s="81"/>
      <c r="C39" s="72" t="s">
        <v>31</v>
      </c>
      <c r="D39" s="72" t="s">
        <v>0</v>
      </c>
      <c r="E39" s="72">
        <v>1</v>
      </c>
      <c r="F39" s="72"/>
      <c r="G39" s="72"/>
      <c r="H39" s="72"/>
      <c r="I39" s="72"/>
      <c r="J39" s="72"/>
      <c r="K39" s="83"/>
      <c r="L39" s="83"/>
      <c r="M39" s="83"/>
      <c r="N39" s="83"/>
      <c r="O39" s="87">
        <f>VLOOKUP($B39,BOM!$A$2:$K$94,10,0)</f>
        <v>0</v>
      </c>
      <c r="P39" s="87">
        <f t="shared" si="2"/>
        <v>0</v>
      </c>
      <c r="Q39" s="84">
        <f>VLOOKUP($B39,BOM!$A$2:$K$94,9,0)</f>
        <v>0</v>
      </c>
    </row>
    <row r="40" spans="1:17">
      <c r="A40" s="141"/>
      <c r="B40" s="81"/>
      <c r="C40" s="72" t="s">
        <v>32</v>
      </c>
      <c r="D40" s="72"/>
      <c r="E40" s="72"/>
      <c r="F40" s="72"/>
      <c r="G40" s="72"/>
      <c r="H40" s="72"/>
      <c r="I40" s="72"/>
      <c r="J40" s="72"/>
      <c r="K40" s="83"/>
      <c r="L40" s="83"/>
      <c r="M40" s="83"/>
      <c r="N40" s="83"/>
      <c r="O40" s="87">
        <f>VLOOKUP($B40,BOM!$A$2:$K$94,10,0)</f>
        <v>0</v>
      </c>
      <c r="P40" s="87">
        <f t="shared" si="2"/>
        <v>0</v>
      </c>
      <c r="Q40" s="84">
        <f>VLOOKUP($B40,BOM!$A$2:$K$94,9,0)</f>
        <v>0</v>
      </c>
    </row>
    <row r="41" spans="1:17" s="45" customFormat="1" ht="20.45" customHeight="1">
      <c r="A41" s="141"/>
      <c r="B41" s="62" t="s">
        <v>33</v>
      </c>
      <c r="C41" s="62" t="s">
        <v>34</v>
      </c>
      <c r="D41" s="85" t="s">
        <v>3</v>
      </c>
      <c r="E41" s="90">
        <f>E42</f>
        <v>0</v>
      </c>
      <c r="F41" s="62"/>
      <c r="G41" s="62"/>
      <c r="H41" s="62"/>
      <c r="I41" s="62"/>
      <c r="J41" s="62"/>
      <c r="K41" s="62" t="s">
        <v>35</v>
      </c>
      <c r="L41" s="62" t="s">
        <v>5</v>
      </c>
      <c r="M41" s="86" t="s">
        <v>6</v>
      </c>
      <c r="N41" s="86" t="s">
        <v>3</v>
      </c>
      <c r="O41" s="87">
        <f>VLOOKUP($B41,BOM!$A$2:$K$94,10,0)</f>
        <v>0</v>
      </c>
      <c r="P41" s="87">
        <f t="shared" si="2"/>
        <v>0</v>
      </c>
      <c r="Q41" s="87" t="str">
        <f>VLOOKUP($B41,BOM!$A$2:$K$94,9,0)</f>
        <v>Cái</v>
      </c>
    </row>
    <row r="42" spans="1:17" s="45" customFormat="1">
      <c r="A42" s="141"/>
      <c r="B42" s="62" t="s">
        <v>330</v>
      </c>
      <c r="C42" s="62" t="s">
        <v>36</v>
      </c>
      <c r="D42" s="85" t="s">
        <v>3</v>
      </c>
      <c r="E42" s="90">
        <f>G40+H40</f>
        <v>0</v>
      </c>
      <c r="F42" s="62"/>
      <c r="G42" s="62"/>
      <c r="H42" s="62"/>
      <c r="I42" s="62"/>
      <c r="J42" s="62"/>
      <c r="K42" s="62" t="s">
        <v>37</v>
      </c>
      <c r="L42" s="62" t="s">
        <v>5</v>
      </c>
      <c r="M42" s="86" t="s">
        <v>37</v>
      </c>
      <c r="N42" s="86" t="s">
        <v>3</v>
      </c>
      <c r="O42" s="87">
        <f>VLOOKUP($B42,BOM!$A$2:$K$94,10,0)</f>
        <v>0</v>
      </c>
      <c r="P42" s="87">
        <f t="shared" si="2"/>
        <v>0</v>
      </c>
      <c r="Q42" s="87" t="str">
        <f>VLOOKUP($B42,BOM!$A$2:$K$94,9,0)</f>
        <v>Cái</v>
      </c>
    </row>
    <row r="43" spans="1:17" s="45" customFormat="1">
      <c r="A43" s="141"/>
      <c r="B43" s="62" t="s">
        <v>38</v>
      </c>
      <c r="C43" s="62" t="s">
        <v>39</v>
      </c>
      <c r="D43" s="85" t="s">
        <v>3</v>
      </c>
      <c r="E43" s="90">
        <f>E41</f>
        <v>0</v>
      </c>
      <c r="F43" s="62"/>
      <c r="G43" s="62"/>
      <c r="H43" s="62"/>
      <c r="I43" s="62"/>
      <c r="J43" s="62"/>
      <c r="K43" s="62" t="s">
        <v>25</v>
      </c>
      <c r="L43" s="62" t="s">
        <v>5</v>
      </c>
      <c r="M43" s="86" t="s">
        <v>6</v>
      </c>
      <c r="N43" s="86" t="s">
        <v>3</v>
      </c>
      <c r="O43" s="87">
        <f>VLOOKUP($B43,BOM!$A$2:$K$94,10,0)</f>
        <v>0</v>
      </c>
      <c r="P43" s="87">
        <f t="shared" si="2"/>
        <v>0</v>
      </c>
      <c r="Q43" s="87" t="str">
        <f>VLOOKUP($B43,BOM!$A$2:$K$94,9,0)</f>
        <v>Cái</v>
      </c>
    </row>
    <row r="44" spans="1:17">
      <c r="A44" s="141"/>
      <c r="B44" s="81"/>
      <c r="C44" s="72" t="s">
        <v>40</v>
      </c>
      <c r="D44" s="72"/>
      <c r="E44" s="72"/>
      <c r="F44" s="72"/>
      <c r="G44" s="72"/>
      <c r="H44" s="72"/>
      <c r="I44" s="72"/>
      <c r="J44" s="72"/>
      <c r="K44" s="83"/>
      <c r="L44" s="83"/>
      <c r="M44" s="83"/>
      <c r="N44" s="83"/>
      <c r="O44" s="87">
        <f>VLOOKUP($B44,BOM!$A$2:$K$94,10,0)</f>
        <v>0</v>
      </c>
      <c r="P44" s="87">
        <f t="shared" si="2"/>
        <v>0</v>
      </c>
      <c r="Q44" s="84">
        <f>VLOOKUP($B44,BOM!$A$2:$K$94,9,0)</f>
        <v>0</v>
      </c>
    </row>
    <row r="45" spans="1:17" s="45" customFormat="1">
      <c r="A45" s="141"/>
      <c r="B45" s="62" t="s">
        <v>41</v>
      </c>
      <c r="C45" s="62" t="s">
        <v>42</v>
      </c>
      <c r="D45" s="85" t="s">
        <v>3</v>
      </c>
      <c r="E45" s="85">
        <f>H44</f>
        <v>0</v>
      </c>
      <c r="F45" s="62"/>
      <c r="G45" s="62"/>
      <c r="H45" s="62"/>
      <c r="I45" s="62"/>
      <c r="J45" s="62"/>
      <c r="K45" s="62" t="s">
        <v>4</v>
      </c>
      <c r="L45" s="62" t="s">
        <v>5</v>
      </c>
      <c r="M45" s="86" t="s">
        <v>6</v>
      </c>
      <c r="N45" s="86" t="s">
        <v>3</v>
      </c>
      <c r="O45" s="87">
        <f>VLOOKUP($B45,BOM!$A$2:$K$94,10,0)</f>
        <v>0</v>
      </c>
      <c r="P45" s="87">
        <f t="shared" si="2"/>
        <v>0</v>
      </c>
      <c r="Q45" s="87" t="str">
        <f>VLOOKUP($B45,BOM!$A$2:$K$94,9,0)</f>
        <v>Cái</v>
      </c>
    </row>
    <row r="46" spans="1:17" s="45" customFormat="1">
      <c r="A46" s="141"/>
      <c r="B46" s="65" t="s">
        <v>43</v>
      </c>
      <c r="C46" s="65" t="s">
        <v>44</v>
      </c>
      <c r="D46" s="85" t="s">
        <v>3</v>
      </c>
      <c r="E46" s="85">
        <f>E45</f>
        <v>0</v>
      </c>
      <c r="F46" s="62"/>
      <c r="G46" s="62"/>
      <c r="H46" s="62"/>
      <c r="I46" s="62"/>
      <c r="J46" s="62"/>
      <c r="K46" s="62" t="s">
        <v>4</v>
      </c>
      <c r="L46" s="62" t="s">
        <v>5</v>
      </c>
      <c r="M46" s="86" t="s">
        <v>6</v>
      </c>
      <c r="N46" s="86" t="s">
        <v>3</v>
      </c>
      <c r="O46" s="87">
        <f>VLOOKUP($B46,BOM!$A$2:$K$94,10,0)</f>
        <v>0</v>
      </c>
      <c r="P46" s="87">
        <f t="shared" si="2"/>
        <v>0</v>
      </c>
      <c r="Q46" s="87" t="str">
        <f>VLOOKUP($B46,BOM!$A$2:$K$94,9,0)</f>
        <v>Cái</v>
      </c>
    </row>
    <row r="47" spans="1:17">
      <c r="A47" s="141"/>
      <c r="B47" s="81"/>
      <c r="C47" s="72" t="s">
        <v>45</v>
      </c>
      <c r="D47" s="72"/>
      <c r="E47" s="72"/>
      <c r="F47" s="72"/>
      <c r="G47" s="72"/>
      <c r="H47" s="72"/>
      <c r="I47" s="72"/>
      <c r="J47" s="72"/>
      <c r="K47" s="83"/>
      <c r="L47" s="83"/>
      <c r="M47" s="83"/>
      <c r="N47" s="83"/>
      <c r="O47" s="87">
        <f>VLOOKUP($B47,BOM!$A$2:$K$94,10,0)</f>
        <v>0</v>
      </c>
      <c r="P47" s="87">
        <f t="shared" si="2"/>
        <v>0</v>
      </c>
      <c r="Q47" s="84">
        <f>VLOOKUP($B47,BOM!$A$2:$K$94,9,0)</f>
        <v>0</v>
      </c>
    </row>
    <row r="48" spans="1:17" s="45" customFormat="1">
      <c r="A48" s="141"/>
      <c r="B48" s="62" t="s">
        <v>46</v>
      </c>
      <c r="C48" s="62" t="s">
        <v>47</v>
      </c>
      <c r="D48" s="85" t="s">
        <v>14</v>
      </c>
      <c r="E48" s="85"/>
      <c r="F48" s="62"/>
      <c r="G48" s="62"/>
      <c r="H48" s="62"/>
      <c r="I48" s="62"/>
      <c r="J48" s="62"/>
      <c r="K48" s="62" t="s">
        <v>4</v>
      </c>
      <c r="L48" s="62" t="s">
        <v>5</v>
      </c>
      <c r="M48" s="86" t="s">
        <v>6</v>
      </c>
      <c r="N48" s="86" t="s">
        <v>15</v>
      </c>
      <c r="O48" s="87">
        <f>VLOOKUP($B48,BOM!$A$2:$K$94,10,0)</f>
        <v>0</v>
      </c>
      <c r="P48" s="87">
        <f t="shared" si="2"/>
        <v>0</v>
      </c>
      <c r="Q48" s="87" t="str">
        <f>VLOOKUP($B48,BOM!$A$2:$K$94,9,0)</f>
        <v>Sợi</v>
      </c>
    </row>
    <row r="49" spans="1:17" s="45" customFormat="1">
      <c r="A49" s="141"/>
      <c r="B49" s="62" t="s">
        <v>46</v>
      </c>
      <c r="C49" s="62" t="s">
        <v>47</v>
      </c>
      <c r="D49" s="85" t="s">
        <v>14</v>
      </c>
      <c r="E49" s="104"/>
      <c r="F49" s="62"/>
      <c r="G49" s="62"/>
      <c r="H49" s="62"/>
      <c r="I49" s="62"/>
      <c r="J49" s="62"/>
      <c r="K49" s="62" t="s">
        <v>4</v>
      </c>
      <c r="L49" s="62" t="s">
        <v>5</v>
      </c>
      <c r="M49" s="86" t="s">
        <v>6</v>
      </c>
      <c r="N49" s="86" t="s">
        <v>15</v>
      </c>
      <c r="O49" s="87">
        <f>VLOOKUP($B49,BOM!$A$2:$K$94,10,0)</f>
        <v>0</v>
      </c>
      <c r="P49" s="87">
        <f t="shared" si="2"/>
        <v>0</v>
      </c>
      <c r="Q49" s="87" t="str">
        <f>VLOOKUP($B49,BOM!$A$2:$K$94,9,0)</f>
        <v>Sợi</v>
      </c>
    </row>
    <row r="50" spans="1:17">
      <c r="A50" s="141"/>
      <c r="B50" s="81"/>
      <c r="C50" s="72" t="s">
        <v>50</v>
      </c>
      <c r="D50" s="72"/>
      <c r="E50" s="72"/>
      <c r="F50" s="72"/>
      <c r="G50" s="72"/>
      <c r="H50" s="72"/>
      <c r="I50" s="72"/>
      <c r="J50" s="72"/>
      <c r="K50" s="83"/>
      <c r="L50" s="83"/>
      <c r="M50" s="83"/>
      <c r="N50" s="83"/>
      <c r="O50" s="87">
        <f>VLOOKUP($B50,BOM!$A$2:$K$94,10,0)</f>
        <v>0</v>
      </c>
      <c r="P50" s="87">
        <f t="shared" si="2"/>
        <v>0</v>
      </c>
      <c r="Q50" s="84">
        <f>VLOOKUP($B50,BOM!$A$2:$K$94,9,0)</f>
        <v>0</v>
      </c>
    </row>
    <row r="51" spans="1:17" s="45" customFormat="1">
      <c r="A51" s="141"/>
      <c r="B51" s="62" t="s">
        <v>332</v>
      </c>
      <c r="C51" s="62" t="s">
        <v>332</v>
      </c>
      <c r="D51" s="62"/>
      <c r="E51" s="86">
        <f>E37</f>
        <v>0</v>
      </c>
      <c r="F51" s="62"/>
      <c r="G51" s="62"/>
      <c r="H51" s="62"/>
      <c r="I51" s="62"/>
      <c r="J51" s="62"/>
      <c r="K51" s="62"/>
      <c r="L51" s="62"/>
      <c r="M51" s="86"/>
      <c r="N51" s="86" t="s">
        <v>51</v>
      </c>
      <c r="O51" s="87">
        <f>VLOOKUP($B51,BOM!$A$2:$K$94,10,0)</f>
        <v>0</v>
      </c>
      <c r="P51" s="87">
        <f t="shared" si="2"/>
        <v>0</v>
      </c>
      <c r="Q51" s="87" t="str">
        <f>VLOOKUP($B51,BOM!$A$2:$K$94,9,0)</f>
        <v>bộ</v>
      </c>
    </row>
    <row r="52" spans="1:17" s="45" customFormat="1">
      <c r="A52" s="141"/>
      <c r="B52" s="62" t="s">
        <v>52</v>
      </c>
      <c r="C52" s="62" t="s">
        <v>53</v>
      </c>
      <c r="D52" s="86" t="s">
        <v>54</v>
      </c>
      <c r="E52" s="105">
        <f>E49+E48</f>
        <v>0</v>
      </c>
      <c r="F52" s="62"/>
      <c r="G52" s="62"/>
      <c r="H52" s="62"/>
      <c r="I52" s="62"/>
      <c r="J52" s="62"/>
      <c r="K52" s="62"/>
      <c r="L52" s="62"/>
      <c r="M52" s="86" t="s">
        <v>55</v>
      </c>
      <c r="N52" s="86" t="s">
        <v>54</v>
      </c>
      <c r="O52" s="87">
        <f>VLOOKUP($B52,BOM!$A$2:$K$94,10,0)</f>
        <v>0</v>
      </c>
      <c r="P52" s="87">
        <f t="shared" si="2"/>
        <v>0</v>
      </c>
      <c r="Q52" s="87" t="str">
        <f>VLOOKUP($B52,BOM!$A$2:$K$94,9,0)</f>
        <v>node</v>
      </c>
    </row>
    <row r="53" spans="1:17" s="45" customFormat="1">
      <c r="A53" s="141"/>
      <c r="B53" s="62" t="s">
        <v>56</v>
      </c>
      <c r="C53" s="62" t="s">
        <v>57</v>
      </c>
      <c r="D53" s="86" t="s">
        <v>14</v>
      </c>
      <c r="E53" s="105">
        <f>E13</f>
        <v>0</v>
      </c>
      <c r="F53" s="62"/>
      <c r="G53" s="62"/>
      <c r="H53" s="62"/>
      <c r="I53" s="62"/>
      <c r="J53" s="62"/>
      <c r="K53" s="62"/>
      <c r="L53" s="62"/>
      <c r="M53" s="86" t="s">
        <v>55</v>
      </c>
      <c r="N53" s="86" t="s">
        <v>14</v>
      </c>
      <c r="O53" s="87">
        <f>VLOOKUP($B53,BOM!$A$2:$K$94,10,0)</f>
        <v>0</v>
      </c>
      <c r="P53" s="87">
        <f t="shared" si="2"/>
        <v>0</v>
      </c>
      <c r="Q53" s="87" t="str">
        <f>VLOOKUP($B53,BOM!$A$2:$K$94,9,0)</f>
        <v>sợi</v>
      </c>
    </row>
    <row r="54" spans="1:17" s="45" customFormat="1">
      <c r="A54" s="141"/>
      <c r="B54" s="62" t="s">
        <v>58</v>
      </c>
      <c r="C54" s="62" t="s">
        <v>59</v>
      </c>
      <c r="D54" s="86" t="s">
        <v>60</v>
      </c>
      <c r="E54" s="105">
        <f>E14*2</f>
        <v>0</v>
      </c>
      <c r="F54" s="62"/>
      <c r="G54" s="62"/>
      <c r="H54" s="62"/>
      <c r="I54" s="62"/>
      <c r="J54" s="62"/>
      <c r="K54" s="62"/>
      <c r="L54" s="62"/>
      <c r="M54" s="86" t="s">
        <v>61</v>
      </c>
      <c r="N54" s="86" t="s">
        <v>60</v>
      </c>
      <c r="O54" s="87">
        <f>VLOOKUP($B54,BOM!$A$2:$K$94,10,0)</f>
        <v>0</v>
      </c>
      <c r="P54" s="87">
        <f t="shared" si="2"/>
        <v>0</v>
      </c>
      <c r="Q54" s="87" t="str">
        <f>VLOOKUP($B54,BOM!$A$2:$K$94,9,0)</f>
        <v>đầu</v>
      </c>
    </row>
    <row r="55" spans="1:17" s="45" customFormat="1">
      <c r="A55" s="141"/>
      <c r="B55" s="62" t="s">
        <v>62</v>
      </c>
      <c r="C55" s="62" t="s">
        <v>63</v>
      </c>
      <c r="D55" s="86" t="s">
        <v>64</v>
      </c>
      <c r="E55" s="105">
        <f>E19</f>
        <v>0</v>
      </c>
      <c r="F55" s="62"/>
      <c r="G55" s="62"/>
      <c r="H55" s="62"/>
      <c r="I55" s="62"/>
      <c r="J55" s="62"/>
      <c r="K55" s="62"/>
      <c r="L55" s="62"/>
      <c r="M55" s="86" t="s">
        <v>61</v>
      </c>
      <c r="N55" s="86" t="s">
        <v>64</v>
      </c>
      <c r="O55" s="87">
        <f>VLOOKUP($B55,BOM!$A$2:$K$94,10,0)</f>
        <v>0</v>
      </c>
      <c r="P55" s="87">
        <f t="shared" si="2"/>
        <v>0</v>
      </c>
      <c r="Q55" s="87" t="str">
        <f>VLOOKUP($B55,BOM!$A$2:$K$94,9,0)</f>
        <v>cái</v>
      </c>
    </row>
    <row r="56" spans="1:17" s="140" customFormat="1">
      <c r="A56" s="134">
        <v>1</v>
      </c>
      <c r="B56" s="135"/>
      <c r="C56" s="71" t="s">
        <v>134</v>
      </c>
      <c r="D56" s="136" t="s">
        <v>0</v>
      </c>
      <c r="E56" s="134">
        <v>1</v>
      </c>
      <c r="F56" s="134"/>
      <c r="G56" s="134">
        <v>84</v>
      </c>
      <c r="H56" s="134">
        <v>156</v>
      </c>
      <c r="I56" s="134"/>
      <c r="J56" s="137">
        <f>SUBTOTAL(9,J59:J83)</f>
        <v>20</v>
      </c>
      <c r="K56" s="137"/>
      <c r="L56" s="137"/>
      <c r="M56" s="137"/>
      <c r="N56" s="137"/>
      <c r="O56" s="87">
        <f>VLOOKUP($B56,BOM!$A$2:$K$94,10,0)</f>
        <v>0</v>
      </c>
      <c r="P56" s="87">
        <f t="shared" si="2"/>
        <v>0</v>
      </c>
      <c r="Q56" s="139">
        <f>VLOOKUP($B56,BOM!$A$2:$K$94,9,0)</f>
        <v>0</v>
      </c>
    </row>
    <row r="57" spans="1:17">
      <c r="A57" s="141"/>
      <c r="B57" s="81"/>
      <c r="C57" s="72" t="s">
        <v>124</v>
      </c>
      <c r="D57" s="72" t="s">
        <v>0</v>
      </c>
      <c r="E57" s="72">
        <v>1</v>
      </c>
      <c r="F57" s="72"/>
      <c r="G57" s="72"/>
      <c r="H57" s="72"/>
      <c r="I57" s="72"/>
      <c r="J57" s="72"/>
      <c r="K57" s="83"/>
      <c r="L57" s="83"/>
      <c r="M57" s="83"/>
      <c r="N57" s="83"/>
      <c r="O57" s="87">
        <f>VLOOKUP($B57,BOM!$A$2:$K$94,10,0)</f>
        <v>0</v>
      </c>
      <c r="P57" s="87">
        <f t="shared" si="2"/>
        <v>0</v>
      </c>
      <c r="Q57" s="84">
        <f>VLOOKUP($B57,BOM!$A$2:$K$94,9,0)</f>
        <v>0</v>
      </c>
    </row>
    <row r="58" spans="1:17" s="45" customFormat="1">
      <c r="B58" s="62" t="s">
        <v>192</v>
      </c>
      <c r="C58" s="21" t="s">
        <v>305</v>
      </c>
      <c r="D58" s="85"/>
      <c r="E58" s="85">
        <v>1</v>
      </c>
      <c r="F58" s="62"/>
      <c r="G58" s="62"/>
      <c r="H58" s="62"/>
      <c r="I58" s="62"/>
      <c r="J58" s="86"/>
      <c r="K58" s="62"/>
      <c r="L58" s="62" t="s">
        <v>203</v>
      </c>
      <c r="M58" s="86" t="s">
        <v>22</v>
      </c>
      <c r="N58" s="86" t="s">
        <v>3</v>
      </c>
      <c r="O58" s="87">
        <f>VLOOKUP($B58,BOM!$A$2:$K$94,10,0)</f>
        <v>0</v>
      </c>
      <c r="P58" s="87">
        <f t="shared" si="2"/>
        <v>0</v>
      </c>
    </row>
    <row r="59" spans="1:17" s="45" customFormat="1">
      <c r="B59" s="62" t="s">
        <v>341</v>
      </c>
      <c r="C59" s="21" t="s">
        <v>342</v>
      </c>
      <c r="D59" s="85"/>
      <c r="E59" s="85">
        <v>2</v>
      </c>
      <c r="F59" s="62"/>
      <c r="G59" s="62"/>
      <c r="H59" s="62"/>
      <c r="I59" s="62"/>
      <c r="J59" s="86"/>
      <c r="K59" s="62"/>
      <c r="L59" s="62" t="s">
        <v>203</v>
      </c>
      <c r="M59" s="86" t="s">
        <v>22</v>
      </c>
      <c r="N59" s="86" t="s">
        <v>3</v>
      </c>
      <c r="O59" s="87">
        <f>VLOOKUP($B59,BOM!$A$2:$K$94,10,0)</f>
        <v>0</v>
      </c>
      <c r="P59" s="87">
        <f t="shared" si="2"/>
        <v>0</v>
      </c>
    </row>
    <row r="60" spans="1:17" s="45" customFormat="1">
      <c r="B60" s="62" t="s">
        <v>117</v>
      </c>
      <c r="C60" s="21" t="s">
        <v>118</v>
      </c>
      <c r="D60" s="85" t="s">
        <v>4</v>
      </c>
      <c r="E60" s="85">
        <v>2</v>
      </c>
      <c r="F60" s="62"/>
      <c r="G60" s="62"/>
      <c r="H60" s="62"/>
      <c r="I60" s="62"/>
      <c r="J60" s="86"/>
      <c r="K60" s="62"/>
      <c r="L60" s="62" t="s">
        <v>5</v>
      </c>
      <c r="M60" s="86" t="s">
        <v>22</v>
      </c>
      <c r="N60" s="86" t="s">
        <v>3</v>
      </c>
      <c r="O60" s="87">
        <f>VLOOKUP($B60,BOM!$A$2:$K$94,10,0)</f>
        <v>0</v>
      </c>
      <c r="P60" s="87">
        <f t="shared" si="2"/>
        <v>0</v>
      </c>
    </row>
    <row r="61" spans="1:17">
      <c r="A61" s="141"/>
      <c r="B61" s="81"/>
      <c r="C61" s="72" t="s">
        <v>1</v>
      </c>
      <c r="D61" s="72" t="s">
        <v>0</v>
      </c>
      <c r="E61" s="72">
        <v>1</v>
      </c>
      <c r="F61" s="72"/>
      <c r="G61" s="72">
        <f>ROUNDUP(G56/24,0)</f>
        <v>4</v>
      </c>
      <c r="H61" s="72">
        <f>ROUNDUP(H56/24,0)</f>
        <v>7</v>
      </c>
      <c r="I61" s="72"/>
      <c r="J61" s="72"/>
      <c r="K61" s="83"/>
      <c r="L61" s="83"/>
      <c r="M61" s="83"/>
      <c r="N61" s="83"/>
      <c r="O61" s="87">
        <f>VLOOKUP($B61,BOM!$A$2:$K$94,10,0)</f>
        <v>0</v>
      </c>
      <c r="P61" s="87">
        <f t="shared" si="2"/>
        <v>0</v>
      </c>
      <c r="Q61" s="84">
        <f>VLOOKUP($B61,BOM!$A$2:$K$94,9,0)</f>
        <v>0</v>
      </c>
    </row>
    <row r="62" spans="1:17" s="45" customFormat="1">
      <c r="A62" s="141"/>
      <c r="B62" s="62">
        <v>760249997</v>
      </c>
      <c r="C62" s="62" t="s">
        <v>2</v>
      </c>
      <c r="D62" s="85" t="s">
        <v>3</v>
      </c>
      <c r="E62" s="85">
        <f>ROUNDUP((E64+E68)/3,0)</f>
        <v>4</v>
      </c>
      <c r="F62" s="62"/>
      <c r="G62" s="62"/>
      <c r="H62" s="62"/>
      <c r="I62" s="62"/>
      <c r="J62" s="21">
        <f>E62</f>
        <v>4</v>
      </c>
      <c r="K62" s="62" t="s">
        <v>4</v>
      </c>
      <c r="L62" s="62" t="s">
        <v>5</v>
      </c>
      <c r="M62" s="86" t="s">
        <v>6</v>
      </c>
      <c r="N62" s="86" t="s">
        <v>3</v>
      </c>
      <c r="O62" s="87">
        <f>VLOOKUP($B62,BOM!$A$2:$K$94,10,0)</f>
        <v>0</v>
      </c>
      <c r="P62" s="87">
        <f t="shared" si="2"/>
        <v>0</v>
      </c>
      <c r="Q62" s="87" t="str">
        <f>VLOOKUP($B62,BOM!$A$2:$K$94,9,0)</f>
        <v>Cái</v>
      </c>
    </row>
    <row r="63" spans="1:17" s="45" customFormat="1">
      <c r="A63" s="141"/>
      <c r="B63" s="62">
        <v>760241378</v>
      </c>
      <c r="C63" s="62" t="s">
        <v>7</v>
      </c>
      <c r="D63" s="85" t="s">
        <v>3</v>
      </c>
      <c r="E63" s="85">
        <f>IF(E64&lt;=2,1,ROUNDUP(E62*1.5,0))</f>
        <v>6</v>
      </c>
      <c r="F63" s="62"/>
      <c r="G63" s="62"/>
      <c r="H63" s="62"/>
      <c r="I63" s="62"/>
      <c r="J63" s="62"/>
      <c r="K63" s="62" t="s">
        <v>4</v>
      </c>
      <c r="L63" s="62" t="s">
        <v>5</v>
      </c>
      <c r="M63" s="86" t="s">
        <v>6</v>
      </c>
      <c r="N63" s="86" t="s">
        <v>3</v>
      </c>
      <c r="O63" s="87">
        <f>VLOOKUP($B63,BOM!$A$2:$K$94,10,0)</f>
        <v>0</v>
      </c>
      <c r="P63" s="87">
        <f t="shared" si="2"/>
        <v>0</v>
      </c>
      <c r="Q63" s="87" t="str">
        <f>VLOOKUP($B63,BOM!$A$2:$K$94,9,0)</f>
        <v>Cái</v>
      </c>
    </row>
    <row r="64" spans="1:17" s="45" customFormat="1">
      <c r="A64" s="141"/>
      <c r="B64" s="62" t="s">
        <v>8</v>
      </c>
      <c r="C64" s="62" t="s">
        <v>9</v>
      </c>
      <c r="D64" s="85" t="s">
        <v>3</v>
      </c>
      <c r="E64" s="85">
        <f>G61</f>
        <v>4</v>
      </c>
      <c r="F64" s="62"/>
      <c r="G64" s="62"/>
      <c r="H64" s="62"/>
      <c r="I64" s="62"/>
      <c r="J64" s="62"/>
      <c r="K64" s="62" t="s">
        <v>4</v>
      </c>
      <c r="L64" s="62" t="s">
        <v>5</v>
      </c>
      <c r="M64" s="86" t="s">
        <v>6</v>
      </c>
      <c r="N64" s="86" t="s">
        <v>3</v>
      </c>
      <c r="O64" s="87">
        <f>VLOOKUP($B64,BOM!$A$2:$K$94,10,0)</f>
        <v>0</v>
      </c>
      <c r="P64" s="87">
        <f t="shared" si="2"/>
        <v>0</v>
      </c>
      <c r="Q64" s="87" t="str">
        <f>VLOOKUP($B64,BOM!$A$2:$K$94,9,0)</f>
        <v>Cái</v>
      </c>
    </row>
    <row r="65" spans="1:17" s="45" customFormat="1">
      <c r="A65" s="141"/>
      <c r="B65" s="62" t="s">
        <v>10</v>
      </c>
      <c r="C65" s="62" t="s">
        <v>11</v>
      </c>
      <c r="D65" s="85" t="s">
        <v>3</v>
      </c>
      <c r="E65" s="85">
        <f>E62*3-E64-E68</f>
        <v>1</v>
      </c>
      <c r="F65" s="62"/>
      <c r="G65" s="62"/>
      <c r="H65" s="62"/>
      <c r="I65" s="62"/>
      <c r="J65" s="62"/>
      <c r="K65" s="62" t="s">
        <v>4</v>
      </c>
      <c r="L65" s="62" t="s">
        <v>5</v>
      </c>
      <c r="M65" s="86" t="s">
        <v>6</v>
      </c>
      <c r="N65" s="86" t="s">
        <v>3</v>
      </c>
      <c r="O65" s="87">
        <f>VLOOKUP($B65,BOM!$A$2:$K$94,10,0)</f>
        <v>0</v>
      </c>
      <c r="P65" s="87">
        <f t="shared" si="2"/>
        <v>0</v>
      </c>
      <c r="Q65" s="87" t="str">
        <f>VLOOKUP($B65,BOM!$A$2:$K$94,9,0)</f>
        <v>Cái</v>
      </c>
    </row>
    <row r="66" spans="1:17" s="45" customFormat="1">
      <c r="A66" s="141"/>
      <c r="B66" s="62" t="s">
        <v>12</v>
      </c>
      <c r="C66" s="62" t="s">
        <v>13</v>
      </c>
      <c r="D66" s="85" t="s">
        <v>14</v>
      </c>
      <c r="E66" s="85">
        <f>G56/2</f>
        <v>42</v>
      </c>
      <c r="F66" s="62"/>
      <c r="G66" s="62"/>
      <c r="H66" s="62"/>
      <c r="I66" s="62"/>
      <c r="J66" s="62"/>
      <c r="K66" s="62" t="s">
        <v>4</v>
      </c>
      <c r="L66" s="62" t="s">
        <v>5</v>
      </c>
      <c r="M66" s="86" t="s">
        <v>6</v>
      </c>
      <c r="N66" s="86" t="s">
        <v>15</v>
      </c>
      <c r="O66" s="87">
        <f>VLOOKUP($B66,BOM!$A$2:$K$94,10,0)</f>
        <v>0</v>
      </c>
      <c r="P66" s="87">
        <f t="shared" si="2"/>
        <v>0</v>
      </c>
      <c r="Q66" s="87" t="str">
        <f>VLOOKUP($B66,BOM!$A$2:$K$94,9,0)</f>
        <v>Sợi</v>
      </c>
    </row>
    <row r="67" spans="1:17" s="45" customFormat="1">
      <c r="A67" s="141"/>
      <c r="B67" s="62" t="s">
        <v>16</v>
      </c>
      <c r="C67" s="62" t="s">
        <v>17</v>
      </c>
      <c r="D67" s="85" t="s">
        <v>14</v>
      </c>
      <c r="E67" s="85">
        <f>ROUNDUP((E73+E77)*1.3,0)</f>
        <v>8</v>
      </c>
      <c r="F67" s="62"/>
      <c r="G67" s="62"/>
      <c r="H67" s="62"/>
      <c r="I67" s="62"/>
      <c r="J67" s="62"/>
      <c r="K67" s="62" t="s">
        <v>4</v>
      </c>
      <c r="L67" s="62" t="s">
        <v>5</v>
      </c>
      <c r="M67" s="86" t="s">
        <v>6</v>
      </c>
      <c r="N67" s="86" t="s">
        <v>15</v>
      </c>
      <c r="O67" s="87">
        <f>VLOOKUP($B67,BOM!$A$2:$K$94,10,0)</f>
        <v>0</v>
      </c>
      <c r="P67" s="87">
        <f t="shared" si="2"/>
        <v>0</v>
      </c>
      <c r="Q67" s="87" t="str">
        <f>VLOOKUP($B67,BOM!$A$2:$K$94,9,0)</f>
        <v>Sợi</v>
      </c>
    </row>
    <row r="68" spans="1:17" s="110" customFormat="1">
      <c r="A68" s="141"/>
      <c r="B68" s="66" t="s">
        <v>198</v>
      </c>
      <c r="C68" s="66" t="s">
        <v>199</v>
      </c>
      <c r="D68" s="89" t="s">
        <v>3</v>
      </c>
      <c r="E68" s="89">
        <f>H61</f>
        <v>7</v>
      </c>
      <c r="F68" s="66"/>
      <c r="G68" s="66"/>
      <c r="H68" s="66"/>
      <c r="I68" s="66"/>
      <c r="J68" s="66"/>
      <c r="K68" s="108" t="s">
        <v>4</v>
      </c>
      <c r="L68" s="108" t="s">
        <v>5</v>
      </c>
      <c r="M68" s="109" t="s">
        <v>6</v>
      </c>
      <c r="N68" s="109" t="s">
        <v>15</v>
      </c>
      <c r="O68" s="87">
        <f>VLOOKUP($B68,BOM!$A$2:$K$94,10,0)</f>
        <v>0</v>
      </c>
      <c r="P68" s="87">
        <f t="shared" si="2"/>
        <v>0</v>
      </c>
      <c r="Q68" s="146" t="str">
        <f>VLOOKUP($B68,BOM!$A$2:$K$94,9,0)</f>
        <v>Cái</v>
      </c>
    </row>
    <row r="69" spans="1:17" s="111" customFormat="1">
      <c r="A69" s="141"/>
      <c r="B69" s="66" t="s">
        <v>194</v>
      </c>
      <c r="C69" s="66" t="s">
        <v>195</v>
      </c>
      <c r="D69" s="89" t="s">
        <v>14</v>
      </c>
      <c r="E69" s="89">
        <f>ROUNDUP((E73+E77)*1.3,0)</f>
        <v>8</v>
      </c>
      <c r="F69" s="108"/>
      <c r="G69" s="108"/>
      <c r="H69" s="108"/>
      <c r="I69" s="108"/>
      <c r="J69" s="108"/>
      <c r="K69" s="108" t="s">
        <v>4</v>
      </c>
      <c r="L69" s="108" t="s">
        <v>5</v>
      </c>
      <c r="M69" s="109" t="s">
        <v>6</v>
      </c>
      <c r="N69" s="109" t="s">
        <v>15</v>
      </c>
      <c r="O69" s="87">
        <f>VLOOKUP($B69,BOM!$A$2:$K$94,10,0)</f>
        <v>0</v>
      </c>
      <c r="P69" s="87">
        <f t="shared" si="2"/>
        <v>0</v>
      </c>
      <c r="Q69" s="146" t="str">
        <f>VLOOKUP($B69,BOM!$A$2:$K$94,9,0)</f>
        <v>Cái</v>
      </c>
    </row>
    <row r="70" spans="1:17" s="110" customFormat="1">
      <c r="A70" s="141"/>
      <c r="B70" s="66" t="s">
        <v>196</v>
      </c>
      <c r="C70" s="66" t="s">
        <v>197</v>
      </c>
      <c r="D70" s="89" t="s">
        <v>14</v>
      </c>
      <c r="E70" s="89">
        <f>H56/2</f>
        <v>78</v>
      </c>
      <c r="F70" s="66"/>
      <c r="G70" s="66"/>
      <c r="H70" s="66"/>
      <c r="I70" s="66"/>
      <c r="J70" s="66"/>
      <c r="K70" s="108" t="s">
        <v>4</v>
      </c>
      <c r="L70" s="108" t="s">
        <v>5</v>
      </c>
      <c r="M70" s="109" t="s">
        <v>6</v>
      </c>
      <c r="N70" s="109" t="s">
        <v>15</v>
      </c>
      <c r="O70" s="87">
        <f>VLOOKUP($B70,BOM!$A$2:$K$94,10,0)</f>
        <v>0</v>
      </c>
      <c r="P70" s="87">
        <f t="shared" si="2"/>
        <v>0</v>
      </c>
      <c r="Q70" s="146" t="str">
        <f>VLOOKUP($B70,BOM!$A$2:$K$94,9,0)</f>
        <v>Cái</v>
      </c>
    </row>
    <row r="71" spans="1:17">
      <c r="A71" s="141"/>
      <c r="B71" s="81"/>
      <c r="C71" s="72" t="s">
        <v>200</v>
      </c>
      <c r="D71" s="72" t="s">
        <v>0</v>
      </c>
      <c r="E71" s="72">
        <v>2</v>
      </c>
      <c r="F71" s="72"/>
      <c r="G71" s="72"/>
      <c r="H71" s="72"/>
      <c r="I71" s="72"/>
      <c r="J71" s="72"/>
      <c r="K71" s="83"/>
      <c r="L71" s="83"/>
      <c r="M71" s="83"/>
      <c r="N71" s="83"/>
      <c r="O71" s="87">
        <f>VLOOKUP($B71,BOM!$A$2:$K$94,10,0)</f>
        <v>0</v>
      </c>
      <c r="P71" s="87">
        <f t="shared" si="2"/>
        <v>0</v>
      </c>
      <c r="Q71" s="84">
        <f>VLOOKUP($B71,BOM!$A$2:$K$94,9,0)</f>
        <v>0</v>
      </c>
    </row>
    <row r="72" spans="1:17" s="45" customFormat="1">
      <c r="A72" s="141"/>
      <c r="B72" s="62" t="s">
        <v>322</v>
      </c>
      <c r="C72" s="189" t="s">
        <v>323</v>
      </c>
      <c r="D72" s="85" t="s">
        <v>64</v>
      </c>
      <c r="E72" s="90">
        <v>2</v>
      </c>
      <c r="F72" s="62"/>
      <c r="G72" s="62"/>
      <c r="H72" s="62"/>
      <c r="I72" s="62"/>
      <c r="J72" s="21">
        <f t="shared" ref="J72" si="3">E72</f>
        <v>2</v>
      </c>
      <c r="K72" s="62" t="s">
        <v>143</v>
      </c>
      <c r="L72" s="62" t="s">
        <v>151</v>
      </c>
      <c r="M72" s="86" t="s">
        <v>154</v>
      </c>
      <c r="N72" s="86" t="s">
        <v>64</v>
      </c>
      <c r="O72" s="87">
        <f>VLOOKUP($B72,BOM!$A$2:$K$94,10,0)</f>
        <v>0</v>
      </c>
      <c r="P72" s="87">
        <f t="shared" si="2"/>
        <v>0</v>
      </c>
      <c r="Q72" s="87" t="str">
        <f>VLOOKUP($B72,BOM!$A$2:$K$94,9,0)</f>
        <v>Bộ</v>
      </c>
    </row>
    <row r="73" spans="1:17" s="45" customFormat="1">
      <c r="A73" s="141"/>
      <c r="B73" s="62" t="s">
        <v>214</v>
      </c>
      <c r="C73" s="62" t="s">
        <v>215</v>
      </c>
      <c r="D73" s="85" t="s">
        <v>64</v>
      </c>
      <c r="E73" s="90">
        <v>2</v>
      </c>
      <c r="F73" s="62"/>
      <c r="G73" s="62"/>
      <c r="H73" s="62"/>
      <c r="I73" s="62"/>
      <c r="J73" s="21"/>
      <c r="K73" s="62" t="s">
        <v>143</v>
      </c>
      <c r="L73" s="62" t="s">
        <v>151</v>
      </c>
      <c r="M73" s="86" t="s">
        <v>154</v>
      </c>
      <c r="N73" s="86" t="s">
        <v>64</v>
      </c>
      <c r="O73" s="87">
        <f>VLOOKUP($B73,BOM!$A$2:$K$94,10,0)</f>
        <v>0</v>
      </c>
      <c r="P73" s="87">
        <f t="shared" si="2"/>
        <v>0</v>
      </c>
      <c r="Q73" s="87" t="str">
        <f>VLOOKUP($B73,BOM!$A$2:$K$94,9,0)</f>
        <v>cái</v>
      </c>
    </row>
    <row r="74" spans="1:17" s="45" customFormat="1">
      <c r="A74" s="141"/>
      <c r="B74" s="62" t="s">
        <v>328</v>
      </c>
      <c r="C74" s="62" t="s">
        <v>329</v>
      </c>
      <c r="D74" s="85"/>
      <c r="E74" s="85">
        <v>2</v>
      </c>
      <c r="F74" s="62"/>
      <c r="G74" s="62"/>
      <c r="H74" s="62"/>
      <c r="I74" s="62"/>
      <c r="J74" s="21"/>
      <c r="K74" s="62" t="s">
        <v>143</v>
      </c>
      <c r="L74" s="62" t="s">
        <v>151</v>
      </c>
      <c r="M74" s="86" t="s">
        <v>154</v>
      </c>
      <c r="N74" s="86"/>
      <c r="O74" s="87">
        <f>VLOOKUP($B74,BOM!$A$2:$K$94,10,0)</f>
        <v>0</v>
      </c>
      <c r="P74" s="87">
        <f t="shared" ref="P74:P137" si="4">O74*E74</f>
        <v>0</v>
      </c>
      <c r="Q74" s="87">
        <f>VLOOKUP($B74,BOM!$A$2:$K$94,9,0)</f>
        <v>0</v>
      </c>
    </row>
    <row r="75" spans="1:17">
      <c r="A75" s="141"/>
      <c r="B75" s="81"/>
      <c r="C75" s="72" t="s">
        <v>206</v>
      </c>
      <c r="D75" s="72" t="s">
        <v>0</v>
      </c>
      <c r="E75" s="72">
        <v>2</v>
      </c>
      <c r="F75" s="72"/>
      <c r="G75" s="72"/>
      <c r="H75" s="72"/>
      <c r="I75" s="72"/>
      <c r="J75" s="72"/>
      <c r="K75" s="83"/>
      <c r="L75" s="83"/>
      <c r="M75" s="83"/>
      <c r="N75" s="83"/>
      <c r="O75" s="87">
        <f>VLOOKUP($B75,BOM!$A$2:$K$94,10,0)</f>
        <v>0</v>
      </c>
      <c r="P75" s="87">
        <f t="shared" si="4"/>
        <v>0</v>
      </c>
      <c r="Q75" s="84">
        <f>VLOOKUP($B75,BOM!$A$2:$K$94,9,0)</f>
        <v>0</v>
      </c>
    </row>
    <row r="76" spans="1:17" ht="90" outlineLevel="1">
      <c r="A76" s="147"/>
      <c r="B76" s="67" t="s">
        <v>155</v>
      </c>
      <c r="C76" s="187" t="s">
        <v>325</v>
      </c>
      <c r="D76" s="148"/>
      <c r="E76" s="147">
        <v>2</v>
      </c>
      <c r="F76" s="147"/>
      <c r="G76" s="147"/>
      <c r="H76" s="147"/>
      <c r="I76" s="147"/>
      <c r="J76" s="103">
        <f>E76</f>
        <v>2</v>
      </c>
      <c r="K76" s="65" t="s">
        <v>143</v>
      </c>
      <c r="L76" s="65" t="s">
        <v>151</v>
      </c>
      <c r="M76" s="90" t="s">
        <v>154</v>
      </c>
      <c r="N76" s="90" t="s">
        <v>64</v>
      </c>
      <c r="O76" s="87">
        <f>VLOOKUP($B76,BOM!$A$2:$K$94,10,0)</f>
        <v>0</v>
      </c>
      <c r="P76" s="87">
        <f t="shared" si="4"/>
        <v>0</v>
      </c>
      <c r="Q76" s="149" t="str">
        <f>VLOOKUP($B76,BOM!$A$2:$K$94,9,0)</f>
        <v>cái</v>
      </c>
    </row>
    <row r="77" spans="1:17" outlineLevel="1">
      <c r="A77" s="141"/>
      <c r="B77" s="74" t="s">
        <v>156</v>
      </c>
      <c r="C77" s="74" t="s">
        <v>157</v>
      </c>
      <c r="D77" s="122"/>
      <c r="E77" s="122">
        <v>4</v>
      </c>
      <c r="F77" s="122"/>
      <c r="G77" s="122"/>
      <c r="H77" s="122"/>
      <c r="I77" s="122"/>
      <c r="J77" s="122"/>
      <c r="K77" s="62" t="s">
        <v>143</v>
      </c>
      <c r="L77" s="62" t="s">
        <v>151</v>
      </c>
      <c r="M77" s="86" t="s">
        <v>154</v>
      </c>
      <c r="N77" s="86" t="s">
        <v>64</v>
      </c>
      <c r="O77" s="87">
        <f>VLOOKUP($B77,BOM!$A$2:$K$94,10,0)</f>
        <v>0</v>
      </c>
      <c r="P77" s="87">
        <f t="shared" si="4"/>
        <v>0</v>
      </c>
      <c r="Q77" s="150" t="str">
        <f>VLOOKUP($B77,BOM!$A$2:$K$94,9,0)</f>
        <v>cái</v>
      </c>
    </row>
    <row r="78" spans="1:17">
      <c r="A78" s="141"/>
      <c r="B78" s="81"/>
      <c r="C78" s="72" t="s">
        <v>18</v>
      </c>
      <c r="D78" s="72" t="s">
        <v>0</v>
      </c>
      <c r="E78" s="72">
        <v>1</v>
      </c>
      <c r="F78" s="72"/>
      <c r="G78" s="72"/>
      <c r="H78" s="72"/>
      <c r="I78" s="72"/>
      <c r="J78" s="72"/>
      <c r="K78" s="83"/>
      <c r="L78" s="83"/>
      <c r="M78" s="83"/>
      <c r="N78" s="83"/>
      <c r="O78" s="87">
        <f>VLOOKUP($B78,BOM!$A$2:$K$94,10,0)</f>
        <v>0</v>
      </c>
      <c r="P78" s="87">
        <f t="shared" si="4"/>
        <v>0</v>
      </c>
      <c r="Q78" s="84">
        <f>VLOOKUP($B78,BOM!$A$2:$K$94,9,0)</f>
        <v>0</v>
      </c>
    </row>
    <row r="79" spans="1:17" s="45" customFormat="1">
      <c r="A79" s="141"/>
      <c r="B79" s="62">
        <v>760237046</v>
      </c>
      <c r="C79" s="62" t="s">
        <v>19</v>
      </c>
      <c r="D79" s="85" t="s">
        <v>3</v>
      </c>
      <c r="E79" s="115">
        <f>E76+E72</f>
        <v>4</v>
      </c>
      <c r="F79" s="62"/>
      <c r="G79" s="62"/>
      <c r="H79" s="62"/>
      <c r="I79" s="62"/>
      <c r="J79" s="21">
        <f>E79</f>
        <v>4</v>
      </c>
      <c r="K79" s="62" t="s">
        <v>4</v>
      </c>
      <c r="L79" s="62" t="s">
        <v>5</v>
      </c>
      <c r="M79" s="86" t="s">
        <v>6</v>
      </c>
      <c r="N79" s="86" t="s">
        <v>3</v>
      </c>
      <c r="O79" s="87">
        <f>VLOOKUP($B79,BOM!$A$2:$K$94,10,0)</f>
        <v>0</v>
      </c>
      <c r="P79" s="87">
        <f t="shared" si="4"/>
        <v>0</v>
      </c>
      <c r="Q79" s="87" t="str">
        <f>VLOOKUP($B79,BOM!$A$2:$K$94,9,0)</f>
        <v>Cái</v>
      </c>
    </row>
    <row r="80" spans="1:17" s="45" customFormat="1">
      <c r="A80" s="141"/>
      <c r="B80" s="62" t="s">
        <v>23</v>
      </c>
      <c r="C80" s="62" t="s">
        <v>24</v>
      </c>
      <c r="D80" s="85" t="s">
        <v>3</v>
      </c>
      <c r="E80" s="85">
        <f>E79*24</f>
        <v>96</v>
      </c>
      <c r="F80" s="62"/>
      <c r="G80" s="62"/>
      <c r="H80" s="62"/>
      <c r="I80" s="62"/>
      <c r="J80" s="62"/>
      <c r="K80" s="62" t="s">
        <v>25</v>
      </c>
      <c r="L80" s="62" t="s">
        <v>5</v>
      </c>
      <c r="M80" s="86" t="s">
        <v>6</v>
      </c>
      <c r="N80" s="86" t="s">
        <v>3</v>
      </c>
      <c r="O80" s="87">
        <f>VLOOKUP($B80,BOM!$A$2:$K$94,10,0)</f>
        <v>0</v>
      </c>
      <c r="P80" s="87">
        <f t="shared" si="4"/>
        <v>0</v>
      </c>
      <c r="Q80" s="87" t="str">
        <f>VLOOKUP($B80,BOM!$A$2:$K$94,9,0)</f>
        <v>Cái</v>
      </c>
    </row>
    <row r="81" spans="1:17" s="45" customFormat="1">
      <c r="A81" s="141"/>
      <c r="B81" s="62" t="s">
        <v>20</v>
      </c>
      <c r="C81" s="62" t="s">
        <v>21</v>
      </c>
      <c r="D81" s="85" t="s">
        <v>3</v>
      </c>
      <c r="E81" s="85">
        <f>E79</f>
        <v>4</v>
      </c>
      <c r="F81" s="62"/>
      <c r="G81" s="62"/>
      <c r="H81" s="62"/>
      <c r="I81" s="62"/>
      <c r="J81" s="21">
        <f>E81</f>
        <v>4</v>
      </c>
      <c r="K81" s="62" t="s">
        <v>4</v>
      </c>
      <c r="L81" s="62" t="s">
        <v>5</v>
      </c>
      <c r="M81" s="86" t="s">
        <v>22</v>
      </c>
      <c r="N81" s="86" t="s">
        <v>3</v>
      </c>
      <c r="O81" s="87">
        <f>VLOOKUP($B81,BOM!$A$2:$K$94,10,0)</f>
        <v>0</v>
      </c>
      <c r="P81" s="87">
        <f t="shared" si="4"/>
        <v>0</v>
      </c>
      <c r="Q81" s="87" t="str">
        <f>VLOOKUP($B81,BOM!$A$2:$K$94,9,0)</f>
        <v>Cái</v>
      </c>
    </row>
    <row r="82" spans="1:17">
      <c r="A82" s="141"/>
      <c r="B82" s="81"/>
      <c r="C82" s="72" t="s">
        <v>71</v>
      </c>
      <c r="D82" s="72" t="s">
        <v>0</v>
      </c>
      <c r="E82" s="72">
        <v>1</v>
      </c>
      <c r="F82" s="72"/>
      <c r="G82" s="72"/>
      <c r="H82" s="72"/>
      <c r="I82" s="72"/>
      <c r="J82" s="72"/>
      <c r="K82" s="83"/>
      <c r="L82" s="83"/>
      <c r="M82" s="83"/>
      <c r="N82" s="83"/>
      <c r="O82" s="87">
        <f>VLOOKUP($B82,BOM!$A$2:$K$94,10,0)</f>
        <v>0</v>
      </c>
      <c r="P82" s="87">
        <f t="shared" si="4"/>
        <v>0</v>
      </c>
      <c r="Q82" s="84">
        <f>VLOOKUP($B82,BOM!$A$2:$K$94,9,0)</f>
        <v>0</v>
      </c>
    </row>
    <row r="83" spans="1:17" s="45" customFormat="1">
      <c r="B83" s="41" t="s">
        <v>229</v>
      </c>
      <c r="C83" s="46" t="s">
        <v>230</v>
      </c>
      <c r="D83" s="102" t="s">
        <v>0</v>
      </c>
      <c r="E83" s="43">
        <v>1</v>
      </c>
      <c r="F83" s="41"/>
      <c r="G83" s="41"/>
      <c r="H83" s="41"/>
      <c r="I83" s="41"/>
      <c r="J83" s="44">
        <v>4</v>
      </c>
      <c r="K83" s="41"/>
      <c r="L83" s="41" t="s">
        <v>5</v>
      </c>
      <c r="M83" s="44" t="s">
        <v>22</v>
      </c>
      <c r="N83" s="44" t="s">
        <v>3</v>
      </c>
      <c r="O83" s="87">
        <f>VLOOKUP($B83,BOM!$A$2:$K$94,10,0)</f>
        <v>0</v>
      </c>
      <c r="P83" s="87">
        <f t="shared" si="4"/>
        <v>0</v>
      </c>
    </row>
    <row r="84" spans="1:17" s="45" customFormat="1" ht="15.95" customHeight="1">
      <c r="B84" s="41" t="s">
        <v>29</v>
      </c>
      <c r="C84" s="46" t="s">
        <v>30</v>
      </c>
      <c r="D84" s="102" t="s">
        <v>0</v>
      </c>
      <c r="E84" s="43">
        <v>1</v>
      </c>
      <c r="F84" s="41"/>
      <c r="G84" s="41"/>
      <c r="H84" s="41"/>
      <c r="I84" s="41"/>
      <c r="J84" s="44">
        <v>4</v>
      </c>
      <c r="K84" s="41"/>
      <c r="L84" s="41" t="s">
        <v>5</v>
      </c>
      <c r="M84" s="44" t="s">
        <v>22</v>
      </c>
      <c r="N84" s="44" t="s">
        <v>3</v>
      </c>
      <c r="O84" s="87">
        <f>VLOOKUP($B84,BOM!$A$2:$K$94,10,0)</f>
        <v>0</v>
      </c>
      <c r="P84" s="87">
        <f t="shared" si="4"/>
        <v>0</v>
      </c>
    </row>
    <row r="85" spans="1:17" s="45" customFormat="1">
      <c r="A85" s="141"/>
      <c r="B85" s="62"/>
      <c r="C85" s="62"/>
      <c r="D85" s="116"/>
      <c r="E85" s="85"/>
      <c r="F85" s="62"/>
      <c r="G85" s="62"/>
      <c r="H85" s="62"/>
      <c r="I85" s="62"/>
      <c r="J85" s="62"/>
      <c r="K85" s="62"/>
      <c r="L85" s="62"/>
      <c r="M85" s="86"/>
      <c r="N85" s="86"/>
      <c r="O85" s="87">
        <f>VLOOKUP($B85,BOM!$A$2:$K$94,10,0)</f>
        <v>0</v>
      </c>
      <c r="P85" s="87">
        <f t="shared" si="4"/>
        <v>0</v>
      </c>
      <c r="Q85" s="87"/>
    </row>
    <row r="86" spans="1:17">
      <c r="A86" s="141"/>
      <c r="B86" s="81"/>
      <c r="C86" s="72" t="s">
        <v>31</v>
      </c>
      <c r="D86" s="72" t="s">
        <v>0</v>
      </c>
      <c r="E86" s="72">
        <v>1</v>
      </c>
      <c r="F86" s="72"/>
      <c r="G86" s="72"/>
      <c r="H86" s="72"/>
      <c r="I86" s="72"/>
      <c r="J86" s="72"/>
      <c r="K86" s="83"/>
      <c r="L86" s="83"/>
      <c r="M86" s="83"/>
      <c r="N86" s="83"/>
      <c r="O86" s="87">
        <f>VLOOKUP($B86,BOM!$A$2:$K$94,10,0)</f>
        <v>0</v>
      </c>
      <c r="P86" s="87">
        <f t="shared" si="4"/>
        <v>0</v>
      </c>
      <c r="Q86" s="84">
        <f>VLOOKUP($B86,BOM!$A$2:$K$94,9,0)</f>
        <v>0</v>
      </c>
    </row>
    <row r="87" spans="1:17">
      <c r="A87" s="141"/>
      <c r="B87" s="81"/>
      <c r="C87" s="72" t="s">
        <v>32</v>
      </c>
      <c r="D87" s="72"/>
      <c r="E87" s="72"/>
      <c r="F87" s="72"/>
      <c r="G87" s="72">
        <v>35</v>
      </c>
      <c r="H87" s="72"/>
      <c r="I87" s="72"/>
      <c r="J87" s="72"/>
      <c r="K87" s="83"/>
      <c r="L87" s="83"/>
      <c r="M87" s="83"/>
      <c r="N87" s="83"/>
      <c r="O87" s="87">
        <f>VLOOKUP($B87,BOM!$A$2:$K$94,10,0)</f>
        <v>0</v>
      </c>
      <c r="P87" s="87">
        <f t="shared" si="4"/>
        <v>0</v>
      </c>
      <c r="Q87" s="84">
        <f>VLOOKUP($B87,BOM!$A$2:$K$94,9,0)</f>
        <v>0</v>
      </c>
    </row>
    <row r="88" spans="1:17" s="45" customFormat="1" ht="20.45" customHeight="1">
      <c r="A88" s="141"/>
      <c r="B88" s="62" t="s">
        <v>33</v>
      </c>
      <c r="C88" s="62" t="s">
        <v>34</v>
      </c>
      <c r="D88" s="85" t="s">
        <v>3</v>
      </c>
      <c r="E88" s="90">
        <f>E89</f>
        <v>35</v>
      </c>
      <c r="F88" s="62"/>
      <c r="G88" s="62"/>
      <c r="H88" s="62"/>
      <c r="I88" s="62"/>
      <c r="J88" s="62"/>
      <c r="K88" s="62" t="s">
        <v>35</v>
      </c>
      <c r="L88" s="62" t="s">
        <v>5</v>
      </c>
      <c r="M88" s="86" t="s">
        <v>6</v>
      </c>
      <c r="N88" s="86" t="s">
        <v>3</v>
      </c>
      <c r="O88" s="87">
        <f>VLOOKUP($B88,BOM!$A$2:$K$94,10,0)</f>
        <v>0</v>
      </c>
      <c r="P88" s="87">
        <f t="shared" si="4"/>
        <v>0</v>
      </c>
      <c r="Q88" s="87" t="str">
        <f>VLOOKUP($B88,BOM!$A$2:$K$94,9,0)</f>
        <v>Cái</v>
      </c>
    </row>
    <row r="89" spans="1:17" s="45" customFormat="1">
      <c r="A89" s="141"/>
      <c r="B89" s="62" t="s">
        <v>330</v>
      </c>
      <c r="C89" s="62" t="s">
        <v>36</v>
      </c>
      <c r="D89" s="85" t="s">
        <v>3</v>
      </c>
      <c r="E89" s="90">
        <f>G87+H87</f>
        <v>35</v>
      </c>
      <c r="F89" s="62"/>
      <c r="G89" s="62"/>
      <c r="H89" s="62"/>
      <c r="I89" s="62"/>
      <c r="J89" s="62"/>
      <c r="K89" s="62" t="s">
        <v>37</v>
      </c>
      <c r="L89" s="62" t="s">
        <v>5</v>
      </c>
      <c r="M89" s="86" t="s">
        <v>37</v>
      </c>
      <c r="N89" s="86" t="s">
        <v>3</v>
      </c>
      <c r="O89" s="87">
        <f>VLOOKUP($B89,BOM!$A$2:$K$94,10,0)</f>
        <v>0</v>
      </c>
      <c r="P89" s="87">
        <f t="shared" si="4"/>
        <v>0</v>
      </c>
      <c r="Q89" s="87" t="str">
        <f>VLOOKUP($B89,BOM!$A$2:$K$94,9,0)</f>
        <v>Cái</v>
      </c>
    </row>
    <row r="90" spans="1:17" s="45" customFormat="1">
      <c r="A90" s="141"/>
      <c r="B90" s="62" t="s">
        <v>38</v>
      </c>
      <c r="C90" s="62" t="s">
        <v>39</v>
      </c>
      <c r="D90" s="85" t="s">
        <v>3</v>
      </c>
      <c r="E90" s="90">
        <f>E89</f>
        <v>35</v>
      </c>
      <c r="F90" s="62"/>
      <c r="G90" s="62"/>
      <c r="H90" s="62"/>
      <c r="I90" s="62"/>
      <c r="J90" s="62"/>
      <c r="K90" s="62" t="s">
        <v>25</v>
      </c>
      <c r="L90" s="62" t="s">
        <v>5</v>
      </c>
      <c r="M90" s="86" t="s">
        <v>6</v>
      </c>
      <c r="N90" s="86" t="s">
        <v>3</v>
      </c>
      <c r="O90" s="87">
        <f>VLOOKUP($B90,BOM!$A$2:$K$94,10,0)</f>
        <v>0</v>
      </c>
      <c r="P90" s="87">
        <f t="shared" si="4"/>
        <v>0</v>
      </c>
      <c r="Q90" s="87" t="str">
        <f>VLOOKUP($B90,BOM!$A$2:$K$94,9,0)</f>
        <v>Cái</v>
      </c>
    </row>
    <row r="91" spans="1:17">
      <c r="A91" s="141"/>
      <c r="B91" s="81"/>
      <c r="C91" s="72" t="s">
        <v>40</v>
      </c>
      <c r="D91" s="72"/>
      <c r="E91" s="72"/>
      <c r="F91" s="72"/>
      <c r="G91" s="72">
        <v>6</v>
      </c>
      <c r="H91" s="72"/>
      <c r="I91" s="72"/>
      <c r="J91" s="72"/>
      <c r="K91" s="83"/>
      <c r="L91" s="83"/>
      <c r="M91" s="83"/>
      <c r="N91" s="83"/>
      <c r="O91" s="87">
        <f>VLOOKUP($B91,BOM!$A$2:$K$94,10,0)</f>
        <v>0</v>
      </c>
      <c r="P91" s="87">
        <f t="shared" si="4"/>
        <v>0</v>
      </c>
      <c r="Q91" s="84">
        <f>VLOOKUP($B91,BOM!$A$2:$K$94,9,0)</f>
        <v>0</v>
      </c>
    </row>
    <row r="92" spans="1:17" s="45" customFormat="1">
      <c r="A92" s="141"/>
      <c r="B92" s="62" t="s">
        <v>41</v>
      </c>
      <c r="C92" s="62" t="s">
        <v>42</v>
      </c>
      <c r="D92" s="85" t="s">
        <v>3</v>
      </c>
      <c r="E92" s="85">
        <f>G91+H91</f>
        <v>6</v>
      </c>
      <c r="F92" s="62"/>
      <c r="G92" s="62"/>
      <c r="H92" s="62"/>
      <c r="I92" s="62"/>
      <c r="J92" s="62"/>
      <c r="K92" s="62" t="s">
        <v>4</v>
      </c>
      <c r="L92" s="62" t="s">
        <v>5</v>
      </c>
      <c r="M92" s="86" t="s">
        <v>6</v>
      </c>
      <c r="N92" s="86" t="s">
        <v>3</v>
      </c>
      <c r="O92" s="87">
        <f>VLOOKUP($B92,BOM!$A$2:$K$94,10,0)</f>
        <v>0</v>
      </c>
      <c r="P92" s="87">
        <f t="shared" si="4"/>
        <v>0</v>
      </c>
      <c r="Q92" s="87" t="str">
        <f>VLOOKUP($B92,BOM!$A$2:$K$94,9,0)</f>
        <v>Cái</v>
      </c>
    </row>
    <row r="93" spans="1:17" s="45" customFormat="1">
      <c r="A93" s="141"/>
      <c r="B93" s="65" t="s">
        <v>43</v>
      </c>
      <c r="C93" s="65" t="s">
        <v>44</v>
      </c>
      <c r="D93" s="85" t="s">
        <v>3</v>
      </c>
      <c r="E93" s="85">
        <f>E92</f>
        <v>6</v>
      </c>
      <c r="F93" s="62"/>
      <c r="G93" s="62"/>
      <c r="H93" s="62"/>
      <c r="I93" s="62"/>
      <c r="J93" s="62"/>
      <c r="K93" s="62" t="s">
        <v>4</v>
      </c>
      <c r="L93" s="62" t="s">
        <v>5</v>
      </c>
      <c r="M93" s="86" t="s">
        <v>6</v>
      </c>
      <c r="N93" s="86" t="s">
        <v>3</v>
      </c>
      <c r="O93" s="87">
        <f>VLOOKUP($B93,BOM!$A$2:$K$94,10,0)</f>
        <v>0</v>
      </c>
      <c r="P93" s="87">
        <f t="shared" si="4"/>
        <v>0</v>
      </c>
      <c r="Q93" s="87" t="str">
        <f>VLOOKUP($B93,BOM!$A$2:$K$94,9,0)</f>
        <v>Cái</v>
      </c>
    </row>
    <row r="94" spans="1:17">
      <c r="A94" s="141"/>
      <c r="B94" s="81"/>
      <c r="C94" s="72" t="s">
        <v>45</v>
      </c>
      <c r="D94" s="72"/>
      <c r="E94" s="72"/>
      <c r="F94" s="72"/>
      <c r="G94" s="72"/>
      <c r="H94" s="72"/>
      <c r="I94" s="72"/>
      <c r="J94" s="72"/>
      <c r="K94" s="83"/>
      <c r="L94" s="83"/>
      <c r="M94" s="83"/>
      <c r="N94" s="83"/>
      <c r="O94" s="87">
        <f>VLOOKUP($B94,BOM!$A$2:$K$94,10,0)</f>
        <v>0</v>
      </c>
      <c r="P94" s="87">
        <f t="shared" si="4"/>
        <v>0</v>
      </c>
      <c r="Q94" s="84">
        <f>VLOOKUP($B94,BOM!$A$2:$K$94,9,0)</f>
        <v>0</v>
      </c>
    </row>
    <row r="95" spans="1:17" s="45" customFormat="1">
      <c r="A95" s="141"/>
      <c r="B95" s="62" t="s">
        <v>48</v>
      </c>
      <c r="C95" s="62" t="s">
        <v>49</v>
      </c>
      <c r="D95" s="85" t="s">
        <v>14</v>
      </c>
      <c r="E95" s="85">
        <f>E88+E92+1</f>
        <v>42</v>
      </c>
      <c r="F95" s="62"/>
      <c r="G95" s="62"/>
      <c r="H95" s="62"/>
      <c r="I95" s="62"/>
      <c r="J95" s="62"/>
      <c r="K95" s="62"/>
      <c r="L95" s="62" t="s">
        <v>5</v>
      </c>
      <c r="M95" s="86" t="s">
        <v>6</v>
      </c>
      <c r="N95" s="86" t="s">
        <v>15</v>
      </c>
      <c r="O95" s="87">
        <f>VLOOKUP($B95,BOM!$A$2:$K$94,10,0)</f>
        <v>0</v>
      </c>
      <c r="P95" s="87">
        <f t="shared" si="4"/>
        <v>0</v>
      </c>
      <c r="Q95" s="87" t="str">
        <f>VLOOKUP($B95,BOM!$A$2:$K$94,9,0)</f>
        <v>Sợi</v>
      </c>
    </row>
    <row r="96" spans="1:17" s="45" customFormat="1">
      <c r="A96" s="141"/>
      <c r="B96" s="62" t="s">
        <v>48</v>
      </c>
      <c r="C96" s="62" t="s">
        <v>49</v>
      </c>
      <c r="D96" s="85" t="s">
        <v>14</v>
      </c>
      <c r="E96" s="90">
        <f>ROUNDUP(E95*0.2,0)</f>
        <v>9</v>
      </c>
      <c r="F96" s="62"/>
      <c r="G96" s="62"/>
      <c r="H96" s="62"/>
      <c r="I96" s="62"/>
      <c r="J96" s="62"/>
      <c r="K96" s="62" t="s">
        <v>4</v>
      </c>
      <c r="L96" s="62" t="s">
        <v>5</v>
      </c>
      <c r="M96" s="86" t="s">
        <v>6</v>
      </c>
      <c r="N96" s="86" t="s">
        <v>15</v>
      </c>
      <c r="O96" s="87">
        <f>VLOOKUP($B96,BOM!$A$2:$K$94,10,0)</f>
        <v>0</v>
      </c>
      <c r="P96" s="87">
        <f t="shared" si="4"/>
        <v>0</v>
      </c>
      <c r="Q96" s="87" t="str">
        <f>VLOOKUP($B96,BOM!$A$2:$K$94,9,0)</f>
        <v>Sợi</v>
      </c>
    </row>
    <row r="97" spans="1:17">
      <c r="A97" s="141"/>
      <c r="B97" s="81"/>
      <c r="C97" s="72" t="s">
        <v>50</v>
      </c>
      <c r="D97" s="72"/>
      <c r="E97" s="72"/>
      <c r="F97" s="72"/>
      <c r="G97" s="72"/>
      <c r="H97" s="72"/>
      <c r="I97" s="72"/>
      <c r="J97" s="72"/>
      <c r="K97" s="83"/>
      <c r="L97" s="83"/>
      <c r="M97" s="83"/>
      <c r="N97" s="83"/>
      <c r="O97" s="87">
        <f>VLOOKUP($B97,BOM!$A$2:$K$94,10,0)</f>
        <v>0</v>
      </c>
      <c r="P97" s="87">
        <f t="shared" si="4"/>
        <v>0</v>
      </c>
      <c r="Q97" s="84">
        <f>VLOOKUP($B97,BOM!$A$2:$K$94,9,0)</f>
        <v>0</v>
      </c>
    </row>
    <row r="98" spans="1:17" s="45" customFormat="1">
      <c r="A98" s="141"/>
      <c r="B98" s="62" t="s">
        <v>332</v>
      </c>
      <c r="C98" s="62" t="s">
        <v>332</v>
      </c>
      <c r="D98" s="85" t="s">
        <v>51</v>
      </c>
      <c r="E98" s="85">
        <f>E83</f>
        <v>1</v>
      </c>
      <c r="F98" s="62"/>
      <c r="G98" s="62"/>
      <c r="H98" s="62"/>
      <c r="I98" s="62"/>
      <c r="J98" s="62"/>
      <c r="K98" s="62"/>
      <c r="L98" s="62"/>
      <c r="M98" s="86"/>
      <c r="N98" s="86" t="s">
        <v>51</v>
      </c>
      <c r="O98" s="87">
        <f>VLOOKUP($B98,BOM!$A$2:$K$94,10,0)</f>
        <v>0</v>
      </c>
      <c r="P98" s="87">
        <f t="shared" si="4"/>
        <v>0</v>
      </c>
      <c r="Q98" s="87" t="str">
        <f>VLOOKUP($B98,BOM!$A$2:$K$94,9,0)</f>
        <v>bộ</v>
      </c>
    </row>
    <row r="99" spans="1:17" s="45" customFormat="1">
      <c r="A99" s="141"/>
      <c r="B99" s="62" t="s">
        <v>52</v>
      </c>
      <c r="C99" s="62" t="s">
        <v>53</v>
      </c>
      <c r="D99" s="86" t="s">
        <v>54</v>
      </c>
      <c r="E99" s="105">
        <f>E96+E95</f>
        <v>51</v>
      </c>
      <c r="F99" s="62"/>
      <c r="G99" s="62"/>
      <c r="H99" s="62"/>
      <c r="I99" s="62"/>
      <c r="J99" s="62"/>
      <c r="K99" s="62"/>
      <c r="L99" s="62"/>
      <c r="M99" s="86" t="s">
        <v>55</v>
      </c>
      <c r="N99" s="86" t="s">
        <v>54</v>
      </c>
      <c r="O99" s="87">
        <f>VLOOKUP($B99,BOM!$A$2:$K$94,10,0)</f>
        <v>0</v>
      </c>
      <c r="P99" s="87">
        <f t="shared" si="4"/>
        <v>0</v>
      </c>
      <c r="Q99" s="87" t="str">
        <f>VLOOKUP($B99,BOM!$A$2:$K$94,9,0)</f>
        <v>node</v>
      </c>
    </row>
    <row r="100" spans="1:17" s="45" customFormat="1">
      <c r="A100" s="141"/>
      <c r="B100" s="62" t="s">
        <v>56</v>
      </c>
      <c r="C100" s="62" t="s">
        <v>57</v>
      </c>
      <c r="D100" s="86" t="s">
        <v>14</v>
      </c>
      <c r="E100" s="105">
        <f>E66+E70</f>
        <v>120</v>
      </c>
      <c r="F100" s="62"/>
      <c r="G100" s="62"/>
      <c r="H100" s="62"/>
      <c r="I100" s="62"/>
      <c r="J100" s="62"/>
      <c r="K100" s="62"/>
      <c r="L100" s="62"/>
      <c r="M100" s="86" t="s">
        <v>55</v>
      </c>
      <c r="N100" s="86" t="s">
        <v>14</v>
      </c>
      <c r="O100" s="87">
        <f>VLOOKUP($B100,BOM!$A$2:$K$94,10,0)</f>
        <v>0</v>
      </c>
      <c r="P100" s="87">
        <f t="shared" si="4"/>
        <v>0</v>
      </c>
      <c r="Q100" s="87" t="str">
        <f>VLOOKUP($B100,BOM!$A$2:$K$94,9,0)</f>
        <v>sợi</v>
      </c>
    </row>
    <row r="101" spans="1:17" s="45" customFormat="1">
      <c r="A101" s="141"/>
      <c r="B101" s="62" t="s">
        <v>58</v>
      </c>
      <c r="C101" s="62" t="s">
        <v>59</v>
      </c>
      <c r="D101" s="86" t="s">
        <v>60</v>
      </c>
      <c r="E101" s="105">
        <f>E100*2</f>
        <v>240</v>
      </c>
      <c r="F101" s="62"/>
      <c r="G101" s="62"/>
      <c r="H101" s="62"/>
      <c r="I101" s="62"/>
      <c r="J101" s="62"/>
      <c r="K101" s="62"/>
      <c r="L101" s="62"/>
      <c r="M101" s="86" t="s">
        <v>61</v>
      </c>
      <c r="N101" s="86" t="s">
        <v>60</v>
      </c>
      <c r="O101" s="87">
        <f>VLOOKUP($B101,BOM!$A$2:$K$94,10,0)</f>
        <v>0</v>
      </c>
      <c r="P101" s="87">
        <f t="shared" si="4"/>
        <v>0</v>
      </c>
      <c r="Q101" s="87" t="str">
        <f>VLOOKUP($B101,BOM!$A$2:$K$94,9,0)</f>
        <v>đầu</v>
      </c>
    </row>
    <row r="102" spans="1:17" s="45" customFormat="1">
      <c r="A102" s="141"/>
      <c r="B102" s="62" t="s">
        <v>62</v>
      </c>
      <c r="C102" s="62" t="s">
        <v>63</v>
      </c>
      <c r="D102" s="86" t="s">
        <v>64</v>
      </c>
      <c r="E102" s="105">
        <f>E79</f>
        <v>4</v>
      </c>
      <c r="F102" s="62"/>
      <c r="G102" s="62"/>
      <c r="H102" s="62"/>
      <c r="I102" s="62"/>
      <c r="J102" s="62"/>
      <c r="K102" s="62"/>
      <c r="L102" s="62"/>
      <c r="M102" s="86" t="s">
        <v>61</v>
      </c>
      <c r="N102" s="86" t="s">
        <v>64</v>
      </c>
      <c r="O102" s="87">
        <f>VLOOKUP($B102,BOM!$A$2:$K$94,10,0)</f>
        <v>0</v>
      </c>
      <c r="P102" s="87">
        <f t="shared" si="4"/>
        <v>0</v>
      </c>
      <c r="Q102" s="87" t="str">
        <f>VLOOKUP($B102,BOM!$A$2:$K$94,9,0)</f>
        <v>cái</v>
      </c>
    </row>
    <row r="103" spans="1:17" s="140" customFormat="1">
      <c r="A103" s="134">
        <v>2</v>
      </c>
      <c r="B103" s="135"/>
      <c r="C103" s="71" t="s">
        <v>65</v>
      </c>
      <c r="D103" s="136" t="s">
        <v>0</v>
      </c>
      <c r="E103" s="134">
        <v>1</v>
      </c>
      <c r="F103" s="134"/>
      <c r="G103" s="134"/>
      <c r="H103" s="134">
        <v>16</v>
      </c>
      <c r="I103" s="134"/>
      <c r="J103" s="137">
        <f>SUBTOTAL(9,J106:J130)</f>
        <v>15</v>
      </c>
      <c r="K103" s="137"/>
      <c r="L103" s="137"/>
      <c r="M103" s="137"/>
      <c r="N103" s="137"/>
      <c r="O103" s="87">
        <f>VLOOKUP($B103,BOM!$A$2:$K$94,10,0)</f>
        <v>0</v>
      </c>
      <c r="P103" s="87">
        <f t="shared" si="4"/>
        <v>0</v>
      </c>
      <c r="Q103" s="139">
        <f>VLOOKUP($B103,BOM!$A$2:$K$94,9,0)</f>
        <v>0</v>
      </c>
    </row>
    <row r="104" spans="1:17">
      <c r="A104" s="141"/>
      <c r="B104" s="81"/>
      <c r="C104" s="72" t="s">
        <v>124</v>
      </c>
      <c r="D104" s="72" t="s">
        <v>0</v>
      </c>
      <c r="E104" s="72">
        <v>1</v>
      </c>
      <c r="F104" s="72"/>
      <c r="G104" s="72"/>
      <c r="H104" s="72"/>
      <c r="I104" s="72"/>
      <c r="J104" s="72"/>
      <c r="K104" s="83"/>
      <c r="L104" s="83"/>
      <c r="M104" s="83"/>
      <c r="N104" s="83"/>
      <c r="O104" s="87">
        <f>VLOOKUP($B104,BOM!$A$2:$K$94,10,0)</f>
        <v>0</v>
      </c>
      <c r="P104" s="87">
        <f t="shared" si="4"/>
        <v>0</v>
      </c>
      <c r="Q104" s="84">
        <f>VLOOKUP($B104,BOM!$A$2:$K$94,9,0)</f>
        <v>0</v>
      </c>
    </row>
    <row r="105" spans="1:17" s="19" customFormat="1">
      <c r="A105" s="141"/>
      <c r="B105" s="21" t="s">
        <v>226</v>
      </c>
      <c r="C105" s="21" t="s">
        <v>227</v>
      </c>
      <c r="D105" s="21"/>
      <c r="E105" s="22">
        <v>1</v>
      </c>
      <c r="F105" s="21"/>
      <c r="G105" s="21"/>
      <c r="H105" s="21"/>
      <c r="I105" s="21"/>
      <c r="J105" s="21"/>
      <c r="K105" s="21" t="s">
        <v>4</v>
      </c>
      <c r="L105" s="21" t="s">
        <v>5</v>
      </c>
      <c r="M105" s="22" t="s">
        <v>22</v>
      </c>
      <c r="N105" s="22" t="s">
        <v>3</v>
      </c>
      <c r="O105" s="87">
        <f>VLOOKUP($B105,BOM!$A$2:$K$94,10,0)</f>
        <v>0</v>
      </c>
      <c r="P105" s="87">
        <f t="shared" si="4"/>
        <v>0</v>
      </c>
      <c r="Q105" s="142">
        <f>VLOOKUP($B105,BOM!$A$2:$K$94,9,0)</f>
        <v>0</v>
      </c>
    </row>
    <row r="106" spans="1:17" s="19" customFormat="1">
      <c r="A106" s="141"/>
      <c r="B106" s="21" t="s">
        <v>122</v>
      </c>
      <c r="C106" s="21" t="s">
        <v>123</v>
      </c>
      <c r="D106" s="21"/>
      <c r="E106" s="22">
        <v>1</v>
      </c>
      <c r="F106" s="21"/>
      <c r="G106" s="21"/>
      <c r="H106" s="21"/>
      <c r="I106" s="21"/>
      <c r="J106" s="21">
        <f>E106</f>
        <v>1</v>
      </c>
      <c r="K106" s="21" t="s">
        <v>4</v>
      </c>
      <c r="L106" s="21" t="s">
        <v>5</v>
      </c>
      <c r="M106" s="22" t="s">
        <v>22</v>
      </c>
      <c r="N106" s="22" t="s">
        <v>3</v>
      </c>
      <c r="O106" s="87">
        <f>VLOOKUP($B106,BOM!$A$2:$K$94,10,0)</f>
        <v>0</v>
      </c>
      <c r="P106" s="87">
        <f t="shared" si="4"/>
        <v>0</v>
      </c>
      <c r="Q106" s="142" t="str">
        <f>VLOOKUP($B106,BOM!$A$2:$K$94,9,0)</f>
        <v>Cái</v>
      </c>
    </row>
    <row r="107" spans="1:17">
      <c r="A107" s="141"/>
      <c r="B107" s="81"/>
      <c r="C107" s="72" t="s">
        <v>1</v>
      </c>
      <c r="D107" s="72" t="s">
        <v>0</v>
      </c>
      <c r="E107" s="72">
        <v>1</v>
      </c>
      <c r="F107" s="72"/>
      <c r="G107" s="72">
        <f>ROUNDUP(G103/24,0)</f>
        <v>0</v>
      </c>
      <c r="H107" s="72">
        <f t="shared" ref="H107" si="5">ROUNDUP(H103/24,0)</f>
        <v>1</v>
      </c>
      <c r="I107" s="72"/>
      <c r="J107" s="72"/>
      <c r="K107" s="83"/>
      <c r="L107" s="83"/>
      <c r="M107" s="83"/>
      <c r="N107" s="83"/>
      <c r="O107" s="87">
        <f>VLOOKUP($B107,BOM!$A$2:$K$94,10,0)</f>
        <v>0</v>
      </c>
      <c r="P107" s="87">
        <f t="shared" si="4"/>
        <v>0</v>
      </c>
      <c r="Q107" s="84">
        <f>VLOOKUP($B107,BOM!$A$2:$K$94,9,0)</f>
        <v>0</v>
      </c>
    </row>
    <row r="108" spans="1:17" s="45" customFormat="1">
      <c r="A108" s="141"/>
      <c r="B108" s="62">
        <v>760249997</v>
      </c>
      <c r="C108" s="62" t="s">
        <v>2</v>
      </c>
      <c r="D108" s="85" t="s">
        <v>3</v>
      </c>
      <c r="E108" s="85">
        <f>ROUNDUP((E110+E114)/3,0)</f>
        <v>1</v>
      </c>
      <c r="F108" s="62"/>
      <c r="G108" s="62"/>
      <c r="H108" s="62"/>
      <c r="I108" s="62"/>
      <c r="J108" s="21">
        <f>E108</f>
        <v>1</v>
      </c>
      <c r="K108" s="62" t="s">
        <v>4</v>
      </c>
      <c r="L108" s="62" t="s">
        <v>5</v>
      </c>
      <c r="M108" s="86" t="s">
        <v>6</v>
      </c>
      <c r="N108" s="86" t="s">
        <v>3</v>
      </c>
      <c r="O108" s="87">
        <f>VLOOKUP($B108,BOM!$A$2:$K$94,10,0)</f>
        <v>0</v>
      </c>
      <c r="P108" s="87">
        <f t="shared" si="4"/>
        <v>0</v>
      </c>
      <c r="Q108" s="87" t="str">
        <f>VLOOKUP($B108,BOM!$A$2:$K$94,9,0)</f>
        <v>Cái</v>
      </c>
    </row>
    <row r="109" spans="1:17" s="45" customFormat="1">
      <c r="A109" s="141"/>
      <c r="B109" s="62">
        <v>760241378</v>
      </c>
      <c r="C109" s="62" t="s">
        <v>7</v>
      </c>
      <c r="D109" s="85" t="s">
        <v>3</v>
      </c>
      <c r="E109" s="85">
        <f>IF(E110&lt;=2,1,ROUNDUP(E108*1.5,0))</f>
        <v>1</v>
      </c>
      <c r="F109" s="62"/>
      <c r="G109" s="62"/>
      <c r="H109" s="62"/>
      <c r="I109" s="62"/>
      <c r="J109" s="62"/>
      <c r="K109" s="62" t="s">
        <v>4</v>
      </c>
      <c r="L109" s="62" t="s">
        <v>5</v>
      </c>
      <c r="M109" s="86" t="s">
        <v>6</v>
      </c>
      <c r="N109" s="86" t="s">
        <v>3</v>
      </c>
      <c r="O109" s="87">
        <f>VLOOKUP($B109,BOM!$A$2:$K$94,10,0)</f>
        <v>0</v>
      </c>
      <c r="P109" s="87">
        <f t="shared" si="4"/>
        <v>0</v>
      </c>
      <c r="Q109" s="87" t="str">
        <f>VLOOKUP($B109,BOM!$A$2:$K$94,9,0)</f>
        <v>Cái</v>
      </c>
    </row>
    <row r="110" spans="1:17" s="45" customFormat="1">
      <c r="A110" s="141"/>
      <c r="B110" s="62" t="s">
        <v>8</v>
      </c>
      <c r="C110" s="62" t="s">
        <v>9</v>
      </c>
      <c r="D110" s="85" t="s">
        <v>3</v>
      </c>
      <c r="E110" s="85">
        <f>G107</f>
        <v>0</v>
      </c>
      <c r="F110" s="62"/>
      <c r="G110" s="62"/>
      <c r="H110" s="62"/>
      <c r="I110" s="62"/>
      <c r="J110" s="62"/>
      <c r="K110" s="62" t="s">
        <v>4</v>
      </c>
      <c r="L110" s="62" t="s">
        <v>5</v>
      </c>
      <c r="M110" s="86" t="s">
        <v>6</v>
      </c>
      <c r="N110" s="86" t="s">
        <v>3</v>
      </c>
      <c r="O110" s="87">
        <f>VLOOKUP($B110,BOM!$A$2:$K$94,10,0)</f>
        <v>0</v>
      </c>
      <c r="P110" s="87">
        <f t="shared" si="4"/>
        <v>0</v>
      </c>
      <c r="Q110" s="87" t="str">
        <f>VLOOKUP($B110,BOM!$A$2:$K$94,9,0)</f>
        <v>Cái</v>
      </c>
    </row>
    <row r="111" spans="1:17" s="45" customFormat="1">
      <c r="A111" s="141"/>
      <c r="B111" s="62" t="s">
        <v>10</v>
      </c>
      <c r="C111" s="62" t="s">
        <v>11</v>
      </c>
      <c r="D111" s="85" t="s">
        <v>3</v>
      </c>
      <c r="E111" s="85">
        <f>E108*3-E110-E114</f>
        <v>2</v>
      </c>
      <c r="F111" s="62"/>
      <c r="G111" s="62"/>
      <c r="H111" s="62"/>
      <c r="I111" s="62"/>
      <c r="J111" s="62"/>
      <c r="K111" s="62" t="s">
        <v>4</v>
      </c>
      <c r="L111" s="62" t="s">
        <v>5</v>
      </c>
      <c r="M111" s="86" t="s">
        <v>6</v>
      </c>
      <c r="N111" s="86" t="s">
        <v>3</v>
      </c>
      <c r="O111" s="87">
        <f>VLOOKUP($B111,BOM!$A$2:$K$94,10,0)</f>
        <v>0</v>
      </c>
      <c r="P111" s="87">
        <f t="shared" si="4"/>
        <v>0</v>
      </c>
      <c r="Q111" s="87" t="str">
        <f>VLOOKUP($B111,BOM!$A$2:$K$94,9,0)</f>
        <v>Cái</v>
      </c>
    </row>
    <row r="112" spans="1:17" s="45" customFormat="1">
      <c r="A112" s="141"/>
      <c r="B112" s="62" t="s">
        <v>12</v>
      </c>
      <c r="C112" s="62" t="s">
        <v>13</v>
      </c>
      <c r="D112" s="85" t="s">
        <v>14</v>
      </c>
      <c r="E112" s="85">
        <f>G103/2</f>
        <v>0</v>
      </c>
      <c r="F112" s="62"/>
      <c r="G112" s="62"/>
      <c r="H112" s="62"/>
      <c r="I112" s="62"/>
      <c r="J112" s="62"/>
      <c r="K112" s="62" t="s">
        <v>4</v>
      </c>
      <c r="L112" s="62" t="s">
        <v>5</v>
      </c>
      <c r="M112" s="86" t="s">
        <v>6</v>
      </c>
      <c r="N112" s="86" t="s">
        <v>15</v>
      </c>
      <c r="O112" s="87">
        <f>VLOOKUP($B112,BOM!$A$2:$K$94,10,0)</f>
        <v>0</v>
      </c>
      <c r="P112" s="87">
        <f t="shared" si="4"/>
        <v>0</v>
      </c>
      <c r="Q112" s="87" t="str">
        <f>VLOOKUP($B112,BOM!$A$2:$K$94,9,0)</f>
        <v>Sợi</v>
      </c>
    </row>
    <row r="113" spans="1:17" s="45" customFormat="1">
      <c r="A113" s="141"/>
      <c r="B113" s="62" t="s">
        <v>16</v>
      </c>
      <c r="C113" s="62" t="s">
        <v>17</v>
      </c>
      <c r="D113" s="85" t="s">
        <v>14</v>
      </c>
      <c r="E113" s="85">
        <f>ROUNDUP((E120*1.3),0)</f>
        <v>0</v>
      </c>
      <c r="F113" s="62"/>
      <c r="G113" s="62"/>
      <c r="H113" s="62"/>
      <c r="I113" s="62"/>
      <c r="J113" s="62"/>
      <c r="K113" s="62" t="s">
        <v>4</v>
      </c>
      <c r="L113" s="62" t="s">
        <v>5</v>
      </c>
      <c r="M113" s="86" t="s">
        <v>6</v>
      </c>
      <c r="N113" s="86" t="s">
        <v>15</v>
      </c>
      <c r="O113" s="87">
        <f>VLOOKUP($B113,BOM!$A$2:$K$94,10,0)</f>
        <v>0</v>
      </c>
      <c r="P113" s="87">
        <f t="shared" si="4"/>
        <v>0</v>
      </c>
      <c r="Q113" s="87" t="str">
        <f>VLOOKUP($B113,BOM!$A$2:$K$94,9,0)</f>
        <v>Sợi</v>
      </c>
    </row>
    <row r="114" spans="1:17" s="110" customFormat="1">
      <c r="A114" s="141"/>
      <c r="B114" s="66" t="s">
        <v>198</v>
      </c>
      <c r="C114" s="66" t="s">
        <v>199</v>
      </c>
      <c r="D114" s="89" t="s">
        <v>3</v>
      </c>
      <c r="E114" s="89">
        <f>H107</f>
        <v>1</v>
      </c>
      <c r="F114" s="66"/>
      <c r="G114" s="66"/>
      <c r="H114" s="66"/>
      <c r="I114" s="66"/>
      <c r="J114" s="66"/>
      <c r="K114" s="108" t="s">
        <v>4</v>
      </c>
      <c r="L114" s="108" t="s">
        <v>5</v>
      </c>
      <c r="M114" s="109" t="s">
        <v>6</v>
      </c>
      <c r="N114" s="109" t="s">
        <v>15</v>
      </c>
      <c r="O114" s="87">
        <f>VLOOKUP($B114,BOM!$A$2:$K$94,10,0)</f>
        <v>0</v>
      </c>
      <c r="P114" s="87">
        <f t="shared" si="4"/>
        <v>0</v>
      </c>
      <c r="Q114" s="146" t="str">
        <f>VLOOKUP($B114,BOM!$A$2:$K$94,9,0)</f>
        <v>Cái</v>
      </c>
    </row>
    <row r="115" spans="1:17" s="111" customFormat="1">
      <c r="A115" s="141"/>
      <c r="B115" s="66" t="s">
        <v>194</v>
      </c>
      <c r="C115" s="66" t="s">
        <v>195</v>
      </c>
      <c r="D115" s="89" t="s">
        <v>14</v>
      </c>
      <c r="E115" s="89">
        <f>ROUNDUP((E119*1.3),0)</f>
        <v>4</v>
      </c>
      <c r="F115" s="108"/>
      <c r="G115" s="108"/>
      <c r="H115" s="108"/>
      <c r="I115" s="108"/>
      <c r="J115" s="108"/>
      <c r="K115" s="108" t="s">
        <v>4</v>
      </c>
      <c r="L115" s="108" t="s">
        <v>5</v>
      </c>
      <c r="M115" s="109" t="s">
        <v>6</v>
      </c>
      <c r="N115" s="109" t="s">
        <v>15</v>
      </c>
      <c r="O115" s="87">
        <f>VLOOKUP($B115,BOM!$A$2:$K$94,10,0)</f>
        <v>0</v>
      </c>
      <c r="P115" s="87">
        <f t="shared" si="4"/>
        <v>0</v>
      </c>
      <c r="Q115" s="146" t="str">
        <f>VLOOKUP($B115,BOM!$A$2:$K$94,9,0)</f>
        <v>Cái</v>
      </c>
    </row>
    <row r="116" spans="1:17" s="110" customFormat="1">
      <c r="A116" s="141"/>
      <c r="B116" s="66" t="s">
        <v>196</v>
      </c>
      <c r="C116" s="66" t="s">
        <v>197</v>
      </c>
      <c r="D116" s="89" t="s">
        <v>14</v>
      </c>
      <c r="E116" s="89">
        <f>H103/2</f>
        <v>8</v>
      </c>
      <c r="F116" s="66"/>
      <c r="G116" s="66"/>
      <c r="H116" s="66"/>
      <c r="I116" s="66"/>
      <c r="J116" s="66"/>
      <c r="K116" s="108" t="s">
        <v>4</v>
      </c>
      <c r="L116" s="108" t="s">
        <v>5</v>
      </c>
      <c r="M116" s="109" t="s">
        <v>6</v>
      </c>
      <c r="N116" s="109" t="s">
        <v>15</v>
      </c>
      <c r="O116" s="87">
        <f>VLOOKUP($B116,BOM!$A$2:$K$94,10,0)</f>
        <v>0</v>
      </c>
      <c r="P116" s="87">
        <f t="shared" si="4"/>
        <v>0</v>
      </c>
      <c r="Q116" s="146" t="str">
        <f>VLOOKUP($B116,BOM!$A$2:$K$94,9,0)</f>
        <v>Cái</v>
      </c>
    </row>
    <row r="117" spans="1:17">
      <c r="A117" s="141"/>
      <c r="B117" s="81"/>
      <c r="C117" s="72" t="s">
        <v>26</v>
      </c>
      <c r="D117" s="72" t="s">
        <v>0</v>
      </c>
      <c r="E117" s="72">
        <v>1</v>
      </c>
      <c r="F117" s="72"/>
      <c r="G117" s="72"/>
      <c r="H117" s="72"/>
      <c r="I117" s="72"/>
      <c r="J117" s="72"/>
      <c r="K117" s="83"/>
      <c r="L117" s="83"/>
      <c r="M117" s="83"/>
      <c r="N117" s="83"/>
      <c r="O117" s="87">
        <f>VLOOKUP($B117,BOM!$A$2:$K$94,10,0)</f>
        <v>0</v>
      </c>
      <c r="P117" s="87">
        <f t="shared" si="4"/>
        <v>0</v>
      </c>
      <c r="Q117" s="84">
        <f>VLOOKUP($B117,BOM!$A$2:$K$94,9,0)</f>
        <v>0</v>
      </c>
    </row>
    <row r="118" spans="1:17" ht="60">
      <c r="A118" s="147"/>
      <c r="B118" s="67" t="s">
        <v>228</v>
      </c>
      <c r="C118" s="187" t="s">
        <v>324</v>
      </c>
      <c r="D118" s="90" t="s">
        <v>51</v>
      </c>
      <c r="E118" s="90">
        <v>1</v>
      </c>
      <c r="F118" s="65"/>
      <c r="G118" s="65"/>
      <c r="H118" s="65"/>
      <c r="I118" s="65"/>
      <c r="J118" s="103">
        <f>E118</f>
        <v>1</v>
      </c>
      <c r="K118" s="65" t="s">
        <v>143</v>
      </c>
      <c r="L118" s="65" t="s">
        <v>151</v>
      </c>
      <c r="M118" s="90" t="s">
        <v>154</v>
      </c>
      <c r="N118" s="90" t="s">
        <v>51</v>
      </c>
      <c r="O118" s="87">
        <f>VLOOKUP($B118,BOM!$A$2:$K$94,10,0)</f>
        <v>0</v>
      </c>
      <c r="P118" s="87">
        <f t="shared" si="4"/>
        <v>0</v>
      </c>
      <c r="Q118" s="151" t="str">
        <f>VLOOKUP($B118,BOM!$A$2:$K$94,9,0)</f>
        <v>cái</v>
      </c>
    </row>
    <row r="119" spans="1:17" s="111" customFormat="1">
      <c r="A119" s="120"/>
      <c r="B119" s="68" t="s">
        <v>216</v>
      </c>
      <c r="C119" s="68" t="s">
        <v>217</v>
      </c>
      <c r="D119" s="89" t="s">
        <v>64</v>
      </c>
      <c r="E119" s="89">
        <v>3</v>
      </c>
      <c r="F119" s="124"/>
      <c r="G119" s="124"/>
      <c r="H119" s="124"/>
      <c r="I119" s="124"/>
      <c r="J119" s="124"/>
      <c r="K119" s="124" t="s">
        <v>143</v>
      </c>
      <c r="L119" s="124" t="s">
        <v>151</v>
      </c>
      <c r="M119" s="89" t="s">
        <v>154</v>
      </c>
      <c r="N119" s="89" t="s">
        <v>64</v>
      </c>
      <c r="O119" s="87">
        <f>VLOOKUP($B119,BOM!$A$2:$K$94,10,0)</f>
        <v>0</v>
      </c>
      <c r="P119" s="87">
        <f t="shared" si="4"/>
        <v>0</v>
      </c>
      <c r="Q119" s="152" t="str">
        <f>VLOOKUP($B119,BOM!$A$2:$K$94,9,0)</f>
        <v>cái</v>
      </c>
    </row>
    <row r="120" spans="1:17" s="45" customFormat="1">
      <c r="A120" s="141"/>
      <c r="B120" s="64" t="s">
        <v>212</v>
      </c>
      <c r="C120" s="64" t="s">
        <v>213</v>
      </c>
      <c r="D120" s="97" t="s">
        <v>64</v>
      </c>
      <c r="E120" s="98">
        <v>0</v>
      </c>
      <c r="F120" s="95"/>
      <c r="G120" s="95"/>
      <c r="H120" s="95"/>
      <c r="I120" s="95"/>
      <c r="J120" s="95"/>
      <c r="K120" s="95" t="s">
        <v>143</v>
      </c>
      <c r="L120" s="95" t="s">
        <v>151</v>
      </c>
      <c r="M120" s="97" t="s">
        <v>154</v>
      </c>
      <c r="N120" s="97" t="s">
        <v>64</v>
      </c>
      <c r="O120" s="87">
        <f>VLOOKUP($B120,BOM!$A$2:$K$94,10,0)</f>
        <v>0</v>
      </c>
      <c r="P120" s="87">
        <f t="shared" si="4"/>
        <v>0</v>
      </c>
      <c r="Q120" s="153" t="str">
        <f>VLOOKUP($B120,BOM!$A$2:$K$94,9,0)</f>
        <v>cái</v>
      </c>
    </row>
    <row r="121" spans="1:17" s="45" customFormat="1">
      <c r="A121" s="141"/>
      <c r="B121" s="62"/>
      <c r="C121" s="62"/>
      <c r="D121" s="85"/>
      <c r="E121" s="90"/>
      <c r="F121" s="62"/>
      <c r="G121" s="62"/>
      <c r="H121" s="62"/>
      <c r="I121" s="62"/>
      <c r="J121" s="62"/>
      <c r="K121" s="62"/>
      <c r="L121" s="62"/>
      <c r="M121" s="86"/>
      <c r="N121" s="86"/>
      <c r="O121" s="87">
        <f>VLOOKUP($B121,BOM!$A$2:$K$94,10,0)</f>
        <v>0</v>
      </c>
      <c r="P121" s="87">
        <f t="shared" si="4"/>
        <v>0</v>
      </c>
      <c r="Q121" s="87">
        <f>VLOOKUP($B121,BOM!$A$2:$K$94,9,0)</f>
        <v>0</v>
      </c>
    </row>
    <row r="122" spans="1:17" s="45" customFormat="1">
      <c r="A122" s="141"/>
      <c r="B122" s="62"/>
      <c r="C122" s="62"/>
      <c r="D122" s="85"/>
      <c r="E122" s="90"/>
      <c r="F122" s="62"/>
      <c r="G122" s="62"/>
      <c r="H122" s="62"/>
      <c r="I122" s="62"/>
      <c r="J122" s="62"/>
      <c r="K122" s="62"/>
      <c r="L122" s="62"/>
      <c r="M122" s="86"/>
      <c r="N122" s="86"/>
      <c r="O122" s="87">
        <f>VLOOKUP($B122,BOM!$A$2:$K$94,10,0)</f>
        <v>0</v>
      </c>
      <c r="P122" s="87">
        <f t="shared" si="4"/>
        <v>0</v>
      </c>
      <c r="Q122" s="87">
        <f>VLOOKUP($B122,BOM!$A$2:$K$94,9,0)</f>
        <v>0</v>
      </c>
    </row>
    <row r="123" spans="1:17" outlineLevel="1">
      <c r="A123" s="141"/>
      <c r="B123" s="117"/>
      <c r="C123" s="61" t="s">
        <v>67</v>
      </c>
      <c r="D123" s="119" t="s">
        <v>0</v>
      </c>
      <c r="E123" s="120">
        <v>1</v>
      </c>
      <c r="F123" s="121"/>
      <c r="G123" s="121"/>
      <c r="H123" s="121" t="s">
        <v>69</v>
      </c>
      <c r="I123" s="122"/>
      <c r="J123" s="21">
        <f t="shared" ref="J123:J124" si="6">E123</f>
        <v>1</v>
      </c>
      <c r="K123" s="63"/>
      <c r="L123" s="63"/>
      <c r="M123" s="63"/>
      <c r="N123" s="63"/>
      <c r="O123" s="87">
        <f>VLOOKUP($B123,BOM!$A$2:$K$94,10,0)</f>
        <v>0</v>
      </c>
      <c r="P123" s="87">
        <f t="shared" si="4"/>
        <v>0</v>
      </c>
      <c r="Q123" s="80">
        <f>VLOOKUP($B123,BOM!$A$2:$K$94,9,0)</f>
        <v>0</v>
      </c>
    </row>
    <row r="124" spans="1:17" outlineLevel="1">
      <c r="A124" s="141"/>
      <c r="B124" s="117"/>
      <c r="C124" s="61" t="s">
        <v>70</v>
      </c>
      <c r="D124" s="119" t="s">
        <v>0</v>
      </c>
      <c r="E124" s="120">
        <v>1</v>
      </c>
      <c r="F124" s="121"/>
      <c r="G124" s="121"/>
      <c r="H124" s="121" t="s">
        <v>69</v>
      </c>
      <c r="I124" s="122"/>
      <c r="J124" s="21">
        <f t="shared" si="6"/>
        <v>1</v>
      </c>
      <c r="K124" s="63"/>
      <c r="L124" s="63"/>
      <c r="M124" s="63"/>
      <c r="N124" s="63"/>
      <c r="O124" s="87">
        <f>VLOOKUP($B124,BOM!$A$2:$K$94,10,0)</f>
        <v>0</v>
      </c>
      <c r="P124" s="87">
        <f t="shared" si="4"/>
        <v>0</v>
      </c>
      <c r="Q124" s="80">
        <f>VLOOKUP($B124,BOM!$A$2:$K$94,9,0)</f>
        <v>0</v>
      </c>
    </row>
    <row r="125" spans="1:17">
      <c r="A125" s="141"/>
      <c r="B125" s="81"/>
      <c r="C125" s="72" t="s">
        <v>18</v>
      </c>
      <c r="D125" s="72" t="s">
        <v>0</v>
      </c>
      <c r="E125" s="72">
        <v>1</v>
      </c>
      <c r="F125" s="72"/>
      <c r="G125" s="72"/>
      <c r="H125" s="72"/>
      <c r="I125" s="72"/>
      <c r="J125" s="72"/>
      <c r="K125" s="83"/>
      <c r="L125" s="83"/>
      <c r="M125" s="83"/>
      <c r="N125" s="83"/>
      <c r="O125" s="87">
        <f>VLOOKUP($B125,BOM!$A$2:$K$94,10,0)</f>
        <v>0</v>
      </c>
      <c r="P125" s="87">
        <f t="shared" si="4"/>
        <v>0</v>
      </c>
      <c r="Q125" s="84">
        <f>VLOOKUP($B125,BOM!$A$2:$K$94,9,0)</f>
        <v>0</v>
      </c>
    </row>
    <row r="126" spans="1:17" s="45" customFormat="1">
      <c r="A126" s="141"/>
      <c r="B126" s="62">
        <v>760237046</v>
      </c>
      <c r="C126" s="62" t="s">
        <v>19</v>
      </c>
      <c r="D126" s="85" t="s">
        <v>3</v>
      </c>
      <c r="E126" s="85">
        <f>E118+E121</f>
        <v>1</v>
      </c>
      <c r="F126" s="62"/>
      <c r="G126" s="62"/>
      <c r="H126" s="62"/>
      <c r="I126" s="62"/>
      <c r="J126" s="21">
        <f>E126</f>
        <v>1</v>
      </c>
      <c r="K126" s="62" t="s">
        <v>4</v>
      </c>
      <c r="L126" s="62" t="s">
        <v>5</v>
      </c>
      <c r="M126" s="86" t="s">
        <v>6</v>
      </c>
      <c r="N126" s="86" t="s">
        <v>3</v>
      </c>
      <c r="O126" s="87">
        <f>VLOOKUP($B126,BOM!$A$2:$K$94,10,0)</f>
        <v>0</v>
      </c>
      <c r="P126" s="87">
        <f t="shared" si="4"/>
        <v>0</v>
      </c>
      <c r="Q126" s="87" t="str">
        <f>VLOOKUP($B126,BOM!$A$2:$K$94,9,0)</f>
        <v>Cái</v>
      </c>
    </row>
    <row r="127" spans="1:17" s="45" customFormat="1">
      <c r="A127" s="141"/>
      <c r="B127" s="62" t="s">
        <v>23</v>
      </c>
      <c r="C127" s="62" t="s">
        <v>24</v>
      </c>
      <c r="D127" s="85" t="s">
        <v>3</v>
      </c>
      <c r="E127" s="85">
        <f>E126*24</f>
        <v>24</v>
      </c>
      <c r="F127" s="62"/>
      <c r="G127" s="62"/>
      <c r="H127" s="62"/>
      <c r="I127" s="62"/>
      <c r="J127" s="62"/>
      <c r="K127" s="62" t="s">
        <v>25</v>
      </c>
      <c r="L127" s="62" t="s">
        <v>5</v>
      </c>
      <c r="M127" s="86" t="s">
        <v>6</v>
      </c>
      <c r="N127" s="86" t="s">
        <v>3</v>
      </c>
      <c r="O127" s="87">
        <f>VLOOKUP($B127,BOM!$A$2:$K$94,10,0)</f>
        <v>0</v>
      </c>
      <c r="P127" s="87">
        <f t="shared" si="4"/>
        <v>0</v>
      </c>
      <c r="Q127" s="87" t="str">
        <f>VLOOKUP($B127,BOM!$A$2:$K$94,9,0)</f>
        <v>Cái</v>
      </c>
    </row>
    <row r="128" spans="1:17" s="45" customFormat="1">
      <c r="A128" s="141"/>
      <c r="B128" s="62" t="s">
        <v>20</v>
      </c>
      <c r="C128" s="62" t="s">
        <v>21</v>
      </c>
      <c r="D128" s="85" t="s">
        <v>3</v>
      </c>
      <c r="E128" s="85">
        <f>E126</f>
        <v>1</v>
      </c>
      <c r="F128" s="62"/>
      <c r="G128" s="62"/>
      <c r="H128" s="62"/>
      <c r="I128" s="62"/>
      <c r="J128" s="21">
        <f>E128</f>
        <v>1</v>
      </c>
      <c r="K128" s="62" t="s">
        <v>4</v>
      </c>
      <c r="L128" s="62" t="s">
        <v>5</v>
      </c>
      <c r="M128" s="86" t="s">
        <v>22</v>
      </c>
      <c r="N128" s="86" t="s">
        <v>3</v>
      </c>
      <c r="O128" s="87">
        <f>VLOOKUP($B128,BOM!$A$2:$K$94,10,0)</f>
        <v>0</v>
      </c>
      <c r="P128" s="87">
        <f t="shared" si="4"/>
        <v>0</v>
      </c>
      <c r="Q128" s="87" t="str">
        <f>VLOOKUP($B128,BOM!$A$2:$K$94,9,0)</f>
        <v>Cái</v>
      </c>
    </row>
    <row r="129" spans="1:17">
      <c r="A129" s="141"/>
      <c r="B129" s="81"/>
      <c r="C129" s="72" t="s">
        <v>71</v>
      </c>
      <c r="D129" s="72" t="s">
        <v>0</v>
      </c>
      <c r="E129" s="72">
        <v>1</v>
      </c>
      <c r="F129" s="72"/>
      <c r="G129" s="72"/>
      <c r="H129" s="72"/>
      <c r="I129" s="72"/>
      <c r="J129" s="72"/>
      <c r="K129" s="83"/>
      <c r="L129" s="83"/>
      <c r="M129" s="83"/>
      <c r="N129" s="83"/>
      <c r="O129" s="87">
        <f>VLOOKUP($B129,BOM!$A$2:$K$94,10,0)</f>
        <v>0</v>
      </c>
      <c r="P129" s="87">
        <f t="shared" si="4"/>
        <v>0</v>
      </c>
      <c r="Q129" s="84">
        <f>VLOOKUP($B129,BOM!$A$2:$K$94,9,0)</f>
        <v>0</v>
      </c>
    </row>
    <row r="130" spans="1:17" s="45" customFormat="1">
      <c r="A130" s="141"/>
      <c r="B130" s="62" t="s">
        <v>314</v>
      </c>
      <c r="C130" s="62" t="s">
        <v>316</v>
      </c>
      <c r="D130" s="116" t="s">
        <v>51</v>
      </c>
      <c r="E130" s="85">
        <v>1</v>
      </c>
      <c r="F130" s="62"/>
      <c r="G130" s="62"/>
      <c r="H130" s="62"/>
      <c r="I130" s="62"/>
      <c r="J130" s="86">
        <f>E130*8</f>
        <v>8</v>
      </c>
      <c r="K130" s="62"/>
      <c r="L130" s="62" t="s">
        <v>5</v>
      </c>
      <c r="M130" s="86" t="s">
        <v>28</v>
      </c>
      <c r="N130" s="86" t="s">
        <v>3</v>
      </c>
      <c r="O130" s="87">
        <f>VLOOKUP($B130,BOM!$A$2:$K$94,10,0)</f>
        <v>0</v>
      </c>
      <c r="P130" s="87">
        <f t="shared" si="4"/>
        <v>0</v>
      </c>
      <c r="Q130" s="87" t="str">
        <f>VLOOKUP($B130,BOM!$A$2:$K$94,9,0)</f>
        <v>Cái</v>
      </c>
    </row>
    <row r="131" spans="1:17" s="45" customFormat="1">
      <c r="A131" s="141"/>
      <c r="B131" s="62"/>
      <c r="C131" s="62"/>
      <c r="D131" s="116"/>
      <c r="E131" s="85"/>
      <c r="F131" s="62"/>
      <c r="G131" s="62"/>
      <c r="H131" s="62"/>
      <c r="I131" s="62"/>
      <c r="J131" s="62"/>
      <c r="K131" s="62"/>
      <c r="L131" s="62"/>
      <c r="M131" s="86"/>
      <c r="N131" s="86"/>
      <c r="O131" s="87">
        <f>VLOOKUP($B131,BOM!$A$2:$K$94,10,0)</f>
        <v>0</v>
      </c>
      <c r="P131" s="87">
        <f t="shared" si="4"/>
        <v>0</v>
      </c>
      <c r="Q131" s="87">
        <f>VLOOKUP($B131,BOM!$A$2:$K$94,9,0)</f>
        <v>0</v>
      </c>
    </row>
    <row r="132" spans="1:17" s="45" customFormat="1">
      <c r="A132" s="141"/>
      <c r="B132" s="62" t="s">
        <v>225</v>
      </c>
      <c r="C132" s="62" t="s">
        <v>72</v>
      </c>
      <c r="D132" s="116" t="s">
        <v>64</v>
      </c>
      <c r="E132" s="85">
        <v>0</v>
      </c>
      <c r="F132" s="62"/>
      <c r="G132" s="62"/>
      <c r="H132" s="62"/>
      <c r="I132" s="62"/>
      <c r="J132" s="21">
        <f>E132</f>
        <v>0</v>
      </c>
      <c r="K132" s="62"/>
      <c r="L132" s="62" t="s">
        <v>5</v>
      </c>
      <c r="M132" s="86" t="s">
        <v>28</v>
      </c>
      <c r="N132" s="86" t="s">
        <v>3</v>
      </c>
      <c r="O132" s="87">
        <f>VLOOKUP($B132,BOM!$A$2:$K$94,10,0)</f>
        <v>0</v>
      </c>
      <c r="P132" s="87">
        <f t="shared" si="4"/>
        <v>0</v>
      </c>
      <c r="Q132" s="87" t="str">
        <f>VLOOKUP($B132,BOM!$A$2:$K$94,9,0)</f>
        <v>Cái</v>
      </c>
    </row>
    <row r="133" spans="1:17">
      <c r="A133" s="141"/>
      <c r="B133" s="81"/>
      <c r="C133" s="72" t="s">
        <v>31</v>
      </c>
      <c r="D133" s="72" t="s">
        <v>0</v>
      </c>
      <c r="E133" s="72">
        <v>1</v>
      </c>
      <c r="F133" s="72"/>
      <c r="G133" s="72"/>
      <c r="H133" s="72"/>
      <c r="I133" s="72"/>
      <c r="J133" s="72"/>
      <c r="K133" s="83"/>
      <c r="L133" s="83"/>
      <c r="M133" s="83"/>
      <c r="N133" s="83"/>
      <c r="O133" s="87">
        <f>VLOOKUP($B133,BOM!$A$2:$K$94,10,0)</f>
        <v>0</v>
      </c>
      <c r="P133" s="87">
        <f t="shared" si="4"/>
        <v>0</v>
      </c>
      <c r="Q133" s="84">
        <f>VLOOKUP($B133,BOM!$A$2:$K$94,9,0)</f>
        <v>0</v>
      </c>
    </row>
    <row r="134" spans="1:17">
      <c r="A134" s="141"/>
      <c r="B134" s="81"/>
      <c r="C134" s="72" t="s">
        <v>32</v>
      </c>
      <c r="D134" s="72"/>
      <c r="E134" s="72"/>
      <c r="F134" s="72"/>
      <c r="G134" s="72">
        <v>6</v>
      </c>
      <c r="H134" s="72"/>
      <c r="I134" s="72"/>
      <c r="J134" s="72"/>
      <c r="K134" s="83"/>
      <c r="L134" s="83"/>
      <c r="M134" s="83"/>
      <c r="N134" s="83"/>
      <c r="O134" s="87">
        <f>VLOOKUP($B134,BOM!$A$2:$K$94,10,0)</f>
        <v>0</v>
      </c>
      <c r="P134" s="87">
        <f t="shared" si="4"/>
        <v>0</v>
      </c>
      <c r="Q134" s="84">
        <f>VLOOKUP($B134,BOM!$A$2:$K$94,9,0)</f>
        <v>0</v>
      </c>
    </row>
    <row r="135" spans="1:17" s="45" customFormat="1" ht="20.45" customHeight="1">
      <c r="A135" s="141"/>
      <c r="B135" s="62" t="s">
        <v>33</v>
      </c>
      <c r="C135" s="62" t="s">
        <v>34</v>
      </c>
      <c r="D135" s="85" t="s">
        <v>3</v>
      </c>
      <c r="E135" s="90">
        <f>E136</f>
        <v>6</v>
      </c>
      <c r="F135" s="62"/>
      <c r="G135" s="62"/>
      <c r="H135" s="62"/>
      <c r="I135" s="62"/>
      <c r="J135" s="62"/>
      <c r="K135" s="62" t="s">
        <v>35</v>
      </c>
      <c r="L135" s="62" t="s">
        <v>5</v>
      </c>
      <c r="M135" s="86" t="s">
        <v>6</v>
      </c>
      <c r="N135" s="86" t="s">
        <v>3</v>
      </c>
      <c r="O135" s="87">
        <f>VLOOKUP($B135,BOM!$A$2:$K$94,10,0)</f>
        <v>0</v>
      </c>
      <c r="P135" s="87">
        <f t="shared" si="4"/>
        <v>0</v>
      </c>
      <c r="Q135" s="87" t="str">
        <f>VLOOKUP($B135,BOM!$A$2:$K$94,9,0)</f>
        <v>Cái</v>
      </c>
    </row>
    <row r="136" spans="1:17" s="45" customFormat="1">
      <c r="A136" s="141"/>
      <c r="B136" s="62" t="s">
        <v>330</v>
      </c>
      <c r="C136" s="62" t="s">
        <v>36</v>
      </c>
      <c r="D136" s="85" t="s">
        <v>3</v>
      </c>
      <c r="E136" s="90">
        <f>G134+H134</f>
        <v>6</v>
      </c>
      <c r="F136" s="62"/>
      <c r="G136" s="62"/>
      <c r="H136" s="62"/>
      <c r="I136" s="62"/>
      <c r="J136" s="62"/>
      <c r="K136" s="62" t="s">
        <v>37</v>
      </c>
      <c r="L136" s="62" t="s">
        <v>5</v>
      </c>
      <c r="M136" s="86" t="s">
        <v>37</v>
      </c>
      <c r="N136" s="86" t="s">
        <v>3</v>
      </c>
      <c r="O136" s="87">
        <f>VLOOKUP($B136,BOM!$A$2:$K$94,10,0)</f>
        <v>0</v>
      </c>
      <c r="P136" s="87">
        <f t="shared" si="4"/>
        <v>0</v>
      </c>
      <c r="Q136" s="87" t="str">
        <f>VLOOKUP($B136,BOM!$A$2:$K$94,9,0)</f>
        <v>Cái</v>
      </c>
    </row>
    <row r="137" spans="1:17" s="45" customFormat="1">
      <c r="A137" s="141"/>
      <c r="B137" s="62" t="s">
        <v>38</v>
      </c>
      <c r="C137" s="62" t="s">
        <v>39</v>
      </c>
      <c r="D137" s="85" t="s">
        <v>3</v>
      </c>
      <c r="E137" s="90">
        <f>E136</f>
        <v>6</v>
      </c>
      <c r="F137" s="62"/>
      <c r="G137" s="62"/>
      <c r="H137" s="62"/>
      <c r="I137" s="62"/>
      <c r="J137" s="62"/>
      <c r="K137" s="62" t="s">
        <v>25</v>
      </c>
      <c r="L137" s="62" t="s">
        <v>5</v>
      </c>
      <c r="M137" s="86" t="s">
        <v>6</v>
      </c>
      <c r="N137" s="86" t="s">
        <v>3</v>
      </c>
      <c r="O137" s="87">
        <f>VLOOKUP($B137,BOM!$A$2:$K$94,10,0)</f>
        <v>0</v>
      </c>
      <c r="P137" s="87">
        <f t="shared" si="4"/>
        <v>0</v>
      </c>
      <c r="Q137" s="87" t="str">
        <f>VLOOKUP($B137,BOM!$A$2:$K$94,9,0)</f>
        <v>Cái</v>
      </c>
    </row>
    <row r="138" spans="1:17">
      <c r="A138" s="141"/>
      <c r="B138" s="81"/>
      <c r="C138" s="72" t="s">
        <v>40</v>
      </c>
      <c r="D138" s="72"/>
      <c r="E138" s="72"/>
      <c r="F138" s="72"/>
      <c r="G138" s="72">
        <v>5</v>
      </c>
      <c r="H138" s="72"/>
      <c r="I138" s="72"/>
      <c r="J138" s="72"/>
      <c r="K138" s="83"/>
      <c r="L138" s="83"/>
      <c r="M138" s="83"/>
      <c r="N138" s="83"/>
      <c r="O138" s="87">
        <f>VLOOKUP($B138,BOM!$A$2:$K$94,10,0)</f>
        <v>0</v>
      </c>
      <c r="P138" s="87">
        <f t="shared" ref="P138:P201" si="7">O138*E138</f>
        <v>0</v>
      </c>
      <c r="Q138" s="84">
        <f>VLOOKUP($B138,BOM!$A$2:$K$94,9,0)</f>
        <v>0</v>
      </c>
    </row>
    <row r="139" spans="1:17" s="45" customFormat="1">
      <c r="A139" s="141"/>
      <c r="B139" s="62" t="s">
        <v>41</v>
      </c>
      <c r="C139" s="62" t="s">
        <v>42</v>
      </c>
      <c r="D139" s="85" t="s">
        <v>3</v>
      </c>
      <c r="E139" s="85">
        <f>G138+H138</f>
        <v>5</v>
      </c>
      <c r="F139" s="62"/>
      <c r="G139" s="62"/>
      <c r="H139" s="62"/>
      <c r="I139" s="62"/>
      <c r="J139" s="62"/>
      <c r="K139" s="62" t="s">
        <v>4</v>
      </c>
      <c r="L139" s="62" t="s">
        <v>5</v>
      </c>
      <c r="M139" s="86" t="s">
        <v>6</v>
      </c>
      <c r="N139" s="86" t="s">
        <v>3</v>
      </c>
      <c r="O139" s="87">
        <f>VLOOKUP($B139,BOM!$A$2:$K$94,10,0)</f>
        <v>0</v>
      </c>
      <c r="P139" s="87">
        <f t="shared" si="7"/>
        <v>0</v>
      </c>
      <c r="Q139" s="87" t="str">
        <f>VLOOKUP($B139,BOM!$A$2:$K$94,9,0)</f>
        <v>Cái</v>
      </c>
    </row>
    <row r="140" spans="1:17" s="45" customFormat="1">
      <c r="A140" s="141"/>
      <c r="B140" s="65" t="s">
        <v>43</v>
      </c>
      <c r="C140" s="65" t="s">
        <v>44</v>
      </c>
      <c r="D140" s="85" t="s">
        <v>3</v>
      </c>
      <c r="E140" s="85">
        <f>E139</f>
        <v>5</v>
      </c>
      <c r="F140" s="62"/>
      <c r="G140" s="62"/>
      <c r="H140" s="62"/>
      <c r="I140" s="62"/>
      <c r="J140" s="62"/>
      <c r="K140" s="62" t="s">
        <v>4</v>
      </c>
      <c r="L140" s="62" t="s">
        <v>5</v>
      </c>
      <c r="M140" s="86" t="s">
        <v>6</v>
      </c>
      <c r="N140" s="86" t="s">
        <v>3</v>
      </c>
      <c r="O140" s="87">
        <f>VLOOKUP($B140,BOM!$A$2:$K$94,10,0)</f>
        <v>0</v>
      </c>
      <c r="P140" s="87">
        <f t="shared" si="7"/>
        <v>0</v>
      </c>
      <c r="Q140" s="87" t="str">
        <f>VLOOKUP($B140,BOM!$A$2:$K$94,9,0)</f>
        <v>Cái</v>
      </c>
    </row>
    <row r="141" spans="1:17">
      <c r="A141" s="141"/>
      <c r="B141" s="81"/>
      <c r="C141" s="72" t="s">
        <v>45</v>
      </c>
      <c r="D141" s="72"/>
      <c r="E141" s="72"/>
      <c r="F141" s="72"/>
      <c r="G141" s="72"/>
      <c r="H141" s="72"/>
      <c r="I141" s="72"/>
      <c r="J141" s="72"/>
      <c r="K141" s="83"/>
      <c r="L141" s="83"/>
      <c r="M141" s="83"/>
      <c r="N141" s="83"/>
      <c r="O141" s="87">
        <f>VLOOKUP($B141,BOM!$A$2:$K$94,10,0)</f>
        <v>0</v>
      </c>
      <c r="P141" s="87">
        <f t="shared" si="7"/>
        <v>0</v>
      </c>
      <c r="Q141" s="84">
        <f>VLOOKUP($B141,BOM!$A$2:$K$94,9,0)</f>
        <v>0</v>
      </c>
    </row>
    <row r="142" spans="1:17" s="45" customFormat="1">
      <c r="A142" s="141"/>
      <c r="B142" s="62" t="s">
        <v>48</v>
      </c>
      <c r="C142" s="62" t="s">
        <v>49</v>
      </c>
      <c r="D142" s="85" t="s">
        <v>14</v>
      </c>
      <c r="E142" s="85">
        <f>E135+E139+1</f>
        <v>12</v>
      </c>
      <c r="F142" s="62"/>
      <c r="G142" s="62"/>
      <c r="H142" s="62"/>
      <c r="I142" s="62"/>
      <c r="J142" s="62"/>
      <c r="K142" s="62"/>
      <c r="L142" s="62" t="s">
        <v>5</v>
      </c>
      <c r="M142" s="86" t="s">
        <v>6</v>
      </c>
      <c r="N142" s="86" t="s">
        <v>15</v>
      </c>
      <c r="O142" s="87">
        <f>VLOOKUP($B142,BOM!$A$2:$K$94,10,0)</f>
        <v>0</v>
      </c>
      <c r="P142" s="87">
        <f t="shared" si="7"/>
        <v>0</v>
      </c>
      <c r="Q142" s="87" t="str">
        <f>VLOOKUP($B142,BOM!$A$2:$K$94,9,0)</f>
        <v>Sợi</v>
      </c>
    </row>
    <row r="143" spans="1:17" s="45" customFormat="1">
      <c r="A143" s="141"/>
      <c r="B143" s="62" t="s">
        <v>48</v>
      </c>
      <c r="C143" s="62" t="s">
        <v>49</v>
      </c>
      <c r="D143" s="85" t="s">
        <v>14</v>
      </c>
      <c r="E143" s="90">
        <f>ROUNDUP(E142*0.2,0)</f>
        <v>3</v>
      </c>
      <c r="F143" s="62"/>
      <c r="G143" s="62"/>
      <c r="H143" s="62"/>
      <c r="I143" s="62"/>
      <c r="J143" s="62"/>
      <c r="K143" s="62" t="s">
        <v>4</v>
      </c>
      <c r="L143" s="62" t="s">
        <v>5</v>
      </c>
      <c r="M143" s="86" t="s">
        <v>6</v>
      </c>
      <c r="N143" s="86" t="s">
        <v>15</v>
      </c>
      <c r="O143" s="87">
        <f>VLOOKUP($B143,BOM!$A$2:$K$94,10,0)</f>
        <v>0</v>
      </c>
      <c r="P143" s="87">
        <f t="shared" si="7"/>
        <v>0</v>
      </c>
      <c r="Q143" s="87" t="str">
        <f>VLOOKUP($B143,BOM!$A$2:$K$94,9,0)</f>
        <v>Sợi</v>
      </c>
    </row>
    <row r="144" spans="1:17">
      <c r="A144" s="141"/>
      <c r="B144" s="81"/>
      <c r="C144" s="72" t="s">
        <v>50</v>
      </c>
      <c r="D144" s="72"/>
      <c r="E144" s="72"/>
      <c r="F144" s="72"/>
      <c r="G144" s="72"/>
      <c r="H144" s="72"/>
      <c r="I144" s="72"/>
      <c r="J144" s="72"/>
      <c r="K144" s="83"/>
      <c r="L144" s="83"/>
      <c r="M144" s="83"/>
      <c r="N144" s="83"/>
      <c r="O144" s="87">
        <f>VLOOKUP($B144,BOM!$A$2:$K$94,10,0)</f>
        <v>0</v>
      </c>
      <c r="P144" s="87">
        <f t="shared" si="7"/>
        <v>0</v>
      </c>
      <c r="Q144" s="84">
        <f>VLOOKUP($B144,BOM!$A$2:$K$94,9,0)</f>
        <v>0</v>
      </c>
    </row>
    <row r="145" spans="1:17" s="45" customFormat="1">
      <c r="A145" s="141"/>
      <c r="B145" s="62" t="s">
        <v>332</v>
      </c>
      <c r="C145" s="62" t="s">
        <v>332</v>
      </c>
      <c r="D145" s="85" t="s">
        <v>51</v>
      </c>
      <c r="E145" s="85">
        <f>E130</f>
        <v>1</v>
      </c>
      <c r="F145" s="62"/>
      <c r="G145" s="62"/>
      <c r="H145" s="62"/>
      <c r="I145" s="62"/>
      <c r="J145" s="62"/>
      <c r="K145" s="62"/>
      <c r="L145" s="62"/>
      <c r="M145" s="86"/>
      <c r="N145" s="86" t="s">
        <v>51</v>
      </c>
      <c r="O145" s="87">
        <f>VLOOKUP($B145,BOM!$A$2:$K$94,10,0)</f>
        <v>0</v>
      </c>
      <c r="P145" s="87">
        <f t="shared" si="7"/>
        <v>0</v>
      </c>
      <c r="Q145" s="87" t="str">
        <f>VLOOKUP($B145,BOM!$A$2:$K$94,9,0)</f>
        <v>bộ</v>
      </c>
    </row>
    <row r="146" spans="1:17" s="45" customFormat="1">
      <c r="A146" s="141"/>
      <c r="B146" s="62" t="s">
        <v>52</v>
      </c>
      <c r="C146" s="62" t="s">
        <v>53</v>
      </c>
      <c r="D146" s="86" t="s">
        <v>54</v>
      </c>
      <c r="E146" s="105">
        <f>E143+E142</f>
        <v>15</v>
      </c>
      <c r="F146" s="62"/>
      <c r="G146" s="62"/>
      <c r="H146" s="62"/>
      <c r="I146" s="62"/>
      <c r="J146" s="62"/>
      <c r="K146" s="62"/>
      <c r="L146" s="62"/>
      <c r="M146" s="86" t="s">
        <v>55</v>
      </c>
      <c r="N146" s="86" t="s">
        <v>54</v>
      </c>
      <c r="O146" s="87">
        <f>VLOOKUP($B146,BOM!$A$2:$K$94,10,0)</f>
        <v>0</v>
      </c>
      <c r="P146" s="87">
        <f t="shared" si="7"/>
        <v>0</v>
      </c>
      <c r="Q146" s="87" t="str">
        <f>VLOOKUP($B146,BOM!$A$2:$K$94,9,0)</f>
        <v>node</v>
      </c>
    </row>
    <row r="147" spans="1:17" s="45" customFormat="1">
      <c r="A147" s="141"/>
      <c r="B147" s="62" t="s">
        <v>56</v>
      </c>
      <c r="C147" s="62" t="s">
        <v>57</v>
      </c>
      <c r="D147" s="86" t="s">
        <v>14</v>
      </c>
      <c r="E147" s="105">
        <f>E116+E112</f>
        <v>8</v>
      </c>
      <c r="F147" s="62"/>
      <c r="G147" s="62"/>
      <c r="H147" s="62"/>
      <c r="I147" s="62"/>
      <c r="J147" s="62"/>
      <c r="K147" s="62"/>
      <c r="L147" s="62"/>
      <c r="M147" s="86" t="s">
        <v>55</v>
      </c>
      <c r="N147" s="86" t="s">
        <v>14</v>
      </c>
      <c r="O147" s="87">
        <f>VLOOKUP($B147,BOM!$A$2:$K$94,10,0)</f>
        <v>0</v>
      </c>
      <c r="P147" s="87">
        <f t="shared" si="7"/>
        <v>0</v>
      </c>
      <c r="Q147" s="87" t="str">
        <f>VLOOKUP($B147,BOM!$A$2:$K$94,9,0)</f>
        <v>sợi</v>
      </c>
    </row>
    <row r="148" spans="1:17" s="45" customFormat="1">
      <c r="A148" s="141"/>
      <c r="B148" s="62" t="s">
        <v>58</v>
      </c>
      <c r="C148" s="62" t="s">
        <v>59</v>
      </c>
      <c r="D148" s="86" t="s">
        <v>60</v>
      </c>
      <c r="E148" s="105">
        <f>E147*2</f>
        <v>16</v>
      </c>
      <c r="F148" s="62"/>
      <c r="G148" s="62"/>
      <c r="H148" s="62"/>
      <c r="I148" s="62"/>
      <c r="J148" s="62"/>
      <c r="K148" s="62"/>
      <c r="L148" s="62"/>
      <c r="M148" s="86" t="s">
        <v>61</v>
      </c>
      <c r="N148" s="86" t="s">
        <v>60</v>
      </c>
      <c r="O148" s="87">
        <f>VLOOKUP($B148,BOM!$A$2:$K$94,10,0)</f>
        <v>0</v>
      </c>
      <c r="P148" s="87">
        <f t="shared" si="7"/>
        <v>0</v>
      </c>
      <c r="Q148" s="87" t="str">
        <f>VLOOKUP($B148,BOM!$A$2:$K$94,9,0)</f>
        <v>đầu</v>
      </c>
    </row>
    <row r="149" spans="1:17" s="45" customFormat="1">
      <c r="A149" s="141"/>
      <c r="B149" s="62" t="s">
        <v>62</v>
      </c>
      <c r="C149" s="62" t="s">
        <v>63</v>
      </c>
      <c r="D149" s="86" t="s">
        <v>64</v>
      </c>
      <c r="E149" s="105">
        <f>E126</f>
        <v>1</v>
      </c>
      <c r="F149" s="62"/>
      <c r="G149" s="62"/>
      <c r="H149" s="62"/>
      <c r="I149" s="62"/>
      <c r="J149" s="62"/>
      <c r="K149" s="62"/>
      <c r="L149" s="62"/>
      <c r="M149" s="86" t="s">
        <v>61</v>
      </c>
      <c r="N149" s="86" t="s">
        <v>64</v>
      </c>
      <c r="O149" s="87">
        <f>VLOOKUP($B149,BOM!$A$2:$K$94,10,0)</f>
        <v>0</v>
      </c>
      <c r="P149" s="87">
        <f t="shared" si="7"/>
        <v>0</v>
      </c>
      <c r="Q149" s="87" t="str">
        <f>VLOOKUP($B149,BOM!$A$2:$K$94,9,0)</f>
        <v>cái</v>
      </c>
    </row>
    <row r="150" spans="1:17" s="140" customFormat="1">
      <c r="A150" s="134">
        <v>3</v>
      </c>
      <c r="B150" s="135"/>
      <c r="C150" s="71" t="s">
        <v>73</v>
      </c>
      <c r="D150" s="136" t="s">
        <v>0</v>
      </c>
      <c r="E150" s="134">
        <v>1</v>
      </c>
      <c r="F150" s="134"/>
      <c r="G150" s="134"/>
      <c r="H150" s="134">
        <v>16</v>
      </c>
      <c r="I150" s="134"/>
      <c r="J150" s="137">
        <f>SUBTOTAL(9,J153:J177)</f>
        <v>15</v>
      </c>
      <c r="K150" s="137"/>
      <c r="L150" s="137"/>
      <c r="M150" s="137"/>
      <c r="N150" s="137"/>
      <c r="O150" s="87">
        <f>VLOOKUP($B150,BOM!$A$2:$K$94,10,0)</f>
        <v>0</v>
      </c>
      <c r="P150" s="87">
        <f t="shared" si="7"/>
        <v>0</v>
      </c>
      <c r="Q150" s="139">
        <f>VLOOKUP($B150,BOM!$A$2:$K$94,9,0)</f>
        <v>0</v>
      </c>
    </row>
    <row r="151" spans="1:17">
      <c r="A151" s="141"/>
      <c r="B151" s="81"/>
      <c r="C151" s="72" t="s">
        <v>124</v>
      </c>
      <c r="D151" s="72" t="s">
        <v>0</v>
      </c>
      <c r="E151" s="72">
        <v>1</v>
      </c>
      <c r="F151" s="72"/>
      <c r="G151" s="72"/>
      <c r="H151" s="72"/>
      <c r="I151" s="72"/>
      <c r="J151" s="72"/>
      <c r="K151" s="83"/>
      <c r="L151" s="83"/>
      <c r="M151" s="83"/>
      <c r="N151" s="83"/>
      <c r="O151" s="87">
        <f>VLOOKUP($B151,BOM!$A$2:$K$94,10,0)</f>
        <v>0</v>
      </c>
      <c r="P151" s="87">
        <f t="shared" si="7"/>
        <v>0</v>
      </c>
      <c r="Q151" s="84">
        <f>VLOOKUP($B151,BOM!$A$2:$K$94,9,0)</f>
        <v>0</v>
      </c>
    </row>
    <row r="152" spans="1:17" s="19" customFormat="1">
      <c r="A152" s="141"/>
      <c r="B152" s="21" t="s">
        <v>226</v>
      </c>
      <c r="C152" s="21" t="s">
        <v>227</v>
      </c>
      <c r="D152" s="21"/>
      <c r="E152" s="22">
        <v>1</v>
      </c>
      <c r="F152" s="21"/>
      <c r="G152" s="21"/>
      <c r="H152" s="21"/>
      <c r="I152" s="21"/>
      <c r="J152" s="21"/>
      <c r="K152" s="21" t="s">
        <v>4</v>
      </c>
      <c r="L152" s="21" t="s">
        <v>5</v>
      </c>
      <c r="M152" s="22" t="s">
        <v>22</v>
      </c>
      <c r="N152" s="22" t="s">
        <v>3</v>
      </c>
      <c r="O152" s="87">
        <f>VLOOKUP($B152,BOM!$A$2:$K$94,10,0)</f>
        <v>0</v>
      </c>
      <c r="P152" s="87">
        <f t="shared" si="7"/>
        <v>0</v>
      </c>
      <c r="Q152" s="142">
        <f>VLOOKUP($B152,BOM!$A$2:$K$94,9,0)</f>
        <v>0</v>
      </c>
    </row>
    <row r="153" spans="1:17" s="19" customFormat="1">
      <c r="A153" s="141"/>
      <c r="B153" s="21" t="s">
        <v>122</v>
      </c>
      <c r="C153" s="21" t="s">
        <v>123</v>
      </c>
      <c r="D153" s="21"/>
      <c r="E153" s="22">
        <v>1</v>
      </c>
      <c r="F153" s="21"/>
      <c r="G153" s="21"/>
      <c r="H153" s="21"/>
      <c r="I153" s="21"/>
      <c r="J153" s="21">
        <f>E153</f>
        <v>1</v>
      </c>
      <c r="K153" s="21" t="s">
        <v>4</v>
      </c>
      <c r="L153" s="21" t="s">
        <v>5</v>
      </c>
      <c r="M153" s="22" t="s">
        <v>22</v>
      </c>
      <c r="N153" s="22" t="s">
        <v>3</v>
      </c>
      <c r="O153" s="87">
        <f>VLOOKUP($B153,BOM!$A$2:$K$94,10,0)</f>
        <v>0</v>
      </c>
      <c r="P153" s="87">
        <f t="shared" si="7"/>
        <v>0</v>
      </c>
      <c r="Q153" s="142" t="str">
        <f>VLOOKUP($B153,BOM!$A$2:$K$94,9,0)</f>
        <v>Cái</v>
      </c>
    </row>
    <row r="154" spans="1:17">
      <c r="A154" s="141"/>
      <c r="B154" s="81"/>
      <c r="C154" s="72" t="s">
        <v>1</v>
      </c>
      <c r="D154" s="72" t="s">
        <v>0</v>
      </c>
      <c r="E154" s="72">
        <v>1</v>
      </c>
      <c r="F154" s="72"/>
      <c r="G154" s="72">
        <f>ROUNDUP(G150/24,0)</f>
        <v>0</v>
      </c>
      <c r="H154" s="72">
        <f t="shared" ref="H154" si="8">ROUNDUP(H150/24,0)</f>
        <v>1</v>
      </c>
      <c r="I154" s="72"/>
      <c r="J154" s="72"/>
      <c r="K154" s="83"/>
      <c r="L154" s="83"/>
      <c r="M154" s="83"/>
      <c r="N154" s="83"/>
      <c r="O154" s="87">
        <f>VLOOKUP($B154,BOM!$A$2:$K$94,10,0)</f>
        <v>0</v>
      </c>
      <c r="P154" s="87">
        <f t="shared" si="7"/>
        <v>0</v>
      </c>
      <c r="Q154" s="84">
        <f>VLOOKUP($B154,BOM!$A$2:$K$94,9,0)</f>
        <v>0</v>
      </c>
    </row>
    <row r="155" spans="1:17" s="45" customFormat="1">
      <c r="A155" s="141"/>
      <c r="B155" s="62">
        <v>760249997</v>
      </c>
      <c r="C155" s="62" t="s">
        <v>2</v>
      </c>
      <c r="D155" s="85" t="s">
        <v>3</v>
      </c>
      <c r="E155" s="85">
        <f>ROUNDUP((E157+E161)/3,0)</f>
        <v>1</v>
      </c>
      <c r="F155" s="62"/>
      <c r="G155" s="62"/>
      <c r="H155" s="62"/>
      <c r="I155" s="62"/>
      <c r="J155" s="21">
        <f>E155</f>
        <v>1</v>
      </c>
      <c r="K155" s="62" t="s">
        <v>4</v>
      </c>
      <c r="L155" s="62" t="s">
        <v>5</v>
      </c>
      <c r="M155" s="86" t="s">
        <v>6</v>
      </c>
      <c r="N155" s="86" t="s">
        <v>3</v>
      </c>
      <c r="O155" s="87">
        <f>VLOOKUP($B155,BOM!$A$2:$K$94,10,0)</f>
        <v>0</v>
      </c>
      <c r="P155" s="87">
        <f t="shared" si="7"/>
        <v>0</v>
      </c>
      <c r="Q155" s="87" t="str">
        <f>VLOOKUP($B155,BOM!$A$2:$K$94,9,0)</f>
        <v>Cái</v>
      </c>
    </row>
    <row r="156" spans="1:17" s="45" customFormat="1">
      <c r="A156" s="141"/>
      <c r="B156" s="62">
        <v>760241378</v>
      </c>
      <c r="C156" s="62" t="s">
        <v>7</v>
      </c>
      <c r="D156" s="85" t="s">
        <v>3</v>
      </c>
      <c r="E156" s="85">
        <f>IF(E157&lt;=2,1,ROUNDUP(E155*1.5,0))</f>
        <v>1</v>
      </c>
      <c r="F156" s="62"/>
      <c r="G156" s="62"/>
      <c r="H156" s="62"/>
      <c r="I156" s="62"/>
      <c r="J156" s="62"/>
      <c r="K156" s="62" t="s">
        <v>4</v>
      </c>
      <c r="L156" s="62" t="s">
        <v>5</v>
      </c>
      <c r="M156" s="86" t="s">
        <v>6</v>
      </c>
      <c r="N156" s="86" t="s">
        <v>3</v>
      </c>
      <c r="O156" s="87">
        <f>VLOOKUP($B156,BOM!$A$2:$K$94,10,0)</f>
        <v>0</v>
      </c>
      <c r="P156" s="87">
        <f t="shared" si="7"/>
        <v>0</v>
      </c>
      <c r="Q156" s="87" t="str">
        <f>VLOOKUP($B156,BOM!$A$2:$K$94,9,0)</f>
        <v>Cái</v>
      </c>
    </row>
    <row r="157" spans="1:17" s="45" customFormat="1">
      <c r="A157" s="141"/>
      <c r="B157" s="62" t="s">
        <v>8</v>
      </c>
      <c r="C157" s="62" t="s">
        <v>9</v>
      </c>
      <c r="D157" s="85" t="s">
        <v>3</v>
      </c>
      <c r="E157" s="85">
        <f>G154</f>
        <v>0</v>
      </c>
      <c r="F157" s="62"/>
      <c r="G157" s="62"/>
      <c r="H157" s="62"/>
      <c r="I157" s="62"/>
      <c r="J157" s="62"/>
      <c r="K157" s="62" t="s">
        <v>4</v>
      </c>
      <c r="L157" s="62" t="s">
        <v>5</v>
      </c>
      <c r="M157" s="86" t="s">
        <v>6</v>
      </c>
      <c r="N157" s="86" t="s">
        <v>3</v>
      </c>
      <c r="O157" s="87">
        <f>VLOOKUP($B157,BOM!$A$2:$K$94,10,0)</f>
        <v>0</v>
      </c>
      <c r="P157" s="87">
        <f t="shared" si="7"/>
        <v>0</v>
      </c>
      <c r="Q157" s="87" t="str">
        <f>VLOOKUP($B157,BOM!$A$2:$K$94,9,0)</f>
        <v>Cái</v>
      </c>
    </row>
    <row r="158" spans="1:17" s="45" customFormat="1">
      <c r="A158" s="141"/>
      <c r="B158" s="62" t="s">
        <v>10</v>
      </c>
      <c r="C158" s="62" t="s">
        <v>11</v>
      </c>
      <c r="D158" s="85" t="s">
        <v>3</v>
      </c>
      <c r="E158" s="85">
        <f>E155*3-E157-E161</f>
        <v>2</v>
      </c>
      <c r="F158" s="62"/>
      <c r="G158" s="62"/>
      <c r="H158" s="62"/>
      <c r="I158" s="62"/>
      <c r="J158" s="62"/>
      <c r="K158" s="62" t="s">
        <v>4</v>
      </c>
      <c r="L158" s="62" t="s">
        <v>5</v>
      </c>
      <c r="M158" s="86" t="s">
        <v>6</v>
      </c>
      <c r="N158" s="86" t="s">
        <v>3</v>
      </c>
      <c r="O158" s="87">
        <f>VLOOKUP($B158,BOM!$A$2:$K$94,10,0)</f>
        <v>0</v>
      </c>
      <c r="P158" s="87">
        <f t="shared" si="7"/>
        <v>0</v>
      </c>
      <c r="Q158" s="87" t="str">
        <f>VLOOKUP($B158,BOM!$A$2:$K$94,9,0)</f>
        <v>Cái</v>
      </c>
    </row>
    <row r="159" spans="1:17" s="45" customFormat="1">
      <c r="A159" s="141"/>
      <c r="B159" s="62" t="s">
        <v>12</v>
      </c>
      <c r="C159" s="62" t="s">
        <v>13</v>
      </c>
      <c r="D159" s="85" t="s">
        <v>14</v>
      </c>
      <c r="E159" s="85">
        <f>H150/2</f>
        <v>8</v>
      </c>
      <c r="F159" s="62"/>
      <c r="G159" s="62"/>
      <c r="H159" s="62"/>
      <c r="I159" s="62"/>
      <c r="J159" s="62"/>
      <c r="K159" s="62" t="s">
        <v>4</v>
      </c>
      <c r="L159" s="62" t="s">
        <v>5</v>
      </c>
      <c r="M159" s="86" t="s">
        <v>6</v>
      </c>
      <c r="N159" s="86" t="s">
        <v>15</v>
      </c>
      <c r="O159" s="87">
        <f>VLOOKUP($B159,BOM!$A$2:$K$94,10,0)</f>
        <v>0</v>
      </c>
      <c r="P159" s="87">
        <f t="shared" si="7"/>
        <v>0</v>
      </c>
      <c r="Q159" s="87" t="str">
        <f>VLOOKUP($B159,BOM!$A$2:$K$94,9,0)</f>
        <v>Sợi</v>
      </c>
    </row>
    <row r="160" spans="1:17" s="45" customFormat="1">
      <c r="A160" s="141"/>
      <c r="B160" s="62" t="s">
        <v>16</v>
      </c>
      <c r="C160" s="62" t="s">
        <v>17</v>
      </c>
      <c r="D160" s="85" t="s">
        <v>14</v>
      </c>
      <c r="E160" s="85">
        <f>ROUNDUP((E167*1.3),0)</f>
        <v>0</v>
      </c>
      <c r="F160" s="62"/>
      <c r="G160" s="62"/>
      <c r="H160" s="62"/>
      <c r="I160" s="62"/>
      <c r="J160" s="62"/>
      <c r="K160" s="62" t="s">
        <v>4</v>
      </c>
      <c r="L160" s="62" t="s">
        <v>5</v>
      </c>
      <c r="M160" s="86" t="s">
        <v>6</v>
      </c>
      <c r="N160" s="86" t="s">
        <v>15</v>
      </c>
      <c r="O160" s="87">
        <f>VLOOKUP($B160,BOM!$A$2:$K$94,10,0)</f>
        <v>0</v>
      </c>
      <c r="P160" s="87">
        <f t="shared" si="7"/>
        <v>0</v>
      </c>
      <c r="Q160" s="87" t="str">
        <f>VLOOKUP($B160,BOM!$A$2:$K$94,9,0)</f>
        <v>Sợi</v>
      </c>
    </row>
    <row r="161" spans="1:17" s="110" customFormat="1">
      <c r="A161" s="141"/>
      <c r="B161" s="66" t="s">
        <v>198</v>
      </c>
      <c r="C161" s="66" t="s">
        <v>199</v>
      </c>
      <c r="D161" s="89" t="s">
        <v>3</v>
      </c>
      <c r="E161" s="89">
        <f>H154</f>
        <v>1</v>
      </c>
      <c r="F161" s="66"/>
      <c r="G161" s="66"/>
      <c r="H161" s="66"/>
      <c r="I161" s="66"/>
      <c r="J161" s="66"/>
      <c r="K161" s="108" t="s">
        <v>4</v>
      </c>
      <c r="L161" s="108" t="s">
        <v>5</v>
      </c>
      <c r="M161" s="109" t="s">
        <v>6</v>
      </c>
      <c r="N161" s="109" t="s">
        <v>15</v>
      </c>
      <c r="O161" s="87">
        <f>VLOOKUP($B161,BOM!$A$2:$K$94,10,0)</f>
        <v>0</v>
      </c>
      <c r="P161" s="87">
        <f t="shared" si="7"/>
        <v>0</v>
      </c>
      <c r="Q161" s="146" t="str">
        <f>VLOOKUP($B161,BOM!$A$2:$K$94,9,0)</f>
        <v>Cái</v>
      </c>
    </row>
    <row r="162" spans="1:17" s="111" customFormat="1">
      <c r="A162" s="141"/>
      <c r="B162" s="66" t="s">
        <v>194</v>
      </c>
      <c r="C162" s="66" t="s">
        <v>195</v>
      </c>
      <c r="D162" s="89" t="s">
        <v>14</v>
      </c>
      <c r="E162" s="89">
        <f>ROUNDUP((E166*1.3),0)</f>
        <v>4</v>
      </c>
      <c r="F162" s="108"/>
      <c r="G162" s="108"/>
      <c r="H162" s="108"/>
      <c r="I162" s="108"/>
      <c r="J162" s="108"/>
      <c r="K162" s="108" t="s">
        <v>4</v>
      </c>
      <c r="L162" s="108" t="s">
        <v>5</v>
      </c>
      <c r="M162" s="109" t="s">
        <v>6</v>
      </c>
      <c r="N162" s="109" t="s">
        <v>15</v>
      </c>
      <c r="O162" s="87">
        <f>VLOOKUP($B162,BOM!$A$2:$K$94,10,0)</f>
        <v>0</v>
      </c>
      <c r="P162" s="87">
        <f t="shared" si="7"/>
        <v>0</v>
      </c>
      <c r="Q162" s="146" t="str">
        <f>VLOOKUP($B162,BOM!$A$2:$K$94,9,0)</f>
        <v>Cái</v>
      </c>
    </row>
    <row r="163" spans="1:17" s="110" customFormat="1">
      <c r="A163" s="141"/>
      <c r="B163" s="66" t="s">
        <v>196</v>
      </c>
      <c r="C163" s="66" t="s">
        <v>197</v>
      </c>
      <c r="D163" s="89" t="s">
        <v>14</v>
      </c>
      <c r="E163" s="89">
        <f>H150/2</f>
        <v>8</v>
      </c>
      <c r="F163" s="66"/>
      <c r="G163" s="66"/>
      <c r="H163" s="66"/>
      <c r="I163" s="66"/>
      <c r="J163" s="66"/>
      <c r="K163" s="108" t="s">
        <v>4</v>
      </c>
      <c r="L163" s="108" t="s">
        <v>5</v>
      </c>
      <c r="M163" s="109" t="s">
        <v>6</v>
      </c>
      <c r="N163" s="109" t="s">
        <v>15</v>
      </c>
      <c r="O163" s="87">
        <f>VLOOKUP($B163,BOM!$A$2:$K$94,10,0)</f>
        <v>0</v>
      </c>
      <c r="P163" s="87">
        <f t="shared" si="7"/>
        <v>0</v>
      </c>
      <c r="Q163" s="146" t="str">
        <f>VLOOKUP($B163,BOM!$A$2:$K$94,9,0)</f>
        <v>Cái</v>
      </c>
    </row>
    <row r="164" spans="1:17">
      <c r="A164" s="141"/>
      <c r="B164" s="81"/>
      <c r="C164" s="72" t="s">
        <v>26</v>
      </c>
      <c r="D164" s="72" t="s">
        <v>0</v>
      </c>
      <c r="E164" s="72">
        <v>1</v>
      </c>
      <c r="F164" s="72"/>
      <c r="G164" s="72"/>
      <c r="H164" s="72"/>
      <c r="I164" s="72"/>
      <c r="J164" s="72"/>
      <c r="K164" s="83"/>
      <c r="L164" s="83"/>
      <c r="M164" s="83"/>
      <c r="N164" s="83"/>
      <c r="O164" s="87">
        <f>VLOOKUP($B164,BOM!$A$2:$K$94,10,0)</f>
        <v>0</v>
      </c>
      <c r="P164" s="87">
        <f t="shared" si="7"/>
        <v>0</v>
      </c>
      <c r="Q164" s="84">
        <f>VLOOKUP($B164,BOM!$A$2:$K$94,9,0)</f>
        <v>0</v>
      </c>
    </row>
    <row r="165" spans="1:17" ht="60">
      <c r="A165" s="147"/>
      <c r="B165" s="67" t="s">
        <v>228</v>
      </c>
      <c r="C165" s="187" t="s">
        <v>324</v>
      </c>
      <c r="D165" s="90" t="s">
        <v>51</v>
      </c>
      <c r="E165" s="90">
        <v>1</v>
      </c>
      <c r="F165" s="65"/>
      <c r="G165" s="65"/>
      <c r="H165" s="65"/>
      <c r="I165" s="65"/>
      <c r="J165" s="103">
        <f>E165</f>
        <v>1</v>
      </c>
      <c r="K165" s="65" t="s">
        <v>143</v>
      </c>
      <c r="L165" s="65" t="s">
        <v>151</v>
      </c>
      <c r="M165" s="90" t="s">
        <v>154</v>
      </c>
      <c r="N165" s="90" t="s">
        <v>51</v>
      </c>
      <c r="O165" s="87">
        <f>VLOOKUP($B165,BOM!$A$2:$K$94,10,0)</f>
        <v>0</v>
      </c>
      <c r="P165" s="87">
        <f t="shared" si="7"/>
        <v>0</v>
      </c>
      <c r="Q165" s="151" t="str">
        <f>VLOOKUP($B165,BOM!$A$2:$K$94,9,0)</f>
        <v>cái</v>
      </c>
    </row>
    <row r="166" spans="1:17" s="111" customFormat="1">
      <c r="A166" s="120"/>
      <c r="B166" s="68" t="s">
        <v>216</v>
      </c>
      <c r="C166" s="68" t="s">
        <v>217</v>
      </c>
      <c r="D166" s="89" t="s">
        <v>64</v>
      </c>
      <c r="E166" s="89">
        <v>3</v>
      </c>
      <c r="F166" s="124"/>
      <c r="G166" s="124"/>
      <c r="H166" s="124"/>
      <c r="I166" s="124"/>
      <c r="J166" s="124"/>
      <c r="K166" s="124" t="s">
        <v>143</v>
      </c>
      <c r="L166" s="124" t="s">
        <v>151</v>
      </c>
      <c r="M166" s="89" t="s">
        <v>154</v>
      </c>
      <c r="N166" s="89" t="s">
        <v>64</v>
      </c>
      <c r="O166" s="87">
        <f>VLOOKUP($B166,BOM!$A$2:$K$94,10,0)</f>
        <v>0</v>
      </c>
      <c r="P166" s="87">
        <f t="shared" si="7"/>
        <v>0</v>
      </c>
      <c r="Q166" s="152" t="str">
        <f>VLOOKUP($B166,BOM!$A$2:$K$94,9,0)</f>
        <v>cái</v>
      </c>
    </row>
    <row r="167" spans="1:17" s="45" customFormat="1">
      <c r="A167" s="141"/>
      <c r="B167" s="64" t="s">
        <v>212</v>
      </c>
      <c r="C167" s="64" t="s">
        <v>213</v>
      </c>
      <c r="D167" s="97" t="s">
        <v>64</v>
      </c>
      <c r="E167" s="98">
        <v>0</v>
      </c>
      <c r="F167" s="95"/>
      <c r="G167" s="95"/>
      <c r="H167" s="95"/>
      <c r="I167" s="95"/>
      <c r="J167" s="95"/>
      <c r="K167" s="95" t="s">
        <v>143</v>
      </c>
      <c r="L167" s="95" t="s">
        <v>151</v>
      </c>
      <c r="M167" s="97" t="s">
        <v>154</v>
      </c>
      <c r="N167" s="97" t="s">
        <v>64</v>
      </c>
      <c r="O167" s="87">
        <f>VLOOKUP($B167,BOM!$A$2:$K$94,10,0)</f>
        <v>0</v>
      </c>
      <c r="P167" s="87">
        <f t="shared" si="7"/>
        <v>0</v>
      </c>
      <c r="Q167" s="153" t="str">
        <f>VLOOKUP($B167,BOM!$A$2:$K$94,9,0)</f>
        <v>cái</v>
      </c>
    </row>
    <row r="168" spans="1:17" s="45" customFormat="1">
      <c r="A168" s="141"/>
      <c r="B168" s="62"/>
      <c r="C168" s="62"/>
      <c r="D168" s="85"/>
      <c r="E168" s="90"/>
      <c r="F168" s="62"/>
      <c r="G168" s="62"/>
      <c r="H168" s="62"/>
      <c r="I168" s="62"/>
      <c r="J168" s="62"/>
      <c r="K168" s="62"/>
      <c r="L168" s="62"/>
      <c r="M168" s="86"/>
      <c r="N168" s="86"/>
      <c r="O168" s="87">
        <f>VLOOKUP($B168,BOM!$A$2:$K$94,10,0)</f>
        <v>0</v>
      </c>
      <c r="P168" s="87">
        <f t="shared" si="7"/>
        <v>0</v>
      </c>
      <c r="Q168" s="87">
        <f>VLOOKUP($B168,BOM!$A$2:$K$94,9,0)</f>
        <v>0</v>
      </c>
    </row>
    <row r="169" spans="1:17" s="45" customFormat="1">
      <c r="A169" s="141"/>
      <c r="B169" s="62"/>
      <c r="C169" s="62"/>
      <c r="D169" s="85"/>
      <c r="E169" s="90"/>
      <c r="F169" s="62"/>
      <c r="G169" s="62"/>
      <c r="H169" s="62"/>
      <c r="I169" s="62"/>
      <c r="J169" s="62"/>
      <c r="K169" s="62"/>
      <c r="L169" s="62"/>
      <c r="M169" s="86"/>
      <c r="N169" s="86"/>
      <c r="O169" s="87">
        <f>VLOOKUP($B169,BOM!$A$2:$K$94,10,0)</f>
        <v>0</v>
      </c>
      <c r="P169" s="87">
        <f t="shared" si="7"/>
        <v>0</v>
      </c>
      <c r="Q169" s="87">
        <f>VLOOKUP($B169,BOM!$A$2:$K$94,9,0)</f>
        <v>0</v>
      </c>
    </row>
    <row r="170" spans="1:17" outlineLevel="1">
      <c r="A170" s="141"/>
      <c r="B170" s="117"/>
      <c r="C170" s="61" t="s">
        <v>67</v>
      </c>
      <c r="D170" s="119" t="s">
        <v>0</v>
      </c>
      <c r="E170" s="120">
        <v>1</v>
      </c>
      <c r="F170" s="121"/>
      <c r="G170" s="121"/>
      <c r="H170" s="121" t="s">
        <v>69</v>
      </c>
      <c r="I170" s="122"/>
      <c r="J170" s="21">
        <f t="shared" ref="J170:J171" si="9">E170</f>
        <v>1</v>
      </c>
      <c r="K170" s="63"/>
      <c r="L170" s="63"/>
      <c r="M170" s="63"/>
      <c r="N170" s="63"/>
      <c r="O170" s="87">
        <f>VLOOKUP($B170,BOM!$A$2:$K$94,10,0)</f>
        <v>0</v>
      </c>
      <c r="P170" s="87">
        <f t="shared" si="7"/>
        <v>0</v>
      </c>
      <c r="Q170" s="80">
        <f>VLOOKUP($B170,BOM!$A$2:$K$94,9,0)</f>
        <v>0</v>
      </c>
    </row>
    <row r="171" spans="1:17" outlineLevel="1">
      <c r="A171" s="141"/>
      <c r="B171" s="117"/>
      <c r="C171" s="61" t="s">
        <v>70</v>
      </c>
      <c r="D171" s="119" t="s">
        <v>0</v>
      </c>
      <c r="E171" s="120">
        <v>1</v>
      </c>
      <c r="F171" s="121"/>
      <c r="G171" s="121"/>
      <c r="H171" s="121" t="s">
        <v>69</v>
      </c>
      <c r="I171" s="122"/>
      <c r="J171" s="21">
        <f t="shared" si="9"/>
        <v>1</v>
      </c>
      <c r="K171" s="63"/>
      <c r="L171" s="63"/>
      <c r="M171" s="63"/>
      <c r="N171" s="63"/>
      <c r="O171" s="87">
        <f>VLOOKUP($B171,BOM!$A$2:$K$94,10,0)</f>
        <v>0</v>
      </c>
      <c r="P171" s="87">
        <f t="shared" si="7"/>
        <v>0</v>
      </c>
      <c r="Q171" s="80">
        <f>VLOOKUP($B171,BOM!$A$2:$K$94,9,0)</f>
        <v>0</v>
      </c>
    </row>
    <row r="172" spans="1:17">
      <c r="A172" s="141"/>
      <c r="B172" s="81"/>
      <c r="C172" s="72" t="s">
        <v>18</v>
      </c>
      <c r="D172" s="72" t="s">
        <v>0</v>
      </c>
      <c r="E172" s="72">
        <v>1</v>
      </c>
      <c r="F172" s="72"/>
      <c r="G172" s="72"/>
      <c r="H172" s="72"/>
      <c r="I172" s="72"/>
      <c r="J172" s="72"/>
      <c r="K172" s="83"/>
      <c r="L172" s="83"/>
      <c r="M172" s="83"/>
      <c r="N172" s="83"/>
      <c r="O172" s="87">
        <f>VLOOKUP($B172,BOM!$A$2:$K$94,10,0)</f>
        <v>0</v>
      </c>
      <c r="P172" s="87">
        <f t="shared" si="7"/>
        <v>0</v>
      </c>
      <c r="Q172" s="84">
        <f>VLOOKUP($B172,BOM!$A$2:$K$94,9,0)</f>
        <v>0</v>
      </c>
    </row>
    <row r="173" spans="1:17" s="45" customFormat="1">
      <c r="A173" s="141"/>
      <c r="B173" s="62">
        <v>760237046</v>
      </c>
      <c r="C173" s="62" t="s">
        <v>19</v>
      </c>
      <c r="D173" s="85" t="s">
        <v>3</v>
      </c>
      <c r="E173" s="85">
        <f>E165+E168</f>
        <v>1</v>
      </c>
      <c r="F173" s="62"/>
      <c r="G173" s="62"/>
      <c r="H173" s="62"/>
      <c r="I173" s="62"/>
      <c r="J173" s="21">
        <f>E173</f>
        <v>1</v>
      </c>
      <c r="K173" s="62" t="s">
        <v>4</v>
      </c>
      <c r="L173" s="62" t="s">
        <v>5</v>
      </c>
      <c r="M173" s="86" t="s">
        <v>6</v>
      </c>
      <c r="N173" s="86" t="s">
        <v>3</v>
      </c>
      <c r="O173" s="87">
        <f>VLOOKUP($B173,BOM!$A$2:$K$94,10,0)</f>
        <v>0</v>
      </c>
      <c r="P173" s="87">
        <f t="shared" si="7"/>
        <v>0</v>
      </c>
      <c r="Q173" s="87" t="str">
        <f>VLOOKUP($B173,BOM!$A$2:$K$94,9,0)</f>
        <v>Cái</v>
      </c>
    </row>
    <row r="174" spans="1:17" s="45" customFormat="1">
      <c r="A174" s="141"/>
      <c r="B174" s="62" t="s">
        <v>23</v>
      </c>
      <c r="C174" s="62" t="s">
        <v>24</v>
      </c>
      <c r="D174" s="85" t="s">
        <v>3</v>
      </c>
      <c r="E174" s="85">
        <f>E173*24</f>
        <v>24</v>
      </c>
      <c r="F174" s="62"/>
      <c r="G174" s="62"/>
      <c r="H174" s="62"/>
      <c r="I174" s="62"/>
      <c r="J174" s="62"/>
      <c r="K174" s="62" t="s">
        <v>25</v>
      </c>
      <c r="L174" s="62" t="s">
        <v>5</v>
      </c>
      <c r="M174" s="86" t="s">
        <v>6</v>
      </c>
      <c r="N174" s="86" t="s">
        <v>3</v>
      </c>
      <c r="O174" s="87">
        <f>VLOOKUP($B174,BOM!$A$2:$K$94,10,0)</f>
        <v>0</v>
      </c>
      <c r="P174" s="87">
        <f t="shared" si="7"/>
        <v>0</v>
      </c>
      <c r="Q174" s="87" t="str">
        <f>VLOOKUP($B174,BOM!$A$2:$K$94,9,0)</f>
        <v>Cái</v>
      </c>
    </row>
    <row r="175" spans="1:17" s="45" customFormat="1">
      <c r="A175" s="141"/>
      <c r="B175" s="62" t="s">
        <v>20</v>
      </c>
      <c r="C175" s="62" t="s">
        <v>21</v>
      </c>
      <c r="D175" s="85" t="s">
        <v>3</v>
      </c>
      <c r="E175" s="85">
        <f>E173</f>
        <v>1</v>
      </c>
      <c r="F175" s="62"/>
      <c r="G175" s="62"/>
      <c r="H175" s="62"/>
      <c r="I175" s="62"/>
      <c r="J175" s="21">
        <f>E175</f>
        <v>1</v>
      </c>
      <c r="K175" s="62" t="s">
        <v>4</v>
      </c>
      <c r="L175" s="62" t="s">
        <v>5</v>
      </c>
      <c r="M175" s="86" t="s">
        <v>22</v>
      </c>
      <c r="N175" s="86" t="s">
        <v>3</v>
      </c>
      <c r="O175" s="87">
        <f>VLOOKUP($B175,BOM!$A$2:$K$94,10,0)</f>
        <v>0</v>
      </c>
      <c r="P175" s="87">
        <f t="shared" si="7"/>
        <v>0</v>
      </c>
      <c r="Q175" s="87" t="str">
        <f>VLOOKUP($B175,BOM!$A$2:$K$94,9,0)</f>
        <v>Cái</v>
      </c>
    </row>
    <row r="176" spans="1:17">
      <c r="A176" s="141"/>
      <c r="B176" s="81"/>
      <c r="C176" s="72" t="s">
        <v>71</v>
      </c>
      <c r="D176" s="72" t="s">
        <v>0</v>
      </c>
      <c r="E176" s="72">
        <v>1</v>
      </c>
      <c r="F176" s="72"/>
      <c r="G176" s="72"/>
      <c r="H176" s="72"/>
      <c r="I176" s="72"/>
      <c r="J176" s="72"/>
      <c r="K176" s="83"/>
      <c r="L176" s="83"/>
      <c r="M176" s="83"/>
      <c r="N176" s="83"/>
      <c r="O176" s="87">
        <f>VLOOKUP($B176,BOM!$A$2:$K$94,10,0)</f>
        <v>0</v>
      </c>
      <c r="P176" s="87">
        <f t="shared" si="7"/>
        <v>0</v>
      </c>
      <c r="Q176" s="84">
        <f>VLOOKUP($B176,BOM!$A$2:$K$94,9,0)</f>
        <v>0</v>
      </c>
    </row>
    <row r="177" spans="1:17" s="45" customFormat="1">
      <c r="A177" s="141"/>
      <c r="B177" s="62" t="s">
        <v>314</v>
      </c>
      <c r="C177" s="62" t="s">
        <v>316</v>
      </c>
      <c r="D177" s="116" t="s">
        <v>51</v>
      </c>
      <c r="E177" s="85">
        <v>1</v>
      </c>
      <c r="F177" s="62"/>
      <c r="G177" s="62"/>
      <c r="H177" s="62"/>
      <c r="I177" s="62"/>
      <c r="J177" s="86">
        <f>E177*8</f>
        <v>8</v>
      </c>
      <c r="K177" s="62"/>
      <c r="L177" s="62" t="s">
        <v>5</v>
      </c>
      <c r="M177" s="86" t="s">
        <v>28</v>
      </c>
      <c r="N177" s="86" t="s">
        <v>3</v>
      </c>
      <c r="O177" s="87">
        <f>VLOOKUP($B177,BOM!$A$2:$K$94,10,0)</f>
        <v>0</v>
      </c>
      <c r="P177" s="87">
        <f t="shared" si="7"/>
        <v>0</v>
      </c>
      <c r="Q177" s="87" t="str">
        <f>VLOOKUP($B177,BOM!$A$2:$K$94,9,0)</f>
        <v>Cái</v>
      </c>
    </row>
    <row r="178" spans="1:17" s="45" customFormat="1">
      <c r="A178" s="141"/>
      <c r="B178" s="62"/>
      <c r="C178" s="62"/>
      <c r="D178" s="116"/>
      <c r="E178" s="85"/>
      <c r="F178" s="62"/>
      <c r="G178" s="62"/>
      <c r="H178" s="62"/>
      <c r="I178" s="62"/>
      <c r="J178" s="62"/>
      <c r="K178" s="62"/>
      <c r="L178" s="62"/>
      <c r="M178" s="86"/>
      <c r="N178" s="86"/>
      <c r="O178" s="87">
        <f>VLOOKUP($B178,BOM!$A$2:$K$94,10,0)</f>
        <v>0</v>
      </c>
      <c r="P178" s="87">
        <f t="shared" si="7"/>
        <v>0</v>
      </c>
      <c r="Q178" s="87">
        <f>VLOOKUP($B178,BOM!$A$2:$K$94,9,0)</f>
        <v>0</v>
      </c>
    </row>
    <row r="179" spans="1:17" s="45" customFormat="1">
      <c r="A179" s="141"/>
      <c r="B179" s="62" t="s">
        <v>225</v>
      </c>
      <c r="C179" s="62" t="s">
        <v>72</v>
      </c>
      <c r="D179" s="116" t="s">
        <v>64</v>
      </c>
      <c r="E179" s="85">
        <v>0</v>
      </c>
      <c r="F179" s="62"/>
      <c r="G179" s="62"/>
      <c r="H179" s="62"/>
      <c r="I179" s="62"/>
      <c r="J179" s="62"/>
      <c r="K179" s="62"/>
      <c r="L179" s="62" t="s">
        <v>5</v>
      </c>
      <c r="M179" s="86" t="s">
        <v>28</v>
      </c>
      <c r="N179" s="86" t="s">
        <v>3</v>
      </c>
      <c r="O179" s="87">
        <f>VLOOKUP($B179,BOM!$A$2:$K$94,10,0)</f>
        <v>0</v>
      </c>
      <c r="P179" s="87">
        <f t="shared" si="7"/>
        <v>0</v>
      </c>
      <c r="Q179" s="87" t="str">
        <f>VLOOKUP($B179,BOM!$A$2:$K$94,9,0)</f>
        <v>Cái</v>
      </c>
    </row>
    <row r="180" spans="1:17">
      <c r="A180" s="141"/>
      <c r="B180" s="81"/>
      <c r="C180" s="72" t="s">
        <v>31</v>
      </c>
      <c r="D180" s="72" t="s">
        <v>0</v>
      </c>
      <c r="E180" s="72">
        <v>1</v>
      </c>
      <c r="F180" s="72"/>
      <c r="G180" s="72"/>
      <c r="H180" s="72"/>
      <c r="I180" s="72"/>
      <c r="J180" s="72"/>
      <c r="K180" s="83"/>
      <c r="L180" s="83"/>
      <c r="M180" s="83"/>
      <c r="N180" s="83"/>
      <c r="O180" s="87">
        <f>VLOOKUP($B180,BOM!$A$2:$K$94,10,0)</f>
        <v>0</v>
      </c>
      <c r="P180" s="87">
        <f t="shared" si="7"/>
        <v>0</v>
      </c>
      <c r="Q180" s="84">
        <f>VLOOKUP($B180,BOM!$A$2:$K$94,9,0)</f>
        <v>0</v>
      </c>
    </row>
    <row r="181" spans="1:17">
      <c r="A181" s="141"/>
      <c r="B181" s="81"/>
      <c r="C181" s="72" t="s">
        <v>32</v>
      </c>
      <c r="D181" s="72"/>
      <c r="E181" s="72"/>
      <c r="F181" s="72"/>
      <c r="G181" s="72">
        <v>5</v>
      </c>
      <c r="H181" s="72"/>
      <c r="I181" s="72"/>
      <c r="J181" s="72"/>
      <c r="K181" s="83"/>
      <c r="L181" s="83"/>
      <c r="M181" s="83"/>
      <c r="N181" s="83"/>
      <c r="O181" s="87">
        <f>VLOOKUP($B181,BOM!$A$2:$K$94,10,0)</f>
        <v>0</v>
      </c>
      <c r="P181" s="87">
        <f t="shared" si="7"/>
        <v>0</v>
      </c>
      <c r="Q181" s="84">
        <f>VLOOKUP($B181,BOM!$A$2:$K$94,9,0)</f>
        <v>0</v>
      </c>
    </row>
    <row r="182" spans="1:17" s="45" customFormat="1" ht="20.45" customHeight="1">
      <c r="A182" s="141"/>
      <c r="B182" s="62" t="s">
        <v>33</v>
      </c>
      <c r="C182" s="62" t="s">
        <v>34</v>
      </c>
      <c r="D182" s="85" t="s">
        <v>3</v>
      </c>
      <c r="E182" s="90">
        <f>E183</f>
        <v>5</v>
      </c>
      <c r="F182" s="62"/>
      <c r="G182" s="62"/>
      <c r="H182" s="62"/>
      <c r="I182" s="62"/>
      <c r="J182" s="62"/>
      <c r="K182" s="62" t="s">
        <v>35</v>
      </c>
      <c r="L182" s="62" t="s">
        <v>5</v>
      </c>
      <c r="M182" s="86" t="s">
        <v>6</v>
      </c>
      <c r="N182" s="86" t="s">
        <v>3</v>
      </c>
      <c r="O182" s="87">
        <f>VLOOKUP($B182,BOM!$A$2:$K$94,10,0)</f>
        <v>0</v>
      </c>
      <c r="P182" s="87">
        <f t="shared" si="7"/>
        <v>0</v>
      </c>
      <c r="Q182" s="87" t="str">
        <f>VLOOKUP($B182,BOM!$A$2:$K$94,9,0)</f>
        <v>Cái</v>
      </c>
    </row>
    <row r="183" spans="1:17" s="45" customFormat="1">
      <c r="A183" s="141"/>
      <c r="B183" s="62" t="s">
        <v>330</v>
      </c>
      <c r="C183" s="62" t="s">
        <v>36</v>
      </c>
      <c r="D183" s="85" t="s">
        <v>3</v>
      </c>
      <c r="E183" s="90">
        <f>G181+H181</f>
        <v>5</v>
      </c>
      <c r="F183" s="62"/>
      <c r="G183" s="62"/>
      <c r="H183" s="62"/>
      <c r="I183" s="62"/>
      <c r="J183" s="62"/>
      <c r="K183" s="62" t="s">
        <v>37</v>
      </c>
      <c r="L183" s="62" t="s">
        <v>5</v>
      </c>
      <c r="M183" s="86" t="s">
        <v>37</v>
      </c>
      <c r="N183" s="86" t="s">
        <v>3</v>
      </c>
      <c r="O183" s="87">
        <f>VLOOKUP($B183,BOM!$A$2:$K$94,10,0)</f>
        <v>0</v>
      </c>
      <c r="P183" s="87">
        <f t="shared" si="7"/>
        <v>0</v>
      </c>
      <c r="Q183" s="87" t="str">
        <f>VLOOKUP($B183,BOM!$A$2:$K$94,9,0)</f>
        <v>Cái</v>
      </c>
    </row>
    <row r="184" spans="1:17" s="45" customFormat="1">
      <c r="A184" s="141"/>
      <c r="B184" s="62" t="s">
        <v>38</v>
      </c>
      <c r="C184" s="62" t="s">
        <v>39</v>
      </c>
      <c r="D184" s="85" t="s">
        <v>3</v>
      </c>
      <c r="E184" s="90">
        <f>E183</f>
        <v>5</v>
      </c>
      <c r="F184" s="62"/>
      <c r="G184" s="62"/>
      <c r="H184" s="62"/>
      <c r="I184" s="62"/>
      <c r="J184" s="62"/>
      <c r="K184" s="62" t="s">
        <v>25</v>
      </c>
      <c r="L184" s="62" t="s">
        <v>5</v>
      </c>
      <c r="M184" s="86" t="s">
        <v>6</v>
      </c>
      <c r="N184" s="86" t="s">
        <v>3</v>
      </c>
      <c r="O184" s="87">
        <f>VLOOKUP($B184,BOM!$A$2:$K$94,10,0)</f>
        <v>0</v>
      </c>
      <c r="P184" s="87">
        <f t="shared" si="7"/>
        <v>0</v>
      </c>
      <c r="Q184" s="87" t="str">
        <f>VLOOKUP($B184,BOM!$A$2:$K$94,9,0)</f>
        <v>Cái</v>
      </c>
    </row>
    <row r="185" spans="1:17">
      <c r="A185" s="141"/>
      <c r="B185" s="81"/>
      <c r="C185" s="72" t="s">
        <v>40</v>
      </c>
      <c r="D185" s="72"/>
      <c r="E185" s="72"/>
      <c r="F185" s="72"/>
      <c r="G185" s="72">
        <v>5</v>
      </c>
      <c r="H185" s="72"/>
      <c r="I185" s="72"/>
      <c r="J185" s="72"/>
      <c r="K185" s="83"/>
      <c r="L185" s="83"/>
      <c r="M185" s="83"/>
      <c r="N185" s="83"/>
      <c r="O185" s="87">
        <f>VLOOKUP($B185,BOM!$A$2:$K$94,10,0)</f>
        <v>0</v>
      </c>
      <c r="P185" s="87">
        <f t="shared" si="7"/>
        <v>0</v>
      </c>
      <c r="Q185" s="84">
        <f>VLOOKUP($B185,BOM!$A$2:$K$94,9,0)</f>
        <v>0</v>
      </c>
    </row>
    <row r="186" spans="1:17" s="45" customFormat="1">
      <c r="A186" s="141"/>
      <c r="B186" s="62" t="s">
        <v>41</v>
      </c>
      <c r="C186" s="62" t="s">
        <v>42</v>
      </c>
      <c r="D186" s="85" t="s">
        <v>3</v>
      </c>
      <c r="E186" s="85">
        <f>G185+H185</f>
        <v>5</v>
      </c>
      <c r="F186" s="62"/>
      <c r="G186" s="62"/>
      <c r="H186" s="62"/>
      <c r="I186" s="62"/>
      <c r="J186" s="62"/>
      <c r="K186" s="62" t="s">
        <v>4</v>
      </c>
      <c r="L186" s="62" t="s">
        <v>5</v>
      </c>
      <c r="M186" s="86" t="s">
        <v>6</v>
      </c>
      <c r="N186" s="86" t="s">
        <v>3</v>
      </c>
      <c r="O186" s="87">
        <f>VLOOKUP($B186,BOM!$A$2:$K$94,10,0)</f>
        <v>0</v>
      </c>
      <c r="P186" s="87">
        <f t="shared" si="7"/>
        <v>0</v>
      </c>
      <c r="Q186" s="87" t="str">
        <f>VLOOKUP($B186,BOM!$A$2:$K$94,9,0)</f>
        <v>Cái</v>
      </c>
    </row>
    <row r="187" spans="1:17" s="45" customFormat="1">
      <c r="A187" s="141"/>
      <c r="B187" s="65" t="s">
        <v>43</v>
      </c>
      <c r="C187" s="65" t="s">
        <v>44</v>
      </c>
      <c r="D187" s="85" t="s">
        <v>3</v>
      </c>
      <c r="E187" s="85">
        <f>E186</f>
        <v>5</v>
      </c>
      <c r="F187" s="62"/>
      <c r="G187" s="62"/>
      <c r="H187" s="62"/>
      <c r="I187" s="62"/>
      <c r="J187" s="62"/>
      <c r="K187" s="62" t="s">
        <v>4</v>
      </c>
      <c r="L187" s="62" t="s">
        <v>5</v>
      </c>
      <c r="M187" s="86" t="s">
        <v>6</v>
      </c>
      <c r="N187" s="86" t="s">
        <v>3</v>
      </c>
      <c r="O187" s="87">
        <f>VLOOKUP($B187,BOM!$A$2:$K$94,10,0)</f>
        <v>0</v>
      </c>
      <c r="P187" s="87">
        <f t="shared" si="7"/>
        <v>0</v>
      </c>
      <c r="Q187" s="87" t="str">
        <f>VLOOKUP($B187,BOM!$A$2:$K$94,9,0)</f>
        <v>Cái</v>
      </c>
    </row>
    <row r="188" spans="1:17">
      <c r="A188" s="141"/>
      <c r="B188" s="81"/>
      <c r="C188" s="72" t="s">
        <v>45</v>
      </c>
      <c r="D188" s="72"/>
      <c r="E188" s="72"/>
      <c r="F188" s="72"/>
      <c r="G188" s="72"/>
      <c r="H188" s="72"/>
      <c r="I188" s="72"/>
      <c r="J188" s="72"/>
      <c r="K188" s="83"/>
      <c r="L188" s="83"/>
      <c r="M188" s="83"/>
      <c r="N188" s="83"/>
      <c r="O188" s="87">
        <f>VLOOKUP($B188,BOM!$A$2:$K$94,10,0)</f>
        <v>0</v>
      </c>
      <c r="P188" s="87">
        <f t="shared" si="7"/>
        <v>0</v>
      </c>
      <c r="Q188" s="84">
        <f>VLOOKUP($B188,BOM!$A$2:$K$94,9,0)</f>
        <v>0</v>
      </c>
    </row>
    <row r="189" spans="1:17" s="45" customFormat="1">
      <c r="A189" s="141"/>
      <c r="B189" s="62" t="s">
        <v>48</v>
      </c>
      <c r="C189" s="62" t="s">
        <v>49</v>
      </c>
      <c r="D189" s="85" t="s">
        <v>14</v>
      </c>
      <c r="E189" s="85">
        <f>E182+E186+1</f>
        <v>11</v>
      </c>
      <c r="F189" s="62"/>
      <c r="G189" s="62"/>
      <c r="H189" s="62"/>
      <c r="I189" s="62"/>
      <c r="J189" s="62"/>
      <c r="K189" s="62"/>
      <c r="L189" s="62" t="s">
        <v>5</v>
      </c>
      <c r="M189" s="86" t="s">
        <v>6</v>
      </c>
      <c r="N189" s="86" t="s">
        <v>15</v>
      </c>
      <c r="O189" s="87">
        <f>VLOOKUP($B189,BOM!$A$2:$K$94,10,0)</f>
        <v>0</v>
      </c>
      <c r="P189" s="87">
        <f t="shared" si="7"/>
        <v>0</v>
      </c>
      <c r="Q189" s="87" t="str">
        <f>VLOOKUP($B189,BOM!$A$2:$K$94,9,0)</f>
        <v>Sợi</v>
      </c>
    </row>
    <row r="190" spans="1:17" s="45" customFormat="1">
      <c r="A190" s="141"/>
      <c r="B190" s="62" t="s">
        <v>48</v>
      </c>
      <c r="C190" s="62" t="s">
        <v>49</v>
      </c>
      <c r="D190" s="85" t="s">
        <v>14</v>
      </c>
      <c r="E190" s="90">
        <f>ROUNDUP(E189*0.2,0)</f>
        <v>3</v>
      </c>
      <c r="F190" s="62"/>
      <c r="G190" s="62"/>
      <c r="H190" s="62"/>
      <c r="I190" s="62"/>
      <c r="J190" s="62"/>
      <c r="K190" s="62" t="s">
        <v>4</v>
      </c>
      <c r="L190" s="62" t="s">
        <v>5</v>
      </c>
      <c r="M190" s="86" t="s">
        <v>6</v>
      </c>
      <c r="N190" s="86" t="s">
        <v>15</v>
      </c>
      <c r="O190" s="87">
        <f>VLOOKUP($B190,BOM!$A$2:$K$94,10,0)</f>
        <v>0</v>
      </c>
      <c r="P190" s="87">
        <f t="shared" si="7"/>
        <v>0</v>
      </c>
      <c r="Q190" s="87" t="str">
        <f>VLOOKUP($B190,BOM!$A$2:$K$94,9,0)</f>
        <v>Sợi</v>
      </c>
    </row>
    <row r="191" spans="1:17">
      <c r="A191" s="141"/>
      <c r="B191" s="81"/>
      <c r="C191" s="72" t="s">
        <v>50</v>
      </c>
      <c r="D191" s="72"/>
      <c r="E191" s="72"/>
      <c r="F191" s="72"/>
      <c r="G191" s="72"/>
      <c r="H191" s="72"/>
      <c r="I191" s="72"/>
      <c r="J191" s="72"/>
      <c r="K191" s="83"/>
      <c r="L191" s="83"/>
      <c r="M191" s="83"/>
      <c r="N191" s="83"/>
      <c r="O191" s="87">
        <f>VLOOKUP($B191,BOM!$A$2:$K$94,10,0)</f>
        <v>0</v>
      </c>
      <c r="P191" s="87">
        <f t="shared" si="7"/>
        <v>0</v>
      </c>
      <c r="Q191" s="84">
        <f>VLOOKUP($B191,BOM!$A$2:$K$94,9,0)</f>
        <v>0</v>
      </c>
    </row>
    <row r="192" spans="1:17" s="45" customFormat="1">
      <c r="A192" s="141"/>
      <c r="B192" s="62" t="s">
        <v>332</v>
      </c>
      <c r="C192" s="62" t="s">
        <v>332</v>
      </c>
      <c r="D192" s="85" t="s">
        <v>51</v>
      </c>
      <c r="E192" s="85">
        <f>E177</f>
        <v>1</v>
      </c>
      <c r="F192" s="62"/>
      <c r="G192" s="62"/>
      <c r="H192" s="62"/>
      <c r="I192" s="62"/>
      <c r="J192" s="62"/>
      <c r="K192" s="62"/>
      <c r="L192" s="62"/>
      <c r="M192" s="86"/>
      <c r="N192" s="86" t="s">
        <v>51</v>
      </c>
      <c r="O192" s="87">
        <f>VLOOKUP($B192,BOM!$A$2:$K$94,10,0)</f>
        <v>0</v>
      </c>
      <c r="P192" s="87">
        <f t="shared" si="7"/>
        <v>0</v>
      </c>
      <c r="Q192" s="87" t="str">
        <f>VLOOKUP($B192,BOM!$A$2:$K$94,9,0)</f>
        <v>bộ</v>
      </c>
    </row>
    <row r="193" spans="1:17" s="45" customFormat="1">
      <c r="A193" s="141"/>
      <c r="B193" s="62" t="s">
        <v>52</v>
      </c>
      <c r="C193" s="62" t="s">
        <v>53</v>
      </c>
      <c r="D193" s="86" t="s">
        <v>54</v>
      </c>
      <c r="E193" s="105">
        <f>E190+E189</f>
        <v>14</v>
      </c>
      <c r="F193" s="62"/>
      <c r="G193" s="62"/>
      <c r="H193" s="62"/>
      <c r="I193" s="62"/>
      <c r="J193" s="62"/>
      <c r="K193" s="62"/>
      <c r="L193" s="62"/>
      <c r="M193" s="86" t="s">
        <v>55</v>
      </c>
      <c r="N193" s="86" t="s">
        <v>54</v>
      </c>
      <c r="O193" s="87">
        <f>VLOOKUP($B193,BOM!$A$2:$K$94,10,0)</f>
        <v>0</v>
      </c>
      <c r="P193" s="87">
        <f t="shared" si="7"/>
        <v>0</v>
      </c>
      <c r="Q193" s="87" t="str">
        <f>VLOOKUP($B193,BOM!$A$2:$K$94,9,0)</f>
        <v>node</v>
      </c>
    </row>
    <row r="194" spans="1:17" s="45" customFormat="1">
      <c r="A194" s="141"/>
      <c r="B194" s="62" t="s">
        <v>56</v>
      </c>
      <c r="C194" s="62" t="s">
        <v>57</v>
      </c>
      <c r="D194" s="86" t="s">
        <v>14</v>
      </c>
      <c r="E194" s="105">
        <f>E163+E159</f>
        <v>16</v>
      </c>
      <c r="F194" s="62"/>
      <c r="G194" s="62"/>
      <c r="H194" s="62"/>
      <c r="I194" s="62"/>
      <c r="J194" s="62"/>
      <c r="K194" s="62"/>
      <c r="L194" s="62"/>
      <c r="M194" s="86" t="s">
        <v>55</v>
      </c>
      <c r="N194" s="86" t="s">
        <v>14</v>
      </c>
      <c r="O194" s="87">
        <f>VLOOKUP($B194,BOM!$A$2:$K$94,10,0)</f>
        <v>0</v>
      </c>
      <c r="P194" s="87">
        <f t="shared" si="7"/>
        <v>0</v>
      </c>
      <c r="Q194" s="87" t="str">
        <f>VLOOKUP($B194,BOM!$A$2:$K$94,9,0)</f>
        <v>sợi</v>
      </c>
    </row>
    <row r="195" spans="1:17" s="45" customFormat="1">
      <c r="A195" s="141"/>
      <c r="B195" s="62" t="s">
        <v>58</v>
      </c>
      <c r="C195" s="62" t="s">
        <v>59</v>
      </c>
      <c r="D195" s="86" t="s">
        <v>60</v>
      </c>
      <c r="E195" s="105">
        <f>E194*2</f>
        <v>32</v>
      </c>
      <c r="F195" s="62"/>
      <c r="G195" s="62"/>
      <c r="H195" s="62"/>
      <c r="I195" s="62"/>
      <c r="J195" s="62"/>
      <c r="K195" s="62"/>
      <c r="L195" s="62"/>
      <c r="M195" s="86" t="s">
        <v>61</v>
      </c>
      <c r="N195" s="86" t="s">
        <v>60</v>
      </c>
      <c r="O195" s="87">
        <f>VLOOKUP($B195,BOM!$A$2:$K$94,10,0)</f>
        <v>0</v>
      </c>
      <c r="P195" s="87">
        <f t="shared" si="7"/>
        <v>0</v>
      </c>
      <c r="Q195" s="87" t="str">
        <f>VLOOKUP($B195,BOM!$A$2:$K$94,9,0)</f>
        <v>đầu</v>
      </c>
    </row>
    <row r="196" spans="1:17" s="45" customFormat="1">
      <c r="A196" s="141"/>
      <c r="B196" s="62" t="s">
        <v>62</v>
      </c>
      <c r="C196" s="62" t="s">
        <v>63</v>
      </c>
      <c r="D196" s="86" t="s">
        <v>64</v>
      </c>
      <c r="E196" s="105">
        <f>E173</f>
        <v>1</v>
      </c>
      <c r="F196" s="62"/>
      <c r="G196" s="62"/>
      <c r="H196" s="62"/>
      <c r="I196" s="62"/>
      <c r="J196" s="62"/>
      <c r="K196" s="62"/>
      <c r="L196" s="62"/>
      <c r="M196" s="86" t="s">
        <v>61</v>
      </c>
      <c r="N196" s="86" t="s">
        <v>64</v>
      </c>
      <c r="O196" s="87">
        <f>VLOOKUP($B196,BOM!$A$2:$K$94,10,0)</f>
        <v>0</v>
      </c>
      <c r="P196" s="87">
        <f t="shared" si="7"/>
        <v>0</v>
      </c>
      <c r="Q196" s="87" t="str">
        <f>VLOOKUP($B196,BOM!$A$2:$K$94,9,0)</f>
        <v>cái</v>
      </c>
    </row>
    <row r="197" spans="1:17" s="140" customFormat="1">
      <c r="A197" s="134">
        <v>4</v>
      </c>
      <c r="B197" s="135"/>
      <c r="C197" s="71" t="s">
        <v>74</v>
      </c>
      <c r="D197" s="136" t="s">
        <v>0</v>
      </c>
      <c r="E197" s="134">
        <v>1</v>
      </c>
      <c r="F197" s="134"/>
      <c r="G197" s="134">
        <v>12</v>
      </c>
      <c r="H197" s="134">
        <v>4</v>
      </c>
      <c r="I197" s="134"/>
      <c r="J197" s="137">
        <f>SUBTOTAL(9,J200:J224)</f>
        <v>15</v>
      </c>
      <c r="K197" s="137"/>
      <c r="L197" s="137"/>
      <c r="M197" s="137"/>
      <c r="N197" s="137"/>
      <c r="O197" s="87">
        <f>VLOOKUP($B197,BOM!$A$2:$K$94,10,0)</f>
        <v>0</v>
      </c>
      <c r="P197" s="87">
        <f t="shared" si="7"/>
        <v>0</v>
      </c>
      <c r="Q197" s="139">
        <f>VLOOKUP($B197,BOM!$A$2:$K$94,9,0)</f>
        <v>0</v>
      </c>
    </row>
    <row r="198" spans="1:17">
      <c r="A198" s="141"/>
      <c r="B198" s="81"/>
      <c r="C198" s="72" t="s">
        <v>124</v>
      </c>
      <c r="D198" s="72" t="s">
        <v>0</v>
      </c>
      <c r="E198" s="72">
        <v>1</v>
      </c>
      <c r="F198" s="72"/>
      <c r="G198" s="72"/>
      <c r="H198" s="72"/>
      <c r="I198" s="72"/>
      <c r="J198" s="72"/>
      <c r="K198" s="83"/>
      <c r="L198" s="83"/>
      <c r="M198" s="83"/>
      <c r="N198" s="83"/>
      <c r="O198" s="87">
        <f>VLOOKUP($B198,BOM!$A$2:$K$94,10,0)</f>
        <v>0</v>
      </c>
      <c r="P198" s="87">
        <f t="shared" si="7"/>
        <v>0</v>
      </c>
      <c r="Q198" s="84">
        <f>VLOOKUP($B198,BOM!$A$2:$K$94,9,0)</f>
        <v>0</v>
      </c>
    </row>
    <row r="199" spans="1:17" s="19" customFormat="1">
      <c r="A199" s="141"/>
      <c r="B199" s="21" t="s">
        <v>226</v>
      </c>
      <c r="C199" s="21" t="s">
        <v>227</v>
      </c>
      <c r="D199" s="21"/>
      <c r="E199" s="22">
        <v>1</v>
      </c>
      <c r="F199" s="21"/>
      <c r="G199" s="21"/>
      <c r="H199" s="21"/>
      <c r="I199" s="21"/>
      <c r="J199" s="21"/>
      <c r="K199" s="21" t="s">
        <v>4</v>
      </c>
      <c r="L199" s="21" t="s">
        <v>5</v>
      </c>
      <c r="M199" s="22" t="s">
        <v>22</v>
      </c>
      <c r="N199" s="22" t="s">
        <v>3</v>
      </c>
      <c r="O199" s="87">
        <f>VLOOKUP($B199,BOM!$A$2:$K$94,10,0)</f>
        <v>0</v>
      </c>
      <c r="P199" s="87">
        <f t="shared" si="7"/>
        <v>0</v>
      </c>
      <c r="Q199" s="142">
        <f>VLOOKUP($B199,BOM!$A$2:$K$94,9,0)</f>
        <v>0</v>
      </c>
    </row>
    <row r="200" spans="1:17" s="19" customFormat="1">
      <c r="A200" s="141"/>
      <c r="B200" s="21" t="s">
        <v>122</v>
      </c>
      <c r="C200" s="21" t="s">
        <v>123</v>
      </c>
      <c r="D200" s="21"/>
      <c r="E200" s="22">
        <v>1</v>
      </c>
      <c r="F200" s="21"/>
      <c r="G200" s="21"/>
      <c r="H200" s="21"/>
      <c r="I200" s="21"/>
      <c r="J200" s="21">
        <f>E200</f>
        <v>1</v>
      </c>
      <c r="K200" s="21" t="s">
        <v>4</v>
      </c>
      <c r="L200" s="21" t="s">
        <v>5</v>
      </c>
      <c r="M200" s="22" t="s">
        <v>22</v>
      </c>
      <c r="N200" s="22" t="s">
        <v>3</v>
      </c>
      <c r="O200" s="87">
        <f>VLOOKUP($B200,BOM!$A$2:$K$94,10,0)</f>
        <v>0</v>
      </c>
      <c r="P200" s="87">
        <f t="shared" si="7"/>
        <v>0</v>
      </c>
      <c r="Q200" s="142" t="str">
        <f>VLOOKUP($B200,BOM!$A$2:$K$94,9,0)</f>
        <v>Cái</v>
      </c>
    </row>
    <row r="201" spans="1:17">
      <c r="A201" s="141"/>
      <c r="B201" s="81"/>
      <c r="C201" s="72" t="s">
        <v>1</v>
      </c>
      <c r="D201" s="72" t="s">
        <v>0</v>
      </c>
      <c r="E201" s="72">
        <v>1</v>
      </c>
      <c r="F201" s="72"/>
      <c r="G201" s="72">
        <f>ROUNDUP(G197/24,0)</f>
        <v>1</v>
      </c>
      <c r="H201" s="72">
        <f t="shared" ref="H201" si="10">ROUNDUP(H197/24,0)</f>
        <v>1</v>
      </c>
      <c r="I201" s="72"/>
      <c r="J201" s="72"/>
      <c r="K201" s="83"/>
      <c r="L201" s="83"/>
      <c r="M201" s="83"/>
      <c r="N201" s="83"/>
      <c r="O201" s="87">
        <f>VLOOKUP($B201,BOM!$A$2:$K$94,10,0)</f>
        <v>0</v>
      </c>
      <c r="P201" s="87">
        <f t="shared" si="7"/>
        <v>0</v>
      </c>
      <c r="Q201" s="84">
        <f>VLOOKUP($B201,BOM!$A$2:$K$94,9,0)</f>
        <v>0</v>
      </c>
    </row>
    <row r="202" spans="1:17" s="45" customFormat="1">
      <c r="A202" s="141"/>
      <c r="B202" s="62">
        <v>760249997</v>
      </c>
      <c r="C202" s="62" t="s">
        <v>2</v>
      </c>
      <c r="D202" s="85" t="s">
        <v>3</v>
      </c>
      <c r="E202" s="85">
        <f>ROUNDUP((E204+E208)/3,0)</f>
        <v>1</v>
      </c>
      <c r="F202" s="62"/>
      <c r="G202" s="62"/>
      <c r="H202" s="62"/>
      <c r="I202" s="62"/>
      <c r="J202" s="21">
        <f>E202</f>
        <v>1</v>
      </c>
      <c r="K202" s="62" t="s">
        <v>4</v>
      </c>
      <c r="L202" s="62" t="s">
        <v>5</v>
      </c>
      <c r="M202" s="86" t="s">
        <v>6</v>
      </c>
      <c r="N202" s="86" t="s">
        <v>3</v>
      </c>
      <c r="O202" s="87">
        <f>VLOOKUP($B202,BOM!$A$2:$K$94,10,0)</f>
        <v>0</v>
      </c>
      <c r="P202" s="87">
        <f t="shared" ref="P202:P265" si="11">O202*E202</f>
        <v>0</v>
      </c>
      <c r="Q202" s="87" t="str">
        <f>VLOOKUP($B202,BOM!$A$2:$K$94,9,0)</f>
        <v>Cái</v>
      </c>
    </row>
    <row r="203" spans="1:17" s="45" customFormat="1">
      <c r="A203" s="141"/>
      <c r="B203" s="62">
        <v>760241378</v>
      </c>
      <c r="C203" s="62" t="s">
        <v>7</v>
      </c>
      <c r="D203" s="85" t="s">
        <v>3</v>
      </c>
      <c r="E203" s="85">
        <f>IF(E204&lt;=2,1,ROUNDUP(E202*1.5,0))</f>
        <v>1</v>
      </c>
      <c r="F203" s="62"/>
      <c r="G203" s="62"/>
      <c r="H203" s="62"/>
      <c r="I203" s="62"/>
      <c r="J203" s="62"/>
      <c r="K203" s="62" t="s">
        <v>4</v>
      </c>
      <c r="L203" s="62" t="s">
        <v>5</v>
      </c>
      <c r="M203" s="86" t="s">
        <v>6</v>
      </c>
      <c r="N203" s="86" t="s">
        <v>3</v>
      </c>
      <c r="O203" s="87">
        <f>VLOOKUP($B203,BOM!$A$2:$K$94,10,0)</f>
        <v>0</v>
      </c>
      <c r="P203" s="87">
        <f t="shared" si="11"/>
        <v>0</v>
      </c>
      <c r="Q203" s="87" t="str">
        <f>VLOOKUP($B203,BOM!$A$2:$K$94,9,0)</f>
        <v>Cái</v>
      </c>
    </row>
    <row r="204" spans="1:17" s="45" customFormat="1">
      <c r="A204" s="141"/>
      <c r="B204" s="62" t="s">
        <v>8</v>
      </c>
      <c r="C204" s="62" t="s">
        <v>9</v>
      </c>
      <c r="D204" s="85" t="s">
        <v>3</v>
      </c>
      <c r="E204" s="85">
        <f>G201</f>
        <v>1</v>
      </c>
      <c r="F204" s="62"/>
      <c r="G204" s="62"/>
      <c r="H204" s="62"/>
      <c r="I204" s="62"/>
      <c r="J204" s="62"/>
      <c r="K204" s="62" t="s">
        <v>4</v>
      </c>
      <c r="L204" s="62" t="s">
        <v>5</v>
      </c>
      <c r="M204" s="86" t="s">
        <v>6</v>
      </c>
      <c r="N204" s="86" t="s">
        <v>3</v>
      </c>
      <c r="O204" s="87">
        <f>VLOOKUP($B204,BOM!$A$2:$K$94,10,0)</f>
        <v>0</v>
      </c>
      <c r="P204" s="87">
        <f t="shared" si="11"/>
        <v>0</v>
      </c>
      <c r="Q204" s="87" t="str">
        <f>VLOOKUP($B204,BOM!$A$2:$K$94,9,0)</f>
        <v>Cái</v>
      </c>
    </row>
    <row r="205" spans="1:17" s="45" customFormat="1">
      <c r="A205" s="141"/>
      <c r="B205" s="62" t="s">
        <v>10</v>
      </c>
      <c r="C205" s="62" t="s">
        <v>11</v>
      </c>
      <c r="D205" s="85" t="s">
        <v>3</v>
      </c>
      <c r="E205" s="85">
        <f>E202*3-E204-E208</f>
        <v>1</v>
      </c>
      <c r="F205" s="62"/>
      <c r="G205" s="62"/>
      <c r="H205" s="62"/>
      <c r="I205" s="62"/>
      <c r="J205" s="62"/>
      <c r="K205" s="62" t="s">
        <v>4</v>
      </c>
      <c r="L205" s="62" t="s">
        <v>5</v>
      </c>
      <c r="M205" s="86" t="s">
        <v>6</v>
      </c>
      <c r="N205" s="86" t="s">
        <v>3</v>
      </c>
      <c r="O205" s="87">
        <f>VLOOKUP($B205,BOM!$A$2:$K$94,10,0)</f>
        <v>0</v>
      </c>
      <c r="P205" s="87">
        <f t="shared" si="11"/>
        <v>0</v>
      </c>
      <c r="Q205" s="87" t="str">
        <f>VLOOKUP($B205,BOM!$A$2:$K$94,9,0)</f>
        <v>Cái</v>
      </c>
    </row>
    <row r="206" spans="1:17" s="45" customFormat="1">
      <c r="A206" s="141"/>
      <c r="B206" s="62" t="s">
        <v>12</v>
      </c>
      <c r="C206" s="62" t="s">
        <v>13</v>
      </c>
      <c r="D206" s="85" t="s">
        <v>14</v>
      </c>
      <c r="E206" s="85">
        <f>G197/2</f>
        <v>6</v>
      </c>
      <c r="F206" s="62"/>
      <c r="G206" s="62"/>
      <c r="H206" s="62"/>
      <c r="I206" s="62"/>
      <c r="J206" s="62"/>
      <c r="K206" s="62" t="s">
        <v>4</v>
      </c>
      <c r="L206" s="62" t="s">
        <v>5</v>
      </c>
      <c r="M206" s="86" t="s">
        <v>6</v>
      </c>
      <c r="N206" s="86" t="s">
        <v>15</v>
      </c>
      <c r="O206" s="87">
        <f>VLOOKUP($B206,BOM!$A$2:$K$94,10,0)</f>
        <v>0</v>
      </c>
      <c r="P206" s="87">
        <f t="shared" si="11"/>
        <v>0</v>
      </c>
      <c r="Q206" s="87" t="str">
        <f>VLOOKUP($B206,BOM!$A$2:$K$94,9,0)</f>
        <v>Sợi</v>
      </c>
    </row>
    <row r="207" spans="1:17" s="45" customFormat="1">
      <c r="A207" s="141"/>
      <c r="B207" s="62" t="s">
        <v>16</v>
      </c>
      <c r="C207" s="62" t="s">
        <v>17</v>
      </c>
      <c r="D207" s="85" t="s">
        <v>14</v>
      </c>
      <c r="E207" s="85">
        <f>ROUNDUP((E214*1.3),0)</f>
        <v>3</v>
      </c>
      <c r="F207" s="62"/>
      <c r="G207" s="62"/>
      <c r="H207" s="62"/>
      <c r="I207" s="62"/>
      <c r="J207" s="62"/>
      <c r="K207" s="62" t="s">
        <v>4</v>
      </c>
      <c r="L207" s="62" t="s">
        <v>5</v>
      </c>
      <c r="M207" s="86" t="s">
        <v>6</v>
      </c>
      <c r="N207" s="86" t="s">
        <v>15</v>
      </c>
      <c r="O207" s="87">
        <f>VLOOKUP($B207,BOM!$A$2:$K$94,10,0)</f>
        <v>0</v>
      </c>
      <c r="P207" s="87">
        <f t="shared" si="11"/>
        <v>0</v>
      </c>
      <c r="Q207" s="87" t="str">
        <f>VLOOKUP($B207,BOM!$A$2:$K$94,9,0)</f>
        <v>Sợi</v>
      </c>
    </row>
    <row r="208" spans="1:17" s="110" customFormat="1">
      <c r="A208" s="141"/>
      <c r="B208" s="66" t="s">
        <v>198</v>
      </c>
      <c r="C208" s="66" t="s">
        <v>199</v>
      </c>
      <c r="D208" s="89" t="s">
        <v>3</v>
      </c>
      <c r="E208" s="89">
        <f>H201</f>
        <v>1</v>
      </c>
      <c r="F208" s="66"/>
      <c r="G208" s="66"/>
      <c r="H208" s="66"/>
      <c r="I208" s="66"/>
      <c r="J208" s="66"/>
      <c r="K208" s="108" t="s">
        <v>4</v>
      </c>
      <c r="L208" s="108" t="s">
        <v>5</v>
      </c>
      <c r="M208" s="109" t="s">
        <v>6</v>
      </c>
      <c r="N208" s="109" t="s">
        <v>15</v>
      </c>
      <c r="O208" s="87">
        <f>VLOOKUP($B208,BOM!$A$2:$K$94,10,0)</f>
        <v>0</v>
      </c>
      <c r="P208" s="87">
        <f t="shared" si="11"/>
        <v>0</v>
      </c>
      <c r="Q208" s="146" t="str">
        <f>VLOOKUP($B208,BOM!$A$2:$K$94,9,0)</f>
        <v>Cái</v>
      </c>
    </row>
    <row r="209" spans="1:17" s="111" customFormat="1">
      <c r="A209" s="141"/>
      <c r="B209" s="66" t="s">
        <v>194</v>
      </c>
      <c r="C209" s="66" t="s">
        <v>195</v>
      </c>
      <c r="D209" s="89" t="s">
        <v>14</v>
      </c>
      <c r="E209" s="89">
        <f>ROUNDUP((E213*1.3),0)</f>
        <v>2</v>
      </c>
      <c r="F209" s="108"/>
      <c r="G209" s="108"/>
      <c r="H209" s="108"/>
      <c r="I209" s="108"/>
      <c r="J209" s="108"/>
      <c r="K209" s="108" t="s">
        <v>4</v>
      </c>
      <c r="L209" s="108" t="s">
        <v>5</v>
      </c>
      <c r="M209" s="109" t="s">
        <v>6</v>
      </c>
      <c r="N209" s="109" t="s">
        <v>15</v>
      </c>
      <c r="O209" s="87">
        <f>VLOOKUP($B209,BOM!$A$2:$K$94,10,0)</f>
        <v>0</v>
      </c>
      <c r="P209" s="87">
        <f t="shared" si="11"/>
        <v>0</v>
      </c>
      <c r="Q209" s="146" t="str">
        <f>VLOOKUP($B209,BOM!$A$2:$K$94,9,0)</f>
        <v>Cái</v>
      </c>
    </row>
    <row r="210" spans="1:17" s="110" customFormat="1">
      <c r="A210" s="141"/>
      <c r="B210" s="66" t="s">
        <v>196</v>
      </c>
      <c r="C210" s="66" t="s">
        <v>197</v>
      </c>
      <c r="D210" s="89" t="s">
        <v>14</v>
      </c>
      <c r="E210" s="89">
        <f>H197/2</f>
        <v>2</v>
      </c>
      <c r="F210" s="66"/>
      <c r="G210" s="66"/>
      <c r="H210" s="66"/>
      <c r="I210" s="66"/>
      <c r="J210" s="66"/>
      <c r="K210" s="108" t="s">
        <v>4</v>
      </c>
      <c r="L210" s="108" t="s">
        <v>5</v>
      </c>
      <c r="M210" s="109" t="s">
        <v>6</v>
      </c>
      <c r="N210" s="109" t="s">
        <v>15</v>
      </c>
      <c r="O210" s="87">
        <f>VLOOKUP($B210,BOM!$A$2:$K$94,10,0)</f>
        <v>0</v>
      </c>
      <c r="P210" s="87">
        <f t="shared" si="11"/>
        <v>0</v>
      </c>
      <c r="Q210" s="146" t="str">
        <f>VLOOKUP($B210,BOM!$A$2:$K$94,9,0)</f>
        <v>Cái</v>
      </c>
    </row>
    <row r="211" spans="1:17">
      <c r="A211" s="141"/>
      <c r="B211" s="81"/>
      <c r="C211" s="72" t="s">
        <v>26</v>
      </c>
      <c r="D211" s="72" t="s">
        <v>0</v>
      </c>
      <c r="E211" s="72">
        <v>1</v>
      </c>
      <c r="F211" s="72"/>
      <c r="G211" s="72"/>
      <c r="H211" s="72"/>
      <c r="I211" s="72"/>
      <c r="J211" s="72"/>
      <c r="K211" s="83"/>
      <c r="L211" s="83"/>
      <c r="M211" s="83"/>
      <c r="N211" s="83"/>
      <c r="O211" s="87">
        <f>VLOOKUP($B211,BOM!$A$2:$K$94,10,0)</f>
        <v>0</v>
      </c>
      <c r="P211" s="87">
        <f t="shared" si="11"/>
        <v>0</v>
      </c>
      <c r="Q211" s="84">
        <f>VLOOKUP($B211,BOM!$A$2:$K$94,9,0)</f>
        <v>0</v>
      </c>
    </row>
    <row r="212" spans="1:17" ht="60">
      <c r="A212" s="147"/>
      <c r="B212" s="67" t="s">
        <v>228</v>
      </c>
      <c r="C212" s="187" t="s">
        <v>324</v>
      </c>
      <c r="D212" s="90" t="s">
        <v>51</v>
      </c>
      <c r="E212" s="90">
        <v>1</v>
      </c>
      <c r="F212" s="65"/>
      <c r="G212" s="65"/>
      <c r="H212" s="65"/>
      <c r="I212" s="65"/>
      <c r="J212" s="103">
        <f>E212</f>
        <v>1</v>
      </c>
      <c r="K212" s="65" t="s">
        <v>143</v>
      </c>
      <c r="L212" s="65" t="s">
        <v>151</v>
      </c>
      <c r="M212" s="90" t="s">
        <v>154</v>
      </c>
      <c r="N212" s="90" t="s">
        <v>51</v>
      </c>
      <c r="O212" s="87">
        <f>VLOOKUP($B212,BOM!$A$2:$K$94,10,0)</f>
        <v>0</v>
      </c>
      <c r="P212" s="87">
        <f t="shared" si="11"/>
        <v>0</v>
      </c>
      <c r="Q212" s="151" t="str">
        <f>VLOOKUP($B212,BOM!$A$2:$K$94,9,0)</f>
        <v>cái</v>
      </c>
    </row>
    <row r="213" spans="1:17" s="111" customFormat="1">
      <c r="A213" s="120"/>
      <c r="B213" s="68" t="s">
        <v>216</v>
      </c>
      <c r="C213" s="68" t="s">
        <v>217</v>
      </c>
      <c r="D213" s="89" t="s">
        <v>64</v>
      </c>
      <c r="E213" s="89">
        <v>1</v>
      </c>
      <c r="F213" s="124"/>
      <c r="G213" s="124"/>
      <c r="H213" s="124"/>
      <c r="I213" s="124"/>
      <c r="J213" s="124"/>
      <c r="K213" s="124" t="s">
        <v>143</v>
      </c>
      <c r="L213" s="124" t="s">
        <v>151</v>
      </c>
      <c r="M213" s="89" t="s">
        <v>154</v>
      </c>
      <c r="N213" s="89" t="s">
        <v>64</v>
      </c>
      <c r="O213" s="87">
        <f>VLOOKUP($B213,BOM!$A$2:$K$94,10,0)</f>
        <v>0</v>
      </c>
      <c r="P213" s="87">
        <f t="shared" si="11"/>
        <v>0</v>
      </c>
      <c r="Q213" s="152" t="str">
        <f>VLOOKUP($B213,BOM!$A$2:$K$94,9,0)</f>
        <v>cái</v>
      </c>
    </row>
    <row r="214" spans="1:17" s="45" customFormat="1">
      <c r="A214" s="141"/>
      <c r="B214" s="64" t="s">
        <v>212</v>
      </c>
      <c r="C214" s="64" t="s">
        <v>213</v>
      </c>
      <c r="D214" s="97" t="s">
        <v>64</v>
      </c>
      <c r="E214" s="98">
        <v>2</v>
      </c>
      <c r="F214" s="95"/>
      <c r="G214" s="95"/>
      <c r="H214" s="95"/>
      <c r="I214" s="95"/>
      <c r="J214" s="95"/>
      <c r="K214" s="95" t="s">
        <v>143</v>
      </c>
      <c r="L214" s="95" t="s">
        <v>151</v>
      </c>
      <c r="M214" s="97" t="s">
        <v>154</v>
      </c>
      <c r="N214" s="97" t="s">
        <v>64</v>
      </c>
      <c r="O214" s="87">
        <f>VLOOKUP($B214,BOM!$A$2:$K$94,10,0)</f>
        <v>0</v>
      </c>
      <c r="P214" s="87">
        <f t="shared" si="11"/>
        <v>0</v>
      </c>
      <c r="Q214" s="153" t="str">
        <f>VLOOKUP($B214,BOM!$A$2:$K$94,9,0)</f>
        <v>cái</v>
      </c>
    </row>
    <row r="215" spans="1:17" s="45" customFormat="1">
      <c r="A215" s="141"/>
      <c r="B215" s="62"/>
      <c r="C215" s="62"/>
      <c r="D215" s="85"/>
      <c r="E215" s="90"/>
      <c r="F215" s="62"/>
      <c r="G215" s="62"/>
      <c r="H215" s="62"/>
      <c r="I215" s="62"/>
      <c r="J215" s="62"/>
      <c r="K215" s="62"/>
      <c r="L215" s="62"/>
      <c r="M215" s="86"/>
      <c r="N215" s="86"/>
      <c r="O215" s="87">
        <f>VLOOKUP($B215,BOM!$A$2:$K$94,10,0)</f>
        <v>0</v>
      </c>
      <c r="P215" s="87">
        <f t="shared" si="11"/>
        <v>0</v>
      </c>
      <c r="Q215" s="87">
        <f>VLOOKUP($B215,BOM!$A$2:$K$94,9,0)</f>
        <v>0</v>
      </c>
    </row>
    <row r="216" spans="1:17" s="45" customFormat="1">
      <c r="A216" s="141"/>
      <c r="B216" s="62"/>
      <c r="C216" s="62"/>
      <c r="D216" s="85"/>
      <c r="E216" s="90"/>
      <c r="F216" s="62"/>
      <c r="G216" s="62"/>
      <c r="H216" s="62"/>
      <c r="I216" s="62"/>
      <c r="J216" s="62"/>
      <c r="K216" s="62"/>
      <c r="L216" s="62"/>
      <c r="M216" s="86"/>
      <c r="N216" s="86"/>
      <c r="O216" s="87">
        <f>VLOOKUP($B216,BOM!$A$2:$K$94,10,0)</f>
        <v>0</v>
      </c>
      <c r="P216" s="87">
        <f t="shared" si="11"/>
        <v>0</v>
      </c>
      <c r="Q216" s="87">
        <f>VLOOKUP($B216,BOM!$A$2:$K$94,9,0)</f>
        <v>0</v>
      </c>
    </row>
    <row r="217" spans="1:17" outlineLevel="1">
      <c r="A217" s="141"/>
      <c r="B217" s="117"/>
      <c r="C217" s="61" t="s">
        <v>67</v>
      </c>
      <c r="D217" s="119" t="s">
        <v>0</v>
      </c>
      <c r="E217" s="120">
        <v>1</v>
      </c>
      <c r="F217" s="121"/>
      <c r="G217" s="121"/>
      <c r="H217" s="121" t="s">
        <v>69</v>
      </c>
      <c r="I217" s="122"/>
      <c r="J217" s="21">
        <f t="shared" ref="J217:J218" si="12">E217</f>
        <v>1</v>
      </c>
      <c r="K217" s="63"/>
      <c r="L217" s="63"/>
      <c r="M217" s="63"/>
      <c r="N217" s="63"/>
      <c r="O217" s="87">
        <f>VLOOKUP($B217,BOM!$A$2:$K$94,10,0)</f>
        <v>0</v>
      </c>
      <c r="P217" s="87">
        <f t="shared" si="11"/>
        <v>0</v>
      </c>
      <c r="Q217" s="80">
        <f>VLOOKUP($B217,BOM!$A$2:$K$94,9,0)</f>
        <v>0</v>
      </c>
    </row>
    <row r="218" spans="1:17" outlineLevel="1">
      <c r="A218" s="141"/>
      <c r="B218" s="117"/>
      <c r="C218" s="61" t="s">
        <v>70</v>
      </c>
      <c r="D218" s="119" t="s">
        <v>0</v>
      </c>
      <c r="E218" s="120">
        <v>1</v>
      </c>
      <c r="F218" s="121"/>
      <c r="G218" s="121"/>
      <c r="H218" s="121" t="s">
        <v>69</v>
      </c>
      <c r="I218" s="122"/>
      <c r="J218" s="21">
        <f t="shared" si="12"/>
        <v>1</v>
      </c>
      <c r="K218" s="63"/>
      <c r="L218" s="63"/>
      <c r="M218" s="63"/>
      <c r="N218" s="63"/>
      <c r="O218" s="87">
        <f>VLOOKUP($B218,BOM!$A$2:$K$94,10,0)</f>
        <v>0</v>
      </c>
      <c r="P218" s="87">
        <f t="shared" si="11"/>
        <v>0</v>
      </c>
      <c r="Q218" s="80">
        <f>VLOOKUP($B218,BOM!$A$2:$K$94,9,0)</f>
        <v>0</v>
      </c>
    </row>
    <row r="219" spans="1:17">
      <c r="A219" s="141"/>
      <c r="B219" s="81"/>
      <c r="C219" s="72" t="s">
        <v>18</v>
      </c>
      <c r="D219" s="72" t="s">
        <v>0</v>
      </c>
      <c r="E219" s="72">
        <v>1</v>
      </c>
      <c r="F219" s="72"/>
      <c r="G219" s="72"/>
      <c r="H219" s="72"/>
      <c r="I219" s="72"/>
      <c r="J219" s="72"/>
      <c r="K219" s="83"/>
      <c r="L219" s="83"/>
      <c r="M219" s="83"/>
      <c r="N219" s="83"/>
      <c r="O219" s="87">
        <f>VLOOKUP($B219,BOM!$A$2:$K$94,10,0)</f>
        <v>0</v>
      </c>
      <c r="P219" s="87">
        <f t="shared" si="11"/>
        <v>0</v>
      </c>
      <c r="Q219" s="84">
        <f>VLOOKUP($B219,BOM!$A$2:$K$94,9,0)</f>
        <v>0</v>
      </c>
    </row>
    <row r="220" spans="1:17" s="45" customFormat="1">
      <c r="A220" s="141"/>
      <c r="B220" s="62">
        <v>760237046</v>
      </c>
      <c r="C220" s="62" t="s">
        <v>19</v>
      </c>
      <c r="D220" s="85" t="s">
        <v>3</v>
      </c>
      <c r="E220" s="85">
        <f>E212+E215</f>
        <v>1</v>
      </c>
      <c r="F220" s="62"/>
      <c r="G220" s="62"/>
      <c r="H220" s="62"/>
      <c r="I220" s="62"/>
      <c r="J220" s="21">
        <f>E220</f>
        <v>1</v>
      </c>
      <c r="K220" s="62" t="s">
        <v>4</v>
      </c>
      <c r="L220" s="62" t="s">
        <v>5</v>
      </c>
      <c r="M220" s="86" t="s">
        <v>6</v>
      </c>
      <c r="N220" s="86" t="s">
        <v>3</v>
      </c>
      <c r="O220" s="87">
        <f>VLOOKUP($B220,BOM!$A$2:$K$94,10,0)</f>
        <v>0</v>
      </c>
      <c r="P220" s="87">
        <f t="shared" si="11"/>
        <v>0</v>
      </c>
      <c r="Q220" s="87" t="str">
        <f>VLOOKUP($B220,BOM!$A$2:$K$94,9,0)</f>
        <v>Cái</v>
      </c>
    </row>
    <row r="221" spans="1:17" s="45" customFormat="1">
      <c r="A221" s="141"/>
      <c r="B221" s="62" t="s">
        <v>23</v>
      </c>
      <c r="C221" s="62" t="s">
        <v>24</v>
      </c>
      <c r="D221" s="85" t="s">
        <v>3</v>
      </c>
      <c r="E221" s="85">
        <f>E220*24</f>
        <v>24</v>
      </c>
      <c r="F221" s="62"/>
      <c r="G221" s="62"/>
      <c r="H221" s="62"/>
      <c r="I221" s="62"/>
      <c r="J221" s="62"/>
      <c r="K221" s="62" t="s">
        <v>25</v>
      </c>
      <c r="L221" s="62" t="s">
        <v>5</v>
      </c>
      <c r="M221" s="86" t="s">
        <v>6</v>
      </c>
      <c r="N221" s="86" t="s">
        <v>3</v>
      </c>
      <c r="O221" s="87">
        <f>VLOOKUP($B221,BOM!$A$2:$K$94,10,0)</f>
        <v>0</v>
      </c>
      <c r="P221" s="87">
        <f t="shared" si="11"/>
        <v>0</v>
      </c>
      <c r="Q221" s="87" t="str">
        <f>VLOOKUP($B221,BOM!$A$2:$K$94,9,0)</f>
        <v>Cái</v>
      </c>
    </row>
    <row r="222" spans="1:17" s="45" customFormat="1">
      <c r="A222" s="141"/>
      <c r="B222" s="62" t="s">
        <v>20</v>
      </c>
      <c r="C222" s="62" t="s">
        <v>21</v>
      </c>
      <c r="D222" s="85" t="s">
        <v>3</v>
      </c>
      <c r="E222" s="85">
        <f>E220</f>
        <v>1</v>
      </c>
      <c r="F222" s="62"/>
      <c r="G222" s="62"/>
      <c r="H222" s="62"/>
      <c r="I222" s="62"/>
      <c r="J222" s="21">
        <f>E222</f>
        <v>1</v>
      </c>
      <c r="K222" s="62" t="s">
        <v>4</v>
      </c>
      <c r="L222" s="62" t="s">
        <v>5</v>
      </c>
      <c r="M222" s="86" t="s">
        <v>22</v>
      </c>
      <c r="N222" s="86" t="s">
        <v>3</v>
      </c>
      <c r="O222" s="87">
        <f>VLOOKUP($B222,BOM!$A$2:$K$94,10,0)</f>
        <v>0</v>
      </c>
      <c r="P222" s="87">
        <f t="shared" si="11"/>
        <v>0</v>
      </c>
      <c r="Q222" s="87" t="str">
        <f>VLOOKUP($B222,BOM!$A$2:$K$94,9,0)</f>
        <v>Cái</v>
      </c>
    </row>
    <row r="223" spans="1:17">
      <c r="A223" s="141"/>
      <c r="B223" s="81"/>
      <c r="C223" s="72" t="s">
        <v>71</v>
      </c>
      <c r="D223" s="72" t="s">
        <v>0</v>
      </c>
      <c r="E223" s="72">
        <v>1</v>
      </c>
      <c r="F223" s="72"/>
      <c r="G223" s="72"/>
      <c r="H223" s="72"/>
      <c r="I223" s="72"/>
      <c r="J223" s="72"/>
      <c r="K223" s="83"/>
      <c r="L223" s="83"/>
      <c r="M223" s="83"/>
      <c r="N223" s="83"/>
      <c r="O223" s="87">
        <f>VLOOKUP($B223,BOM!$A$2:$K$94,10,0)</f>
        <v>0</v>
      </c>
      <c r="P223" s="87">
        <f t="shared" si="11"/>
        <v>0</v>
      </c>
      <c r="Q223" s="84">
        <f>VLOOKUP($B223,BOM!$A$2:$K$94,9,0)</f>
        <v>0</v>
      </c>
    </row>
    <row r="224" spans="1:17" s="45" customFormat="1">
      <c r="A224" s="141"/>
      <c r="B224" s="62" t="s">
        <v>314</v>
      </c>
      <c r="C224" s="62" t="s">
        <v>316</v>
      </c>
      <c r="D224" s="116" t="s">
        <v>51</v>
      </c>
      <c r="E224" s="85">
        <v>1</v>
      </c>
      <c r="F224" s="62"/>
      <c r="G224" s="62"/>
      <c r="H224" s="62"/>
      <c r="I224" s="62"/>
      <c r="J224" s="86">
        <f>E224*8</f>
        <v>8</v>
      </c>
      <c r="K224" s="62"/>
      <c r="L224" s="62" t="s">
        <v>5</v>
      </c>
      <c r="M224" s="86" t="s">
        <v>28</v>
      </c>
      <c r="N224" s="86" t="s">
        <v>3</v>
      </c>
      <c r="O224" s="87">
        <f>VLOOKUP($B224,BOM!$A$2:$K$94,10,0)</f>
        <v>0</v>
      </c>
      <c r="P224" s="87">
        <f t="shared" si="11"/>
        <v>0</v>
      </c>
      <c r="Q224" s="87" t="str">
        <f>VLOOKUP($B224,BOM!$A$2:$K$94,9,0)</f>
        <v>Cái</v>
      </c>
    </row>
    <row r="225" spans="1:17" s="45" customFormat="1">
      <c r="A225" s="141"/>
      <c r="B225" s="62"/>
      <c r="C225" s="62"/>
      <c r="D225" s="116"/>
      <c r="E225" s="85"/>
      <c r="F225" s="62"/>
      <c r="G225" s="62"/>
      <c r="H225" s="62"/>
      <c r="I225" s="62"/>
      <c r="J225" s="62"/>
      <c r="K225" s="62"/>
      <c r="L225" s="62"/>
      <c r="M225" s="86"/>
      <c r="N225" s="86"/>
      <c r="O225" s="87">
        <f>VLOOKUP($B225,BOM!$A$2:$K$94,10,0)</f>
        <v>0</v>
      </c>
      <c r="P225" s="87">
        <f t="shared" si="11"/>
        <v>0</v>
      </c>
      <c r="Q225" s="87">
        <f>VLOOKUP($B225,BOM!$A$2:$K$94,9,0)</f>
        <v>0</v>
      </c>
    </row>
    <row r="226" spans="1:17" s="45" customFormat="1">
      <c r="A226" s="141"/>
      <c r="B226" s="62" t="s">
        <v>225</v>
      </c>
      <c r="C226" s="62" t="s">
        <v>72</v>
      </c>
      <c r="D226" s="116" t="s">
        <v>64</v>
      </c>
      <c r="E226" s="85">
        <v>0</v>
      </c>
      <c r="F226" s="62"/>
      <c r="G226" s="62"/>
      <c r="H226" s="62"/>
      <c r="I226" s="62"/>
      <c r="J226" s="62"/>
      <c r="K226" s="62"/>
      <c r="L226" s="62" t="s">
        <v>5</v>
      </c>
      <c r="M226" s="86" t="s">
        <v>28</v>
      </c>
      <c r="N226" s="86" t="s">
        <v>3</v>
      </c>
      <c r="O226" s="87">
        <f>VLOOKUP($B226,BOM!$A$2:$K$94,10,0)</f>
        <v>0</v>
      </c>
      <c r="P226" s="87">
        <f t="shared" si="11"/>
        <v>0</v>
      </c>
      <c r="Q226" s="87" t="str">
        <f>VLOOKUP($B226,BOM!$A$2:$K$94,9,0)</f>
        <v>Cái</v>
      </c>
    </row>
    <row r="227" spans="1:17">
      <c r="A227" s="141"/>
      <c r="B227" s="81"/>
      <c r="C227" s="72" t="s">
        <v>31</v>
      </c>
      <c r="D227" s="72" t="s">
        <v>0</v>
      </c>
      <c r="E227" s="72">
        <v>1</v>
      </c>
      <c r="F227" s="72"/>
      <c r="G227" s="72"/>
      <c r="H227" s="72"/>
      <c r="I227" s="72"/>
      <c r="J227" s="72"/>
      <c r="K227" s="83"/>
      <c r="L227" s="83"/>
      <c r="M227" s="83"/>
      <c r="N227" s="83"/>
      <c r="O227" s="87">
        <f>VLOOKUP($B227,BOM!$A$2:$K$94,10,0)</f>
        <v>0</v>
      </c>
      <c r="P227" s="87">
        <f t="shared" si="11"/>
        <v>0</v>
      </c>
      <c r="Q227" s="84">
        <f>VLOOKUP($B227,BOM!$A$2:$K$94,9,0)</f>
        <v>0</v>
      </c>
    </row>
    <row r="228" spans="1:17">
      <c r="A228" s="141"/>
      <c r="B228" s="81"/>
      <c r="C228" s="72" t="s">
        <v>32</v>
      </c>
      <c r="D228" s="72"/>
      <c r="E228" s="72"/>
      <c r="F228" s="72"/>
      <c r="G228" s="72">
        <v>6</v>
      </c>
      <c r="H228" s="72"/>
      <c r="I228" s="72"/>
      <c r="J228" s="72"/>
      <c r="K228" s="83"/>
      <c r="L228" s="83"/>
      <c r="M228" s="83"/>
      <c r="N228" s="83"/>
      <c r="O228" s="87">
        <f>VLOOKUP($B228,BOM!$A$2:$K$94,10,0)</f>
        <v>0</v>
      </c>
      <c r="P228" s="87">
        <f t="shared" si="11"/>
        <v>0</v>
      </c>
      <c r="Q228" s="84">
        <f>VLOOKUP($B228,BOM!$A$2:$K$94,9,0)</f>
        <v>0</v>
      </c>
    </row>
    <row r="229" spans="1:17" s="45" customFormat="1" ht="20.45" customHeight="1">
      <c r="A229" s="141"/>
      <c r="B229" s="62" t="s">
        <v>33</v>
      </c>
      <c r="C229" s="62" t="s">
        <v>34</v>
      </c>
      <c r="D229" s="85" t="s">
        <v>3</v>
      </c>
      <c r="E229" s="90">
        <f>E230</f>
        <v>6</v>
      </c>
      <c r="F229" s="62"/>
      <c r="G229" s="62"/>
      <c r="H229" s="62"/>
      <c r="I229" s="62"/>
      <c r="J229" s="62"/>
      <c r="K229" s="62" t="s">
        <v>35</v>
      </c>
      <c r="L229" s="62" t="s">
        <v>5</v>
      </c>
      <c r="M229" s="86" t="s">
        <v>6</v>
      </c>
      <c r="N229" s="86" t="s">
        <v>3</v>
      </c>
      <c r="O229" s="87">
        <f>VLOOKUP($B229,BOM!$A$2:$K$94,10,0)</f>
        <v>0</v>
      </c>
      <c r="P229" s="87">
        <f t="shared" si="11"/>
        <v>0</v>
      </c>
      <c r="Q229" s="87" t="str">
        <f>VLOOKUP($B229,BOM!$A$2:$K$94,9,0)</f>
        <v>Cái</v>
      </c>
    </row>
    <row r="230" spans="1:17" s="45" customFormat="1">
      <c r="A230" s="141"/>
      <c r="B230" s="62" t="s">
        <v>330</v>
      </c>
      <c r="C230" s="62" t="s">
        <v>36</v>
      </c>
      <c r="D230" s="85" t="s">
        <v>3</v>
      </c>
      <c r="E230" s="90">
        <f>G228+H228</f>
        <v>6</v>
      </c>
      <c r="F230" s="62"/>
      <c r="G230" s="62"/>
      <c r="H230" s="62"/>
      <c r="I230" s="62"/>
      <c r="J230" s="62"/>
      <c r="K230" s="62" t="s">
        <v>37</v>
      </c>
      <c r="L230" s="62" t="s">
        <v>5</v>
      </c>
      <c r="M230" s="86" t="s">
        <v>37</v>
      </c>
      <c r="N230" s="86" t="s">
        <v>3</v>
      </c>
      <c r="O230" s="87">
        <f>VLOOKUP($B230,BOM!$A$2:$K$94,10,0)</f>
        <v>0</v>
      </c>
      <c r="P230" s="87">
        <f t="shared" si="11"/>
        <v>0</v>
      </c>
      <c r="Q230" s="87" t="str">
        <f>VLOOKUP($B230,BOM!$A$2:$K$94,9,0)</f>
        <v>Cái</v>
      </c>
    </row>
    <row r="231" spans="1:17" s="45" customFormat="1">
      <c r="A231" s="141"/>
      <c r="B231" s="62" t="s">
        <v>38</v>
      </c>
      <c r="C231" s="62" t="s">
        <v>39</v>
      </c>
      <c r="D231" s="85" t="s">
        <v>3</v>
      </c>
      <c r="E231" s="90">
        <f>E230</f>
        <v>6</v>
      </c>
      <c r="F231" s="62"/>
      <c r="G231" s="62"/>
      <c r="H231" s="62"/>
      <c r="I231" s="62"/>
      <c r="J231" s="62"/>
      <c r="K231" s="62" t="s">
        <v>25</v>
      </c>
      <c r="L231" s="62" t="s">
        <v>5</v>
      </c>
      <c r="M231" s="86" t="s">
        <v>6</v>
      </c>
      <c r="N231" s="86" t="s">
        <v>3</v>
      </c>
      <c r="O231" s="87">
        <f>VLOOKUP($B231,BOM!$A$2:$K$94,10,0)</f>
        <v>0</v>
      </c>
      <c r="P231" s="87">
        <f t="shared" si="11"/>
        <v>0</v>
      </c>
      <c r="Q231" s="87" t="str">
        <f>VLOOKUP($B231,BOM!$A$2:$K$94,9,0)</f>
        <v>Cái</v>
      </c>
    </row>
    <row r="232" spans="1:17">
      <c r="A232" s="141"/>
      <c r="B232" s="81"/>
      <c r="C232" s="72" t="s">
        <v>40</v>
      </c>
      <c r="D232" s="72"/>
      <c r="E232" s="72"/>
      <c r="F232" s="72"/>
      <c r="G232" s="72">
        <v>5</v>
      </c>
      <c r="H232" s="72"/>
      <c r="I232" s="72"/>
      <c r="J232" s="72"/>
      <c r="K232" s="83"/>
      <c r="L232" s="83"/>
      <c r="M232" s="83"/>
      <c r="N232" s="83"/>
      <c r="O232" s="87">
        <f>VLOOKUP($B232,BOM!$A$2:$K$94,10,0)</f>
        <v>0</v>
      </c>
      <c r="P232" s="87">
        <f t="shared" si="11"/>
        <v>0</v>
      </c>
      <c r="Q232" s="84">
        <f>VLOOKUP($B232,BOM!$A$2:$K$94,9,0)</f>
        <v>0</v>
      </c>
    </row>
    <row r="233" spans="1:17" s="45" customFormat="1">
      <c r="A233" s="141"/>
      <c r="B233" s="62" t="s">
        <v>41</v>
      </c>
      <c r="C233" s="62" t="s">
        <v>42</v>
      </c>
      <c r="D233" s="85" t="s">
        <v>3</v>
      </c>
      <c r="E233" s="85">
        <f>G232+H232</f>
        <v>5</v>
      </c>
      <c r="F233" s="62"/>
      <c r="G233" s="62"/>
      <c r="H233" s="62"/>
      <c r="I233" s="62"/>
      <c r="J233" s="62"/>
      <c r="K233" s="62" t="s">
        <v>4</v>
      </c>
      <c r="L233" s="62" t="s">
        <v>5</v>
      </c>
      <c r="M233" s="86" t="s">
        <v>6</v>
      </c>
      <c r="N233" s="86" t="s">
        <v>3</v>
      </c>
      <c r="O233" s="87">
        <f>VLOOKUP($B233,BOM!$A$2:$K$94,10,0)</f>
        <v>0</v>
      </c>
      <c r="P233" s="87">
        <f t="shared" si="11"/>
        <v>0</v>
      </c>
      <c r="Q233" s="87" t="str">
        <f>VLOOKUP($B233,BOM!$A$2:$K$94,9,0)</f>
        <v>Cái</v>
      </c>
    </row>
    <row r="234" spans="1:17" s="45" customFormat="1">
      <c r="A234" s="141"/>
      <c r="B234" s="65" t="s">
        <v>43</v>
      </c>
      <c r="C234" s="65" t="s">
        <v>44</v>
      </c>
      <c r="D234" s="85" t="s">
        <v>3</v>
      </c>
      <c r="E234" s="85">
        <f>E233</f>
        <v>5</v>
      </c>
      <c r="F234" s="62"/>
      <c r="G234" s="62"/>
      <c r="H234" s="62"/>
      <c r="I234" s="62"/>
      <c r="J234" s="62"/>
      <c r="K234" s="62" t="s">
        <v>4</v>
      </c>
      <c r="L234" s="62" t="s">
        <v>5</v>
      </c>
      <c r="M234" s="86" t="s">
        <v>6</v>
      </c>
      <c r="N234" s="86" t="s">
        <v>3</v>
      </c>
      <c r="O234" s="87">
        <f>VLOOKUP($B234,BOM!$A$2:$K$94,10,0)</f>
        <v>0</v>
      </c>
      <c r="P234" s="87">
        <f t="shared" si="11"/>
        <v>0</v>
      </c>
      <c r="Q234" s="87" t="str">
        <f>VLOOKUP($B234,BOM!$A$2:$K$94,9,0)</f>
        <v>Cái</v>
      </c>
    </row>
    <row r="235" spans="1:17">
      <c r="A235" s="141"/>
      <c r="B235" s="81"/>
      <c r="C235" s="72" t="s">
        <v>45</v>
      </c>
      <c r="D235" s="72"/>
      <c r="E235" s="72"/>
      <c r="F235" s="72"/>
      <c r="G235" s="72"/>
      <c r="H235" s="72"/>
      <c r="I235" s="72"/>
      <c r="J235" s="72"/>
      <c r="K235" s="83"/>
      <c r="L235" s="83"/>
      <c r="M235" s="83"/>
      <c r="N235" s="83"/>
      <c r="O235" s="87">
        <f>VLOOKUP($B235,BOM!$A$2:$K$94,10,0)</f>
        <v>0</v>
      </c>
      <c r="P235" s="87">
        <f t="shared" si="11"/>
        <v>0</v>
      </c>
      <c r="Q235" s="84">
        <f>VLOOKUP($B235,BOM!$A$2:$K$94,9,0)</f>
        <v>0</v>
      </c>
    </row>
    <row r="236" spans="1:17" s="45" customFormat="1">
      <c r="A236" s="141"/>
      <c r="B236" s="62" t="s">
        <v>48</v>
      </c>
      <c r="C236" s="62" t="s">
        <v>49</v>
      </c>
      <c r="D236" s="85" t="s">
        <v>14</v>
      </c>
      <c r="E236" s="85">
        <f>E229+E233+1</f>
        <v>12</v>
      </c>
      <c r="F236" s="62"/>
      <c r="G236" s="62"/>
      <c r="H236" s="62"/>
      <c r="I236" s="62"/>
      <c r="J236" s="62"/>
      <c r="K236" s="62"/>
      <c r="L236" s="62" t="s">
        <v>5</v>
      </c>
      <c r="M236" s="86" t="s">
        <v>6</v>
      </c>
      <c r="N236" s="86" t="s">
        <v>15</v>
      </c>
      <c r="O236" s="87">
        <f>VLOOKUP($B236,BOM!$A$2:$K$94,10,0)</f>
        <v>0</v>
      </c>
      <c r="P236" s="87">
        <f t="shared" si="11"/>
        <v>0</v>
      </c>
      <c r="Q236" s="87" t="str">
        <f>VLOOKUP($B236,BOM!$A$2:$K$94,9,0)</f>
        <v>Sợi</v>
      </c>
    </row>
    <row r="237" spans="1:17" s="45" customFormat="1">
      <c r="A237" s="141"/>
      <c r="B237" s="62" t="s">
        <v>48</v>
      </c>
      <c r="C237" s="62" t="s">
        <v>49</v>
      </c>
      <c r="D237" s="85" t="s">
        <v>14</v>
      </c>
      <c r="E237" s="90">
        <f>ROUNDUP(E236*0.2,0)</f>
        <v>3</v>
      </c>
      <c r="F237" s="62"/>
      <c r="G237" s="62"/>
      <c r="H237" s="62"/>
      <c r="I237" s="62"/>
      <c r="J237" s="62"/>
      <c r="K237" s="62" t="s">
        <v>4</v>
      </c>
      <c r="L237" s="62" t="s">
        <v>5</v>
      </c>
      <c r="M237" s="86" t="s">
        <v>6</v>
      </c>
      <c r="N237" s="86" t="s">
        <v>15</v>
      </c>
      <c r="O237" s="87">
        <f>VLOOKUP($B237,BOM!$A$2:$K$94,10,0)</f>
        <v>0</v>
      </c>
      <c r="P237" s="87">
        <f t="shared" si="11"/>
        <v>0</v>
      </c>
      <c r="Q237" s="87" t="str">
        <f>VLOOKUP($B237,BOM!$A$2:$K$94,9,0)</f>
        <v>Sợi</v>
      </c>
    </row>
    <row r="238" spans="1:17">
      <c r="A238" s="141"/>
      <c r="B238" s="81"/>
      <c r="C238" s="72" t="s">
        <v>50</v>
      </c>
      <c r="D238" s="72"/>
      <c r="E238" s="72"/>
      <c r="F238" s="72"/>
      <c r="G238" s="72"/>
      <c r="H238" s="72"/>
      <c r="I238" s="72"/>
      <c r="J238" s="72"/>
      <c r="K238" s="83"/>
      <c r="L238" s="83"/>
      <c r="M238" s="83"/>
      <c r="N238" s="83"/>
      <c r="O238" s="87">
        <f>VLOOKUP($B238,BOM!$A$2:$K$94,10,0)</f>
        <v>0</v>
      </c>
      <c r="P238" s="87">
        <f t="shared" si="11"/>
        <v>0</v>
      </c>
      <c r="Q238" s="84">
        <f>VLOOKUP($B238,BOM!$A$2:$K$94,9,0)</f>
        <v>0</v>
      </c>
    </row>
    <row r="239" spans="1:17" s="45" customFormat="1">
      <c r="A239" s="141"/>
      <c r="B239" s="62" t="s">
        <v>332</v>
      </c>
      <c r="C239" s="62" t="s">
        <v>332</v>
      </c>
      <c r="D239" s="85" t="s">
        <v>51</v>
      </c>
      <c r="E239" s="85">
        <f>E224</f>
        <v>1</v>
      </c>
      <c r="F239" s="62"/>
      <c r="G239" s="62"/>
      <c r="H239" s="62"/>
      <c r="I239" s="62"/>
      <c r="J239" s="62"/>
      <c r="K239" s="62"/>
      <c r="L239" s="62"/>
      <c r="M239" s="86"/>
      <c r="N239" s="86" t="s">
        <v>51</v>
      </c>
      <c r="O239" s="87">
        <f>VLOOKUP($B239,BOM!$A$2:$K$94,10,0)</f>
        <v>0</v>
      </c>
      <c r="P239" s="87">
        <f t="shared" si="11"/>
        <v>0</v>
      </c>
      <c r="Q239" s="87" t="str">
        <f>VLOOKUP($B239,BOM!$A$2:$K$94,9,0)</f>
        <v>bộ</v>
      </c>
    </row>
    <row r="240" spans="1:17" s="45" customFormat="1">
      <c r="A240" s="141"/>
      <c r="B240" s="62" t="s">
        <v>52</v>
      </c>
      <c r="C240" s="62" t="s">
        <v>53</v>
      </c>
      <c r="D240" s="86" t="s">
        <v>54</v>
      </c>
      <c r="E240" s="105">
        <f>E237+E236</f>
        <v>15</v>
      </c>
      <c r="F240" s="62"/>
      <c r="G240" s="62"/>
      <c r="H240" s="62"/>
      <c r="I240" s="62"/>
      <c r="J240" s="62"/>
      <c r="K240" s="62"/>
      <c r="L240" s="62"/>
      <c r="M240" s="86" t="s">
        <v>55</v>
      </c>
      <c r="N240" s="86" t="s">
        <v>54</v>
      </c>
      <c r="O240" s="87">
        <f>VLOOKUP($B240,BOM!$A$2:$K$94,10,0)</f>
        <v>0</v>
      </c>
      <c r="P240" s="87">
        <f t="shared" si="11"/>
        <v>0</v>
      </c>
      <c r="Q240" s="87" t="str">
        <f>VLOOKUP($B240,BOM!$A$2:$K$94,9,0)</f>
        <v>node</v>
      </c>
    </row>
    <row r="241" spans="1:17" s="45" customFormat="1">
      <c r="A241" s="141"/>
      <c r="B241" s="62" t="s">
        <v>56</v>
      </c>
      <c r="C241" s="62" t="s">
        <v>57</v>
      </c>
      <c r="D241" s="86" t="s">
        <v>14</v>
      </c>
      <c r="E241" s="105">
        <f>E210+E206</f>
        <v>8</v>
      </c>
      <c r="F241" s="62"/>
      <c r="G241" s="62"/>
      <c r="H241" s="62"/>
      <c r="I241" s="62"/>
      <c r="J241" s="62"/>
      <c r="K241" s="62"/>
      <c r="L241" s="62"/>
      <c r="M241" s="86" t="s">
        <v>55</v>
      </c>
      <c r="N241" s="86" t="s">
        <v>14</v>
      </c>
      <c r="O241" s="87">
        <f>VLOOKUP($B241,BOM!$A$2:$K$94,10,0)</f>
        <v>0</v>
      </c>
      <c r="P241" s="87">
        <f t="shared" si="11"/>
        <v>0</v>
      </c>
      <c r="Q241" s="87" t="str">
        <f>VLOOKUP($B241,BOM!$A$2:$K$94,9,0)</f>
        <v>sợi</v>
      </c>
    </row>
    <row r="242" spans="1:17" s="45" customFormat="1">
      <c r="A242" s="141"/>
      <c r="B242" s="62" t="s">
        <v>58</v>
      </c>
      <c r="C242" s="62" t="s">
        <v>59</v>
      </c>
      <c r="D242" s="86" t="s">
        <v>60</v>
      </c>
      <c r="E242" s="105">
        <f>E241*2</f>
        <v>16</v>
      </c>
      <c r="F242" s="62"/>
      <c r="G242" s="62"/>
      <c r="H242" s="62"/>
      <c r="I242" s="62"/>
      <c r="J242" s="62"/>
      <c r="K242" s="62"/>
      <c r="L242" s="62"/>
      <c r="M242" s="86" t="s">
        <v>61</v>
      </c>
      <c r="N242" s="86" t="s">
        <v>60</v>
      </c>
      <c r="O242" s="87">
        <f>VLOOKUP($B242,BOM!$A$2:$K$94,10,0)</f>
        <v>0</v>
      </c>
      <c r="P242" s="87">
        <f t="shared" si="11"/>
        <v>0</v>
      </c>
      <c r="Q242" s="87" t="str">
        <f>VLOOKUP($B242,BOM!$A$2:$K$94,9,0)</f>
        <v>đầu</v>
      </c>
    </row>
    <row r="243" spans="1:17" s="45" customFormat="1">
      <c r="A243" s="141"/>
      <c r="B243" s="62" t="s">
        <v>62</v>
      </c>
      <c r="C243" s="62" t="s">
        <v>63</v>
      </c>
      <c r="D243" s="86" t="s">
        <v>64</v>
      </c>
      <c r="E243" s="105">
        <f>E220</f>
        <v>1</v>
      </c>
      <c r="F243" s="62"/>
      <c r="G243" s="62"/>
      <c r="H243" s="62"/>
      <c r="I243" s="62"/>
      <c r="J243" s="62"/>
      <c r="K243" s="62"/>
      <c r="L243" s="62"/>
      <c r="M243" s="86" t="s">
        <v>61</v>
      </c>
      <c r="N243" s="86" t="s">
        <v>64</v>
      </c>
      <c r="O243" s="87">
        <f>VLOOKUP($B243,BOM!$A$2:$K$94,10,0)</f>
        <v>0</v>
      </c>
      <c r="P243" s="87">
        <f t="shared" si="11"/>
        <v>0</v>
      </c>
      <c r="Q243" s="87" t="str">
        <f>VLOOKUP($B243,BOM!$A$2:$K$94,9,0)</f>
        <v>cái</v>
      </c>
    </row>
    <row r="244" spans="1:17" s="140" customFormat="1">
      <c r="A244" s="134">
        <v>5</v>
      </c>
      <c r="B244" s="135"/>
      <c r="C244" s="71" t="s">
        <v>75</v>
      </c>
      <c r="D244" s="136" t="s">
        <v>0</v>
      </c>
      <c r="E244" s="134">
        <v>1</v>
      </c>
      <c r="F244" s="134"/>
      <c r="G244" s="134"/>
      <c r="H244" s="134">
        <v>16</v>
      </c>
      <c r="I244" s="134"/>
      <c r="J244" s="137">
        <f>SUBTOTAL(9,J247:J271)</f>
        <v>15</v>
      </c>
      <c r="K244" s="137"/>
      <c r="L244" s="137"/>
      <c r="M244" s="137"/>
      <c r="N244" s="137"/>
      <c r="O244" s="87">
        <f>VLOOKUP($B244,BOM!$A$2:$K$94,10,0)</f>
        <v>0</v>
      </c>
      <c r="P244" s="87">
        <f t="shared" si="11"/>
        <v>0</v>
      </c>
      <c r="Q244" s="139">
        <f>VLOOKUP($B244,BOM!$A$2:$K$94,9,0)</f>
        <v>0</v>
      </c>
    </row>
    <row r="245" spans="1:17">
      <c r="A245" s="141"/>
      <c r="B245" s="81"/>
      <c r="C245" s="72" t="s">
        <v>124</v>
      </c>
      <c r="D245" s="72" t="s">
        <v>0</v>
      </c>
      <c r="E245" s="72">
        <v>1</v>
      </c>
      <c r="F245" s="72"/>
      <c r="G245" s="72"/>
      <c r="H245" s="72"/>
      <c r="I245" s="72"/>
      <c r="J245" s="72"/>
      <c r="K245" s="83"/>
      <c r="L245" s="83"/>
      <c r="M245" s="83"/>
      <c r="N245" s="83"/>
      <c r="O245" s="87">
        <f>VLOOKUP($B245,BOM!$A$2:$K$94,10,0)</f>
        <v>0</v>
      </c>
      <c r="P245" s="87">
        <f t="shared" si="11"/>
        <v>0</v>
      </c>
      <c r="Q245" s="84">
        <f>VLOOKUP($B245,BOM!$A$2:$K$94,9,0)</f>
        <v>0</v>
      </c>
    </row>
    <row r="246" spans="1:17" s="19" customFormat="1">
      <c r="A246" s="141"/>
      <c r="B246" s="21" t="s">
        <v>226</v>
      </c>
      <c r="C246" s="21" t="s">
        <v>227</v>
      </c>
      <c r="D246" s="21"/>
      <c r="E246" s="22">
        <v>1</v>
      </c>
      <c r="F246" s="21"/>
      <c r="G246" s="21"/>
      <c r="H246" s="21"/>
      <c r="I246" s="21"/>
      <c r="J246" s="21"/>
      <c r="K246" s="21" t="s">
        <v>4</v>
      </c>
      <c r="L246" s="21" t="s">
        <v>5</v>
      </c>
      <c r="M246" s="22" t="s">
        <v>22</v>
      </c>
      <c r="N246" s="22" t="s">
        <v>3</v>
      </c>
      <c r="O246" s="87">
        <f>VLOOKUP($B246,BOM!$A$2:$K$94,10,0)</f>
        <v>0</v>
      </c>
      <c r="P246" s="87">
        <f t="shared" si="11"/>
        <v>0</v>
      </c>
      <c r="Q246" s="142">
        <f>VLOOKUP($B246,BOM!$A$2:$K$94,9,0)</f>
        <v>0</v>
      </c>
    </row>
    <row r="247" spans="1:17" s="19" customFormat="1">
      <c r="A247" s="141"/>
      <c r="B247" s="21" t="s">
        <v>122</v>
      </c>
      <c r="C247" s="21" t="s">
        <v>123</v>
      </c>
      <c r="D247" s="21"/>
      <c r="E247" s="22">
        <v>1</v>
      </c>
      <c r="F247" s="21"/>
      <c r="G247" s="21"/>
      <c r="H247" s="21"/>
      <c r="I247" s="21"/>
      <c r="J247" s="21">
        <f>E247</f>
        <v>1</v>
      </c>
      <c r="K247" s="21" t="s">
        <v>4</v>
      </c>
      <c r="L247" s="21" t="s">
        <v>5</v>
      </c>
      <c r="M247" s="22" t="s">
        <v>22</v>
      </c>
      <c r="N247" s="22" t="s">
        <v>3</v>
      </c>
      <c r="O247" s="87">
        <f>VLOOKUP($B247,BOM!$A$2:$K$94,10,0)</f>
        <v>0</v>
      </c>
      <c r="P247" s="87">
        <f t="shared" si="11"/>
        <v>0</v>
      </c>
      <c r="Q247" s="142" t="str">
        <f>VLOOKUP($B247,BOM!$A$2:$K$94,9,0)</f>
        <v>Cái</v>
      </c>
    </row>
    <row r="248" spans="1:17">
      <c r="A248" s="141"/>
      <c r="B248" s="81"/>
      <c r="C248" s="72" t="s">
        <v>1</v>
      </c>
      <c r="D248" s="72" t="s">
        <v>0</v>
      </c>
      <c r="E248" s="72">
        <v>1</v>
      </c>
      <c r="F248" s="72"/>
      <c r="G248" s="72">
        <f>ROUNDUP(G244/24,0)</f>
        <v>0</v>
      </c>
      <c r="H248" s="72">
        <f t="shared" ref="H248" si="13">ROUNDUP(H244/24,0)</f>
        <v>1</v>
      </c>
      <c r="I248" s="72"/>
      <c r="J248" s="72"/>
      <c r="K248" s="83"/>
      <c r="L248" s="83"/>
      <c r="M248" s="83"/>
      <c r="N248" s="83"/>
      <c r="O248" s="87">
        <f>VLOOKUP($B248,BOM!$A$2:$K$94,10,0)</f>
        <v>0</v>
      </c>
      <c r="P248" s="87">
        <f t="shared" si="11"/>
        <v>0</v>
      </c>
      <c r="Q248" s="84">
        <f>VLOOKUP($B248,BOM!$A$2:$K$94,9,0)</f>
        <v>0</v>
      </c>
    </row>
    <row r="249" spans="1:17" s="45" customFormat="1">
      <c r="A249" s="141"/>
      <c r="B249" s="62">
        <v>760249997</v>
      </c>
      <c r="C249" s="62" t="s">
        <v>2</v>
      </c>
      <c r="D249" s="85" t="s">
        <v>3</v>
      </c>
      <c r="E249" s="85">
        <f>ROUNDUP((E251+E255)/3,0)</f>
        <v>1</v>
      </c>
      <c r="F249" s="62"/>
      <c r="G249" s="62"/>
      <c r="H249" s="62"/>
      <c r="I249" s="62"/>
      <c r="J249" s="21">
        <f>E249</f>
        <v>1</v>
      </c>
      <c r="K249" s="62" t="s">
        <v>4</v>
      </c>
      <c r="L249" s="62" t="s">
        <v>5</v>
      </c>
      <c r="M249" s="86" t="s">
        <v>6</v>
      </c>
      <c r="N249" s="86" t="s">
        <v>3</v>
      </c>
      <c r="O249" s="87">
        <f>VLOOKUP($B249,BOM!$A$2:$K$94,10,0)</f>
        <v>0</v>
      </c>
      <c r="P249" s="87">
        <f t="shared" si="11"/>
        <v>0</v>
      </c>
      <c r="Q249" s="87" t="str">
        <f>VLOOKUP($B249,BOM!$A$2:$K$94,9,0)</f>
        <v>Cái</v>
      </c>
    </row>
    <row r="250" spans="1:17" s="45" customFormat="1">
      <c r="A250" s="141"/>
      <c r="B250" s="62">
        <v>760241378</v>
      </c>
      <c r="C250" s="62" t="s">
        <v>7</v>
      </c>
      <c r="D250" s="85" t="s">
        <v>3</v>
      </c>
      <c r="E250" s="85">
        <f>IF(E251&lt;=2,1,ROUNDUP(E249*1.5,0))</f>
        <v>1</v>
      </c>
      <c r="F250" s="62"/>
      <c r="G250" s="62"/>
      <c r="H250" s="62"/>
      <c r="I250" s="62"/>
      <c r="J250" s="62"/>
      <c r="K250" s="62" t="s">
        <v>4</v>
      </c>
      <c r="L250" s="62" t="s">
        <v>5</v>
      </c>
      <c r="M250" s="86" t="s">
        <v>6</v>
      </c>
      <c r="N250" s="86" t="s">
        <v>3</v>
      </c>
      <c r="O250" s="87">
        <f>VLOOKUP($B250,BOM!$A$2:$K$94,10,0)</f>
        <v>0</v>
      </c>
      <c r="P250" s="87">
        <f t="shared" si="11"/>
        <v>0</v>
      </c>
      <c r="Q250" s="87" t="str">
        <f>VLOOKUP($B250,BOM!$A$2:$K$94,9,0)</f>
        <v>Cái</v>
      </c>
    </row>
    <row r="251" spans="1:17" s="45" customFormat="1">
      <c r="A251" s="141"/>
      <c r="B251" s="62" t="s">
        <v>8</v>
      </c>
      <c r="C251" s="62" t="s">
        <v>9</v>
      </c>
      <c r="D251" s="85" t="s">
        <v>3</v>
      </c>
      <c r="E251" s="85">
        <f>G248</f>
        <v>0</v>
      </c>
      <c r="F251" s="62"/>
      <c r="G251" s="62"/>
      <c r="H251" s="62"/>
      <c r="I251" s="62"/>
      <c r="J251" s="62"/>
      <c r="K251" s="62" t="s">
        <v>4</v>
      </c>
      <c r="L251" s="62" t="s">
        <v>5</v>
      </c>
      <c r="M251" s="86" t="s">
        <v>6</v>
      </c>
      <c r="N251" s="86" t="s">
        <v>3</v>
      </c>
      <c r="O251" s="87">
        <f>VLOOKUP($B251,BOM!$A$2:$K$94,10,0)</f>
        <v>0</v>
      </c>
      <c r="P251" s="87">
        <f t="shared" si="11"/>
        <v>0</v>
      </c>
      <c r="Q251" s="87" t="str">
        <f>VLOOKUP($B251,BOM!$A$2:$K$94,9,0)</f>
        <v>Cái</v>
      </c>
    </row>
    <row r="252" spans="1:17" s="45" customFormat="1">
      <c r="A252" s="141"/>
      <c r="B252" s="62" t="s">
        <v>10</v>
      </c>
      <c r="C252" s="62" t="s">
        <v>11</v>
      </c>
      <c r="D252" s="85" t="s">
        <v>3</v>
      </c>
      <c r="E252" s="85">
        <f>E249*3-E251-E255</f>
        <v>2</v>
      </c>
      <c r="F252" s="62"/>
      <c r="G252" s="62"/>
      <c r="H252" s="62"/>
      <c r="I252" s="62"/>
      <c r="J252" s="62"/>
      <c r="K252" s="62" t="s">
        <v>4</v>
      </c>
      <c r="L252" s="62" t="s">
        <v>5</v>
      </c>
      <c r="M252" s="86" t="s">
        <v>6</v>
      </c>
      <c r="N252" s="86" t="s">
        <v>3</v>
      </c>
      <c r="O252" s="87">
        <f>VLOOKUP($B252,BOM!$A$2:$K$94,10,0)</f>
        <v>0</v>
      </c>
      <c r="P252" s="87">
        <f t="shared" si="11"/>
        <v>0</v>
      </c>
      <c r="Q252" s="87" t="str">
        <f>VLOOKUP($B252,BOM!$A$2:$K$94,9,0)</f>
        <v>Cái</v>
      </c>
    </row>
    <row r="253" spans="1:17" s="45" customFormat="1">
      <c r="A253" s="141"/>
      <c r="B253" s="62" t="s">
        <v>12</v>
      </c>
      <c r="C253" s="62" t="s">
        <v>13</v>
      </c>
      <c r="D253" s="85" t="s">
        <v>14</v>
      </c>
      <c r="E253" s="85">
        <f>G244/2</f>
        <v>0</v>
      </c>
      <c r="F253" s="62"/>
      <c r="G253" s="62"/>
      <c r="H253" s="62"/>
      <c r="I253" s="62"/>
      <c r="J253" s="62"/>
      <c r="K253" s="62" t="s">
        <v>4</v>
      </c>
      <c r="L253" s="62" t="s">
        <v>5</v>
      </c>
      <c r="M253" s="86" t="s">
        <v>6</v>
      </c>
      <c r="N253" s="86" t="s">
        <v>15</v>
      </c>
      <c r="O253" s="87">
        <f>VLOOKUP($B253,BOM!$A$2:$K$94,10,0)</f>
        <v>0</v>
      </c>
      <c r="P253" s="87">
        <f t="shared" si="11"/>
        <v>0</v>
      </c>
      <c r="Q253" s="87" t="str">
        <f>VLOOKUP($B253,BOM!$A$2:$K$94,9,0)</f>
        <v>Sợi</v>
      </c>
    </row>
    <row r="254" spans="1:17" s="45" customFormat="1">
      <c r="A254" s="141"/>
      <c r="B254" s="62" t="s">
        <v>16</v>
      </c>
      <c r="C254" s="62" t="s">
        <v>17</v>
      </c>
      <c r="D254" s="85" t="s">
        <v>14</v>
      </c>
      <c r="E254" s="85">
        <f>ROUNDUP((E261*1.3),0)</f>
        <v>0</v>
      </c>
      <c r="F254" s="62"/>
      <c r="G254" s="62"/>
      <c r="H254" s="62"/>
      <c r="I254" s="62"/>
      <c r="J254" s="62"/>
      <c r="K254" s="62" t="s">
        <v>4</v>
      </c>
      <c r="L254" s="62" t="s">
        <v>5</v>
      </c>
      <c r="M254" s="86" t="s">
        <v>6</v>
      </c>
      <c r="N254" s="86" t="s">
        <v>15</v>
      </c>
      <c r="O254" s="87">
        <f>VLOOKUP($B254,BOM!$A$2:$K$94,10,0)</f>
        <v>0</v>
      </c>
      <c r="P254" s="87">
        <f t="shared" si="11"/>
        <v>0</v>
      </c>
      <c r="Q254" s="87" t="str">
        <f>VLOOKUP($B254,BOM!$A$2:$K$94,9,0)</f>
        <v>Sợi</v>
      </c>
    </row>
    <row r="255" spans="1:17" s="110" customFormat="1">
      <c r="A255" s="141"/>
      <c r="B255" s="66" t="s">
        <v>198</v>
      </c>
      <c r="C255" s="66" t="s">
        <v>199</v>
      </c>
      <c r="D255" s="89" t="s">
        <v>3</v>
      </c>
      <c r="E255" s="89">
        <f>H248</f>
        <v>1</v>
      </c>
      <c r="F255" s="66"/>
      <c r="G255" s="66"/>
      <c r="H255" s="66"/>
      <c r="I255" s="66"/>
      <c r="J255" s="66"/>
      <c r="K255" s="108" t="s">
        <v>4</v>
      </c>
      <c r="L255" s="108" t="s">
        <v>5</v>
      </c>
      <c r="M255" s="109" t="s">
        <v>6</v>
      </c>
      <c r="N255" s="109" t="s">
        <v>15</v>
      </c>
      <c r="O255" s="87">
        <f>VLOOKUP($B255,BOM!$A$2:$K$94,10,0)</f>
        <v>0</v>
      </c>
      <c r="P255" s="87">
        <f t="shared" si="11"/>
        <v>0</v>
      </c>
      <c r="Q255" s="146" t="str">
        <f>VLOOKUP($B255,BOM!$A$2:$K$94,9,0)</f>
        <v>Cái</v>
      </c>
    </row>
    <row r="256" spans="1:17" s="111" customFormat="1">
      <c r="A256" s="141"/>
      <c r="B256" s="66" t="s">
        <v>194</v>
      </c>
      <c r="C256" s="66" t="s">
        <v>195</v>
      </c>
      <c r="D256" s="89" t="s">
        <v>14</v>
      </c>
      <c r="E256" s="89">
        <f>ROUNDUP((E260*1.3),0)</f>
        <v>4</v>
      </c>
      <c r="F256" s="108"/>
      <c r="G256" s="108"/>
      <c r="H256" s="108"/>
      <c r="I256" s="108"/>
      <c r="J256" s="108"/>
      <c r="K256" s="108" t="s">
        <v>4</v>
      </c>
      <c r="L256" s="108" t="s">
        <v>5</v>
      </c>
      <c r="M256" s="109" t="s">
        <v>6</v>
      </c>
      <c r="N256" s="109" t="s">
        <v>15</v>
      </c>
      <c r="O256" s="87">
        <f>VLOOKUP($B256,BOM!$A$2:$K$94,10,0)</f>
        <v>0</v>
      </c>
      <c r="P256" s="87">
        <f t="shared" si="11"/>
        <v>0</v>
      </c>
      <c r="Q256" s="146" t="str">
        <f>VLOOKUP($B256,BOM!$A$2:$K$94,9,0)</f>
        <v>Cái</v>
      </c>
    </row>
    <row r="257" spans="1:17" s="110" customFormat="1">
      <c r="A257" s="141"/>
      <c r="B257" s="66" t="s">
        <v>196</v>
      </c>
      <c r="C257" s="66" t="s">
        <v>197</v>
      </c>
      <c r="D257" s="89" t="s">
        <v>14</v>
      </c>
      <c r="E257" s="89">
        <f>H244/2</f>
        <v>8</v>
      </c>
      <c r="F257" s="66"/>
      <c r="G257" s="66"/>
      <c r="H257" s="66"/>
      <c r="I257" s="66"/>
      <c r="J257" s="66"/>
      <c r="K257" s="108" t="s">
        <v>4</v>
      </c>
      <c r="L257" s="108" t="s">
        <v>5</v>
      </c>
      <c r="M257" s="109" t="s">
        <v>6</v>
      </c>
      <c r="N257" s="109" t="s">
        <v>15</v>
      </c>
      <c r="O257" s="87">
        <f>VLOOKUP($B257,BOM!$A$2:$K$94,10,0)</f>
        <v>0</v>
      </c>
      <c r="P257" s="87">
        <f t="shared" si="11"/>
        <v>0</v>
      </c>
      <c r="Q257" s="146" t="str">
        <f>VLOOKUP($B257,BOM!$A$2:$K$94,9,0)</f>
        <v>Cái</v>
      </c>
    </row>
    <row r="258" spans="1:17">
      <c r="A258" s="141"/>
      <c r="B258" s="81"/>
      <c r="C258" s="72" t="s">
        <v>26</v>
      </c>
      <c r="D258" s="72" t="s">
        <v>0</v>
      </c>
      <c r="E258" s="72">
        <v>1</v>
      </c>
      <c r="F258" s="72"/>
      <c r="G258" s="72"/>
      <c r="H258" s="72"/>
      <c r="I258" s="72"/>
      <c r="J258" s="72"/>
      <c r="K258" s="83"/>
      <c r="L258" s="83"/>
      <c r="M258" s="83"/>
      <c r="N258" s="83"/>
      <c r="O258" s="87">
        <f>VLOOKUP($B258,BOM!$A$2:$K$94,10,0)</f>
        <v>0</v>
      </c>
      <c r="P258" s="87">
        <f t="shared" si="11"/>
        <v>0</v>
      </c>
      <c r="Q258" s="84">
        <f>VLOOKUP($B258,BOM!$A$2:$K$94,9,0)</f>
        <v>0</v>
      </c>
    </row>
    <row r="259" spans="1:17" ht="60">
      <c r="A259" s="147"/>
      <c r="B259" s="67" t="s">
        <v>228</v>
      </c>
      <c r="C259" s="187" t="s">
        <v>324</v>
      </c>
      <c r="D259" s="90" t="s">
        <v>51</v>
      </c>
      <c r="E259" s="90">
        <v>1</v>
      </c>
      <c r="F259" s="65"/>
      <c r="G259" s="65"/>
      <c r="H259" s="65"/>
      <c r="I259" s="65"/>
      <c r="J259" s="103">
        <f>E259</f>
        <v>1</v>
      </c>
      <c r="K259" s="65" t="s">
        <v>143</v>
      </c>
      <c r="L259" s="65" t="s">
        <v>151</v>
      </c>
      <c r="M259" s="90" t="s">
        <v>154</v>
      </c>
      <c r="N259" s="90" t="s">
        <v>51</v>
      </c>
      <c r="O259" s="87">
        <f>VLOOKUP($B259,BOM!$A$2:$K$94,10,0)</f>
        <v>0</v>
      </c>
      <c r="P259" s="87">
        <f t="shared" si="11"/>
        <v>0</v>
      </c>
      <c r="Q259" s="151" t="str">
        <f>VLOOKUP($B259,BOM!$A$2:$K$94,9,0)</f>
        <v>cái</v>
      </c>
    </row>
    <row r="260" spans="1:17" s="111" customFormat="1">
      <c r="A260" s="120"/>
      <c r="B260" s="68" t="s">
        <v>216</v>
      </c>
      <c r="C260" s="68" t="s">
        <v>217</v>
      </c>
      <c r="D260" s="89" t="s">
        <v>64</v>
      </c>
      <c r="E260" s="89">
        <v>3</v>
      </c>
      <c r="F260" s="124"/>
      <c r="G260" s="124"/>
      <c r="H260" s="124"/>
      <c r="I260" s="124"/>
      <c r="J260" s="124"/>
      <c r="K260" s="124" t="s">
        <v>143</v>
      </c>
      <c r="L260" s="124" t="s">
        <v>151</v>
      </c>
      <c r="M260" s="89" t="s">
        <v>154</v>
      </c>
      <c r="N260" s="89" t="s">
        <v>64</v>
      </c>
      <c r="O260" s="87">
        <f>VLOOKUP($B260,BOM!$A$2:$K$94,10,0)</f>
        <v>0</v>
      </c>
      <c r="P260" s="87">
        <f t="shared" si="11"/>
        <v>0</v>
      </c>
      <c r="Q260" s="152" t="str">
        <f>VLOOKUP($B260,BOM!$A$2:$K$94,9,0)</f>
        <v>cái</v>
      </c>
    </row>
    <row r="261" spans="1:17" s="45" customFormat="1">
      <c r="A261" s="141"/>
      <c r="B261" s="64" t="s">
        <v>212</v>
      </c>
      <c r="C261" s="64" t="s">
        <v>213</v>
      </c>
      <c r="D261" s="97" t="s">
        <v>64</v>
      </c>
      <c r="E261" s="98">
        <v>0</v>
      </c>
      <c r="F261" s="95"/>
      <c r="G261" s="95"/>
      <c r="H261" s="95"/>
      <c r="I261" s="95"/>
      <c r="J261" s="95"/>
      <c r="K261" s="95" t="s">
        <v>143</v>
      </c>
      <c r="L261" s="95" t="s">
        <v>151</v>
      </c>
      <c r="M261" s="97" t="s">
        <v>154</v>
      </c>
      <c r="N261" s="97" t="s">
        <v>64</v>
      </c>
      <c r="O261" s="87">
        <f>VLOOKUP($B261,BOM!$A$2:$K$94,10,0)</f>
        <v>0</v>
      </c>
      <c r="P261" s="87">
        <f t="shared" si="11"/>
        <v>0</v>
      </c>
      <c r="Q261" s="153" t="str">
        <f>VLOOKUP($B261,BOM!$A$2:$K$94,9,0)</f>
        <v>cái</v>
      </c>
    </row>
    <row r="262" spans="1:17" s="45" customFormat="1">
      <c r="A262" s="141"/>
      <c r="B262" s="62"/>
      <c r="C262" s="62"/>
      <c r="D262" s="85"/>
      <c r="E262" s="90"/>
      <c r="F262" s="62"/>
      <c r="G262" s="62"/>
      <c r="H262" s="62"/>
      <c r="I262" s="62"/>
      <c r="J262" s="62"/>
      <c r="K262" s="62"/>
      <c r="L262" s="62"/>
      <c r="M262" s="86"/>
      <c r="N262" s="86"/>
      <c r="O262" s="87">
        <f>VLOOKUP($B262,BOM!$A$2:$K$94,10,0)</f>
        <v>0</v>
      </c>
      <c r="P262" s="87">
        <f t="shared" si="11"/>
        <v>0</v>
      </c>
      <c r="Q262" s="87">
        <f>VLOOKUP($B262,BOM!$A$2:$K$94,9,0)</f>
        <v>0</v>
      </c>
    </row>
    <row r="263" spans="1:17" s="45" customFormat="1">
      <c r="A263" s="141"/>
      <c r="B263" s="62"/>
      <c r="C263" s="62"/>
      <c r="D263" s="85"/>
      <c r="E263" s="90"/>
      <c r="F263" s="62"/>
      <c r="G263" s="62"/>
      <c r="H263" s="62"/>
      <c r="I263" s="62"/>
      <c r="J263" s="62"/>
      <c r="K263" s="62"/>
      <c r="L263" s="62"/>
      <c r="M263" s="86"/>
      <c r="N263" s="86"/>
      <c r="O263" s="87">
        <f>VLOOKUP($B263,BOM!$A$2:$K$94,10,0)</f>
        <v>0</v>
      </c>
      <c r="P263" s="87">
        <f t="shared" si="11"/>
        <v>0</v>
      </c>
      <c r="Q263" s="87">
        <f>VLOOKUP($B263,BOM!$A$2:$K$94,9,0)</f>
        <v>0</v>
      </c>
    </row>
    <row r="264" spans="1:17" ht="15" customHeight="1" outlineLevel="1">
      <c r="A264" s="141"/>
      <c r="B264" s="117"/>
      <c r="C264" s="61" t="s">
        <v>67</v>
      </c>
      <c r="D264" s="119" t="s">
        <v>0</v>
      </c>
      <c r="E264" s="120">
        <v>1</v>
      </c>
      <c r="F264" s="121"/>
      <c r="G264" s="121"/>
      <c r="H264" s="121" t="s">
        <v>69</v>
      </c>
      <c r="I264" s="122"/>
      <c r="J264" s="21">
        <f t="shared" ref="J264:J265" si="14">E264</f>
        <v>1</v>
      </c>
      <c r="K264" s="63"/>
      <c r="L264" s="63"/>
      <c r="M264" s="63"/>
      <c r="N264" s="63"/>
      <c r="O264" s="87">
        <f>VLOOKUP($B264,BOM!$A$2:$K$94,10,0)</f>
        <v>0</v>
      </c>
      <c r="P264" s="87">
        <f t="shared" si="11"/>
        <v>0</v>
      </c>
      <c r="Q264" s="80">
        <f>VLOOKUP($B264,BOM!$A$2:$K$94,9,0)</f>
        <v>0</v>
      </c>
    </row>
    <row r="265" spans="1:17" outlineLevel="1">
      <c r="A265" s="141"/>
      <c r="B265" s="117"/>
      <c r="C265" s="61" t="s">
        <v>70</v>
      </c>
      <c r="D265" s="119" t="s">
        <v>0</v>
      </c>
      <c r="E265" s="120">
        <v>1</v>
      </c>
      <c r="F265" s="121"/>
      <c r="G265" s="121"/>
      <c r="H265" s="121" t="s">
        <v>69</v>
      </c>
      <c r="I265" s="122"/>
      <c r="J265" s="21">
        <f t="shared" si="14"/>
        <v>1</v>
      </c>
      <c r="K265" s="63"/>
      <c r="L265" s="63"/>
      <c r="M265" s="63"/>
      <c r="N265" s="63"/>
      <c r="O265" s="87">
        <f>VLOOKUP($B265,BOM!$A$2:$K$94,10,0)</f>
        <v>0</v>
      </c>
      <c r="P265" s="87">
        <f t="shared" si="11"/>
        <v>0</v>
      </c>
      <c r="Q265" s="80">
        <f>VLOOKUP($B265,BOM!$A$2:$K$94,9,0)</f>
        <v>0</v>
      </c>
    </row>
    <row r="266" spans="1:17">
      <c r="A266" s="141"/>
      <c r="B266" s="81"/>
      <c r="C266" s="72" t="s">
        <v>18</v>
      </c>
      <c r="D266" s="72" t="s">
        <v>0</v>
      </c>
      <c r="E266" s="72">
        <v>1</v>
      </c>
      <c r="F266" s="72"/>
      <c r="G266" s="72"/>
      <c r="H266" s="72"/>
      <c r="I266" s="72"/>
      <c r="J266" s="72"/>
      <c r="K266" s="83"/>
      <c r="L266" s="83"/>
      <c r="M266" s="83"/>
      <c r="N266" s="83"/>
      <c r="O266" s="87">
        <f>VLOOKUP($B266,BOM!$A$2:$K$94,10,0)</f>
        <v>0</v>
      </c>
      <c r="P266" s="87">
        <f t="shared" ref="P266:P329" si="15">O266*E266</f>
        <v>0</v>
      </c>
      <c r="Q266" s="84">
        <f>VLOOKUP($B266,BOM!$A$2:$K$94,9,0)</f>
        <v>0</v>
      </c>
    </row>
    <row r="267" spans="1:17" s="45" customFormat="1">
      <c r="A267" s="141"/>
      <c r="B267" s="62">
        <v>760237046</v>
      </c>
      <c r="C267" s="62" t="s">
        <v>19</v>
      </c>
      <c r="D267" s="85" t="s">
        <v>3</v>
      </c>
      <c r="E267" s="85">
        <f>E259+E262</f>
        <v>1</v>
      </c>
      <c r="F267" s="62"/>
      <c r="G267" s="62"/>
      <c r="H267" s="62"/>
      <c r="I267" s="62"/>
      <c r="J267" s="21">
        <f>E267</f>
        <v>1</v>
      </c>
      <c r="K267" s="62" t="s">
        <v>4</v>
      </c>
      <c r="L267" s="62" t="s">
        <v>5</v>
      </c>
      <c r="M267" s="86" t="s">
        <v>6</v>
      </c>
      <c r="N267" s="86" t="s">
        <v>3</v>
      </c>
      <c r="O267" s="87">
        <f>VLOOKUP($B267,BOM!$A$2:$K$94,10,0)</f>
        <v>0</v>
      </c>
      <c r="P267" s="87">
        <f t="shared" si="15"/>
        <v>0</v>
      </c>
      <c r="Q267" s="87" t="str">
        <f>VLOOKUP($B267,BOM!$A$2:$K$94,9,0)</f>
        <v>Cái</v>
      </c>
    </row>
    <row r="268" spans="1:17" s="45" customFormat="1">
      <c r="A268" s="141"/>
      <c r="B268" s="62" t="s">
        <v>23</v>
      </c>
      <c r="C268" s="62" t="s">
        <v>24</v>
      </c>
      <c r="D268" s="85" t="s">
        <v>3</v>
      </c>
      <c r="E268" s="85">
        <f>E267*24</f>
        <v>24</v>
      </c>
      <c r="F268" s="62"/>
      <c r="G268" s="62"/>
      <c r="H268" s="62"/>
      <c r="I268" s="62"/>
      <c r="J268" s="62"/>
      <c r="K268" s="62" t="s">
        <v>25</v>
      </c>
      <c r="L268" s="62" t="s">
        <v>5</v>
      </c>
      <c r="M268" s="86" t="s">
        <v>6</v>
      </c>
      <c r="N268" s="86" t="s">
        <v>3</v>
      </c>
      <c r="O268" s="87">
        <f>VLOOKUP($B268,BOM!$A$2:$K$94,10,0)</f>
        <v>0</v>
      </c>
      <c r="P268" s="87">
        <f t="shared" si="15"/>
        <v>0</v>
      </c>
      <c r="Q268" s="87" t="str">
        <f>VLOOKUP($B268,BOM!$A$2:$K$94,9,0)</f>
        <v>Cái</v>
      </c>
    </row>
    <row r="269" spans="1:17" s="45" customFormat="1">
      <c r="A269" s="141"/>
      <c r="B269" s="62" t="s">
        <v>20</v>
      </c>
      <c r="C269" s="62" t="s">
        <v>21</v>
      </c>
      <c r="D269" s="85" t="s">
        <v>3</v>
      </c>
      <c r="E269" s="85">
        <f>E267</f>
        <v>1</v>
      </c>
      <c r="F269" s="62"/>
      <c r="G269" s="62"/>
      <c r="H269" s="62"/>
      <c r="I269" s="62"/>
      <c r="J269" s="21">
        <f>E269</f>
        <v>1</v>
      </c>
      <c r="K269" s="62" t="s">
        <v>4</v>
      </c>
      <c r="L269" s="62" t="s">
        <v>5</v>
      </c>
      <c r="M269" s="86" t="s">
        <v>22</v>
      </c>
      <c r="N269" s="86" t="s">
        <v>3</v>
      </c>
      <c r="O269" s="87">
        <f>VLOOKUP($B269,BOM!$A$2:$K$94,10,0)</f>
        <v>0</v>
      </c>
      <c r="P269" s="87">
        <f t="shared" si="15"/>
        <v>0</v>
      </c>
      <c r="Q269" s="87" t="str">
        <f>VLOOKUP($B269,BOM!$A$2:$K$94,9,0)</f>
        <v>Cái</v>
      </c>
    </row>
    <row r="270" spans="1:17">
      <c r="A270" s="141"/>
      <c r="B270" s="81"/>
      <c r="C270" s="72" t="s">
        <v>71</v>
      </c>
      <c r="D270" s="72" t="s">
        <v>0</v>
      </c>
      <c r="E270" s="72">
        <v>1</v>
      </c>
      <c r="F270" s="72"/>
      <c r="G270" s="72"/>
      <c r="H270" s="72"/>
      <c r="I270" s="72"/>
      <c r="J270" s="72"/>
      <c r="K270" s="83"/>
      <c r="L270" s="83"/>
      <c r="M270" s="83"/>
      <c r="N270" s="83"/>
      <c r="O270" s="87">
        <f>VLOOKUP($B270,BOM!$A$2:$K$94,10,0)</f>
        <v>0</v>
      </c>
      <c r="P270" s="87">
        <f t="shared" si="15"/>
        <v>0</v>
      </c>
      <c r="Q270" s="84">
        <f>VLOOKUP($B270,BOM!$A$2:$K$94,9,0)</f>
        <v>0</v>
      </c>
    </row>
    <row r="271" spans="1:17" s="45" customFormat="1">
      <c r="A271" s="141"/>
      <c r="B271" s="62" t="s">
        <v>314</v>
      </c>
      <c r="C271" s="62" t="s">
        <v>316</v>
      </c>
      <c r="D271" s="116" t="s">
        <v>51</v>
      </c>
      <c r="E271" s="85">
        <v>1</v>
      </c>
      <c r="F271" s="62"/>
      <c r="G271" s="62"/>
      <c r="H271" s="62"/>
      <c r="I271" s="62"/>
      <c r="J271" s="86">
        <f>E271*8</f>
        <v>8</v>
      </c>
      <c r="K271" s="62"/>
      <c r="L271" s="62" t="s">
        <v>5</v>
      </c>
      <c r="M271" s="86" t="s">
        <v>28</v>
      </c>
      <c r="N271" s="86" t="s">
        <v>3</v>
      </c>
      <c r="O271" s="87">
        <f>VLOOKUP($B271,BOM!$A$2:$K$94,10,0)</f>
        <v>0</v>
      </c>
      <c r="P271" s="87">
        <f t="shared" si="15"/>
        <v>0</v>
      </c>
      <c r="Q271" s="87" t="str">
        <f>VLOOKUP($B271,BOM!$A$2:$K$94,9,0)</f>
        <v>Cái</v>
      </c>
    </row>
    <row r="272" spans="1:17" s="45" customFormat="1">
      <c r="A272" s="141"/>
      <c r="B272" s="62"/>
      <c r="C272" s="62"/>
      <c r="D272" s="116"/>
      <c r="E272" s="85"/>
      <c r="F272" s="62"/>
      <c r="G272" s="62"/>
      <c r="H272" s="62"/>
      <c r="I272" s="62"/>
      <c r="J272" s="62"/>
      <c r="K272" s="62"/>
      <c r="L272" s="62"/>
      <c r="M272" s="86"/>
      <c r="N272" s="86"/>
      <c r="O272" s="87">
        <f>VLOOKUP($B272,BOM!$A$2:$K$94,10,0)</f>
        <v>0</v>
      </c>
      <c r="P272" s="87">
        <f t="shared" si="15"/>
        <v>0</v>
      </c>
      <c r="Q272" s="87">
        <f>VLOOKUP($B272,BOM!$A$2:$K$94,9,0)</f>
        <v>0</v>
      </c>
    </row>
    <row r="273" spans="1:17" s="45" customFormat="1">
      <c r="A273" s="141"/>
      <c r="B273" s="62" t="s">
        <v>225</v>
      </c>
      <c r="C273" s="62" t="s">
        <v>72</v>
      </c>
      <c r="D273" s="116" t="s">
        <v>64</v>
      </c>
      <c r="E273" s="85">
        <v>0</v>
      </c>
      <c r="F273" s="62"/>
      <c r="G273" s="62"/>
      <c r="H273" s="62"/>
      <c r="I273" s="62"/>
      <c r="J273" s="62"/>
      <c r="K273" s="62"/>
      <c r="L273" s="62" t="s">
        <v>5</v>
      </c>
      <c r="M273" s="86" t="s">
        <v>28</v>
      </c>
      <c r="N273" s="86" t="s">
        <v>3</v>
      </c>
      <c r="O273" s="87">
        <f>VLOOKUP($B273,BOM!$A$2:$K$94,10,0)</f>
        <v>0</v>
      </c>
      <c r="P273" s="87">
        <f t="shared" si="15"/>
        <v>0</v>
      </c>
      <c r="Q273" s="87" t="str">
        <f>VLOOKUP($B273,BOM!$A$2:$K$94,9,0)</f>
        <v>Cái</v>
      </c>
    </row>
    <row r="274" spans="1:17">
      <c r="A274" s="141"/>
      <c r="B274" s="81"/>
      <c r="C274" s="72" t="s">
        <v>31</v>
      </c>
      <c r="D274" s="72" t="s">
        <v>0</v>
      </c>
      <c r="E274" s="72">
        <v>1</v>
      </c>
      <c r="F274" s="72"/>
      <c r="G274" s="72"/>
      <c r="H274" s="72"/>
      <c r="I274" s="72"/>
      <c r="J274" s="72"/>
      <c r="K274" s="83"/>
      <c r="L274" s="83"/>
      <c r="M274" s="83"/>
      <c r="N274" s="83"/>
      <c r="O274" s="87">
        <f>VLOOKUP($B274,BOM!$A$2:$K$94,10,0)</f>
        <v>0</v>
      </c>
      <c r="P274" s="87">
        <f t="shared" si="15"/>
        <v>0</v>
      </c>
      <c r="Q274" s="84">
        <f>VLOOKUP($B274,BOM!$A$2:$K$94,9,0)</f>
        <v>0</v>
      </c>
    </row>
    <row r="275" spans="1:17">
      <c r="A275" s="141"/>
      <c r="B275" s="81"/>
      <c r="C275" s="72" t="s">
        <v>32</v>
      </c>
      <c r="D275" s="72"/>
      <c r="E275" s="72"/>
      <c r="F275" s="72"/>
      <c r="G275" s="72">
        <v>5</v>
      </c>
      <c r="H275" s="72"/>
      <c r="I275" s="72"/>
      <c r="J275" s="72"/>
      <c r="K275" s="83"/>
      <c r="L275" s="83"/>
      <c r="M275" s="83"/>
      <c r="N275" s="83"/>
      <c r="O275" s="87">
        <f>VLOOKUP($B275,BOM!$A$2:$K$94,10,0)</f>
        <v>0</v>
      </c>
      <c r="P275" s="87">
        <f t="shared" si="15"/>
        <v>0</v>
      </c>
      <c r="Q275" s="84">
        <f>VLOOKUP($B275,BOM!$A$2:$K$94,9,0)</f>
        <v>0</v>
      </c>
    </row>
    <row r="276" spans="1:17" s="45" customFormat="1" ht="20.45" customHeight="1">
      <c r="A276" s="141"/>
      <c r="B276" s="62" t="s">
        <v>33</v>
      </c>
      <c r="C276" s="62" t="s">
        <v>34</v>
      </c>
      <c r="D276" s="85" t="s">
        <v>3</v>
      </c>
      <c r="E276" s="90">
        <f>E277</f>
        <v>5</v>
      </c>
      <c r="F276" s="62"/>
      <c r="G276" s="62"/>
      <c r="H276" s="62"/>
      <c r="I276" s="62"/>
      <c r="J276" s="62"/>
      <c r="K276" s="62" t="s">
        <v>35</v>
      </c>
      <c r="L276" s="62" t="s">
        <v>5</v>
      </c>
      <c r="M276" s="86" t="s">
        <v>6</v>
      </c>
      <c r="N276" s="86" t="s">
        <v>3</v>
      </c>
      <c r="O276" s="87">
        <f>VLOOKUP($B276,BOM!$A$2:$K$94,10,0)</f>
        <v>0</v>
      </c>
      <c r="P276" s="87">
        <f t="shared" si="15"/>
        <v>0</v>
      </c>
      <c r="Q276" s="87" t="str">
        <f>VLOOKUP($B276,BOM!$A$2:$K$94,9,0)</f>
        <v>Cái</v>
      </c>
    </row>
    <row r="277" spans="1:17" s="45" customFormat="1">
      <c r="A277" s="141"/>
      <c r="B277" s="62" t="s">
        <v>330</v>
      </c>
      <c r="C277" s="62" t="s">
        <v>36</v>
      </c>
      <c r="D277" s="85" t="s">
        <v>3</v>
      </c>
      <c r="E277" s="90">
        <f>G275+H275</f>
        <v>5</v>
      </c>
      <c r="F277" s="62"/>
      <c r="G277" s="62"/>
      <c r="H277" s="62"/>
      <c r="I277" s="62"/>
      <c r="J277" s="62"/>
      <c r="K277" s="62" t="s">
        <v>37</v>
      </c>
      <c r="L277" s="62" t="s">
        <v>5</v>
      </c>
      <c r="M277" s="86" t="s">
        <v>37</v>
      </c>
      <c r="N277" s="86" t="s">
        <v>3</v>
      </c>
      <c r="O277" s="87">
        <f>VLOOKUP($B277,BOM!$A$2:$K$94,10,0)</f>
        <v>0</v>
      </c>
      <c r="P277" s="87">
        <f t="shared" si="15"/>
        <v>0</v>
      </c>
      <c r="Q277" s="87" t="str">
        <f>VLOOKUP($B277,BOM!$A$2:$K$94,9,0)</f>
        <v>Cái</v>
      </c>
    </row>
    <row r="278" spans="1:17" s="45" customFormat="1">
      <c r="A278" s="141"/>
      <c r="B278" s="62" t="s">
        <v>38</v>
      </c>
      <c r="C278" s="62" t="s">
        <v>39</v>
      </c>
      <c r="D278" s="85" t="s">
        <v>3</v>
      </c>
      <c r="E278" s="90">
        <f>E277</f>
        <v>5</v>
      </c>
      <c r="F278" s="62"/>
      <c r="G278" s="62"/>
      <c r="H278" s="62"/>
      <c r="I278" s="62"/>
      <c r="J278" s="62"/>
      <c r="K278" s="62" t="s">
        <v>25</v>
      </c>
      <c r="L278" s="62" t="s">
        <v>5</v>
      </c>
      <c r="M278" s="86" t="s">
        <v>6</v>
      </c>
      <c r="N278" s="86" t="s">
        <v>3</v>
      </c>
      <c r="O278" s="87">
        <f>VLOOKUP($B278,BOM!$A$2:$K$94,10,0)</f>
        <v>0</v>
      </c>
      <c r="P278" s="87">
        <f t="shared" si="15"/>
        <v>0</v>
      </c>
      <c r="Q278" s="87" t="str">
        <f>VLOOKUP($B278,BOM!$A$2:$K$94,9,0)</f>
        <v>Cái</v>
      </c>
    </row>
    <row r="279" spans="1:17">
      <c r="A279" s="141"/>
      <c r="B279" s="81"/>
      <c r="C279" s="72" t="s">
        <v>40</v>
      </c>
      <c r="D279" s="72"/>
      <c r="E279" s="72"/>
      <c r="F279" s="72"/>
      <c r="G279" s="72">
        <v>5</v>
      </c>
      <c r="H279" s="72"/>
      <c r="I279" s="72"/>
      <c r="J279" s="72"/>
      <c r="K279" s="83"/>
      <c r="L279" s="83"/>
      <c r="M279" s="83"/>
      <c r="N279" s="83"/>
      <c r="O279" s="87">
        <f>VLOOKUP($B279,BOM!$A$2:$K$94,10,0)</f>
        <v>0</v>
      </c>
      <c r="P279" s="87">
        <f t="shared" si="15"/>
        <v>0</v>
      </c>
      <c r="Q279" s="84">
        <f>VLOOKUP($B279,BOM!$A$2:$K$94,9,0)</f>
        <v>0</v>
      </c>
    </row>
    <row r="280" spans="1:17" s="45" customFormat="1">
      <c r="A280" s="141"/>
      <c r="B280" s="62" t="s">
        <v>41</v>
      </c>
      <c r="C280" s="62" t="s">
        <v>42</v>
      </c>
      <c r="D280" s="85" t="s">
        <v>3</v>
      </c>
      <c r="E280" s="85">
        <f>G279+H279</f>
        <v>5</v>
      </c>
      <c r="F280" s="62"/>
      <c r="G280" s="62"/>
      <c r="H280" s="62"/>
      <c r="I280" s="62"/>
      <c r="J280" s="62"/>
      <c r="K280" s="62" t="s">
        <v>4</v>
      </c>
      <c r="L280" s="62" t="s">
        <v>5</v>
      </c>
      <c r="M280" s="86" t="s">
        <v>6</v>
      </c>
      <c r="N280" s="86" t="s">
        <v>3</v>
      </c>
      <c r="O280" s="87">
        <f>VLOOKUP($B280,BOM!$A$2:$K$94,10,0)</f>
        <v>0</v>
      </c>
      <c r="P280" s="87">
        <f t="shared" si="15"/>
        <v>0</v>
      </c>
      <c r="Q280" s="87" t="str">
        <f>VLOOKUP($B280,BOM!$A$2:$K$94,9,0)</f>
        <v>Cái</v>
      </c>
    </row>
    <row r="281" spans="1:17" s="45" customFormat="1">
      <c r="A281" s="141"/>
      <c r="B281" s="65" t="s">
        <v>43</v>
      </c>
      <c r="C281" s="65" t="s">
        <v>44</v>
      </c>
      <c r="D281" s="85" t="s">
        <v>3</v>
      </c>
      <c r="E281" s="85">
        <f>E280</f>
        <v>5</v>
      </c>
      <c r="F281" s="62"/>
      <c r="G281" s="62"/>
      <c r="H281" s="62"/>
      <c r="I281" s="62"/>
      <c r="J281" s="62"/>
      <c r="K281" s="62" t="s">
        <v>4</v>
      </c>
      <c r="L281" s="62" t="s">
        <v>5</v>
      </c>
      <c r="M281" s="86" t="s">
        <v>6</v>
      </c>
      <c r="N281" s="86" t="s">
        <v>3</v>
      </c>
      <c r="O281" s="87">
        <f>VLOOKUP($B281,BOM!$A$2:$K$94,10,0)</f>
        <v>0</v>
      </c>
      <c r="P281" s="87">
        <f t="shared" si="15"/>
        <v>0</v>
      </c>
      <c r="Q281" s="87" t="str">
        <f>VLOOKUP($B281,BOM!$A$2:$K$94,9,0)</f>
        <v>Cái</v>
      </c>
    </row>
    <row r="282" spans="1:17">
      <c r="A282" s="141"/>
      <c r="B282" s="81"/>
      <c r="C282" s="72" t="s">
        <v>45</v>
      </c>
      <c r="D282" s="72"/>
      <c r="E282" s="72"/>
      <c r="F282" s="72"/>
      <c r="G282" s="72"/>
      <c r="H282" s="72"/>
      <c r="I282" s="72"/>
      <c r="J282" s="72"/>
      <c r="K282" s="83"/>
      <c r="L282" s="83"/>
      <c r="M282" s="83"/>
      <c r="N282" s="83"/>
      <c r="O282" s="87">
        <f>VLOOKUP($B282,BOM!$A$2:$K$94,10,0)</f>
        <v>0</v>
      </c>
      <c r="P282" s="87">
        <f t="shared" si="15"/>
        <v>0</v>
      </c>
      <c r="Q282" s="84">
        <f>VLOOKUP($B282,BOM!$A$2:$K$94,9,0)</f>
        <v>0</v>
      </c>
    </row>
    <row r="283" spans="1:17" s="45" customFormat="1">
      <c r="A283" s="141"/>
      <c r="B283" s="62" t="s">
        <v>48</v>
      </c>
      <c r="C283" s="62" t="s">
        <v>49</v>
      </c>
      <c r="D283" s="85" t="s">
        <v>14</v>
      </c>
      <c r="E283" s="85">
        <f>E276+E280+1</f>
        <v>11</v>
      </c>
      <c r="F283" s="62"/>
      <c r="G283" s="62"/>
      <c r="H283" s="62"/>
      <c r="I283" s="62"/>
      <c r="J283" s="62"/>
      <c r="K283" s="62"/>
      <c r="L283" s="62" t="s">
        <v>5</v>
      </c>
      <c r="M283" s="86" t="s">
        <v>6</v>
      </c>
      <c r="N283" s="86" t="s">
        <v>15</v>
      </c>
      <c r="O283" s="87">
        <f>VLOOKUP($B283,BOM!$A$2:$K$94,10,0)</f>
        <v>0</v>
      </c>
      <c r="P283" s="87">
        <f t="shared" si="15"/>
        <v>0</v>
      </c>
      <c r="Q283" s="87" t="str">
        <f>VLOOKUP($B283,BOM!$A$2:$K$94,9,0)</f>
        <v>Sợi</v>
      </c>
    </row>
    <row r="284" spans="1:17" s="45" customFormat="1">
      <c r="A284" s="141"/>
      <c r="B284" s="62" t="s">
        <v>48</v>
      </c>
      <c r="C284" s="62" t="s">
        <v>49</v>
      </c>
      <c r="D284" s="85" t="s">
        <v>14</v>
      </c>
      <c r="E284" s="90">
        <f>ROUNDUP(E283*0.2,0)</f>
        <v>3</v>
      </c>
      <c r="F284" s="62"/>
      <c r="G284" s="62"/>
      <c r="H284" s="62"/>
      <c r="I284" s="62"/>
      <c r="J284" s="62"/>
      <c r="K284" s="62" t="s">
        <v>4</v>
      </c>
      <c r="L284" s="62" t="s">
        <v>5</v>
      </c>
      <c r="M284" s="86" t="s">
        <v>6</v>
      </c>
      <c r="N284" s="86" t="s">
        <v>15</v>
      </c>
      <c r="O284" s="87">
        <f>VLOOKUP($B284,BOM!$A$2:$K$94,10,0)</f>
        <v>0</v>
      </c>
      <c r="P284" s="87">
        <f t="shared" si="15"/>
        <v>0</v>
      </c>
      <c r="Q284" s="87" t="str">
        <f>VLOOKUP($B284,BOM!$A$2:$K$94,9,0)</f>
        <v>Sợi</v>
      </c>
    </row>
    <row r="285" spans="1:17">
      <c r="A285" s="141"/>
      <c r="B285" s="81"/>
      <c r="C285" s="72" t="s">
        <v>50</v>
      </c>
      <c r="D285" s="72"/>
      <c r="E285" s="72"/>
      <c r="F285" s="72"/>
      <c r="G285" s="72"/>
      <c r="H285" s="72"/>
      <c r="I285" s="72"/>
      <c r="J285" s="72"/>
      <c r="K285" s="83"/>
      <c r="L285" s="83"/>
      <c r="M285" s="83"/>
      <c r="N285" s="83"/>
      <c r="O285" s="87">
        <f>VLOOKUP($B285,BOM!$A$2:$K$94,10,0)</f>
        <v>0</v>
      </c>
      <c r="P285" s="87">
        <f t="shared" si="15"/>
        <v>0</v>
      </c>
      <c r="Q285" s="84">
        <f>VLOOKUP($B285,BOM!$A$2:$K$94,9,0)</f>
        <v>0</v>
      </c>
    </row>
    <row r="286" spans="1:17" s="45" customFormat="1">
      <c r="A286" s="141"/>
      <c r="B286" s="62" t="s">
        <v>332</v>
      </c>
      <c r="C286" s="62" t="s">
        <v>332</v>
      </c>
      <c r="D286" s="85" t="s">
        <v>51</v>
      </c>
      <c r="E286" s="85">
        <f>E271</f>
        <v>1</v>
      </c>
      <c r="F286" s="62"/>
      <c r="G286" s="62"/>
      <c r="H286" s="62"/>
      <c r="I286" s="62"/>
      <c r="J286" s="62"/>
      <c r="K286" s="62"/>
      <c r="L286" s="62"/>
      <c r="M286" s="86"/>
      <c r="N286" s="86" t="s">
        <v>51</v>
      </c>
      <c r="O286" s="87">
        <f>VLOOKUP($B286,BOM!$A$2:$K$94,10,0)</f>
        <v>0</v>
      </c>
      <c r="P286" s="87">
        <f t="shared" si="15"/>
        <v>0</v>
      </c>
      <c r="Q286" s="87" t="str">
        <f>VLOOKUP($B286,BOM!$A$2:$K$94,9,0)</f>
        <v>bộ</v>
      </c>
    </row>
    <row r="287" spans="1:17" s="45" customFormat="1">
      <c r="A287" s="141"/>
      <c r="B287" s="62" t="s">
        <v>52</v>
      </c>
      <c r="C287" s="62" t="s">
        <v>53</v>
      </c>
      <c r="D287" s="86" t="s">
        <v>54</v>
      </c>
      <c r="E287" s="105">
        <f>E284+E283</f>
        <v>14</v>
      </c>
      <c r="F287" s="62"/>
      <c r="G287" s="62"/>
      <c r="H287" s="62"/>
      <c r="I287" s="62"/>
      <c r="J287" s="62"/>
      <c r="K287" s="62"/>
      <c r="L287" s="62"/>
      <c r="M287" s="86" t="s">
        <v>55</v>
      </c>
      <c r="N287" s="86" t="s">
        <v>54</v>
      </c>
      <c r="O287" s="87">
        <f>VLOOKUP($B287,BOM!$A$2:$K$94,10,0)</f>
        <v>0</v>
      </c>
      <c r="P287" s="87">
        <f t="shared" si="15"/>
        <v>0</v>
      </c>
      <c r="Q287" s="87" t="str">
        <f>VLOOKUP($B287,BOM!$A$2:$K$94,9,0)</f>
        <v>node</v>
      </c>
    </row>
    <row r="288" spans="1:17" s="45" customFormat="1">
      <c r="A288" s="141"/>
      <c r="B288" s="62" t="s">
        <v>56</v>
      </c>
      <c r="C288" s="62" t="s">
        <v>57</v>
      </c>
      <c r="D288" s="86" t="s">
        <v>14</v>
      </c>
      <c r="E288" s="105">
        <f>E257+E253</f>
        <v>8</v>
      </c>
      <c r="F288" s="62"/>
      <c r="G288" s="62"/>
      <c r="H288" s="62"/>
      <c r="I288" s="62"/>
      <c r="J288" s="62"/>
      <c r="K288" s="62"/>
      <c r="L288" s="62"/>
      <c r="M288" s="86" t="s">
        <v>55</v>
      </c>
      <c r="N288" s="86" t="s">
        <v>14</v>
      </c>
      <c r="O288" s="87">
        <f>VLOOKUP($B288,BOM!$A$2:$K$94,10,0)</f>
        <v>0</v>
      </c>
      <c r="P288" s="87">
        <f t="shared" si="15"/>
        <v>0</v>
      </c>
      <c r="Q288" s="87" t="str">
        <f>VLOOKUP($B288,BOM!$A$2:$K$94,9,0)</f>
        <v>sợi</v>
      </c>
    </row>
    <row r="289" spans="1:17" s="45" customFormat="1">
      <c r="A289" s="141"/>
      <c r="B289" s="62" t="s">
        <v>58</v>
      </c>
      <c r="C289" s="62" t="s">
        <v>59</v>
      </c>
      <c r="D289" s="86" t="s">
        <v>60</v>
      </c>
      <c r="E289" s="105">
        <f>E288*2</f>
        <v>16</v>
      </c>
      <c r="F289" s="62"/>
      <c r="G289" s="62"/>
      <c r="H289" s="62"/>
      <c r="I289" s="62"/>
      <c r="J289" s="62"/>
      <c r="K289" s="62"/>
      <c r="L289" s="62"/>
      <c r="M289" s="86" t="s">
        <v>61</v>
      </c>
      <c r="N289" s="86" t="s">
        <v>60</v>
      </c>
      <c r="O289" s="87">
        <f>VLOOKUP($B289,BOM!$A$2:$K$94,10,0)</f>
        <v>0</v>
      </c>
      <c r="P289" s="87">
        <f t="shared" si="15"/>
        <v>0</v>
      </c>
      <c r="Q289" s="87" t="str">
        <f>VLOOKUP($B289,BOM!$A$2:$K$94,9,0)</f>
        <v>đầu</v>
      </c>
    </row>
    <row r="290" spans="1:17" s="45" customFormat="1">
      <c r="A290" s="141"/>
      <c r="B290" s="62" t="s">
        <v>62</v>
      </c>
      <c r="C290" s="62" t="s">
        <v>63</v>
      </c>
      <c r="D290" s="86" t="s">
        <v>64</v>
      </c>
      <c r="E290" s="105">
        <f>E267</f>
        <v>1</v>
      </c>
      <c r="F290" s="62"/>
      <c r="G290" s="62"/>
      <c r="H290" s="62"/>
      <c r="I290" s="62"/>
      <c r="J290" s="62"/>
      <c r="K290" s="62"/>
      <c r="L290" s="62"/>
      <c r="M290" s="86" t="s">
        <v>61</v>
      </c>
      <c r="N290" s="86" t="s">
        <v>64</v>
      </c>
      <c r="O290" s="87">
        <f>VLOOKUP($B290,BOM!$A$2:$K$94,10,0)</f>
        <v>0</v>
      </c>
      <c r="P290" s="87">
        <f t="shared" si="15"/>
        <v>0</v>
      </c>
      <c r="Q290" s="87" t="str">
        <f>VLOOKUP($B290,BOM!$A$2:$K$94,9,0)</f>
        <v>cái</v>
      </c>
    </row>
    <row r="291" spans="1:17" s="140" customFormat="1">
      <c r="A291" s="134">
        <v>6</v>
      </c>
      <c r="B291" s="135"/>
      <c r="C291" s="71" t="s">
        <v>76</v>
      </c>
      <c r="D291" s="136" t="s">
        <v>0</v>
      </c>
      <c r="E291" s="134">
        <v>1</v>
      </c>
      <c r="F291" s="134"/>
      <c r="G291" s="134"/>
      <c r="H291" s="134">
        <v>16</v>
      </c>
      <c r="I291" s="134"/>
      <c r="J291" s="137">
        <f>SUBTOTAL(9,J294:J318)</f>
        <v>15</v>
      </c>
      <c r="K291" s="137"/>
      <c r="L291" s="137"/>
      <c r="M291" s="137"/>
      <c r="N291" s="137"/>
      <c r="O291" s="87">
        <f>VLOOKUP($B291,BOM!$A$2:$K$94,10,0)</f>
        <v>0</v>
      </c>
      <c r="P291" s="87">
        <f t="shared" si="15"/>
        <v>0</v>
      </c>
      <c r="Q291" s="139">
        <f>VLOOKUP($B291,BOM!$A$2:$K$94,9,0)</f>
        <v>0</v>
      </c>
    </row>
    <row r="292" spans="1:17">
      <c r="A292" s="141"/>
      <c r="B292" s="81"/>
      <c r="C292" s="72" t="s">
        <v>124</v>
      </c>
      <c r="D292" s="72" t="s">
        <v>0</v>
      </c>
      <c r="E292" s="72">
        <v>1</v>
      </c>
      <c r="F292" s="72"/>
      <c r="G292" s="72"/>
      <c r="H292" s="72"/>
      <c r="I292" s="72"/>
      <c r="J292" s="72"/>
      <c r="K292" s="83"/>
      <c r="L292" s="83"/>
      <c r="M292" s="83"/>
      <c r="N292" s="83"/>
      <c r="O292" s="87">
        <f>VLOOKUP($B292,BOM!$A$2:$K$94,10,0)</f>
        <v>0</v>
      </c>
      <c r="P292" s="87">
        <f t="shared" si="15"/>
        <v>0</v>
      </c>
      <c r="Q292" s="84">
        <f>VLOOKUP($B292,BOM!$A$2:$K$94,9,0)</f>
        <v>0</v>
      </c>
    </row>
    <row r="293" spans="1:17" s="19" customFormat="1">
      <c r="A293" s="141"/>
      <c r="B293" s="21" t="s">
        <v>226</v>
      </c>
      <c r="C293" s="21" t="s">
        <v>227</v>
      </c>
      <c r="D293" s="21"/>
      <c r="E293" s="22">
        <v>1</v>
      </c>
      <c r="F293" s="21"/>
      <c r="G293" s="21"/>
      <c r="H293" s="21"/>
      <c r="I293" s="21"/>
      <c r="J293" s="21"/>
      <c r="K293" s="21" t="s">
        <v>4</v>
      </c>
      <c r="L293" s="21" t="s">
        <v>5</v>
      </c>
      <c r="M293" s="22" t="s">
        <v>22</v>
      </c>
      <c r="N293" s="22" t="s">
        <v>3</v>
      </c>
      <c r="O293" s="87">
        <f>VLOOKUP($B293,BOM!$A$2:$K$94,10,0)</f>
        <v>0</v>
      </c>
      <c r="P293" s="87">
        <f t="shared" si="15"/>
        <v>0</v>
      </c>
      <c r="Q293" s="142">
        <f>VLOOKUP($B293,BOM!$A$2:$K$94,9,0)</f>
        <v>0</v>
      </c>
    </row>
    <row r="294" spans="1:17" s="19" customFormat="1">
      <c r="A294" s="141"/>
      <c r="B294" s="21" t="s">
        <v>122</v>
      </c>
      <c r="C294" s="21" t="s">
        <v>123</v>
      </c>
      <c r="D294" s="21"/>
      <c r="E294" s="22">
        <v>1</v>
      </c>
      <c r="F294" s="21"/>
      <c r="G294" s="21"/>
      <c r="H294" s="21"/>
      <c r="I294" s="21"/>
      <c r="J294" s="21">
        <f>E294</f>
        <v>1</v>
      </c>
      <c r="K294" s="21" t="s">
        <v>4</v>
      </c>
      <c r="L294" s="21" t="s">
        <v>5</v>
      </c>
      <c r="M294" s="22" t="s">
        <v>22</v>
      </c>
      <c r="N294" s="22" t="s">
        <v>3</v>
      </c>
      <c r="O294" s="87">
        <f>VLOOKUP($B294,BOM!$A$2:$K$94,10,0)</f>
        <v>0</v>
      </c>
      <c r="P294" s="87">
        <f t="shared" si="15"/>
        <v>0</v>
      </c>
      <c r="Q294" s="142" t="str">
        <f>VLOOKUP($B294,BOM!$A$2:$K$94,9,0)</f>
        <v>Cái</v>
      </c>
    </row>
    <row r="295" spans="1:17">
      <c r="A295" s="141"/>
      <c r="B295" s="81"/>
      <c r="C295" s="72" t="s">
        <v>1</v>
      </c>
      <c r="D295" s="72" t="s">
        <v>0</v>
      </c>
      <c r="E295" s="72">
        <v>1</v>
      </c>
      <c r="F295" s="72"/>
      <c r="G295" s="72">
        <f>ROUNDUP(G291/24,0)</f>
        <v>0</v>
      </c>
      <c r="H295" s="72">
        <f t="shared" ref="H295" si="16">ROUNDUP(H291/24,0)</f>
        <v>1</v>
      </c>
      <c r="I295" s="72"/>
      <c r="J295" s="72"/>
      <c r="K295" s="83"/>
      <c r="L295" s="83"/>
      <c r="M295" s="83"/>
      <c r="N295" s="83"/>
      <c r="O295" s="87">
        <f>VLOOKUP($B295,BOM!$A$2:$K$94,10,0)</f>
        <v>0</v>
      </c>
      <c r="P295" s="87">
        <f t="shared" si="15"/>
        <v>0</v>
      </c>
      <c r="Q295" s="84">
        <f>VLOOKUP($B295,BOM!$A$2:$K$94,9,0)</f>
        <v>0</v>
      </c>
    </row>
    <row r="296" spans="1:17" s="45" customFormat="1">
      <c r="A296" s="141"/>
      <c r="B296" s="62">
        <v>760249997</v>
      </c>
      <c r="C296" s="62" t="s">
        <v>2</v>
      </c>
      <c r="D296" s="85" t="s">
        <v>3</v>
      </c>
      <c r="E296" s="85">
        <f>ROUNDUP((E298+E302)/3,0)</f>
        <v>1</v>
      </c>
      <c r="F296" s="62"/>
      <c r="G296" s="62"/>
      <c r="H296" s="62"/>
      <c r="I296" s="62"/>
      <c r="J296" s="21">
        <f>E296</f>
        <v>1</v>
      </c>
      <c r="K296" s="62" t="s">
        <v>4</v>
      </c>
      <c r="L296" s="62" t="s">
        <v>5</v>
      </c>
      <c r="M296" s="86" t="s">
        <v>6</v>
      </c>
      <c r="N296" s="86" t="s">
        <v>3</v>
      </c>
      <c r="O296" s="87">
        <f>VLOOKUP($B296,BOM!$A$2:$K$94,10,0)</f>
        <v>0</v>
      </c>
      <c r="P296" s="87">
        <f t="shared" si="15"/>
        <v>0</v>
      </c>
      <c r="Q296" s="87" t="str">
        <f>VLOOKUP($B296,BOM!$A$2:$K$94,9,0)</f>
        <v>Cái</v>
      </c>
    </row>
    <row r="297" spans="1:17" s="45" customFormat="1">
      <c r="A297" s="141"/>
      <c r="B297" s="62">
        <v>760241378</v>
      </c>
      <c r="C297" s="62" t="s">
        <v>7</v>
      </c>
      <c r="D297" s="85" t="s">
        <v>3</v>
      </c>
      <c r="E297" s="85">
        <f>IF(E298&lt;=2,1,ROUNDUP(E296*1.5,0))</f>
        <v>1</v>
      </c>
      <c r="F297" s="62"/>
      <c r="G297" s="62"/>
      <c r="H297" s="62"/>
      <c r="I297" s="62"/>
      <c r="J297" s="62"/>
      <c r="K297" s="62" t="s">
        <v>4</v>
      </c>
      <c r="L297" s="62" t="s">
        <v>5</v>
      </c>
      <c r="M297" s="86" t="s">
        <v>6</v>
      </c>
      <c r="N297" s="86" t="s">
        <v>3</v>
      </c>
      <c r="O297" s="87">
        <f>VLOOKUP($B297,BOM!$A$2:$K$94,10,0)</f>
        <v>0</v>
      </c>
      <c r="P297" s="87">
        <f t="shared" si="15"/>
        <v>0</v>
      </c>
      <c r="Q297" s="87" t="str">
        <f>VLOOKUP($B297,BOM!$A$2:$K$94,9,0)</f>
        <v>Cái</v>
      </c>
    </row>
    <row r="298" spans="1:17" s="45" customFormat="1">
      <c r="A298" s="141"/>
      <c r="B298" s="62" t="s">
        <v>8</v>
      </c>
      <c r="C298" s="62" t="s">
        <v>9</v>
      </c>
      <c r="D298" s="85" t="s">
        <v>3</v>
      </c>
      <c r="E298" s="85">
        <f>G295</f>
        <v>0</v>
      </c>
      <c r="F298" s="62"/>
      <c r="G298" s="62"/>
      <c r="H298" s="62"/>
      <c r="I298" s="62"/>
      <c r="J298" s="62"/>
      <c r="K298" s="62" t="s">
        <v>4</v>
      </c>
      <c r="L298" s="62" t="s">
        <v>5</v>
      </c>
      <c r="M298" s="86" t="s">
        <v>6</v>
      </c>
      <c r="N298" s="86" t="s">
        <v>3</v>
      </c>
      <c r="O298" s="87">
        <f>VLOOKUP($B298,BOM!$A$2:$K$94,10,0)</f>
        <v>0</v>
      </c>
      <c r="P298" s="87">
        <f t="shared" si="15"/>
        <v>0</v>
      </c>
      <c r="Q298" s="87" t="str">
        <f>VLOOKUP($B298,BOM!$A$2:$K$94,9,0)</f>
        <v>Cái</v>
      </c>
    </row>
    <row r="299" spans="1:17" s="45" customFormat="1">
      <c r="A299" s="141"/>
      <c r="B299" s="62" t="s">
        <v>10</v>
      </c>
      <c r="C299" s="62" t="s">
        <v>11</v>
      </c>
      <c r="D299" s="85" t="s">
        <v>3</v>
      </c>
      <c r="E299" s="85">
        <f>E296*3-E298-E302</f>
        <v>2</v>
      </c>
      <c r="F299" s="62"/>
      <c r="G299" s="62"/>
      <c r="H299" s="62"/>
      <c r="I299" s="62"/>
      <c r="J299" s="62"/>
      <c r="K299" s="62" t="s">
        <v>4</v>
      </c>
      <c r="L299" s="62" t="s">
        <v>5</v>
      </c>
      <c r="M299" s="86" t="s">
        <v>6</v>
      </c>
      <c r="N299" s="86" t="s">
        <v>3</v>
      </c>
      <c r="O299" s="87">
        <f>VLOOKUP($B299,BOM!$A$2:$K$94,10,0)</f>
        <v>0</v>
      </c>
      <c r="P299" s="87">
        <f t="shared" si="15"/>
        <v>0</v>
      </c>
      <c r="Q299" s="87" t="str">
        <f>VLOOKUP($B299,BOM!$A$2:$K$94,9,0)</f>
        <v>Cái</v>
      </c>
    </row>
    <row r="300" spans="1:17" s="45" customFormat="1">
      <c r="A300" s="141"/>
      <c r="B300" s="62" t="s">
        <v>12</v>
      </c>
      <c r="C300" s="62" t="s">
        <v>13</v>
      </c>
      <c r="D300" s="85" t="s">
        <v>14</v>
      </c>
      <c r="E300" s="85">
        <f>G291/2</f>
        <v>0</v>
      </c>
      <c r="F300" s="62"/>
      <c r="G300" s="62"/>
      <c r="H300" s="62"/>
      <c r="I300" s="62"/>
      <c r="J300" s="62"/>
      <c r="K300" s="62" t="s">
        <v>4</v>
      </c>
      <c r="L300" s="62" t="s">
        <v>5</v>
      </c>
      <c r="M300" s="86" t="s">
        <v>6</v>
      </c>
      <c r="N300" s="86" t="s">
        <v>15</v>
      </c>
      <c r="O300" s="87">
        <f>VLOOKUP($B300,BOM!$A$2:$K$94,10,0)</f>
        <v>0</v>
      </c>
      <c r="P300" s="87">
        <f t="shared" si="15"/>
        <v>0</v>
      </c>
      <c r="Q300" s="87" t="str">
        <f>VLOOKUP($B300,BOM!$A$2:$K$94,9,0)</f>
        <v>Sợi</v>
      </c>
    </row>
    <row r="301" spans="1:17" s="45" customFormat="1">
      <c r="A301" s="141"/>
      <c r="B301" s="62" t="s">
        <v>16</v>
      </c>
      <c r="C301" s="62" t="s">
        <v>17</v>
      </c>
      <c r="D301" s="85" t="s">
        <v>14</v>
      </c>
      <c r="E301" s="85">
        <f>ROUNDUP((E308*1.3),0)</f>
        <v>0</v>
      </c>
      <c r="F301" s="62"/>
      <c r="G301" s="62"/>
      <c r="H301" s="62"/>
      <c r="I301" s="62"/>
      <c r="J301" s="62"/>
      <c r="K301" s="62" t="s">
        <v>4</v>
      </c>
      <c r="L301" s="62" t="s">
        <v>5</v>
      </c>
      <c r="M301" s="86" t="s">
        <v>6</v>
      </c>
      <c r="N301" s="86" t="s">
        <v>15</v>
      </c>
      <c r="O301" s="87">
        <f>VLOOKUP($B301,BOM!$A$2:$K$94,10,0)</f>
        <v>0</v>
      </c>
      <c r="P301" s="87">
        <f t="shared" si="15"/>
        <v>0</v>
      </c>
      <c r="Q301" s="87" t="str">
        <f>VLOOKUP($B301,BOM!$A$2:$K$94,9,0)</f>
        <v>Sợi</v>
      </c>
    </row>
    <row r="302" spans="1:17" s="110" customFormat="1">
      <c r="A302" s="141"/>
      <c r="B302" s="66" t="s">
        <v>198</v>
      </c>
      <c r="C302" s="66" t="s">
        <v>199</v>
      </c>
      <c r="D302" s="89" t="s">
        <v>3</v>
      </c>
      <c r="E302" s="89">
        <f>H295</f>
        <v>1</v>
      </c>
      <c r="F302" s="66"/>
      <c r="G302" s="66"/>
      <c r="H302" s="66"/>
      <c r="I302" s="66"/>
      <c r="J302" s="66"/>
      <c r="K302" s="108" t="s">
        <v>4</v>
      </c>
      <c r="L302" s="108" t="s">
        <v>5</v>
      </c>
      <c r="M302" s="109" t="s">
        <v>6</v>
      </c>
      <c r="N302" s="109" t="s">
        <v>15</v>
      </c>
      <c r="O302" s="87">
        <f>VLOOKUP($B302,BOM!$A$2:$K$94,10,0)</f>
        <v>0</v>
      </c>
      <c r="P302" s="87">
        <f t="shared" si="15"/>
        <v>0</v>
      </c>
      <c r="Q302" s="146" t="str">
        <f>VLOOKUP($B302,BOM!$A$2:$K$94,9,0)</f>
        <v>Cái</v>
      </c>
    </row>
    <row r="303" spans="1:17" s="111" customFormat="1">
      <c r="A303" s="141"/>
      <c r="B303" s="66" t="s">
        <v>194</v>
      </c>
      <c r="C303" s="66" t="s">
        <v>195</v>
      </c>
      <c r="D303" s="89" t="s">
        <v>14</v>
      </c>
      <c r="E303" s="89">
        <f>ROUNDUP((E307*1.3),0)</f>
        <v>4</v>
      </c>
      <c r="F303" s="108"/>
      <c r="G303" s="108"/>
      <c r="H303" s="108"/>
      <c r="I303" s="108"/>
      <c r="J303" s="108"/>
      <c r="K303" s="108" t="s">
        <v>4</v>
      </c>
      <c r="L303" s="108" t="s">
        <v>5</v>
      </c>
      <c r="M303" s="109" t="s">
        <v>6</v>
      </c>
      <c r="N303" s="109" t="s">
        <v>15</v>
      </c>
      <c r="O303" s="87">
        <f>VLOOKUP($B303,BOM!$A$2:$K$94,10,0)</f>
        <v>0</v>
      </c>
      <c r="P303" s="87">
        <f t="shared" si="15"/>
        <v>0</v>
      </c>
      <c r="Q303" s="146" t="str">
        <f>VLOOKUP($B303,BOM!$A$2:$K$94,9,0)</f>
        <v>Cái</v>
      </c>
    </row>
    <row r="304" spans="1:17" s="110" customFormat="1">
      <c r="A304" s="141"/>
      <c r="B304" s="66" t="s">
        <v>196</v>
      </c>
      <c r="C304" s="66" t="s">
        <v>197</v>
      </c>
      <c r="D304" s="89" t="s">
        <v>14</v>
      </c>
      <c r="E304" s="89">
        <f>H291/2</f>
        <v>8</v>
      </c>
      <c r="F304" s="66"/>
      <c r="G304" s="66"/>
      <c r="H304" s="66"/>
      <c r="I304" s="66"/>
      <c r="J304" s="66"/>
      <c r="K304" s="108" t="s">
        <v>4</v>
      </c>
      <c r="L304" s="108" t="s">
        <v>5</v>
      </c>
      <c r="M304" s="109" t="s">
        <v>6</v>
      </c>
      <c r="N304" s="109" t="s">
        <v>15</v>
      </c>
      <c r="O304" s="87">
        <f>VLOOKUP($B304,BOM!$A$2:$K$94,10,0)</f>
        <v>0</v>
      </c>
      <c r="P304" s="87">
        <f t="shared" si="15"/>
        <v>0</v>
      </c>
      <c r="Q304" s="146" t="str">
        <f>VLOOKUP($B304,BOM!$A$2:$K$94,9,0)</f>
        <v>Cái</v>
      </c>
    </row>
    <row r="305" spans="1:17">
      <c r="A305" s="141"/>
      <c r="B305" s="81"/>
      <c r="C305" s="72" t="s">
        <v>26</v>
      </c>
      <c r="D305" s="72" t="s">
        <v>0</v>
      </c>
      <c r="E305" s="72">
        <v>1</v>
      </c>
      <c r="F305" s="72"/>
      <c r="G305" s="72"/>
      <c r="H305" s="72"/>
      <c r="I305" s="72"/>
      <c r="J305" s="72"/>
      <c r="K305" s="83"/>
      <c r="L305" s="83"/>
      <c r="M305" s="83"/>
      <c r="N305" s="83"/>
      <c r="O305" s="87">
        <f>VLOOKUP($B305,BOM!$A$2:$K$94,10,0)</f>
        <v>0</v>
      </c>
      <c r="P305" s="87">
        <f t="shared" si="15"/>
        <v>0</v>
      </c>
      <c r="Q305" s="84">
        <f>VLOOKUP($B305,BOM!$A$2:$K$94,9,0)</f>
        <v>0</v>
      </c>
    </row>
    <row r="306" spans="1:17" ht="60">
      <c r="A306" s="147"/>
      <c r="B306" s="67" t="s">
        <v>228</v>
      </c>
      <c r="C306" s="187" t="s">
        <v>324</v>
      </c>
      <c r="D306" s="90" t="s">
        <v>51</v>
      </c>
      <c r="E306" s="90">
        <v>1</v>
      </c>
      <c r="F306" s="65"/>
      <c r="G306" s="65"/>
      <c r="H306" s="65"/>
      <c r="I306" s="65"/>
      <c r="J306" s="103">
        <f>E306</f>
        <v>1</v>
      </c>
      <c r="K306" s="65" t="s">
        <v>143</v>
      </c>
      <c r="L306" s="65" t="s">
        <v>151</v>
      </c>
      <c r="M306" s="90" t="s">
        <v>154</v>
      </c>
      <c r="N306" s="90" t="s">
        <v>51</v>
      </c>
      <c r="O306" s="87">
        <f>VLOOKUP($B306,BOM!$A$2:$K$94,10,0)</f>
        <v>0</v>
      </c>
      <c r="P306" s="87">
        <f t="shared" si="15"/>
        <v>0</v>
      </c>
      <c r="Q306" s="151" t="str">
        <f>VLOOKUP($B306,BOM!$A$2:$K$94,9,0)</f>
        <v>cái</v>
      </c>
    </row>
    <row r="307" spans="1:17" s="111" customFormat="1">
      <c r="A307" s="120"/>
      <c r="B307" s="68" t="s">
        <v>216</v>
      </c>
      <c r="C307" s="68" t="s">
        <v>217</v>
      </c>
      <c r="D307" s="89" t="s">
        <v>64</v>
      </c>
      <c r="E307" s="89">
        <v>3</v>
      </c>
      <c r="F307" s="124"/>
      <c r="G307" s="124"/>
      <c r="H307" s="124"/>
      <c r="I307" s="124"/>
      <c r="J307" s="124"/>
      <c r="K307" s="124" t="s">
        <v>143</v>
      </c>
      <c r="L307" s="124" t="s">
        <v>151</v>
      </c>
      <c r="M307" s="89" t="s">
        <v>154</v>
      </c>
      <c r="N307" s="89" t="s">
        <v>64</v>
      </c>
      <c r="O307" s="87">
        <f>VLOOKUP($B307,BOM!$A$2:$K$94,10,0)</f>
        <v>0</v>
      </c>
      <c r="P307" s="87">
        <f t="shared" si="15"/>
        <v>0</v>
      </c>
      <c r="Q307" s="152" t="str">
        <f>VLOOKUP($B307,BOM!$A$2:$K$94,9,0)</f>
        <v>cái</v>
      </c>
    </row>
    <row r="308" spans="1:17" s="45" customFormat="1">
      <c r="A308" s="141"/>
      <c r="B308" s="64" t="s">
        <v>212</v>
      </c>
      <c r="C308" s="64" t="s">
        <v>213</v>
      </c>
      <c r="D308" s="97" t="s">
        <v>64</v>
      </c>
      <c r="E308" s="98">
        <v>0</v>
      </c>
      <c r="F308" s="95"/>
      <c r="G308" s="95"/>
      <c r="H308" s="95"/>
      <c r="I308" s="95"/>
      <c r="J308" s="95"/>
      <c r="K308" s="95" t="s">
        <v>143</v>
      </c>
      <c r="L308" s="95" t="s">
        <v>151</v>
      </c>
      <c r="M308" s="97" t="s">
        <v>154</v>
      </c>
      <c r="N308" s="97" t="s">
        <v>64</v>
      </c>
      <c r="O308" s="87">
        <f>VLOOKUP($B308,BOM!$A$2:$K$94,10,0)</f>
        <v>0</v>
      </c>
      <c r="P308" s="87">
        <f t="shared" si="15"/>
        <v>0</v>
      </c>
      <c r="Q308" s="153" t="str">
        <f>VLOOKUP($B308,BOM!$A$2:$K$94,9,0)</f>
        <v>cái</v>
      </c>
    </row>
    <row r="309" spans="1:17" s="45" customFormat="1">
      <c r="A309" s="141"/>
      <c r="B309" s="62"/>
      <c r="C309" s="62"/>
      <c r="D309" s="85"/>
      <c r="E309" s="90"/>
      <c r="F309" s="62"/>
      <c r="G309" s="62"/>
      <c r="H309" s="62"/>
      <c r="I309" s="62"/>
      <c r="J309" s="62"/>
      <c r="K309" s="62"/>
      <c r="L309" s="62"/>
      <c r="M309" s="86"/>
      <c r="N309" s="86"/>
      <c r="O309" s="87">
        <f>VLOOKUP($B309,BOM!$A$2:$K$94,10,0)</f>
        <v>0</v>
      </c>
      <c r="P309" s="87">
        <f t="shared" si="15"/>
        <v>0</v>
      </c>
      <c r="Q309" s="87">
        <f>VLOOKUP($B309,BOM!$A$2:$K$94,9,0)</f>
        <v>0</v>
      </c>
    </row>
    <row r="310" spans="1:17" s="45" customFormat="1">
      <c r="A310" s="141"/>
      <c r="B310" s="62"/>
      <c r="C310" s="62"/>
      <c r="D310" s="85"/>
      <c r="E310" s="90"/>
      <c r="F310" s="62"/>
      <c r="G310" s="62"/>
      <c r="H310" s="62"/>
      <c r="I310" s="62"/>
      <c r="J310" s="62"/>
      <c r="K310" s="62"/>
      <c r="L310" s="62"/>
      <c r="M310" s="86"/>
      <c r="N310" s="86"/>
      <c r="O310" s="87">
        <f>VLOOKUP($B310,BOM!$A$2:$K$94,10,0)</f>
        <v>0</v>
      </c>
      <c r="P310" s="87">
        <f t="shared" si="15"/>
        <v>0</v>
      </c>
      <c r="Q310" s="87">
        <f>VLOOKUP($B310,BOM!$A$2:$K$94,9,0)</f>
        <v>0</v>
      </c>
    </row>
    <row r="311" spans="1:17" outlineLevel="1">
      <c r="A311" s="141"/>
      <c r="B311" s="117"/>
      <c r="C311" s="61" t="s">
        <v>67</v>
      </c>
      <c r="D311" s="119" t="s">
        <v>0</v>
      </c>
      <c r="E311" s="120">
        <v>1</v>
      </c>
      <c r="F311" s="121"/>
      <c r="G311" s="121"/>
      <c r="H311" s="121" t="s">
        <v>69</v>
      </c>
      <c r="I311" s="122"/>
      <c r="J311" s="21">
        <f t="shared" ref="J311:J312" si="17">E311</f>
        <v>1</v>
      </c>
      <c r="K311" s="63"/>
      <c r="L311" s="63"/>
      <c r="M311" s="63"/>
      <c r="N311" s="63"/>
      <c r="O311" s="87">
        <f>VLOOKUP($B311,BOM!$A$2:$K$94,10,0)</f>
        <v>0</v>
      </c>
      <c r="P311" s="87">
        <f t="shared" si="15"/>
        <v>0</v>
      </c>
      <c r="Q311" s="80">
        <f>VLOOKUP($B311,BOM!$A$2:$K$94,9,0)</f>
        <v>0</v>
      </c>
    </row>
    <row r="312" spans="1:17" outlineLevel="1">
      <c r="A312" s="141"/>
      <c r="B312" s="117"/>
      <c r="C312" s="61" t="s">
        <v>70</v>
      </c>
      <c r="D312" s="119" t="s">
        <v>0</v>
      </c>
      <c r="E312" s="120">
        <v>1</v>
      </c>
      <c r="F312" s="121"/>
      <c r="G312" s="121"/>
      <c r="H312" s="121" t="s">
        <v>69</v>
      </c>
      <c r="I312" s="122"/>
      <c r="J312" s="21">
        <f t="shared" si="17"/>
        <v>1</v>
      </c>
      <c r="K312" s="63"/>
      <c r="L312" s="63"/>
      <c r="M312" s="63"/>
      <c r="N312" s="63"/>
      <c r="O312" s="87">
        <f>VLOOKUP($B312,BOM!$A$2:$K$94,10,0)</f>
        <v>0</v>
      </c>
      <c r="P312" s="87">
        <f t="shared" si="15"/>
        <v>0</v>
      </c>
      <c r="Q312" s="80">
        <f>VLOOKUP($B312,BOM!$A$2:$K$94,9,0)</f>
        <v>0</v>
      </c>
    </row>
    <row r="313" spans="1:17">
      <c r="A313" s="141"/>
      <c r="B313" s="81"/>
      <c r="C313" s="72" t="s">
        <v>18</v>
      </c>
      <c r="D313" s="72" t="s">
        <v>0</v>
      </c>
      <c r="E313" s="72">
        <v>1</v>
      </c>
      <c r="F313" s="72"/>
      <c r="G313" s="72"/>
      <c r="H313" s="72"/>
      <c r="I313" s="72"/>
      <c r="J313" s="72"/>
      <c r="K313" s="83"/>
      <c r="L313" s="83"/>
      <c r="M313" s="83"/>
      <c r="N313" s="83"/>
      <c r="O313" s="87">
        <f>VLOOKUP($B313,BOM!$A$2:$K$94,10,0)</f>
        <v>0</v>
      </c>
      <c r="P313" s="87">
        <f t="shared" si="15"/>
        <v>0</v>
      </c>
      <c r="Q313" s="84">
        <f>VLOOKUP($B313,BOM!$A$2:$K$94,9,0)</f>
        <v>0</v>
      </c>
    </row>
    <row r="314" spans="1:17" s="45" customFormat="1">
      <c r="A314" s="141"/>
      <c r="B314" s="62">
        <v>760237046</v>
      </c>
      <c r="C314" s="62" t="s">
        <v>19</v>
      </c>
      <c r="D314" s="85" t="s">
        <v>3</v>
      </c>
      <c r="E314" s="85">
        <f>E306+E309</f>
        <v>1</v>
      </c>
      <c r="F314" s="62"/>
      <c r="G314" s="62"/>
      <c r="H314" s="62"/>
      <c r="I314" s="62"/>
      <c r="J314" s="21">
        <f>E314</f>
        <v>1</v>
      </c>
      <c r="K314" s="62" t="s">
        <v>4</v>
      </c>
      <c r="L314" s="62" t="s">
        <v>5</v>
      </c>
      <c r="M314" s="86" t="s">
        <v>6</v>
      </c>
      <c r="N314" s="86" t="s">
        <v>3</v>
      </c>
      <c r="O314" s="87">
        <f>VLOOKUP($B314,BOM!$A$2:$K$94,10,0)</f>
        <v>0</v>
      </c>
      <c r="P314" s="87">
        <f t="shared" si="15"/>
        <v>0</v>
      </c>
      <c r="Q314" s="87" t="str">
        <f>VLOOKUP($B314,BOM!$A$2:$K$94,9,0)</f>
        <v>Cái</v>
      </c>
    </row>
    <row r="315" spans="1:17" s="45" customFormat="1">
      <c r="A315" s="141"/>
      <c r="B315" s="62" t="s">
        <v>23</v>
      </c>
      <c r="C315" s="62" t="s">
        <v>24</v>
      </c>
      <c r="D315" s="85" t="s">
        <v>3</v>
      </c>
      <c r="E315" s="85">
        <f>E314*24</f>
        <v>24</v>
      </c>
      <c r="F315" s="62"/>
      <c r="G315" s="62"/>
      <c r="H315" s="62"/>
      <c r="I315" s="62"/>
      <c r="J315" s="62"/>
      <c r="K315" s="62" t="s">
        <v>25</v>
      </c>
      <c r="L315" s="62" t="s">
        <v>5</v>
      </c>
      <c r="M315" s="86" t="s">
        <v>6</v>
      </c>
      <c r="N315" s="86" t="s">
        <v>3</v>
      </c>
      <c r="O315" s="87">
        <f>VLOOKUP($B315,BOM!$A$2:$K$94,10,0)</f>
        <v>0</v>
      </c>
      <c r="P315" s="87">
        <f t="shared" si="15"/>
        <v>0</v>
      </c>
      <c r="Q315" s="87" t="str">
        <f>VLOOKUP($B315,BOM!$A$2:$K$94,9,0)</f>
        <v>Cái</v>
      </c>
    </row>
    <row r="316" spans="1:17" s="45" customFormat="1">
      <c r="A316" s="141"/>
      <c r="B316" s="62" t="s">
        <v>20</v>
      </c>
      <c r="C316" s="62" t="s">
        <v>21</v>
      </c>
      <c r="D316" s="85" t="s">
        <v>3</v>
      </c>
      <c r="E316" s="85">
        <f>E314</f>
        <v>1</v>
      </c>
      <c r="F316" s="62"/>
      <c r="G316" s="62"/>
      <c r="H316" s="62"/>
      <c r="I316" s="62"/>
      <c r="J316" s="21">
        <f>E316</f>
        <v>1</v>
      </c>
      <c r="K316" s="62" t="s">
        <v>4</v>
      </c>
      <c r="L316" s="62" t="s">
        <v>5</v>
      </c>
      <c r="M316" s="86" t="s">
        <v>22</v>
      </c>
      <c r="N316" s="86" t="s">
        <v>3</v>
      </c>
      <c r="O316" s="87">
        <f>VLOOKUP($B316,BOM!$A$2:$K$94,10,0)</f>
        <v>0</v>
      </c>
      <c r="P316" s="87">
        <f t="shared" si="15"/>
        <v>0</v>
      </c>
      <c r="Q316" s="87" t="str">
        <f>VLOOKUP($B316,BOM!$A$2:$K$94,9,0)</f>
        <v>Cái</v>
      </c>
    </row>
    <row r="317" spans="1:17">
      <c r="A317" s="141"/>
      <c r="B317" s="81"/>
      <c r="C317" s="72" t="s">
        <v>71</v>
      </c>
      <c r="D317" s="72" t="s">
        <v>0</v>
      </c>
      <c r="E317" s="72">
        <v>1</v>
      </c>
      <c r="F317" s="72"/>
      <c r="G317" s="72"/>
      <c r="H317" s="72"/>
      <c r="I317" s="72"/>
      <c r="J317" s="72"/>
      <c r="K317" s="83"/>
      <c r="L317" s="83"/>
      <c r="M317" s="83"/>
      <c r="N317" s="83"/>
      <c r="O317" s="87">
        <f>VLOOKUP($B317,BOM!$A$2:$K$94,10,0)</f>
        <v>0</v>
      </c>
      <c r="P317" s="87">
        <f t="shared" si="15"/>
        <v>0</v>
      </c>
      <c r="Q317" s="84">
        <f>VLOOKUP($B317,BOM!$A$2:$K$94,9,0)</f>
        <v>0</v>
      </c>
    </row>
    <row r="318" spans="1:17" s="45" customFormat="1">
      <c r="A318" s="141"/>
      <c r="B318" s="62" t="s">
        <v>314</v>
      </c>
      <c r="C318" s="62" t="s">
        <v>316</v>
      </c>
      <c r="D318" s="116" t="s">
        <v>51</v>
      </c>
      <c r="E318" s="85">
        <v>1</v>
      </c>
      <c r="F318" s="62"/>
      <c r="G318" s="62"/>
      <c r="H318" s="62"/>
      <c r="I318" s="62"/>
      <c r="J318" s="86">
        <f>E318*8</f>
        <v>8</v>
      </c>
      <c r="K318" s="62"/>
      <c r="L318" s="62" t="s">
        <v>5</v>
      </c>
      <c r="M318" s="86" t="s">
        <v>28</v>
      </c>
      <c r="N318" s="86" t="s">
        <v>3</v>
      </c>
      <c r="O318" s="87">
        <f>VLOOKUP($B318,BOM!$A$2:$K$94,10,0)</f>
        <v>0</v>
      </c>
      <c r="P318" s="87">
        <f t="shared" si="15"/>
        <v>0</v>
      </c>
      <c r="Q318" s="87" t="str">
        <f>VLOOKUP($B318,BOM!$A$2:$K$94,9,0)</f>
        <v>Cái</v>
      </c>
    </row>
    <row r="319" spans="1:17" s="45" customFormat="1">
      <c r="A319" s="141"/>
      <c r="B319" s="62"/>
      <c r="C319" s="62"/>
      <c r="D319" s="116"/>
      <c r="E319" s="85"/>
      <c r="F319" s="62"/>
      <c r="G319" s="62"/>
      <c r="H319" s="62"/>
      <c r="I319" s="62"/>
      <c r="J319" s="62"/>
      <c r="K319" s="62"/>
      <c r="L319" s="62"/>
      <c r="M319" s="86"/>
      <c r="N319" s="86"/>
      <c r="O319" s="87">
        <f>VLOOKUP($B319,BOM!$A$2:$K$94,10,0)</f>
        <v>0</v>
      </c>
      <c r="P319" s="87">
        <f t="shared" si="15"/>
        <v>0</v>
      </c>
      <c r="Q319" s="87">
        <f>VLOOKUP($B319,BOM!$A$2:$K$94,9,0)</f>
        <v>0</v>
      </c>
    </row>
    <row r="320" spans="1:17" s="45" customFormat="1">
      <c r="A320" s="141"/>
      <c r="B320" s="62" t="s">
        <v>225</v>
      </c>
      <c r="C320" s="62" t="s">
        <v>72</v>
      </c>
      <c r="D320" s="116" t="s">
        <v>64</v>
      </c>
      <c r="E320" s="85">
        <v>0</v>
      </c>
      <c r="F320" s="62"/>
      <c r="G320" s="62"/>
      <c r="H320" s="62"/>
      <c r="I320" s="62"/>
      <c r="J320" s="62"/>
      <c r="K320" s="62"/>
      <c r="L320" s="62" t="s">
        <v>5</v>
      </c>
      <c r="M320" s="86" t="s">
        <v>28</v>
      </c>
      <c r="N320" s="86" t="s">
        <v>3</v>
      </c>
      <c r="O320" s="87">
        <f>VLOOKUP($B320,BOM!$A$2:$K$94,10,0)</f>
        <v>0</v>
      </c>
      <c r="P320" s="87">
        <f t="shared" si="15"/>
        <v>0</v>
      </c>
      <c r="Q320" s="87" t="str">
        <f>VLOOKUP($B320,BOM!$A$2:$K$94,9,0)</f>
        <v>Cái</v>
      </c>
    </row>
    <row r="321" spans="1:17">
      <c r="A321" s="141"/>
      <c r="B321" s="81"/>
      <c r="C321" s="72" t="s">
        <v>31</v>
      </c>
      <c r="D321" s="72" t="s">
        <v>0</v>
      </c>
      <c r="E321" s="72">
        <v>1</v>
      </c>
      <c r="F321" s="72"/>
      <c r="G321" s="72"/>
      <c r="H321" s="72"/>
      <c r="I321" s="72"/>
      <c r="J321" s="72"/>
      <c r="K321" s="83"/>
      <c r="L321" s="83"/>
      <c r="M321" s="83"/>
      <c r="N321" s="83"/>
      <c r="O321" s="87">
        <f>VLOOKUP($B321,BOM!$A$2:$K$94,10,0)</f>
        <v>0</v>
      </c>
      <c r="P321" s="87">
        <f t="shared" si="15"/>
        <v>0</v>
      </c>
      <c r="Q321" s="84">
        <f>VLOOKUP($B321,BOM!$A$2:$K$94,9,0)</f>
        <v>0</v>
      </c>
    </row>
    <row r="322" spans="1:17">
      <c r="A322" s="141"/>
      <c r="B322" s="81"/>
      <c r="C322" s="72" t="s">
        <v>32</v>
      </c>
      <c r="D322" s="72"/>
      <c r="E322" s="72"/>
      <c r="F322" s="72"/>
      <c r="G322" s="72">
        <v>4</v>
      </c>
      <c r="H322" s="72"/>
      <c r="I322" s="72"/>
      <c r="J322" s="72"/>
      <c r="K322" s="83"/>
      <c r="L322" s="83"/>
      <c r="M322" s="83"/>
      <c r="N322" s="83"/>
      <c r="O322" s="87">
        <f>VLOOKUP($B322,BOM!$A$2:$K$94,10,0)</f>
        <v>0</v>
      </c>
      <c r="P322" s="87">
        <f t="shared" si="15"/>
        <v>0</v>
      </c>
      <c r="Q322" s="84">
        <f>VLOOKUP($B322,BOM!$A$2:$K$94,9,0)</f>
        <v>0</v>
      </c>
    </row>
    <row r="323" spans="1:17" s="45" customFormat="1" ht="20.45" customHeight="1">
      <c r="A323" s="141"/>
      <c r="B323" s="62" t="s">
        <v>33</v>
      </c>
      <c r="C323" s="62" t="s">
        <v>34</v>
      </c>
      <c r="D323" s="85" t="s">
        <v>3</v>
      </c>
      <c r="E323" s="90">
        <f>E324</f>
        <v>4</v>
      </c>
      <c r="F323" s="62"/>
      <c r="G323" s="62"/>
      <c r="H323" s="62"/>
      <c r="I323" s="62"/>
      <c r="J323" s="62"/>
      <c r="K323" s="62" t="s">
        <v>35</v>
      </c>
      <c r="L323" s="62" t="s">
        <v>5</v>
      </c>
      <c r="M323" s="86" t="s">
        <v>6</v>
      </c>
      <c r="N323" s="86" t="s">
        <v>3</v>
      </c>
      <c r="O323" s="87">
        <f>VLOOKUP($B323,BOM!$A$2:$K$94,10,0)</f>
        <v>0</v>
      </c>
      <c r="P323" s="87">
        <f t="shared" si="15"/>
        <v>0</v>
      </c>
      <c r="Q323" s="87" t="str">
        <f>VLOOKUP($B323,BOM!$A$2:$K$94,9,0)</f>
        <v>Cái</v>
      </c>
    </row>
    <row r="324" spans="1:17" s="45" customFormat="1">
      <c r="A324" s="141"/>
      <c r="B324" s="62" t="s">
        <v>330</v>
      </c>
      <c r="C324" s="62" t="s">
        <v>36</v>
      </c>
      <c r="D324" s="85" t="s">
        <v>3</v>
      </c>
      <c r="E324" s="90">
        <f>G322+H322</f>
        <v>4</v>
      </c>
      <c r="F324" s="62"/>
      <c r="G324" s="62"/>
      <c r="H324" s="62"/>
      <c r="I324" s="62"/>
      <c r="J324" s="62"/>
      <c r="K324" s="62" t="s">
        <v>37</v>
      </c>
      <c r="L324" s="62" t="s">
        <v>5</v>
      </c>
      <c r="M324" s="86" t="s">
        <v>37</v>
      </c>
      <c r="N324" s="86" t="s">
        <v>3</v>
      </c>
      <c r="O324" s="87">
        <f>VLOOKUP($B324,BOM!$A$2:$K$94,10,0)</f>
        <v>0</v>
      </c>
      <c r="P324" s="87">
        <f t="shared" si="15"/>
        <v>0</v>
      </c>
      <c r="Q324" s="87" t="str">
        <f>VLOOKUP($B324,BOM!$A$2:$K$94,9,0)</f>
        <v>Cái</v>
      </c>
    </row>
    <row r="325" spans="1:17" s="45" customFormat="1">
      <c r="A325" s="141"/>
      <c r="B325" s="62" t="s">
        <v>38</v>
      </c>
      <c r="C325" s="62" t="s">
        <v>39</v>
      </c>
      <c r="D325" s="85" t="s">
        <v>3</v>
      </c>
      <c r="E325" s="90">
        <f>E324</f>
        <v>4</v>
      </c>
      <c r="F325" s="62"/>
      <c r="G325" s="62"/>
      <c r="H325" s="62"/>
      <c r="I325" s="62"/>
      <c r="J325" s="62"/>
      <c r="K325" s="62" t="s">
        <v>25</v>
      </c>
      <c r="L325" s="62" t="s">
        <v>5</v>
      </c>
      <c r="M325" s="86" t="s">
        <v>6</v>
      </c>
      <c r="N325" s="86" t="s">
        <v>3</v>
      </c>
      <c r="O325" s="87">
        <f>VLOOKUP($B325,BOM!$A$2:$K$94,10,0)</f>
        <v>0</v>
      </c>
      <c r="P325" s="87">
        <f t="shared" si="15"/>
        <v>0</v>
      </c>
      <c r="Q325" s="87" t="str">
        <f>VLOOKUP($B325,BOM!$A$2:$K$94,9,0)</f>
        <v>Cái</v>
      </c>
    </row>
    <row r="326" spans="1:17">
      <c r="A326" s="141"/>
      <c r="B326" s="81"/>
      <c r="C326" s="72" t="s">
        <v>40</v>
      </c>
      <c r="D326" s="72"/>
      <c r="E326" s="72"/>
      <c r="F326" s="72"/>
      <c r="G326" s="72">
        <v>5</v>
      </c>
      <c r="H326" s="72"/>
      <c r="I326" s="72"/>
      <c r="J326" s="72"/>
      <c r="K326" s="83"/>
      <c r="L326" s="83"/>
      <c r="M326" s="83"/>
      <c r="N326" s="83"/>
      <c r="O326" s="87">
        <f>VLOOKUP($B326,BOM!$A$2:$K$94,10,0)</f>
        <v>0</v>
      </c>
      <c r="P326" s="87">
        <f t="shared" si="15"/>
        <v>0</v>
      </c>
      <c r="Q326" s="84">
        <f>VLOOKUP($B326,BOM!$A$2:$K$94,9,0)</f>
        <v>0</v>
      </c>
    </row>
    <row r="327" spans="1:17" s="45" customFormat="1">
      <c r="A327" s="141"/>
      <c r="B327" s="62" t="s">
        <v>41</v>
      </c>
      <c r="C327" s="62" t="s">
        <v>42</v>
      </c>
      <c r="D327" s="85" t="s">
        <v>3</v>
      </c>
      <c r="E327" s="85">
        <f>G326+H326</f>
        <v>5</v>
      </c>
      <c r="F327" s="62"/>
      <c r="G327" s="62"/>
      <c r="H327" s="62"/>
      <c r="I327" s="62"/>
      <c r="J327" s="62"/>
      <c r="K327" s="62" t="s">
        <v>4</v>
      </c>
      <c r="L327" s="62" t="s">
        <v>5</v>
      </c>
      <c r="M327" s="86" t="s">
        <v>6</v>
      </c>
      <c r="N327" s="86" t="s">
        <v>3</v>
      </c>
      <c r="O327" s="87">
        <f>VLOOKUP($B327,BOM!$A$2:$K$94,10,0)</f>
        <v>0</v>
      </c>
      <c r="P327" s="87">
        <f t="shared" si="15"/>
        <v>0</v>
      </c>
      <c r="Q327" s="87" t="str">
        <f>VLOOKUP($B327,BOM!$A$2:$K$94,9,0)</f>
        <v>Cái</v>
      </c>
    </row>
    <row r="328" spans="1:17" s="45" customFormat="1">
      <c r="A328" s="141"/>
      <c r="B328" s="65" t="s">
        <v>43</v>
      </c>
      <c r="C328" s="65" t="s">
        <v>44</v>
      </c>
      <c r="D328" s="85" t="s">
        <v>3</v>
      </c>
      <c r="E328" s="85">
        <f>E327</f>
        <v>5</v>
      </c>
      <c r="F328" s="62"/>
      <c r="G328" s="62"/>
      <c r="H328" s="62"/>
      <c r="I328" s="62"/>
      <c r="J328" s="62"/>
      <c r="K328" s="62" t="s">
        <v>4</v>
      </c>
      <c r="L328" s="62" t="s">
        <v>5</v>
      </c>
      <c r="M328" s="86" t="s">
        <v>6</v>
      </c>
      <c r="N328" s="86" t="s">
        <v>3</v>
      </c>
      <c r="O328" s="87">
        <f>VLOOKUP($B328,BOM!$A$2:$K$94,10,0)</f>
        <v>0</v>
      </c>
      <c r="P328" s="87">
        <f t="shared" si="15"/>
        <v>0</v>
      </c>
      <c r="Q328" s="87" t="str">
        <f>VLOOKUP($B328,BOM!$A$2:$K$94,9,0)</f>
        <v>Cái</v>
      </c>
    </row>
    <row r="329" spans="1:17">
      <c r="A329" s="141"/>
      <c r="B329" s="81"/>
      <c r="C329" s="72" t="s">
        <v>45</v>
      </c>
      <c r="D329" s="72"/>
      <c r="E329" s="72"/>
      <c r="F329" s="72"/>
      <c r="G329" s="72"/>
      <c r="H329" s="72"/>
      <c r="I329" s="72"/>
      <c r="J329" s="72"/>
      <c r="K329" s="83"/>
      <c r="L329" s="83"/>
      <c r="M329" s="83"/>
      <c r="N329" s="83"/>
      <c r="O329" s="87">
        <f>VLOOKUP($B329,BOM!$A$2:$K$94,10,0)</f>
        <v>0</v>
      </c>
      <c r="P329" s="87">
        <f t="shared" si="15"/>
        <v>0</v>
      </c>
      <c r="Q329" s="84">
        <f>VLOOKUP($B329,BOM!$A$2:$K$94,9,0)</f>
        <v>0</v>
      </c>
    </row>
    <row r="330" spans="1:17" s="45" customFormat="1">
      <c r="A330" s="141"/>
      <c r="B330" s="62" t="s">
        <v>48</v>
      </c>
      <c r="C330" s="62" t="s">
        <v>49</v>
      </c>
      <c r="D330" s="85" t="s">
        <v>14</v>
      </c>
      <c r="E330" s="85">
        <f>E323+E327+1</f>
        <v>10</v>
      </c>
      <c r="F330" s="62"/>
      <c r="G330" s="62"/>
      <c r="H330" s="62"/>
      <c r="I330" s="62"/>
      <c r="J330" s="62"/>
      <c r="K330" s="62"/>
      <c r="L330" s="62" t="s">
        <v>5</v>
      </c>
      <c r="M330" s="86" t="s">
        <v>6</v>
      </c>
      <c r="N330" s="86" t="s">
        <v>15</v>
      </c>
      <c r="O330" s="87">
        <f>VLOOKUP($B330,BOM!$A$2:$K$94,10,0)</f>
        <v>0</v>
      </c>
      <c r="P330" s="87">
        <f t="shared" ref="P330:P393" si="18">O330*E330</f>
        <v>0</v>
      </c>
      <c r="Q330" s="87" t="str">
        <f>VLOOKUP($B330,BOM!$A$2:$K$94,9,0)</f>
        <v>Sợi</v>
      </c>
    </row>
    <row r="331" spans="1:17" s="45" customFormat="1">
      <c r="A331" s="141"/>
      <c r="B331" s="62" t="s">
        <v>48</v>
      </c>
      <c r="C331" s="62" t="s">
        <v>49</v>
      </c>
      <c r="D331" s="85" t="s">
        <v>14</v>
      </c>
      <c r="E331" s="90">
        <f>ROUNDUP(E330*0.2,0)</f>
        <v>2</v>
      </c>
      <c r="F331" s="62"/>
      <c r="G331" s="62"/>
      <c r="H331" s="62"/>
      <c r="I331" s="62"/>
      <c r="J331" s="62"/>
      <c r="K331" s="62" t="s">
        <v>4</v>
      </c>
      <c r="L331" s="62" t="s">
        <v>5</v>
      </c>
      <c r="M331" s="86" t="s">
        <v>6</v>
      </c>
      <c r="N331" s="86" t="s">
        <v>15</v>
      </c>
      <c r="O331" s="87">
        <f>VLOOKUP($B331,BOM!$A$2:$K$94,10,0)</f>
        <v>0</v>
      </c>
      <c r="P331" s="87">
        <f t="shared" si="18"/>
        <v>0</v>
      </c>
      <c r="Q331" s="87" t="str">
        <f>VLOOKUP($B331,BOM!$A$2:$K$94,9,0)</f>
        <v>Sợi</v>
      </c>
    </row>
    <row r="332" spans="1:17">
      <c r="A332" s="141"/>
      <c r="B332" s="81"/>
      <c r="C332" s="72" t="s">
        <v>50</v>
      </c>
      <c r="D332" s="72"/>
      <c r="E332" s="72"/>
      <c r="F332" s="72"/>
      <c r="G332" s="72"/>
      <c r="H332" s="72"/>
      <c r="I332" s="72"/>
      <c r="J332" s="72"/>
      <c r="K332" s="83"/>
      <c r="L332" s="83"/>
      <c r="M332" s="83"/>
      <c r="N332" s="83"/>
      <c r="O332" s="87">
        <f>VLOOKUP($B332,BOM!$A$2:$K$94,10,0)</f>
        <v>0</v>
      </c>
      <c r="P332" s="87">
        <f t="shared" si="18"/>
        <v>0</v>
      </c>
      <c r="Q332" s="84">
        <f>VLOOKUP($B332,BOM!$A$2:$K$94,9,0)</f>
        <v>0</v>
      </c>
    </row>
    <row r="333" spans="1:17" s="45" customFormat="1">
      <c r="A333" s="141"/>
      <c r="B333" s="62" t="s">
        <v>332</v>
      </c>
      <c r="C333" s="62" t="s">
        <v>332</v>
      </c>
      <c r="D333" s="85" t="s">
        <v>51</v>
      </c>
      <c r="E333" s="85">
        <f>E318</f>
        <v>1</v>
      </c>
      <c r="F333" s="62"/>
      <c r="G333" s="62"/>
      <c r="H333" s="62"/>
      <c r="I333" s="62"/>
      <c r="J333" s="62"/>
      <c r="K333" s="62"/>
      <c r="L333" s="62"/>
      <c r="M333" s="86"/>
      <c r="N333" s="86" t="s">
        <v>51</v>
      </c>
      <c r="O333" s="87">
        <f>VLOOKUP($B333,BOM!$A$2:$K$94,10,0)</f>
        <v>0</v>
      </c>
      <c r="P333" s="87">
        <f t="shared" si="18"/>
        <v>0</v>
      </c>
      <c r="Q333" s="87" t="str">
        <f>VLOOKUP($B333,BOM!$A$2:$K$94,9,0)</f>
        <v>bộ</v>
      </c>
    </row>
    <row r="334" spans="1:17" s="45" customFormat="1">
      <c r="A334" s="141"/>
      <c r="B334" s="62" t="s">
        <v>52</v>
      </c>
      <c r="C334" s="62" t="s">
        <v>53</v>
      </c>
      <c r="D334" s="86" t="s">
        <v>54</v>
      </c>
      <c r="E334" s="105">
        <f>E331+E330</f>
        <v>12</v>
      </c>
      <c r="F334" s="62"/>
      <c r="G334" s="62"/>
      <c r="H334" s="62"/>
      <c r="I334" s="62"/>
      <c r="J334" s="62"/>
      <c r="K334" s="62"/>
      <c r="L334" s="62"/>
      <c r="M334" s="86" t="s">
        <v>55</v>
      </c>
      <c r="N334" s="86" t="s">
        <v>54</v>
      </c>
      <c r="O334" s="87">
        <f>VLOOKUP($B334,BOM!$A$2:$K$94,10,0)</f>
        <v>0</v>
      </c>
      <c r="P334" s="87">
        <f t="shared" si="18"/>
        <v>0</v>
      </c>
      <c r="Q334" s="87" t="str">
        <f>VLOOKUP($B334,BOM!$A$2:$K$94,9,0)</f>
        <v>node</v>
      </c>
    </row>
    <row r="335" spans="1:17" s="45" customFormat="1">
      <c r="A335" s="141"/>
      <c r="B335" s="62" t="s">
        <v>56</v>
      </c>
      <c r="C335" s="62" t="s">
        <v>57</v>
      </c>
      <c r="D335" s="86" t="s">
        <v>14</v>
      </c>
      <c r="E335" s="105">
        <f>E304+E300</f>
        <v>8</v>
      </c>
      <c r="F335" s="62"/>
      <c r="G335" s="62"/>
      <c r="H335" s="62"/>
      <c r="I335" s="62"/>
      <c r="J335" s="62"/>
      <c r="K335" s="62"/>
      <c r="L335" s="62"/>
      <c r="M335" s="86" t="s">
        <v>55</v>
      </c>
      <c r="N335" s="86" t="s">
        <v>14</v>
      </c>
      <c r="O335" s="87">
        <f>VLOOKUP($B335,BOM!$A$2:$K$94,10,0)</f>
        <v>0</v>
      </c>
      <c r="P335" s="87">
        <f t="shared" si="18"/>
        <v>0</v>
      </c>
      <c r="Q335" s="87" t="str">
        <f>VLOOKUP($B335,BOM!$A$2:$K$94,9,0)</f>
        <v>sợi</v>
      </c>
    </row>
    <row r="336" spans="1:17" s="45" customFormat="1">
      <c r="A336" s="141"/>
      <c r="B336" s="62" t="s">
        <v>58</v>
      </c>
      <c r="C336" s="62" t="s">
        <v>59</v>
      </c>
      <c r="D336" s="86" t="s">
        <v>60</v>
      </c>
      <c r="E336" s="105">
        <f>E335*2</f>
        <v>16</v>
      </c>
      <c r="F336" s="62"/>
      <c r="G336" s="62"/>
      <c r="H336" s="62"/>
      <c r="I336" s="62"/>
      <c r="J336" s="62"/>
      <c r="K336" s="62"/>
      <c r="L336" s="62"/>
      <c r="M336" s="86" t="s">
        <v>61</v>
      </c>
      <c r="N336" s="86" t="s">
        <v>60</v>
      </c>
      <c r="O336" s="87">
        <f>VLOOKUP($B336,BOM!$A$2:$K$94,10,0)</f>
        <v>0</v>
      </c>
      <c r="P336" s="87">
        <f t="shared" si="18"/>
        <v>0</v>
      </c>
      <c r="Q336" s="87" t="str">
        <f>VLOOKUP($B336,BOM!$A$2:$K$94,9,0)</f>
        <v>đầu</v>
      </c>
    </row>
    <row r="337" spans="1:17" s="45" customFormat="1">
      <c r="A337" s="141"/>
      <c r="B337" s="62" t="s">
        <v>62</v>
      </c>
      <c r="C337" s="62" t="s">
        <v>63</v>
      </c>
      <c r="D337" s="86" t="s">
        <v>64</v>
      </c>
      <c r="E337" s="105">
        <f>E314</f>
        <v>1</v>
      </c>
      <c r="F337" s="62"/>
      <c r="G337" s="62"/>
      <c r="H337" s="62"/>
      <c r="I337" s="62"/>
      <c r="J337" s="62"/>
      <c r="K337" s="62"/>
      <c r="L337" s="62"/>
      <c r="M337" s="86" t="s">
        <v>61</v>
      </c>
      <c r="N337" s="86" t="s">
        <v>64</v>
      </c>
      <c r="O337" s="87">
        <f>VLOOKUP($B337,BOM!$A$2:$K$94,10,0)</f>
        <v>0</v>
      </c>
      <c r="P337" s="87">
        <f t="shared" si="18"/>
        <v>0</v>
      </c>
      <c r="Q337" s="87" t="str">
        <f>VLOOKUP($B337,BOM!$A$2:$K$94,9,0)</f>
        <v>cái</v>
      </c>
    </row>
    <row r="338" spans="1:17" s="140" customFormat="1">
      <c r="A338" s="134">
        <v>7</v>
      </c>
      <c r="B338" s="135"/>
      <c r="C338" s="71" t="s">
        <v>77</v>
      </c>
      <c r="D338" s="136" t="s">
        <v>0</v>
      </c>
      <c r="E338" s="134">
        <v>1</v>
      </c>
      <c r="F338" s="134"/>
      <c r="G338" s="134">
        <v>24</v>
      </c>
      <c r="H338" s="134">
        <v>4</v>
      </c>
      <c r="I338" s="134"/>
      <c r="J338" s="137">
        <f>SUBTOTAL(9,J341:J365)</f>
        <v>15</v>
      </c>
      <c r="K338" s="137"/>
      <c r="L338" s="137"/>
      <c r="M338" s="137"/>
      <c r="N338" s="137"/>
      <c r="O338" s="87">
        <f>VLOOKUP($B338,BOM!$A$2:$K$94,10,0)</f>
        <v>0</v>
      </c>
      <c r="P338" s="87">
        <f t="shared" si="18"/>
        <v>0</v>
      </c>
      <c r="Q338" s="139">
        <f>VLOOKUP($B338,BOM!$A$2:$K$94,9,0)</f>
        <v>0</v>
      </c>
    </row>
    <row r="339" spans="1:17">
      <c r="A339" s="141"/>
      <c r="B339" s="81"/>
      <c r="C339" s="72" t="s">
        <v>124</v>
      </c>
      <c r="D339" s="72" t="s">
        <v>0</v>
      </c>
      <c r="E339" s="72">
        <v>1</v>
      </c>
      <c r="F339" s="72"/>
      <c r="G339" s="72"/>
      <c r="H339" s="72"/>
      <c r="I339" s="72"/>
      <c r="J339" s="72"/>
      <c r="K339" s="83"/>
      <c r="L339" s="83"/>
      <c r="M339" s="83"/>
      <c r="N339" s="83"/>
      <c r="O339" s="87">
        <f>VLOOKUP($B339,BOM!$A$2:$K$94,10,0)</f>
        <v>0</v>
      </c>
      <c r="P339" s="87">
        <f t="shared" si="18"/>
        <v>0</v>
      </c>
      <c r="Q339" s="84">
        <f>VLOOKUP($B339,BOM!$A$2:$K$94,9,0)</f>
        <v>0</v>
      </c>
    </row>
    <row r="340" spans="1:17" s="19" customFormat="1">
      <c r="A340" s="141"/>
      <c r="B340" s="21" t="s">
        <v>226</v>
      </c>
      <c r="C340" s="21" t="s">
        <v>227</v>
      </c>
      <c r="D340" s="21"/>
      <c r="E340" s="22">
        <v>1</v>
      </c>
      <c r="F340" s="21"/>
      <c r="G340" s="21"/>
      <c r="H340" s="21"/>
      <c r="I340" s="21"/>
      <c r="J340" s="21"/>
      <c r="K340" s="21" t="s">
        <v>4</v>
      </c>
      <c r="L340" s="21" t="s">
        <v>5</v>
      </c>
      <c r="M340" s="22" t="s">
        <v>22</v>
      </c>
      <c r="N340" s="22" t="s">
        <v>3</v>
      </c>
      <c r="O340" s="87">
        <f>VLOOKUP($B340,BOM!$A$2:$K$94,10,0)</f>
        <v>0</v>
      </c>
      <c r="P340" s="87">
        <f t="shared" si="18"/>
        <v>0</v>
      </c>
      <c r="Q340" s="142">
        <f>VLOOKUP($B340,BOM!$A$2:$K$94,9,0)</f>
        <v>0</v>
      </c>
    </row>
    <row r="341" spans="1:17" s="19" customFormat="1">
      <c r="A341" s="141"/>
      <c r="B341" s="21" t="s">
        <v>122</v>
      </c>
      <c r="C341" s="21" t="s">
        <v>123</v>
      </c>
      <c r="D341" s="21"/>
      <c r="E341" s="22">
        <v>1</v>
      </c>
      <c r="F341" s="21"/>
      <c r="G341" s="21"/>
      <c r="H341" s="21"/>
      <c r="I341" s="21"/>
      <c r="J341" s="21">
        <f>E341</f>
        <v>1</v>
      </c>
      <c r="K341" s="21" t="s">
        <v>4</v>
      </c>
      <c r="L341" s="21" t="s">
        <v>5</v>
      </c>
      <c r="M341" s="22" t="s">
        <v>22</v>
      </c>
      <c r="N341" s="22" t="s">
        <v>3</v>
      </c>
      <c r="O341" s="87">
        <f>VLOOKUP($B341,BOM!$A$2:$K$94,10,0)</f>
        <v>0</v>
      </c>
      <c r="P341" s="87">
        <f t="shared" si="18"/>
        <v>0</v>
      </c>
      <c r="Q341" s="142" t="str">
        <f>VLOOKUP($B341,BOM!$A$2:$K$94,9,0)</f>
        <v>Cái</v>
      </c>
    </row>
    <row r="342" spans="1:17">
      <c r="A342" s="141"/>
      <c r="B342" s="81"/>
      <c r="C342" s="72" t="s">
        <v>1</v>
      </c>
      <c r="D342" s="72" t="s">
        <v>0</v>
      </c>
      <c r="E342" s="72">
        <v>1</v>
      </c>
      <c r="F342" s="72"/>
      <c r="G342" s="72">
        <f>ROUNDUP(G338/24,0)</f>
        <v>1</v>
      </c>
      <c r="H342" s="72">
        <f t="shared" ref="H342" si="19">ROUNDUP(H338/24,0)</f>
        <v>1</v>
      </c>
      <c r="I342" s="72"/>
      <c r="J342" s="72"/>
      <c r="K342" s="83"/>
      <c r="L342" s="83"/>
      <c r="M342" s="83"/>
      <c r="N342" s="83"/>
      <c r="O342" s="87">
        <f>VLOOKUP($B342,BOM!$A$2:$K$94,10,0)</f>
        <v>0</v>
      </c>
      <c r="P342" s="87">
        <f t="shared" si="18"/>
        <v>0</v>
      </c>
      <c r="Q342" s="84">
        <f>VLOOKUP($B342,BOM!$A$2:$K$94,9,0)</f>
        <v>0</v>
      </c>
    </row>
    <row r="343" spans="1:17" s="45" customFormat="1">
      <c r="A343" s="141"/>
      <c r="B343" s="62">
        <v>760249997</v>
      </c>
      <c r="C343" s="62" t="s">
        <v>2</v>
      </c>
      <c r="D343" s="85" t="s">
        <v>3</v>
      </c>
      <c r="E343" s="85">
        <f>ROUNDUP((E345+E349)/3,0)</f>
        <v>1</v>
      </c>
      <c r="F343" s="62"/>
      <c r="G343" s="62"/>
      <c r="H343" s="62"/>
      <c r="I343" s="62"/>
      <c r="J343" s="21">
        <f>E343</f>
        <v>1</v>
      </c>
      <c r="K343" s="62" t="s">
        <v>4</v>
      </c>
      <c r="L343" s="62" t="s">
        <v>5</v>
      </c>
      <c r="M343" s="86" t="s">
        <v>6</v>
      </c>
      <c r="N343" s="86" t="s">
        <v>3</v>
      </c>
      <c r="O343" s="87">
        <f>VLOOKUP($B343,BOM!$A$2:$K$94,10,0)</f>
        <v>0</v>
      </c>
      <c r="P343" s="87">
        <f t="shared" si="18"/>
        <v>0</v>
      </c>
      <c r="Q343" s="87" t="str">
        <f>VLOOKUP($B343,BOM!$A$2:$K$94,9,0)</f>
        <v>Cái</v>
      </c>
    </row>
    <row r="344" spans="1:17" s="45" customFormat="1">
      <c r="A344" s="141"/>
      <c r="B344" s="62">
        <v>760241378</v>
      </c>
      <c r="C344" s="62" t="s">
        <v>7</v>
      </c>
      <c r="D344" s="85" t="s">
        <v>3</v>
      </c>
      <c r="E344" s="85">
        <f>IF(E345&lt;=2,1,ROUNDUP(E343*1.5,0))</f>
        <v>1</v>
      </c>
      <c r="F344" s="62"/>
      <c r="G344" s="62"/>
      <c r="H344" s="62"/>
      <c r="I344" s="62"/>
      <c r="J344" s="62"/>
      <c r="K344" s="62" t="s">
        <v>4</v>
      </c>
      <c r="L344" s="62" t="s">
        <v>5</v>
      </c>
      <c r="M344" s="86" t="s">
        <v>6</v>
      </c>
      <c r="N344" s="86" t="s">
        <v>3</v>
      </c>
      <c r="O344" s="87">
        <f>VLOOKUP($B344,BOM!$A$2:$K$94,10,0)</f>
        <v>0</v>
      </c>
      <c r="P344" s="87">
        <f t="shared" si="18"/>
        <v>0</v>
      </c>
      <c r="Q344" s="87" t="str">
        <f>VLOOKUP($B344,BOM!$A$2:$K$94,9,0)</f>
        <v>Cái</v>
      </c>
    </row>
    <row r="345" spans="1:17" s="45" customFormat="1">
      <c r="A345" s="141"/>
      <c r="B345" s="62" t="s">
        <v>8</v>
      </c>
      <c r="C345" s="62" t="s">
        <v>9</v>
      </c>
      <c r="D345" s="85" t="s">
        <v>3</v>
      </c>
      <c r="E345" s="85">
        <f>G342</f>
        <v>1</v>
      </c>
      <c r="F345" s="62"/>
      <c r="G345" s="62"/>
      <c r="H345" s="62"/>
      <c r="I345" s="62"/>
      <c r="J345" s="62"/>
      <c r="K345" s="62" t="s">
        <v>4</v>
      </c>
      <c r="L345" s="62" t="s">
        <v>5</v>
      </c>
      <c r="M345" s="86" t="s">
        <v>6</v>
      </c>
      <c r="N345" s="86" t="s">
        <v>3</v>
      </c>
      <c r="O345" s="87">
        <f>VLOOKUP($B345,BOM!$A$2:$K$94,10,0)</f>
        <v>0</v>
      </c>
      <c r="P345" s="87">
        <f t="shared" si="18"/>
        <v>0</v>
      </c>
      <c r="Q345" s="87" t="str">
        <f>VLOOKUP($B345,BOM!$A$2:$K$94,9,0)</f>
        <v>Cái</v>
      </c>
    </row>
    <row r="346" spans="1:17" s="45" customFormat="1">
      <c r="A346" s="141"/>
      <c r="B346" s="62" t="s">
        <v>10</v>
      </c>
      <c r="C346" s="62" t="s">
        <v>11</v>
      </c>
      <c r="D346" s="85" t="s">
        <v>3</v>
      </c>
      <c r="E346" s="85">
        <f>E343*3-E345-E349</f>
        <v>1</v>
      </c>
      <c r="F346" s="62"/>
      <c r="G346" s="62"/>
      <c r="H346" s="62"/>
      <c r="I346" s="62"/>
      <c r="J346" s="62"/>
      <c r="K346" s="62" t="s">
        <v>4</v>
      </c>
      <c r="L346" s="62" t="s">
        <v>5</v>
      </c>
      <c r="M346" s="86" t="s">
        <v>6</v>
      </c>
      <c r="N346" s="86" t="s">
        <v>3</v>
      </c>
      <c r="O346" s="87">
        <f>VLOOKUP($B346,BOM!$A$2:$K$94,10,0)</f>
        <v>0</v>
      </c>
      <c r="P346" s="87">
        <f t="shared" si="18"/>
        <v>0</v>
      </c>
      <c r="Q346" s="87" t="str">
        <f>VLOOKUP($B346,BOM!$A$2:$K$94,9,0)</f>
        <v>Cái</v>
      </c>
    </row>
    <row r="347" spans="1:17" s="45" customFormat="1">
      <c r="A347" s="141"/>
      <c r="B347" s="62" t="s">
        <v>12</v>
      </c>
      <c r="C347" s="62" t="s">
        <v>13</v>
      </c>
      <c r="D347" s="85" t="s">
        <v>14</v>
      </c>
      <c r="E347" s="85">
        <f>G338/2</f>
        <v>12</v>
      </c>
      <c r="F347" s="62"/>
      <c r="G347" s="62"/>
      <c r="H347" s="62"/>
      <c r="I347" s="62"/>
      <c r="J347" s="62"/>
      <c r="K347" s="62" t="s">
        <v>4</v>
      </c>
      <c r="L347" s="62" t="s">
        <v>5</v>
      </c>
      <c r="M347" s="86" t="s">
        <v>6</v>
      </c>
      <c r="N347" s="86" t="s">
        <v>15</v>
      </c>
      <c r="O347" s="87">
        <f>VLOOKUP($B347,BOM!$A$2:$K$94,10,0)</f>
        <v>0</v>
      </c>
      <c r="P347" s="87">
        <f t="shared" si="18"/>
        <v>0</v>
      </c>
      <c r="Q347" s="87" t="str">
        <f>VLOOKUP($B347,BOM!$A$2:$K$94,9,0)</f>
        <v>Sợi</v>
      </c>
    </row>
    <row r="348" spans="1:17" s="45" customFormat="1">
      <c r="A348" s="141"/>
      <c r="B348" s="62" t="s">
        <v>16</v>
      </c>
      <c r="C348" s="62" t="s">
        <v>17</v>
      </c>
      <c r="D348" s="85" t="s">
        <v>14</v>
      </c>
      <c r="E348" s="85">
        <f>ROUNDUP((E355*1.3),0)</f>
        <v>3</v>
      </c>
      <c r="F348" s="62"/>
      <c r="G348" s="62"/>
      <c r="H348" s="62"/>
      <c r="I348" s="62"/>
      <c r="J348" s="62"/>
      <c r="K348" s="62" t="s">
        <v>4</v>
      </c>
      <c r="L348" s="62" t="s">
        <v>5</v>
      </c>
      <c r="M348" s="86" t="s">
        <v>6</v>
      </c>
      <c r="N348" s="86" t="s">
        <v>15</v>
      </c>
      <c r="O348" s="87">
        <f>VLOOKUP($B348,BOM!$A$2:$K$94,10,0)</f>
        <v>0</v>
      </c>
      <c r="P348" s="87">
        <f t="shared" si="18"/>
        <v>0</v>
      </c>
      <c r="Q348" s="87" t="str">
        <f>VLOOKUP($B348,BOM!$A$2:$K$94,9,0)</f>
        <v>Sợi</v>
      </c>
    </row>
    <row r="349" spans="1:17" s="110" customFormat="1">
      <c r="A349" s="141"/>
      <c r="B349" s="66" t="s">
        <v>198</v>
      </c>
      <c r="C349" s="66" t="s">
        <v>199</v>
      </c>
      <c r="D349" s="89" t="s">
        <v>3</v>
      </c>
      <c r="E349" s="89">
        <f>H342</f>
        <v>1</v>
      </c>
      <c r="F349" s="66"/>
      <c r="G349" s="66"/>
      <c r="H349" s="66"/>
      <c r="I349" s="66"/>
      <c r="J349" s="66"/>
      <c r="K349" s="108" t="s">
        <v>4</v>
      </c>
      <c r="L349" s="108" t="s">
        <v>5</v>
      </c>
      <c r="M349" s="109" t="s">
        <v>6</v>
      </c>
      <c r="N349" s="109" t="s">
        <v>15</v>
      </c>
      <c r="O349" s="87">
        <f>VLOOKUP($B349,BOM!$A$2:$K$94,10,0)</f>
        <v>0</v>
      </c>
      <c r="P349" s="87">
        <f t="shared" si="18"/>
        <v>0</v>
      </c>
      <c r="Q349" s="146" t="str">
        <f>VLOOKUP($B349,BOM!$A$2:$K$94,9,0)</f>
        <v>Cái</v>
      </c>
    </row>
    <row r="350" spans="1:17" s="111" customFormat="1">
      <c r="A350" s="141"/>
      <c r="B350" s="66" t="s">
        <v>194</v>
      </c>
      <c r="C350" s="66" t="s">
        <v>195</v>
      </c>
      <c r="D350" s="89" t="s">
        <v>14</v>
      </c>
      <c r="E350" s="89">
        <f>ROUNDUP((E354*1.3),0)</f>
        <v>2</v>
      </c>
      <c r="F350" s="108"/>
      <c r="G350" s="108"/>
      <c r="H350" s="108"/>
      <c r="I350" s="108"/>
      <c r="J350" s="108"/>
      <c r="K350" s="108" t="s">
        <v>4</v>
      </c>
      <c r="L350" s="108" t="s">
        <v>5</v>
      </c>
      <c r="M350" s="109" t="s">
        <v>6</v>
      </c>
      <c r="N350" s="109" t="s">
        <v>15</v>
      </c>
      <c r="O350" s="87">
        <f>VLOOKUP($B350,BOM!$A$2:$K$94,10,0)</f>
        <v>0</v>
      </c>
      <c r="P350" s="87">
        <f t="shared" si="18"/>
        <v>0</v>
      </c>
      <c r="Q350" s="146" t="str">
        <f>VLOOKUP($B350,BOM!$A$2:$K$94,9,0)</f>
        <v>Cái</v>
      </c>
    </row>
    <row r="351" spans="1:17" s="110" customFormat="1">
      <c r="A351" s="141"/>
      <c r="B351" s="66" t="s">
        <v>196</v>
      </c>
      <c r="C351" s="66" t="s">
        <v>197</v>
      </c>
      <c r="D351" s="89" t="s">
        <v>14</v>
      </c>
      <c r="E351" s="89">
        <f>H338/2</f>
        <v>2</v>
      </c>
      <c r="F351" s="66"/>
      <c r="G351" s="66"/>
      <c r="H351" s="66"/>
      <c r="I351" s="66"/>
      <c r="J351" s="66"/>
      <c r="K351" s="108" t="s">
        <v>4</v>
      </c>
      <c r="L351" s="108" t="s">
        <v>5</v>
      </c>
      <c r="M351" s="109" t="s">
        <v>6</v>
      </c>
      <c r="N351" s="109" t="s">
        <v>15</v>
      </c>
      <c r="O351" s="87">
        <f>VLOOKUP($B351,BOM!$A$2:$K$94,10,0)</f>
        <v>0</v>
      </c>
      <c r="P351" s="87">
        <f t="shared" si="18"/>
        <v>0</v>
      </c>
      <c r="Q351" s="146" t="str">
        <f>VLOOKUP($B351,BOM!$A$2:$K$94,9,0)</f>
        <v>Cái</v>
      </c>
    </row>
    <row r="352" spans="1:17">
      <c r="A352" s="141"/>
      <c r="B352" s="81"/>
      <c r="C352" s="72" t="s">
        <v>26</v>
      </c>
      <c r="D352" s="72" t="s">
        <v>0</v>
      </c>
      <c r="E352" s="72">
        <v>1</v>
      </c>
      <c r="F352" s="72"/>
      <c r="G352" s="72"/>
      <c r="H352" s="72"/>
      <c r="I352" s="72"/>
      <c r="J352" s="72"/>
      <c r="K352" s="83"/>
      <c r="L352" s="83"/>
      <c r="M352" s="83"/>
      <c r="N352" s="83"/>
      <c r="O352" s="87">
        <f>VLOOKUP($B352,BOM!$A$2:$K$94,10,0)</f>
        <v>0</v>
      </c>
      <c r="P352" s="87">
        <f t="shared" si="18"/>
        <v>0</v>
      </c>
      <c r="Q352" s="84">
        <f>VLOOKUP($B352,BOM!$A$2:$K$94,9,0)</f>
        <v>0</v>
      </c>
    </row>
    <row r="353" spans="1:17" ht="60">
      <c r="A353" s="147"/>
      <c r="B353" s="67" t="s">
        <v>228</v>
      </c>
      <c r="C353" s="187" t="s">
        <v>324</v>
      </c>
      <c r="D353" s="90" t="s">
        <v>51</v>
      </c>
      <c r="E353" s="90">
        <v>1</v>
      </c>
      <c r="F353" s="65"/>
      <c r="G353" s="65"/>
      <c r="H353" s="65"/>
      <c r="I353" s="65"/>
      <c r="J353" s="103">
        <f>E353</f>
        <v>1</v>
      </c>
      <c r="K353" s="65" t="s">
        <v>143</v>
      </c>
      <c r="L353" s="65" t="s">
        <v>151</v>
      </c>
      <c r="M353" s="90" t="s">
        <v>154</v>
      </c>
      <c r="N353" s="90" t="s">
        <v>51</v>
      </c>
      <c r="O353" s="87">
        <f>VLOOKUP($B353,BOM!$A$2:$K$94,10,0)</f>
        <v>0</v>
      </c>
      <c r="P353" s="87">
        <f t="shared" si="18"/>
        <v>0</v>
      </c>
      <c r="Q353" s="151" t="str">
        <f>VLOOKUP($B353,BOM!$A$2:$K$94,9,0)</f>
        <v>cái</v>
      </c>
    </row>
    <row r="354" spans="1:17" s="111" customFormat="1">
      <c r="A354" s="120"/>
      <c r="B354" s="68" t="s">
        <v>216</v>
      </c>
      <c r="C354" s="68" t="s">
        <v>217</v>
      </c>
      <c r="D354" s="89" t="s">
        <v>64</v>
      </c>
      <c r="E354" s="89">
        <v>1</v>
      </c>
      <c r="F354" s="124"/>
      <c r="G354" s="124"/>
      <c r="H354" s="124"/>
      <c r="I354" s="124"/>
      <c r="J354" s="124"/>
      <c r="K354" s="124" t="s">
        <v>143</v>
      </c>
      <c r="L354" s="124" t="s">
        <v>151</v>
      </c>
      <c r="M354" s="89" t="s">
        <v>154</v>
      </c>
      <c r="N354" s="89" t="s">
        <v>64</v>
      </c>
      <c r="O354" s="87">
        <f>VLOOKUP($B354,BOM!$A$2:$K$94,10,0)</f>
        <v>0</v>
      </c>
      <c r="P354" s="87">
        <f t="shared" si="18"/>
        <v>0</v>
      </c>
      <c r="Q354" s="152" t="str">
        <f>VLOOKUP($B354,BOM!$A$2:$K$94,9,0)</f>
        <v>cái</v>
      </c>
    </row>
    <row r="355" spans="1:17" s="45" customFormat="1">
      <c r="A355" s="141"/>
      <c r="B355" s="64" t="s">
        <v>212</v>
      </c>
      <c r="C355" s="64" t="s">
        <v>213</v>
      </c>
      <c r="D355" s="97" t="s">
        <v>64</v>
      </c>
      <c r="E355" s="98">
        <v>2</v>
      </c>
      <c r="F355" s="95"/>
      <c r="G355" s="95"/>
      <c r="H355" s="95"/>
      <c r="I355" s="95"/>
      <c r="J355" s="95"/>
      <c r="K355" s="95" t="s">
        <v>143</v>
      </c>
      <c r="L355" s="95" t="s">
        <v>151</v>
      </c>
      <c r="M355" s="97" t="s">
        <v>154</v>
      </c>
      <c r="N355" s="97" t="s">
        <v>64</v>
      </c>
      <c r="O355" s="87">
        <f>VLOOKUP($B355,BOM!$A$2:$K$94,10,0)</f>
        <v>0</v>
      </c>
      <c r="P355" s="87">
        <f t="shared" si="18"/>
        <v>0</v>
      </c>
      <c r="Q355" s="153" t="str">
        <f>VLOOKUP($B355,BOM!$A$2:$K$94,9,0)</f>
        <v>cái</v>
      </c>
    </row>
    <row r="356" spans="1:17" s="45" customFormat="1">
      <c r="A356" s="141"/>
      <c r="B356" s="62"/>
      <c r="C356" s="62"/>
      <c r="D356" s="85"/>
      <c r="E356" s="90"/>
      <c r="F356" s="62"/>
      <c r="G356" s="62"/>
      <c r="H356" s="62"/>
      <c r="I356" s="62"/>
      <c r="J356" s="62"/>
      <c r="K356" s="62"/>
      <c r="L356" s="62"/>
      <c r="M356" s="86"/>
      <c r="N356" s="86"/>
      <c r="O356" s="87">
        <f>VLOOKUP($B356,BOM!$A$2:$K$94,10,0)</f>
        <v>0</v>
      </c>
      <c r="P356" s="87">
        <f t="shared" si="18"/>
        <v>0</v>
      </c>
      <c r="Q356" s="87">
        <f>VLOOKUP($B356,BOM!$A$2:$K$94,9,0)</f>
        <v>0</v>
      </c>
    </row>
    <row r="357" spans="1:17" s="45" customFormat="1">
      <c r="A357" s="141"/>
      <c r="B357" s="62"/>
      <c r="C357" s="62"/>
      <c r="D357" s="85"/>
      <c r="E357" s="90"/>
      <c r="F357" s="62"/>
      <c r="G357" s="62"/>
      <c r="H357" s="62"/>
      <c r="I357" s="62"/>
      <c r="J357" s="62"/>
      <c r="K357" s="62"/>
      <c r="L357" s="62"/>
      <c r="M357" s="86"/>
      <c r="N357" s="86"/>
      <c r="O357" s="87">
        <f>VLOOKUP($B357,BOM!$A$2:$K$94,10,0)</f>
        <v>0</v>
      </c>
      <c r="P357" s="87">
        <f t="shared" si="18"/>
        <v>0</v>
      </c>
      <c r="Q357" s="87">
        <f>VLOOKUP($B357,BOM!$A$2:$K$94,9,0)</f>
        <v>0</v>
      </c>
    </row>
    <row r="358" spans="1:17" outlineLevel="1">
      <c r="A358" s="141"/>
      <c r="B358" s="117"/>
      <c r="C358" s="61" t="s">
        <v>67</v>
      </c>
      <c r="D358" s="119" t="s">
        <v>0</v>
      </c>
      <c r="E358" s="120">
        <v>1</v>
      </c>
      <c r="F358" s="121"/>
      <c r="G358" s="121"/>
      <c r="H358" s="121" t="s">
        <v>69</v>
      </c>
      <c r="I358" s="122"/>
      <c r="J358" s="21">
        <f t="shared" ref="J358:J359" si="20">E358</f>
        <v>1</v>
      </c>
      <c r="K358" s="63"/>
      <c r="L358" s="63"/>
      <c r="M358" s="63"/>
      <c r="N358" s="63"/>
      <c r="O358" s="87">
        <f>VLOOKUP($B358,BOM!$A$2:$K$94,10,0)</f>
        <v>0</v>
      </c>
      <c r="P358" s="87">
        <f t="shared" si="18"/>
        <v>0</v>
      </c>
      <c r="Q358" s="80">
        <f>VLOOKUP($B358,BOM!$A$2:$K$94,9,0)</f>
        <v>0</v>
      </c>
    </row>
    <row r="359" spans="1:17" outlineLevel="1">
      <c r="A359" s="141"/>
      <c r="B359" s="117"/>
      <c r="C359" s="61" t="s">
        <v>70</v>
      </c>
      <c r="D359" s="119" t="s">
        <v>0</v>
      </c>
      <c r="E359" s="120">
        <v>1</v>
      </c>
      <c r="F359" s="121"/>
      <c r="G359" s="121"/>
      <c r="H359" s="121" t="s">
        <v>69</v>
      </c>
      <c r="I359" s="122"/>
      <c r="J359" s="21">
        <f t="shared" si="20"/>
        <v>1</v>
      </c>
      <c r="K359" s="63"/>
      <c r="L359" s="63"/>
      <c r="M359" s="63"/>
      <c r="N359" s="63"/>
      <c r="O359" s="87">
        <f>VLOOKUP($B359,BOM!$A$2:$K$94,10,0)</f>
        <v>0</v>
      </c>
      <c r="P359" s="87">
        <f t="shared" si="18"/>
        <v>0</v>
      </c>
      <c r="Q359" s="80">
        <f>VLOOKUP($B359,BOM!$A$2:$K$94,9,0)</f>
        <v>0</v>
      </c>
    </row>
    <row r="360" spans="1:17">
      <c r="A360" s="141"/>
      <c r="B360" s="81"/>
      <c r="C360" s="72" t="s">
        <v>18</v>
      </c>
      <c r="D360" s="72" t="s">
        <v>0</v>
      </c>
      <c r="E360" s="72">
        <v>1</v>
      </c>
      <c r="F360" s="72"/>
      <c r="G360" s="72"/>
      <c r="H360" s="72"/>
      <c r="I360" s="72"/>
      <c r="J360" s="72"/>
      <c r="K360" s="83"/>
      <c r="L360" s="83"/>
      <c r="M360" s="83"/>
      <c r="N360" s="83"/>
      <c r="O360" s="87">
        <f>VLOOKUP($B360,BOM!$A$2:$K$94,10,0)</f>
        <v>0</v>
      </c>
      <c r="P360" s="87">
        <f t="shared" si="18"/>
        <v>0</v>
      </c>
      <c r="Q360" s="84">
        <f>VLOOKUP($B360,BOM!$A$2:$K$94,9,0)</f>
        <v>0</v>
      </c>
    </row>
    <row r="361" spans="1:17" s="45" customFormat="1">
      <c r="A361" s="141"/>
      <c r="B361" s="62">
        <v>760237046</v>
      </c>
      <c r="C361" s="62" t="s">
        <v>19</v>
      </c>
      <c r="D361" s="85" t="s">
        <v>3</v>
      </c>
      <c r="E361" s="85">
        <f>E353+E356</f>
        <v>1</v>
      </c>
      <c r="F361" s="62"/>
      <c r="G361" s="62"/>
      <c r="H361" s="62"/>
      <c r="I361" s="62"/>
      <c r="J361" s="21">
        <f>E361</f>
        <v>1</v>
      </c>
      <c r="K361" s="62" t="s">
        <v>4</v>
      </c>
      <c r="L361" s="62" t="s">
        <v>5</v>
      </c>
      <c r="M361" s="86" t="s">
        <v>6</v>
      </c>
      <c r="N361" s="86" t="s">
        <v>3</v>
      </c>
      <c r="O361" s="87">
        <f>VLOOKUP($B361,BOM!$A$2:$K$94,10,0)</f>
        <v>0</v>
      </c>
      <c r="P361" s="87">
        <f t="shared" si="18"/>
        <v>0</v>
      </c>
      <c r="Q361" s="87" t="str">
        <f>VLOOKUP($B361,BOM!$A$2:$K$94,9,0)</f>
        <v>Cái</v>
      </c>
    </row>
    <row r="362" spans="1:17" s="45" customFormat="1">
      <c r="A362" s="141"/>
      <c r="B362" s="62" t="s">
        <v>23</v>
      </c>
      <c r="C362" s="62" t="s">
        <v>24</v>
      </c>
      <c r="D362" s="85" t="s">
        <v>3</v>
      </c>
      <c r="E362" s="85">
        <f>E361*24</f>
        <v>24</v>
      </c>
      <c r="F362" s="62"/>
      <c r="G362" s="62"/>
      <c r="H362" s="62"/>
      <c r="I362" s="62"/>
      <c r="J362" s="62"/>
      <c r="K362" s="62" t="s">
        <v>25</v>
      </c>
      <c r="L362" s="62" t="s">
        <v>5</v>
      </c>
      <c r="M362" s="86" t="s">
        <v>6</v>
      </c>
      <c r="N362" s="86" t="s">
        <v>3</v>
      </c>
      <c r="O362" s="87">
        <f>VLOOKUP($B362,BOM!$A$2:$K$94,10,0)</f>
        <v>0</v>
      </c>
      <c r="P362" s="87">
        <f t="shared" si="18"/>
        <v>0</v>
      </c>
      <c r="Q362" s="87" t="str">
        <f>VLOOKUP($B362,BOM!$A$2:$K$94,9,0)</f>
        <v>Cái</v>
      </c>
    </row>
    <row r="363" spans="1:17" s="45" customFormat="1">
      <c r="A363" s="141"/>
      <c r="B363" s="62" t="s">
        <v>20</v>
      </c>
      <c r="C363" s="62" t="s">
        <v>21</v>
      </c>
      <c r="D363" s="85" t="s">
        <v>3</v>
      </c>
      <c r="E363" s="85">
        <f>E361</f>
        <v>1</v>
      </c>
      <c r="F363" s="62"/>
      <c r="G363" s="62"/>
      <c r="H363" s="62"/>
      <c r="I363" s="62"/>
      <c r="J363" s="21">
        <f>E363</f>
        <v>1</v>
      </c>
      <c r="K363" s="62" t="s">
        <v>4</v>
      </c>
      <c r="L363" s="62" t="s">
        <v>5</v>
      </c>
      <c r="M363" s="86" t="s">
        <v>22</v>
      </c>
      <c r="N363" s="86" t="s">
        <v>3</v>
      </c>
      <c r="O363" s="87">
        <f>VLOOKUP($B363,BOM!$A$2:$K$94,10,0)</f>
        <v>0</v>
      </c>
      <c r="P363" s="87">
        <f t="shared" si="18"/>
        <v>0</v>
      </c>
      <c r="Q363" s="87" t="str">
        <f>VLOOKUP($B363,BOM!$A$2:$K$94,9,0)</f>
        <v>Cái</v>
      </c>
    </row>
    <row r="364" spans="1:17">
      <c r="A364" s="141"/>
      <c r="B364" s="81"/>
      <c r="C364" s="72" t="s">
        <v>71</v>
      </c>
      <c r="D364" s="72" t="s">
        <v>0</v>
      </c>
      <c r="E364" s="72">
        <v>1</v>
      </c>
      <c r="F364" s="72"/>
      <c r="G364" s="72"/>
      <c r="H364" s="72"/>
      <c r="I364" s="72"/>
      <c r="J364" s="72"/>
      <c r="K364" s="83"/>
      <c r="L364" s="83"/>
      <c r="M364" s="83"/>
      <c r="N364" s="83"/>
      <c r="O364" s="87">
        <f>VLOOKUP($B364,BOM!$A$2:$K$94,10,0)</f>
        <v>0</v>
      </c>
      <c r="P364" s="87">
        <f t="shared" si="18"/>
        <v>0</v>
      </c>
      <c r="Q364" s="84">
        <f>VLOOKUP($B364,BOM!$A$2:$K$94,9,0)</f>
        <v>0</v>
      </c>
    </row>
    <row r="365" spans="1:17" s="45" customFormat="1">
      <c r="A365" s="141"/>
      <c r="B365" s="62" t="s">
        <v>314</v>
      </c>
      <c r="C365" s="62" t="s">
        <v>316</v>
      </c>
      <c r="D365" s="116" t="s">
        <v>51</v>
      </c>
      <c r="E365" s="85">
        <v>1</v>
      </c>
      <c r="F365" s="62"/>
      <c r="G365" s="62"/>
      <c r="H365" s="62"/>
      <c r="I365" s="62"/>
      <c r="J365" s="86">
        <f>E365*8</f>
        <v>8</v>
      </c>
      <c r="K365" s="62"/>
      <c r="L365" s="62" t="s">
        <v>5</v>
      </c>
      <c r="M365" s="86" t="s">
        <v>28</v>
      </c>
      <c r="N365" s="86" t="s">
        <v>3</v>
      </c>
      <c r="O365" s="87">
        <f>VLOOKUP($B365,BOM!$A$2:$K$94,10,0)</f>
        <v>0</v>
      </c>
      <c r="P365" s="87">
        <f t="shared" si="18"/>
        <v>0</v>
      </c>
      <c r="Q365" s="87" t="str">
        <f>VLOOKUP($B365,BOM!$A$2:$K$94,9,0)</f>
        <v>Cái</v>
      </c>
    </row>
    <row r="366" spans="1:17" s="45" customFormat="1">
      <c r="A366" s="141"/>
      <c r="B366" s="62"/>
      <c r="C366" s="62"/>
      <c r="D366" s="116"/>
      <c r="E366" s="85"/>
      <c r="F366" s="62"/>
      <c r="G366" s="62"/>
      <c r="H366" s="62"/>
      <c r="I366" s="62"/>
      <c r="J366" s="62"/>
      <c r="K366" s="62"/>
      <c r="L366" s="62"/>
      <c r="M366" s="86"/>
      <c r="N366" s="86"/>
      <c r="O366" s="87">
        <f>VLOOKUP($B366,BOM!$A$2:$K$94,10,0)</f>
        <v>0</v>
      </c>
      <c r="P366" s="87">
        <f t="shared" si="18"/>
        <v>0</v>
      </c>
      <c r="Q366" s="87">
        <f>VLOOKUP($B366,BOM!$A$2:$K$94,9,0)</f>
        <v>0</v>
      </c>
    </row>
    <row r="367" spans="1:17" s="45" customFormat="1">
      <c r="A367" s="141"/>
      <c r="B367" s="62" t="s">
        <v>225</v>
      </c>
      <c r="C367" s="62" t="s">
        <v>72</v>
      </c>
      <c r="D367" s="116" t="s">
        <v>64</v>
      </c>
      <c r="E367" s="85">
        <v>0</v>
      </c>
      <c r="F367" s="62"/>
      <c r="G367" s="62"/>
      <c r="H367" s="62"/>
      <c r="I367" s="62"/>
      <c r="J367" s="62"/>
      <c r="K367" s="62"/>
      <c r="L367" s="62" t="s">
        <v>5</v>
      </c>
      <c r="M367" s="86" t="s">
        <v>28</v>
      </c>
      <c r="N367" s="86" t="s">
        <v>3</v>
      </c>
      <c r="O367" s="87">
        <f>VLOOKUP($B367,BOM!$A$2:$K$94,10,0)</f>
        <v>0</v>
      </c>
      <c r="P367" s="87">
        <f t="shared" si="18"/>
        <v>0</v>
      </c>
      <c r="Q367" s="87" t="str">
        <f>VLOOKUP($B367,BOM!$A$2:$K$94,9,0)</f>
        <v>Cái</v>
      </c>
    </row>
    <row r="368" spans="1:17">
      <c r="A368" s="141"/>
      <c r="B368" s="81"/>
      <c r="C368" s="72" t="s">
        <v>31</v>
      </c>
      <c r="D368" s="72" t="s">
        <v>0</v>
      </c>
      <c r="E368" s="72">
        <v>1</v>
      </c>
      <c r="F368" s="72"/>
      <c r="G368" s="72"/>
      <c r="H368" s="72"/>
      <c r="I368" s="72"/>
      <c r="J368" s="72"/>
      <c r="K368" s="83"/>
      <c r="L368" s="83"/>
      <c r="M368" s="83"/>
      <c r="N368" s="83"/>
      <c r="O368" s="87">
        <f>VLOOKUP($B368,BOM!$A$2:$K$94,10,0)</f>
        <v>0</v>
      </c>
      <c r="P368" s="87">
        <f t="shared" si="18"/>
        <v>0</v>
      </c>
      <c r="Q368" s="84">
        <f>VLOOKUP($B368,BOM!$A$2:$K$94,9,0)</f>
        <v>0</v>
      </c>
    </row>
    <row r="369" spans="1:17">
      <c r="A369" s="141"/>
      <c r="B369" s="81"/>
      <c r="C369" s="72" t="s">
        <v>32</v>
      </c>
      <c r="D369" s="72"/>
      <c r="E369" s="72"/>
      <c r="F369" s="72"/>
      <c r="G369" s="72">
        <v>2</v>
      </c>
      <c r="H369" s="72"/>
      <c r="I369" s="72"/>
      <c r="J369" s="72"/>
      <c r="K369" s="83"/>
      <c r="L369" s="83"/>
      <c r="M369" s="83"/>
      <c r="N369" s="83"/>
      <c r="O369" s="87">
        <f>VLOOKUP($B369,BOM!$A$2:$K$94,10,0)</f>
        <v>0</v>
      </c>
      <c r="P369" s="87">
        <f t="shared" si="18"/>
        <v>0</v>
      </c>
      <c r="Q369" s="84">
        <f>VLOOKUP($B369,BOM!$A$2:$K$94,9,0)</f>
        <v>0</v>
      </c>
    </row>
    <row r="370" spans="1:17" s="45" customFormat="1" ht="20.45" customHeight="1">
      <c r="A370" s="141"/>
      <c r="B370" s="62" t="s">
        <v>33</v>
      </c>
      <c r="C370" s="62" t="s">
        <v>34</v>
      </c>
      <c r="D370" s="85" t="s">
        <v>3</v>
      </c>
      <c r="E370" s="90">
        <f>E371</f>
        <v>2</v>
      </c>
      <c r="F370" s="62"/>
      <c r="G370" s="62"/>
      <c r="H370" s="62"/>
      <c r="I370" s="62"/>
      <c r="J370" s="62"/>
      <c r="K370" s="62" t="s">
        <v>35</v>
      </c>
      <c r="L370" s="62" t="s">
        <v>5</v>
      </c>
      <c r="M370" s="86" t="s">
        <v>6</v>
      </c>
      <c r="N370" s="86" t="s">
        <v>3</v>
      </c>
      <c r="O370" s="87">
        <f>VLOOKUP($B370,BOM!$A$2:$K$94,10,0)</f>
        <v>0</v>
      </c>
      <c r="P370" s="87">
        <f t="shared" si="18"/>
        <v>0</v>
      </c>
      <c r="Q370" s="87" t="str">
        <f>VLOOKUP($B370,BOM!$A$2:$K$94,9,0)</f>
        <v>Cái</v>
      </c>
    </row>
    <row r="371" spans="1:17" s="45" customFormat="1">
      <c r="A371" s="141"/>
      <c r="B371" s="62" t="s">
        <v>330</v>
      </c>
      <c r="C371" s="62" t="s">
        <v>36</v>
      </c>
      <c r="D371" s="85" t="s">
        <v>3</v>
      </c>
      <c r="E371" s="90">
        <f>G369+H369</f>
        <v>2</v>
      </c>
      <c r="F371" s="62"/>
      <c r="G371" s="62"/>
      <c r="H371" s="62"/>
      <c r="I371" s="62"/>
      <c r="J371" s="62"/>
      <c r="K371" s="62" t="s">
        <v>37</v>
      </c>
      <c r="L371" s="62" t="s">
        <v>5</v>
      </c>
      <c r="M371" s="86" t="s">
        <v>37</v>
      </c>
      <c r="N371" s="86" t="s">
        <v>3</v>
      </c>
      <c r="O371" s="87">
        <f>VLOOKUP($B371,BOM!$A$2:$K$94,10,0)</f>
        <v>0</v>
      </c>
      <c r="P371" s="87">
        <f t="shared" si="18"/>
        <v>0</v>
      </c>
      <c r="Q371" s="87" t="str">
        <f>VLOOKUP($B371,BOM!$A$2:$K$94,9,0)</f>
        <v>Cái</v>
      </c>
    </row>
    <row r="372" spans="1:17" s="45" customFormat="1">
      <c r="A372" s="141"/>
      <c r="B372" s="62" t="s">
        <v>38</v>
      </c>
      <c r="C372" s="62" t="s">
        <v>39</v>
      </c>
      <c r="D372" s="85" t="s">
        <v>3</v>
      </c>
      <c r="E372" s="90">
        <f>E371</f>
        <v>2</v>
      </c>
      <c r="F372" s="62"/>
      <c r="G372" s="62"/>
      <c r="H372" s="62"/>
      <c r="I372" s="62"/>
      <c r="J372" s="62"/>
      <c r="K372" s="62" t="s">
        <v>25</v>
      </c>
      <c r="L372" s="62" t="s">
        <v>5</v>
      </c>
      <c r="M372" s="86" t="s">
        <v>6</v>
      </c>
      <c r="N372" s="86" t="s">
        <v>3</v>
      </c>
      <c r="O372" s="87">
        <f>VLOOKUP($B372,BOM!$A$2:$K$94,10,0)</f>
        <v>0</v>
      </c>
      <c r="P372" s="87">
        <f t="shared" si="18"/>
        <v>0</v>
      </c>
      <c r="Q372" s="87" t="str">
        <f>VLOOKUP($B372,BOM!$A$2:$K$94,9,0)</f>
        <v>Cái</v>
      </c>
    </row>
    <row r="373" spans="1:17">
      <c r="A373" s="141"/>
      <c r="B373" s="81"/>
      <c r="C373" s="72" t="s">
        <v>40</v>
      </c>
      <c r="D373" s="72"/>
      <c r="E373" s="72"/>
      <c r="F373" s="72"/>
      <c r="G373" s="72">
        <v>5</v>
      </c>
      <c r="H373" s="72"/>
      <c r="I373" s="72"/>
      <c r="J373" s="72"/>
      <c r="K373" s="83"/>
      <c r="L373" s="83"/>
      <c r="M373" s="83"/>
      <c r="N373" s="83"/>
      <c r="O373" s="87">
        <f>VLOOKUP($B373,BOM!$A$2:$K$94,10,0)</f>
        <v>0</v>
      </c>
      <c r="P373" s="87">
        <f t="shared" si="18"/>
        <v>0</v>
      </c>
      <c r="Q373" s="84">
        <f>VLOOKUP($B373,BOM!$A$2:$K$94,9,0)</f>
        <v>0</v>
      </c>
    </row>
    <row r="374" spans="1:17" s="45" customFormat="1">
      <c r="A374" s="141"/>
      <c r="B374" s="62" t="s">
        <v>41</v>
      </c>
      <c r="C374" s="62" t="s">
        <v>42</v>
      </c>
      <c r="D374" s="85" t="s">
        <v>3</v>
      </c>
      <c r="E374" s="85">
        <f>G373+H373</f>
        <v>5</v>
      </c>
      <c r="F374" s="62"/>
      <c r="G374" s="62"/>
      <c r="H374" s="62"/>
      <c r="I374" s="62"/>
      <c r="J374" s="62"/>
      <c r="K374" s="62" t="s">
        <v>4</v>
      </c>
      <c r="L374" s="62" t="s">
        <v>5</v>
      </c>
      <c r="M374" s="86" t="s">
        <v>6</v>
      </c>
      <c r="N374" s="86" t="s">
        <v>3</v>
      </c>
      <c r="O374" s="87">
        <f>VLOOKUP($B374,BOM!$A$2:$K$94,10,0)</f>
        <v>0</v>
      </c>
      <c r="P374" s="87">
        <f t="shared" si="18"/>
        <v>0</v>
      </c>
      <c r="Q374" s="87" t="str">
        <f>VLOOKUP($B374,BOM!$A$2:$K$94,9,0)</f>
        <v>Cái</v>
      </c>
    </row>
    <row r="375" spans="1:17" s="45" customFormat="1">
      <c r="A375" s="141"/>
      <c r="B375" s="65" t="s">
        <v>43</v>
      </c>
      <c r="C375" s="65" t="s">
        <v>44</v>
      </c>
      <c r="D375" s="85" t="s">
        <v>3</v>
      </c>
      <c r="E375" s="85">
        <f>E374</f>
        <v>5</v>
      </c>
      <c r="F375" s="62"/>
      <c r="G375" s="62"/>
      <c r="H375" s="62"/>
      <c r="I375" s="62"/>
      <c r="J375" s="62"/>
      <c r="K375" s="62" t="s">
        <v>4</v>
      </c>
      <c r="L375" s="62" t="s">
        <v>5</v>
      </c>
      <c r="M375" s="86" t="s">
        <v>6</v>
      </c>
      <c r="N375" s="86" t="s">
        <v>3</v>
      </c>
      <c r="O375" s="87">
        <f>VLOOKUP($B375,BOM!$A$2:$K$94,10,0)</f>
        <v>0</v>
      </c>
      <c r="P375" s="87">
        <f t="shared" si="18"/>
        <v>0</v>
      </c>
      <c r="Q375" s="87" t="str">
        <f>VLOOKUP($B375,BOM!$A$2:$K$94,9,0)</f>
        <v>Cái</v>
      </c>
    </row>
    <row r="376" spans="1:17">
      <c r="A376" s="141"/>
      <c r="B376" s="81"/>
      <c r="C376" s="72" t="s">
        <v>45</v>
      </c>
      <c r="D376" s="72"/>
      <c r="E376" s="72"/>
      <c r="F376" s="72"/>
      <c r="G376" s="72"/>
      <c r="H376" s="72"/>
      <c r="I376" s="72"/>
      <c r="J376" s="72"/>
      <c r="K376" s="83"/>
      <c r="L376" s="83"/>
      <c r="M376" s="83"/>
      <c r="N376" s="83"/>
      <c r="O376" s="87">
        <f>VLOOKUP($B376,BOM!$A$2:$K$94,10,0)</f>
        <v>0</v>
      </c>
      <c r="P376" s="87">
        <f t="shared" si="18"/>
        <v>0</v>
      </c>
      <c r="Q376" s="84">
        <f>VLOOKUP($B376,BOM!$A$2:$K$94,9,0)</f>
        <v>0</v>
      </c>
    </row>
    <row r="377" spans="1:17" s="45" customFormat="1">
      <c r="A377" s="141"/>
      <c r="B377" s="62" t="s">
        <v>48</v>
      </c>
      <c r="C377" s="62" t="s">
        <v>49</v>
      </c>
      <c r="D377" s="85" t="s">
        <v>14</v>
      </c>
      <c r="E377" s="85">
        <f>E370+E374+1</f>
        <v>8</v>
      </c>
      <c r="F377" s="62"/>
      <c r="G377" s="62"/>
      <c r="H377" s="62"/>
      <c r="I377" s="62"/>
      <c r="J377" s="62"/>
      <c r="K377" s="62"/>
      <c r="L377" s="62" t="s">
        <v>5</v>
      </c>
      <c r="M377" s="86" t="s">
        <v>6</v>
      </c>
      <c r="N377" s="86" t="s">
        <v>15</v>
      </c>
      <c r="O377" s="87">
        <f>VLOOKUP($B377,BOM!$A$2:$K$94,10,0)</f>
        <v>0</v>
      </c>
      <c r="P377" s="87">
        <f t="shared" si="18"/>
        <v>0</v>
      </c>
      <c r="Q377" s="87" t="str">
        <f>VLOOKUP($B377,BOM!$A$2:$K$94,9,0)</f>
        <v>Sợi</v>
      </c>
    </row>
    <row r="378" spans="1:17" s="45" customFormat="1">
      <c r="A378" s="141"/>
      <c r="B378" s="62" t="s">
        <v>48</v>
      </c>
      <c r="C378" s="62" t="s">
        <v>49</v>
      </c>
      <c r="D378" s="85" t="s">
        <v>14</v>
      </c>
      <c r="E378" s="90">
        <f>ROUNDUP(E377*0.2,0)</f>
        <v>2</v>
      </c>
      <c r="F378" s="62"/>
      <c r="G378" s="62"/>
      <c r="H378" s="62"/>
      <c r="I378" s="62"/>
      <c r="J378" s="62"/>
      <c r="K378" s="62" t="s">
        <v>4</v>
      </c>
      <c r="L378" s="62" t="s">
        <v>5</v>
      </c>
      <c r="M378" s="86" t="s">
        <v>6</v>
      </c>
      <c r="N378" s="86" t="s">
        <v>15</v>
      </c>
      <c r="O378" s="87">
        <f>VLOOKUP($B378,BOM!$A$2:$K$94,10,0)</f>
        <v>0</v>
      </c>
      <c r="P378" s="87">
        <f t="shared" si="18"/>
        <v>0</v>
      </c>
      <c r="Q378" s="87" t="str">
        <f>VLOOKUP($B378,BOM!$A$2:$K$94,9,0)</f>
        <v>Sợi</v>
      </c>
    </row>
    <row r="379" spans="1:17">
      <c r="A379" s="141"/>
      <c r="B379" s="81"/>
      <c r="C379" s="72" t="s">
        <v>50</v>
      </c>
      <c r="D379" s="72"/>
      <c r="E379" s="72"/>
      <c r="F379" s="72"/>
      <c r="G379" s="72"/>
      <c r="H379" s="72"/>
      <c r="I379" s="72"/>
      <c r="J379" s="72"/>
      <c r="K379" s="83"/>
      <c r="L379" s="83"/>
      <c r="M379" s="83"/>
      <c r="N379" s="83"/>
      <c r="O379" s="87">
        <f>VLOOKUP($B379,BOM!$A$2:$K$94,10,0)</f>
        <v>0</v>
      </c>
      <c r="P379" s="87">
        <f t="shared" si="18"/>
        <v>0</v>
      </c>
      <c r="Q379" s="84">
        <f>VLOOKUP($B379,BOM!$A$2:$K$94,9,0)</f>
        <v>0</v>
      </c>
    </row>
    <row r="380" spans="1:17" s="45" customFormat="1">
      <c r="A380" s="141"/>
      <c r="B380" s="62" t="s">
        <v>332</v>
      </c>
      <c r="C380" s="62" t="s">
        <v>332</v>
      </c>
      <c r="D380" s="85" t="s">
        <v>51</v>
      </c>
      <c r="E380" s="85">
        <f>E365</f>
        <v>1</v>
      </c>
      <c r="F380" s="62"/>
      <c r="G380" s="62"/>
      <c r="H380" s="62"/>
      <c r="I380" s="62"/>
      <c r="J380" s="62"/>
      <c r="K380" s="62"/>
      <c r="L380" s="62"/>
      <c r="M380" s="86"/>
      <c r="N380" s="86" t="s">
        <v>51</v>
      </c>
      <c r="O380" s="87">
        <f>VLOOKUP($B380,BOM!$A$2:$K$94,10,0)</f>
        <v>0</v>
      </c>
      <c r="P380" s="87">
        <f t="shared" si="18"/>
        <v>0</v>
      </c>
      <c r="Q380" s="87" t="str">
        <f>VLOOKUP($B380,BOM!$A$2:$K$94,9,0)</f>
        <v>bộ</v>
      </c>
    </row>
    <row r="381" spans="1:17" s="45" customFormat="1">
      <c r="A381" s="141"/>
      <c r="B381" s="62" t="s">
        <v>52</v>
      </c>
      <c r="C381" s="62" t="s">
        <v>53</v>
      </c>
      <c r="D381" s="86" t="s">
        <v>54</v>
      </c>
      <c r="E381" s="105">
        <f>E378+E377</f>
        <v>10</v>
      </c>
      <c r="F381" s="62"/>
      <c r="G381" s="62"/>
      <c r="H381" s="62"/>
      <c r="I381" s="62"/>
      <c r="J381" s="62"/>
      <c r="K381" s="62"/>
      <c r="L381" s="62"/>
      <c r="M381" s="86" t="s">
        <v>55</v>
      </c>
      <c r="N381" s="86" t="s">
        <v>54</v>
      </c>
      <c r="O381" s="87">
        <f>VLOOKUP($B381,BOM!$A$2:$K$94,10,0)</f>
        <v>0</v>
      </c>
      <c r="P381" s="87">
        <f t="shared" si="18"/>
        <v>0</v>
      </c>
      <c r="Q381" s="87" t="str">
        <f>VLOOKUP($B381,BOM!$A$2:$K$94,9,0)</f>
        <v>node</v>
      </c>
    </row>
    <row r="382" spans="1:17" s="45" customFormat="1">
      <c r="A382" s="141"/>
      <c r="B382" s="62" t="s">
        <v>56</v>
      </c>
      <c r="C382" s="62" t="s">
        <v>57</v>
      </c>
      <c r="D382" s="86" t="s">
        <v>14</v>
      </c>
      <c r="E382" s="105">
        <f>E351+E347</f>
        <v>14</v>
      </c>
      <c r="F382" s="62"/>
      <c r="G382" s="62"/>
      <c r="H382" s="62"/>
      <c r="I382" s="62"/>
      <c r="J382" s="62"/>
      <c r="K382" s="62"/>
      <c r="L382" s="62"/>
      <c r="M382" s="86" t="s">
        <v>55</v>
      </c>
      <c r="N382" s="86" t="s">
        <v>14</v>
      </c>
      <c r="O382" s="87">
        <f>VLOOKUP($B382,BOM!$A$2:$K$94,10,0)</f>
        <v>0</v>
      </c>
      <c r="P382" s="87">
        <f t="shared" si="18"/>
        <v>0</v>
      </c>
      <c r="Q382" s="87" t="str">
        <f>VLOOKUP($B382,BOM!$A$2:$K$94,9,0)</f>
        <v>sợi</v>
      </c>
    </row>
    <row r="383" spans="1:17" s="45" customFormat="1">
      <c r="A383" s="141"/>
      <c r="B383" s="62" t="s">
        <v>58</v>
      </c>
      <c r="C383" s="62" t="s">
        <v>59</v>
      </c>
      <c r="D383" s="86" t="s">
        <v>60</v>
      </c>
      <c r="E383" s="105">
        <f>E382*2</f>
        <v>28</v>
      </c>
      <c r="F383" s="62"/>
      <c r="G383" s="62"/>
      <c r="H383" s="62"/>
      <c r="I383" s="62"/>
      <c r="J383" s="62"/>
      <c r="K383" s="62"/>
      <c r="L383" s="62"/>
      <c r="M383" s="86" t="s">
        <v>61</v>
      </c>
      <c r="N383" s="86" t="s">
        <v>60</v>
      </c>
      <c r="O383" s="87">
        <f>VLOOKUP($B383,BOM!$A$2:$K$94,10,0)</f>
        <v>0</v>
      </c>
      <c r="P383" s="87">
        <f t="shared" si="18"/>
        <v>0</v>
      </c>
      <c r="Q383" s="87" t="str">
        <f>VLOOKUP($B383,BOM!$A$2:$K$94,9,0)</f>
        <v>đầu</v>
      </c>
    </row>
    <row r="384" spans="1:17" s="45" customFormat="1">
      <c r="A384" s="141"/>
      <c r="B384" s="62" t="s">
        <v>62</v>
      </c>
      <c r="C384" s="62" t="s">
        <v>63</v>
      </c>
      <c r="D384" s="86" t="s">
        <v>64</v>
      </c>
      <c r="E384" s="105">
        <f>E361</f>
        <v>1</v>
      </c>
      <c r="F384" s="62"/>
      <c r="G384" s="62"/>
      <c r="H384" s="62"/>
      <c r="I384" s="62"/>
      <c r="J384" s="62"/>
      <c r="K384" s="62"/>
      <c r="L384" s="62"/>
      <c r="M384" s="86" t="s">
        <v>61</v>
      </c>
      <c r="N384" s="86" t="s">
        <v>64</v>
      </c>
      <c r="O384" s="87">
        <f>VLOOKUP($B384,BOM!$A$2:$K$94,10,0)</f>
        <v>0</v>
      </c>
      <c r="P384" s="87">
        <f t="shared" si="18"/>
        <v>0</v>
      </c>
      <c r="Q384" s="87" t="str">
        <f>VLOOKUP($B384,BOM!$A$2:$K$94,9,0)</f>
        <v>cái</v>
      </c>
    </row>
    <row r="385" spans="1:17" s="140" customFormat="1">
      <c r="A385" s="134">
        <v>8</v>
      </c>
      <c r="B385" s="135"/>
      <c r="C385" s="71" t="s">
        <v>78</v>
      </c>
      <c r="D385" s="136" t="s">
        <v>0</v>
      </c>
      <c r="E385" s="134">
        <v>1</v>
      </c>
      <c r="F385" s="134"/>
      <c r="G385" s="134">
        <v>24</v>
      </c>
      <c r="H385" s="134">
        <v>4</v>
      </c>
      <c r="I385" s="134"/>
      <c r="J385" s="137">
        <f>SUBTOTAL(9,J388:J412)</f>
        <v>15</v>
      </c>
      <c r="K385" s="137"/>
      <c r="L385" s="137"/>
      <c r="M385" s="137"/>
      <c r="N385" s="137"/>
      <c r="O385" s="87">
        <f>VLOOKUP($B385,BOM!$A$2:$K$94,10,0)</f>
        <v>0</v>
      </c>
      <c r="P385" s="87">
        <f t="shared" si="18"/>
        <v>0</v>
      </c>
      <c r="Q385" s="139">
        <f>VLOOKUP($B385,BOM!$A$2:$K$94,9,0)</f>
        <v>0</v>
      </c>
    </row>
    <row r="386" spans="1:17">
      <c r="A386" s="141"/>
      <c r="B386" s="81"/>
      <c r="C386" s="72" t="s">
        <v>124</v>
      </c>
      <c r="D386" s="72" t="s">
        <v>0</v>
      </c>
      <c r="E386" s="72">
        <v>1</v>
      </c>
      <c r="F386" s="72"/>
      <c r="G386" s="72"/>
      <c r="H386" s="72"/>
      <c r="I386" s="72"/>
      <c r="J386" s="72"/>
      <c r="K386" s="83"/>
      <c r="L386" s="83"/>
      <c r="M386" s="83"/>
      <c r="N386" s="83"/>
      <c r="O386" s="87">
        <f>VLOOKUP($B386,BOM!$A$2:$K$94,10,0)</f>
        <v>0</v>
      </c>
      <c r="P386" s="87">
        <f t="shared" si="18"/>
        <v>0</v>
      </c>
      <c r="Q386" s="84">
        <f>VLOOKUP($B386,BOM!$A$2:$K$94,9,0)</f>
        <v>0</v>
      </c>
    </row>
    <row r="387" spans="1:17" s="19" customFormat="1">
      <c r="A387" s="141"/>
      <c r="B387" s="21" t="s">
        <v>226</v>
      </c>
      <c r="C387" s="21" t="s">
        <v>227</v>
      </c>
      <c r="D387" s="21"/>
      <c r="E387" s="22">
        <v>1</v>
      </c>
      <c r="F387" s="21"/>
      <c r="G387" s="21"/>
      <c r="H387" s="21"/>
      <c r="I387" s="21"/>
      <c r="J387" s="21"/>
      <c r="K387" s="21" t="s">
        <v>4</v>
      </c>
      <c r="L387" s="21" t="s">
        <v>5</v>
      </c>
      <c r="M387" s="22" t="s">
        <v>22</v>
      </c>
      <c r="N387" s="22" t="s">
        <v>3</v>
      </c>
      <c r="O387" s="87">
        <f>VLOOKUP($B387,BOM!$A$2:$K$94,10,0)</f>
        <v>0</v>
      </c>
      <c r="P387" s="87">
        <f t="shared" si="18"/>
        <v>0</v>
      </c>
      <c r="Q387" s="142">
        <f>VLOOKUP($B387,BOM!$A$2:$K$94,9,0)</f>
        <v>0</v>
      </c>
    </row>
    <row r="388" spans="1:17" s="19" customFormat="1">
      <c r="A388" s="141"/>
      <c r="B388" s="21" t="s">
        <v>122</v>
      </c>
      <c r="C388" s="21" t="s">
        <v>123</v>
      </c>
      <c r="D388" s="21"/>
      <c r="E388" s="22">
        <v>1</v>
      </c>
      <c r="F388" s="21"/>
      <c r="G388" s="21"/>
      <c r="H388" s="21"/>
      <c r="I388" s="21"/>
      <c r="J388" s="21">
        <f>E388</f>
        <v>1</v>
      </c>
      <c r="K388" s="21" t="s">
        <v>4</v>
      </c>
      <c r="L388" s="21" t="s">
        <v>5</v>
      </c>
      <c r="M388" s="22" t="s">
        <v>22</v>
      </c>
      <c r="N388" s="22" t="s">
        <v>3</v>
      </c>
      <c r="O388" s="87">
        <f>VLOOKUP($B388,BOM!$A$2:$K$94,10,0)</f>
        <v>0</v>
      </c>
      <c r="P388" s="87">
        <f t="shared" si="18"/>
        <v>0</v>
      </c>
      <c r="Q388" s="142" t="str">
        <f>VLOOKUP($B388,BOM!$A$2:$K$94,9,0)</f>
        <v>Cái</v>
      </c>
    </row>
    <row r="389" spans="1:17">
      <c r="A389" s="141"/>
      <c r="B389" s="81"/>
      <c r="C389" s="72" t="s">
        <v>1</v>
      </c>
      <c r="D389" s="72" t="s">
        <v>0</v>
      </c>
      <c r="E389" s="72">
        <v>1</v>
      </c>
      <c r="F389" s="72"/>
      <c r="G389" s="72">
        <f>ROUNDUP(G385/24,0)</f>
        <v>1</v>
      </c>
      <c r="H389" s="72">
        <f t="shared" ref="H389" si="21">ROUNDUP(H385/24,0)</f>
        <v>1</v>
      </c>
      <c r="I389" s="72"/>
      <c r="J389" s="72"/>
      <c r="K389" s="83"/>
      <c r="L389" s="83"/>
      <c r="M389" s="83"/>
      <c r="N389" s="83"/>
      <c r="O389" s="87">
        <f>VLOOKUP($B389,BOM!$A$2:$K$94,10,0)</f>
        <v>0</v>
      </c>
      <c r="P389" s="87">
        <f t="shared" si="18"/>
        <v>0</v>
      </c>
      <c r="Q389" s="84">
        <f>VLOOKUP($B389,BOM!$A$2:$K$94,9,0)</f>
        <v>0</v>
      </c>
    </row>
    <row r="390" spans="1:17" s="45" customFormat="1">
      <c r="A390" s="141"/>
      <c r="B390" s="62">
        <v>760249997</v>
      </c>
      <c r="C390" s="62" t="s">
        <v>2</v>
      </c>
      <c r="D390" s="85" t="s">
        <v>3</v>
      </c>
      <c r="E390" s="85">
        <f>ROUNDUP((E392+E396)/3,0)</f>
        <v>1</v>
      </c>
      <c r="F390" s="62"/>
      <c r="G390" s="62"/>
      <c r="H390" s="62"/>
      <c r="I390" s="62"/>
      <c r="J390" s="21">
        <f>E390</f>
        <v>1</v>
      </c>
      <c r="K390" s="62" t="s">
        <v>4</v>
      </c>
      <c r="L390" s="62" t="s">
        <v>5</v>
      </c>
      <c r="M390" s="86" t="s">
        <v>6</v>
      </c>
      <c r="N390" s="86" t="s">
        <v>3</v>
      </c>
      <c r="O390" s="87">
        <f>VLOOKUP($B390,BOM!$A$2:$K$94,10,0)</f>
        <v>0</v>
      </c>
      <c r="P390" s="87">
        <f t="shared" si="18"/>
        <v>0</v>
      </c>
      <c r="Q390" s="87" t="str">
        <f>VLOOKUP($B390,BOM!$A$2:$K$94,9,0)</f>
        <v>Cái</v>
      </c>
    </row>
    <row r="391" spans="1:17" s="45" customFormat="1">
      <c r="A391" s="141"/>
      <c r="B391" s="62">
        <v>760241378</v>
      </c>
      <c r="C391" s="62" t="s">
        <v>7</v>
      </c>
      <c r="D391" s="85" t="s">
        <v>3</v>
      </c>
      <c r="E391" s="85">
        <f>IF(E392&lt;=2,1,ROUNDUP(E390*1.5,0))</f>
        <v>1</v>
      </c>
      <c r="F391" s="62"/>
      <c r="G391" s="62"/>
      <c r="H391" s="62"/>
      <c r="I391" s="62"/>
      <c r="J391" s="62"/>
      <c r="K391" s="62" t="s">
        <v>4</v>
      </c>
      <c r="L391" s="62" t="s">
        <v>5</v>
      </c>
      <c r="M391" s="86" t="s">
        <v>6</v>
      </c>
      <c r="N391" s="86" t="s">
        <v>3</v>
      </c>
      <c r="O391" s="87">
        <f>VLOOKUP($B391,BOM!$A$2:$K$94,10,0)</f>
        <v>0</v>
      </c>
      <c r="P391" s="87">
        <f t="shared" si="18"/>
        <v>0</v>
      </c>
      <c r="Q391" s="87" t="str">
        <f>VLOOKUP($B391,BOM!$A$2:$K$94,9,0)</f>
        <v>Cái</v>
      </c>
    </row>
    <row r="392" spans="1:17" s="45" customFormat="1">
      <c r="A392" s="141"/>
      <c r="B392" s="62" t="s">
        <v>8</v>
      </c>
      <c r="C392" s="62" t="s">
        <v>9</v>
      </c>
      <c r="D392" s="85" t="s">
        <v>3</v>
      </c>
      <c r="E392" s="85">
        <f>G389</f>
        <v>1</v>
      </c>
      <c r="F392" s="62"/>
      <c r="G392" s="62"/>
      <c r="H392" s="62"/>
      <c r="I392" s="62"/>
      <c r="J392" s="62"/>
      <c r="K392" s="62" t="s">
        <v>4</v>
      </c>
      <c r="L392" s="62" t="s">
        <v>5</v>
      </c>
      <c r="M392" s="86" t="s">
        <v>6</v>
      </c>
      <c r="N392" s="86" t="s">
        <v>3</v>
      </c>
      <c r="O392" s="87">
        <f>VLOOKUP($B392,BOM!$A$2:$K$94,10,0)</f>
        <v>0</v>
      </c>
      <c r="P392" s="87">
        <f t="shared" si="18"/>
        <v>0</v>
      </c>
      <c r="Q392" s="87" t="str">
        <f>VLOOKUP($B392,BOM!$A$2:$K$94,9,0)</f>
        <v>Cái</v>
      </c>
    </row>
    <row r="393" spans="1:17" s="45" customFormat="1">
      <c r="A393" s="141"/>
      <c r="B393" s="62" t="s">
        <v>10</v>
      </c>
      <c r="C393" s="62" t="s">
        <v>11</v>
      </c>
      <c r="D393" s="85" t="s">
        <v>3</v>
      </c>
      <c r="E393" s="85">
        <f>E390*3-E392-E396</f>
        <v>1</v>
      </c>
      <c r="F393" s="62"/>
      <c r="G393" s="62"/>
      <c r="H393" s="62"/>
      <c r="I393" s="62"/>
      <c r="J393" s="62"/>
      <c r="K393" s="62" t="s">
        <v>4</v>
      </c>
      <c r="L393" s="62" t="s">
        <v>5</v>
      </c>
      <c r="M393" s="86" t="s">
        <v>6</v>
      </c>
      <c r="N393" s="86" t="s">
        <v>3</v>
      </c>
      <c r="O393" s="87">
        <f>VLOOKUP($B393,BOM!$A$2:$K$94,10,0)</f>
        <v>0</v>
      </c>
      <c r="P393" s="87">
        <f t="shared" si="18"/>
        <v>0</v>
      </c>
      <c r="Q393" s="87" t="str">
        <f>VLOOKUP($B393,BOM!$A$2:$K$94,9,0)</f>
        <v>Cái</v>
      </c>
    </row>
    <row r="394" spans="1:17" s="45" customFormat="1">
      <c r="A394" s="141"/>
      <c r="B394" s="62" t="s">
        <v>12</v>
      </c>
      <c r="C394" s="62" t="s">
        <v>13</v>
      </c>
      <c r="D394" s="85" t="s">
        <v>14</v>
      </c>
      <c r="E394" s="85">
        <f>G385/2</f>
        <v>12</v>
      </c>
      <c r="F394" s="62"/>
      <c r="G394" s="62"/>
      <c r="H394" s="62"/>
      <c r="I394" s="62"/>
      <c r="J394" s="62"/>
      <c r="K394" s="62" t="s">
        <v>4</v>
      </c>
      <c r="L394" s="62" t="s">
        <v>5</v>
      </c>
      <c r="M394" s="86" t="s">
        <v>6</v>
      </c>
      <c r="N394" s="86" t="s">
        <v>15</v>
      </c>
      <c r="O394" s="87">
        <f>VLOOKUP($B394,BOM!$A$2:$K$94,10,0)</f>
        <v>0</v>
      </c>
      <c r="P394" s="87">
        <f t="shared" ref="P394:P457" si="22">O394*E394</f>
        <v>0</v>
      </c>
      <c r="Q394" s="87" t="str">
        <f>VLOOKUP($B394,BOM!$A$2:$K$94,9,0)</f>
        <v>Sợi</v>
      </c>
    </row>
    <row r="395" spans="1:17" s="45" customFormat="1">
      <c r="A395" s="141"/>
      <c r="B395" s="62" t="s">
        <v>16</v>
      </c>
      <c r="C395" s="62" t="s">
        <v>17</v>
      </c>
      <c r="D395" s="85" t="s">
        <v>14</v>
      </c>
      <c r="E395" s="85">
        <f>ROUNDUP((E402*1.3),0)</f>
        <v>3</v>
      </c>
      <c r="F395" s="62"/>
      <c r="G395" s="62"/>
      <c r="H395" s="62"/>
      <c r="I395" s="62"/>
      <c r="J395" s="62"/>
      <c r="K395" s="62" t="s">
        <v>4</v>
      </c>
      <c r="L395" s="62" t="s">
        <v>5</v>
      </c>
      <c r="M395" s="86" t="s">
        <v>6</v>
      </c>
      <c r="N395" s="86" t="s">
        <v>15</v>
      </c>
      <c r="O395" s="87">
        <f>VLOOKUP($B395,BOM!$A$2:$K$94,10,0)</f>
        <v>0</v>
      </c>
      <c r="P395" s="87">
        <f t="shared" si="22"/>
        <v>0</v>
      </c>
      <c r="Q395" s="87" t="str">
        <f>VLOOKUP($B395,BOM!$A$2:$K$94,9,0)</f>
        <v>Sợi</v>
      </c>
    </row>
    <row r="396" spans="1:17" s="110" customFormat="1">
      <c r="A396" s="141"/>
      <c r="B396" s="66" t="s">
        <v>198</v>
      </c>
      <c r="C396" s="66" t="s">
        <v>199</v>
      </c>
      <c r="D396" s="89" t="s">
        <v>3</v>
      </c>
      <c r="E396" s="89">
        <f>H389</f>
        <v>1</v>
      </c>
      <c r="F396" s="66"/>
      <c r="G396" s="66"/>
      <c r="H396" s="66"/>
      <c r="I396" s="66"/>
      <c r="J396" s="66"/>
      <c r="K396" s="108" t="s">
        <v>4</v>
      </c>
      <c r="L396" s="108" t="s">
        <v>5</v>
      </c>
      <c r="M396" s="109" t="s">
        <v>6</v>
      </c>
      <c r="N396" s="109" t="s">
        <v>15</v>
      </c>
      <c r="O396" s="87">
        <f>VLOOKUP($B396,BOM!$A$2:$K$94,10,0)</f>
        <v>0</v>
      </c>
      <c r="P396" s="87">
        <f t="shared" si="22"/>
        <v>0</v>
      </c>
      <c r="Q396" s="146" t="str">
        <f>VLOOKUP($B396,BOM!$A$2:$K$94,9,0)</f>
        <v>Cái</v>
      </c>
    </row>
    <row r="397" spans="1:17" s="111" customFormat="1">
      <c r="A397" s="141"/>
      <c r="B397" s="66" t="s">
        <v>194</v>
      </c>
      <c r="C397" s="66" t="s">
        <v>195</v>
      </c>
      <c r="D397" s="89" t="s">
        <v>14</v>
      </c>
      <c r="E397" s="89">
        <f>ROUNDUP((E401*1.3),0)</f>
        <v>2</v>
      </c>
      <c r="F397" s="108"/>
      <c r="G397" s="108"/>
      <c r="H397" s="108"/>
      <c r="I397" s="108"/>
      <c r="J397" s="108"/>
      <c r="K397" s="108" t="s">
        <v>4</v>
      </c>
      <c r="L397" s="108" t="s">
        <v>5</v>
      </c>
      <c r="M397" s="109" t="s">
        <v>6</v>
      </c>
      <c r="N397" s="109" t="s">
        <v>15</v>
      </c>
      <c r="O397" s="87">
        <f>VLOOKUP($B397,BOM!$A$2:$K$94,10,0)</f>
        <v>0</v>
      </c>
      <c r="P397" s="87">
        <f t="shared" si="22"/>
        <v>0</v>
      </c>
      <c r="Q397" s="146" t="str">
        <f>VLOOKUP($B397,BOM!$A$2:$K$94,9,0)</f>
        <v>Cái</v>
      </c>
    </row>
    <row r="398" spans="1:17" s="110" customFormat="1">
      <c r="A398" s="141"/>
      <c r="B398" s="66" t="s">
        <v>196</v>
      </c>
      <c r="C398" s="66" t="s">
        <v>197</v>
      </c>
      <c r="D398" s="89" t="s">
        <v>14</v>
      </c>
      <c r="E398" s="89">
        <f>H385/2</f>
        <v>2</v>
      </c>
      <c r="F398" s="66"/>
      <c r="G398" s="66"/>
      <c r="H398" s="66"/>
      <c r="I398" s="66"/>
      <c r="J398" s="66"/>
      <c r="K398" s="108" t="s">
        <v>4</v>
      </c>
      <c r="L398" s="108" t="s">
        <v>5</v>
      </c>
      <c r="M398" s="109" t="s">
        <v>6</v>
      </c>
      <c r="N398" s="109" t="s">
        <v>15</v>
      </c>
      <c r="O398" s="87">
        <f>VLOOKUP($B398,BOM!$A$2:$K$94,10,0)</f>
        <v>0</v>
      </c>
      <c r="P398" s="87">
        <f t="shared" si="22"/>
        <v>0</v>
      </c>
      <c r="Q398" s="146" t="str">
        <f>VLOOKUP($B398,BOM!$A$2:$K$94,9,0)</f>
        <v>Cái</v>
      </c>
    </row>
    <row r="399" spans="1:17">
      <c r="A399" s="141"/>
      <c r="B399" s="81"/>
      <c r="C399" s="72" t="s">
        <v>26</v>
      </c>
      <c r="D399" s="72" t="s">
        <v>0</v>
      </c>
      <c r="E399" s="72">
        <v>1</v>
      </c>
      <c r="F399" s="72"/>
      <c r="G399" s="72"/>
      <c r="H399" s="72"/>
      <c r="I399" s="72"/>
      <c r="J399" s="72"/>
      <c r="K399" s="83"/>
      <c r="L399" s="83"/>
      <c r="M399" s="83"/>
      <c r="N399" s="83"/>
      <c r="O399" s="87">
        <f>VLOOKUP($B399,BOM!$A$2:$K$94,10,0)</f>
        <v>0</v>
      </c>
      <c r="P399" s="87">
        <f t="shared" si="22"/>
        <v>0</v>
      </c>
      <c r="Q399" s="84">
        <f>VLOOKUP($B399,BOM!$A$2:$K$94,9,0)</f>
        <v>0</v>
      </c>
    </row>
    <row r="400" spans="1:17" ht="60">
      <c r="A400" s="147"/>
      <c r="B400" s="67" t="s">
        <v>228</v>
      </c>
      <c r="C400" s="187" t="s">
        <v>324</v>
      </c>
      <c r="D400" s="90" t="s">
        <v>51</v>
      </c>
      <c r="E400" s="90">
        <v>1</v>
      </c>
      <c r="F400" s="65"/>
      <c r="G400" s="65"/>
      <c r="H400" s="65"/>
      <c r="I400" s="65"/>
      <c r="J400" s="103">
        <f>E400</f>
        <v>1</v>
      </c>
      <c r="K400" s="65" t="s">
        <v>143</v>
      </c>
      <c r="L400" s="65" t="s">
        <v>151</v>
      </c>
      <c r="M400" s="90" t="s">
        <v>154</v>
      </c>
      <c r="N400" s="90" t="s">
        <v>51</v>
      </c>
      <c r="O400" s="87">
        <f>VLOOKUP($B400,BOM!$A$2:$K$94,10,0)</f>
        <v>0</v>
      </c>
      <c r="P400" s="87">
        <f t="shared" si="22"/>
        <v>0</v>
      </c>
      <c r="Q400" s="151" t="str">
        <f>VLOOKUP($B400,BOM!$A$2:$K$94,9,0)</f>
        <v>cái</v>
      </c>
    </row>
    <row r="401" spans="1:17" s="111" customFormat="1">
      <c r="A401" s="120"/>
      <c r="B401" s="68" t="s">
        <v>216</v>
      </c>
      <c r="C401" s="68" t="s">
        <v>217</v>
      </c>
      <c r="D401" s="89" t="s">
        <v>64</v>
      </c>
      <c r="E401" s="89">
        <v>1</v>
      </c>
      <c r="F401" s="124"/>
      <c r="G401" s="124"/>
      <c r="H401" s="124"/>
      <c r="I401" s="124"/>
      <c r="J401" s="124"/>
      <c r="K401" s="124" t="s">
        <v>143</v>
      </c>
      <c r="L401" s="124" t="s">
        <v>151</v>
      </c>
      <c r="M401" s="89" t="s">
        <v>154</v>
      </c>
      <c r="N401" s="89" t="s">
        <v>64</v>
      </c>
      <c r="O401" s="87">
        <f>VLOOKUP($B401,BOM!$A$2:$K$94,10,0)</f>
        <v>0</v>
      </c>
      <c r="P401" s="87">
        <f t="shared" si="22"/>
        <v>0</v>
      </c>
      <c r="Q401" s="152" t="str">
        <f>VLOOKUP($B401,BOM!$A$2:$K$94,9,0)</f>
        <v>cái</v>
      </c>
    </row>
    <row r="402" spans="1:17" s="45" customFormat="1">
      <c r="A402" s="141"/>
      <c r="B402" s="64" t="s">
        <v>212</v>
      </c>
      <c r="C402" s="64" t="s">
        <v>213</v>
      </c>
      <c r="D402" s="97" t="s">
        <v>64</v>
      </c>
      <c r="E402" s="98">
        <v>2</v>
      </c>
      <c r="F402" s="95"/>
      <c r="G402" s="95"/>
      <c r="H402" s="95"/>
      <c r="I402" s="95"/>
      <c r="J402" s="95"/>
      <c r="K402" s="95" t="s">
        <v>143</v>
      </c>
      <c r="L402" s="95" t="s">
        <v>151</v>
      </c>
      <c r="M402" s="97" t="s">
        <v>154</v>
      </c>
      <c r="N402" s="97" t="s">
        <v>64</v>
      </c>
      <c r="O402" s="87">
        <f>VLOOKUP($B402,BOM!$A$2:$K$94,10,0)</f>
        <v>0</v>
      </c>
      <c r="P402" s="87">
        <f t="shared" si="22"/>
        <v>0</v>
      </c>
      <c r="Q402" s="153" t="str">
        <f>VLOOKUP($B402,BOM!$A$2:$K$94,9,0)</f>
        <v>cái</v>
      </c>
    </row>
    <row r="403" spans="1:17" s="45" customFormat="1">
      <c r="A403" s="141"/>
      <c r="B403" s="62"/>
      <c r="C403" s="62"/>
      <c r="D403" s="85"/>
      <c r="E403" s="90"/>
      <c r="F403" s="62"/>
      <c r="G403" s="62"/>
      <c r="H403" s="62"/>
      <c r="I403" s="62"/>
      <c r="J403" s="62"/>
      <c r="K403" s="62"/>
      <c r="L403" s="62"/>
      <c r="M403" s="86"/>
      <c r="N403" s="86"/>
      <c r="O403" s="87">
        <f>VLOOKUP($B403,BOM!$A$2:$K$94,10,0)</f>
        <v>0</v>
      </c>
      <c r="P403" s="87">
        <f t="shared" si="22"/>
        <v>0</v>
      </c>
      <c r="Q403" s="87">
        <f>VLOOKUP($B403,BOM!$A$2:$K$94,9,0)</f>
        <v>0</v>
      </c>
    </row>
    <row r="404" spans="1:17" s="45" customFormat="1">
      <c r="A404" s="141"/>
      <c r="B404" s="62"/>
      <c r="C404" s="62"/>
      <c r="D404" s="85"/>
      <c r="E404" s="90"/>
      <c r="F404" s="62"/>
      <c r="G404" s="62"/>
      <c r="H404" s="62"/>
      <c r="I404" s="62"/>
      <c r="J404" s="62"/>
      <c r="K404" s="62"/>
      <c r="L404" s="62"/>
      <c r="M404" s="86"/>
      <c r="N404" s="86"/>
      <c r="O404" s="87">
        <f>VLOOKUP($B404,BOM!$A$2:$K$94,10,0)</f>
        <v>0</v>
      </c>
      <c r="P404" s="87">
        <f t="shared" si="22"/>
        <v>0</v>
      </c>
      <c r="Q404" s="87">
        <f>VLOOKUP($B404,BOM!$A$2:$K$94,9,0)</f>
        <v>0</v>
      </c>
    </row>
    <row r="405" spans="1:17" outlineLevel="1">
      <c r="A405" s="141"/>
      <c r="B405" s="117"/>
      <c r="C405" s="61" t="s">
        <v>67</v>
      </c>
      <c r="D405" s="119" t="s">
        <v>0</v>
      </c>
      <c r="E405" s="120">
        <v>1</v>
      </c>
      <c r="F405" s="121"/>
      <c r="G405" s="121"/>
      <c r="H405" s="121" t="s">
        <v>69</v>
      </c>
      <c r="I405" s="122"/>
      <c r="J405" s="21">
        <f t="shared" ref="J405:J406" si="23">E405</f>
        <v>1</v>
      </c>
      <c r="K405" s="63"/>
      <c r="L405" s="63"/>
      <c r="M405" s="63"/>
      <c r="N405" s="63"/>
      <c r="O405" s="87">
        <f>VLOOKUP($B405,BOM!$A$2:$K$94,10,0)</f>
        <v>0</v>
      </c>
      <c r="P405" s="87">
        <f t="shared" si="22"/>
        <v>0</v>
      </c>
      <c r="Q405" s="80">
        <f>VLOOKUP($B405,BOM!$A$2:$K$94,9,0)</f>
        <v>0</v>
      </c>
    </row>
    <row r="406" spans="1:17" outlineLevel="1">
      <c r="A406" s="141"/>
      <c r="B406" s="117"/>
      <c r="C406" s="61" t="s">
        <v>70</v>
      </c>
      <c r="D406" s="119" t="s">
        <v>0</v>
      </c>
      <c r="E406" s="120">
        <v>1</v>
      </c>
      <c r="F406" s="121"/>
      <c r="G406" s="121"/>
      <c r="H406" s="121" t="s">
        <v>69</v>
      </c>
      <c r="I406" s="122"/>
      <c r="J406" s="21">
        <f t="shared" si="23"/>
        <v>1</v>
      </c>
      <c r="K406" s="63"/>
      <c r="L406" s="63"/>
      <c r="M406" s="63"/>
      <c r="N406" s="63"/>
      <c r="O406" s="87">
        <f>VLOOKUP($B406,BOM!$A$2:$K$94,10,0)</f>
        <v>0</v>
      </c>
      <c r="P406" s="87">
        <f t="shared" si="22"/>
        <v>0</v>
      </c>
      <c r="Q406" s="80">
        <f>VLOOKUP($B406,BOM!$A$2:$K$94,9,0)</f>
        <v>0</v>
      </c>
    </row>
    <row r="407" spans="1:17">
      <c r="A407" s="141"/>
      <c r="B407" s="81"/>
      <c r="C407" s="72" t="s">
        <v>18</v>
      </c>
      <c r="D407" s="72" t="s">
        <v>0</v>
      </c>
      <c r="E407" s="72">
        <v>1</v>
      </c>
      <c r="F407" s="72"/>
      <c r="G407" s="72"/>
      <c r="H407" s="72"/>
      <c r="I407" s="72"/>
      <c r="J407" s="72"/>
      <c r="K407" s="83"/>
      <c r="L407" s="83"/>
      <c r="M407" s="83"/>
      <c r="N407" s="83"/>
      <c r="O407" s="87">
        <f>VLOOKUP($B407,BOM!$A$2:$K$94,10,0)</f>
        <v>0</v>
      </c>
      <c r="P407" s="87">
        <f t="shared" si="22"/>
        <v>0</v>
      </c>
      <c r="Q407" s="84">
        <f>VLOOKUP($B407,BOM!$A$2:$K$94,9,0)</f>
        <v>0</v>
      </c>
    </row>
    <row r="408" spans="1:17" s="45" customFormat="1">
      <c r="A408" s="141"/>
      <c r="B408" s="62">
        <v>760237046</v>
      </c>
      <c r="C408" s="62" t="s">
        <v>19</v>
      </c>
      <c r="D408" s="85" t="s">
        <v>3</v>
      </c>
      <c r="E408" s="85">
        <f>E400+E403</f>
        <v>1</v>
      </c>
      <c r="F408" s="62"/>
      <c r="G408" s="62"/>
      <c r="H408" s="62"/>
      <c r="I408" s="62"/>
      <c r="J408" s="21">
        <f>E408</f>
        <v>1</v>
      </c>
      <c r="K408" s="62" t="s">
        <v>4</v>
      </c>
      <c r="L408" s="62" t="s">
        <v>5</v>
      </c>
      <c r="M408" s="86" t="s">
        <v>6</v>
      </c>
      <c r="N408" s="86" t="s">
        <v>3</v>
      </c>
      <c r="O408" s="87">
        <f>VLOOKUP($B408,BOM!$A$2:$K$94,10,0)</f>
        <v>0</v>
      </c>
      <c r="P408" s="87">
        <f t="shared" si="22"/>
        <v>0</v>
      </c>
      <c r="Q408" s="87" t="str">
        <f>VLOOKUP($B408,BOM!$A$2:$K$94,9,0)</f>
        <v>Cái</v>
      </c>
    </row>
    <row r="409" spans="1:17" s="45" customFormat="1">
      <c r="A409" s="141"/>
      <c r="B409" s="62" t="s">
        <v>23</v>
      </c>
      <c r="C409" s="62" t="s">
        <v>24</v>
      </c>
      <c r="D409" s="85" t="s">
        <v>3</v>
      </c>
      <c r="E409" s="85">
        <f>E408*24</f>
        <v>24</v>
      </c>
      <c r="F409" s="62"/>
      <c r="G409" s="62"/>
      <c r="H409" s="62"/>
      <c r="I409" s="62"/>
      <c r="J409" s="62"/>
      <c r="K409" s="62" t="s">
        <v>25</v>
      </c>
      <c r="L409" s="62" t="s">
        <v>5</v>
      </c>
      <c r="M409" s="86" t="s">
        <v>6</v>
      </c>
      <c r="N409" s="86" t="s">
        <v>3</v>
      </c>
      <c r="O409" s="87">
        <f>VLOOKUP($B409,BOM!$A$2:$K$94,10,0)</f>
        <v>0</v>
      </c>
      <c r="P409" s="87">
        <f t="shared" si="22"/>
        <v>0</v>
      </c>
      <c r="Q409" s="87" t="str">
        <f>VLOOKUP($B409,BOM!$A$2:$K$94,9,0)</f>
        <v>Cái</v>
      </c>
    </row>
    <row r="410" spans="1:17" s="45" customFormat="1">
      <c r="A410" s="141"/>
      <c r="B410" s="62" t="s">
        <v>20</v>
      </c>
      <c r="C410" s="62" t="s">
        <v>21</v>
      </c>
      <c r="D410" s="85" t="s">
        <v>3</v>
      </c>
      <c r="E410" s="85">
        <f>E408</f>
        <v>1</v>
      </c>
      <c r="F410" s="62"/>
      <c r="G410" s="62"/>
      <c r="H410" s="62"/>
      <c r="I410" s="62"/>
      <c r="J410" s="21">
        <f>E410</f>
        <v>1</v>
      </c>
      <c r="K410" s="62" t="s">
        <v>4</v>
      </c>
      <c r="L410" s="62" t="s">
        <v>5</v>
      </c>
      <c r="M410" s="86" t="s">
        <v>22</v>
      </c>
      <c r="N410" s="86" t="s">
        <v>3</v>
      </c>
      <c r="O410" s="87">
        <f>VLOOKUP($B410,BOM!$A$2:$K$94,10,0)</f>
        <v>0</v>
      </c>
      <c r="P410" s="87">
        <f t="shared" si="22"/>
        <v>0</v>
      </c>
      <c r="Q410" s="87" t="str">
        <f>VLOOKUP($B410,BOM!$A$2:$K$94,9,0)</f>
        <v>Cái</v>
      </c>
    </row>
    <row r="411" spans="1:17">
      <c r="A411" s="141"/>
      <c r="B411" s="81"/>
      <c r="C411" s="72" t="s">
        <v>71</v>
      </c>
      <c r="D411" s="72" t="s">
        <v>0</v>
      </c>
      <c r="E411" s="72">
        <v>1</v>
      </c>
      <c r="F411" s="72"/>
      <c r="G411" s="72"/>
      <c r="H411" s="72"/>
      <c r="I411" s="72"/>
      <c r="J411" s="72"/>
      <c r="K411" s="83"/>
      <c r="L411" s="83"/>
      <c r="M411" s="83"/>
      <c r="N411" s="83"/>
      <c r="O411" s="87">
        <f>VLOOKUP($B411,BOM!$A$2:$K$94,10,0)</f>
        <v>0</v>
      </c>
      <c r="P411" s="87">
        <f t="shared" si="22"/>
        <v>0</v>
      </c>
      <c r="Q411" s="84">
        <f>VLOOKUP($B411,BOM!$A$2:$K$94,9,0)</f>
        <v>0</v>
      </c>
    </row>
    <row r="412" spans="1:17" s="45" customFormat="1">
      <c r="A412" s="141"/>
      <c r="B412" s="62" t="s">
        <v>314</v>
      </c>
      <c r="C412" s="62" t="s">
        <v>316</v>
      </c>
      <c r="D412" s="116" t="s">
        <v>51</v>
      </c>
      <c r="E412" s="85">
        <v>1</v>
      </c>
      <c r="F412" s="62"/>
      <c r="G412" s="62"/>
      <c r="H412" s="62"/>
      <c r="I412" s="62"/>
      <c r="J412" s="86">
        <f>E412*8</f>
        <v>8</v>
      </c>
      <c r="K412" s="62"/>
      <c r="L412" s="62" t="s">
        <v>5</v>
      </c>
      <c r="M412" s="86" t="s">
        <v>28</v>
      </c>
      <c r="N412" s="86" t="s">
        <v>3</v>
      </c>
      <c r="O412" s="87">
        <f>VLOOKUP($B412,BOM!$A$2:$K$94,10,0)</f>
        <v>0</v>
      </c>
      <c r="P412" s="87">
        <f t="shared" si="22"/>
        <v>0</v>
      </c>
      <c r="Q412" s="87" t="str">
        <f>VLOOKUP($B412,BOM!$A$2:$K$94,9,0)</f>
        <v>Cái</v>
      </c>
    </row>
    <row r="413" spans="1:17" s="45" customFormat="1">
      <c r="A413" s="141"/>
      <c r="B413" s="62"/>
      <c r="C413" s="62"/>
      <c r="D413" s="116"/>
      <c r="E413" s="85"/>
      <c r="F413" s="62"/>
      <c r="G413" s="62"/>
      <c r="H413" s="62"/>
      <c r="I413" s="62"/>
      <c r="J413" s="62"/>
      <c r="K413" s="62"/>
      <c r="L413" s="62"/>
      <c r="M413" s="86"/>
      <c r="N413" s="86"/>
      <c r="O413" s="87">
        <f>VLOOKUP($B413,BOM!$A$2:$K$94,10,0)</f>
        <v>0</v>
      </c>
      <c r="P413" s="87">
        <f t="shared" si="22"/>
        <v>0</v>
      </c>
      <c r="Q413" s="87">
        <f>VLOOKUP($B413,BOM!$A$2:$K$94,9,0)</f>
        <v>0</v>
      </c>
    </row>
    <row r="414" spans="1:17" s="45" customFormat="1">
      <c r="A414" s="141"/>
      <c r="B414" s="62" t="s">
        <v>225</v>
      </c>
      <c r="C414" s="62" t="s">
        <v>72</v>
      </c>
      <c r="D414" s="116" t="s">
        <v>64</v>
      </c>
      <c r="E414" s="85">
        <v>0</v>
      </c>
      <c r="F414" s="62"/>
      <c r="G414" s="62"/>
      <c r="H414" s="62"/>
      <c r="I414" s="62"/>
      <c r="J414" s="62"/>
      <c r="K414" s="62"/>
      <c r="L414" s="62" t="s">
        <v>5</v>
      </c>
      <c r="M414" s="86" t="s">
        <v>28</v>
      </c>
      <c r="N414" s="86" t="s">
        <v>3</v>
      </c>
      <c r="O414" s="87">
        <f>VLOOKUP($B414,BOM!$A$2:$K$94,10,0)</f>
        <v>0</v>
      </c>
      <c r="P414" s="87">
        <f t="shared" si="22"/>
        <v>0</v>
      </c>
      <c r="Q414" s="87" t="str">
        <f>VLOOKUP($B414,BOM!$A$2:$K$94,9,0)</f>
        <v>Cái</v>
      </c>
    </row>
    <row r="415" spans="1:17">
      <c r="A415" s="141"/>
      <c r="B415" s="81"/>
      <c r="C415" s="72" t="s">
        <v>31</v>
      </c>
      <c r="D415" s="72" t="s">
        <v>0</v>
      </c>
      <c r="E415" s="72">
        <v>1</v>
      </c>
      <c r="F415" s="72"/>
      <c r="G415" s="72"/>
      <c r="H415" s="72"/>
      <c r="I415" s="72"/>
      <c r="J415" s="72"/>
      <c r="K415" s="83"/>
      <c r="L415" s="83"/>
      <c r="M415" s="83"/>
      <c r="N415" s="83"/>
      <c r="O415" s="87">
        <f>VLOOKUP($B415,BOM!$A$2:$K$94,10,0)</f>
        <v>0</v>
      </c>
      <c r="P415" s="87">
        <f t="shared" si="22"/>
        <v>0</v>
      </c>
      <c r="Q415" s="84">
        <f>VLOOKUP($B415,BOM!$A$2:$K$94,9,0)</f>
        <v>0</v>
      </c>
    </row>
    <row r="416" spans="1:17">
      <c r="A416" s="141"/>
      <c r="B416" s="81"/>
      <c r="C416" s="72" t="s">
        <v>32</v>
      </c>
      <c r="D416" s="72"/>
      <c r="E416" s="72"/>
      <c r="F416" s="72"/>
      <c r="G416" s="72">
        <v>3</v>
      </c>
      <c r="H416" s="72"/>
      <c r="I416" s="72"/>
      <c r="J416" s="72"/>
      <c r="K416" s="83"/>
      <c r="L416" s="83"/>
      <c r="M416" s="83"/>
      <c r="N416" s="83"/>
      <c r="O416" s="87">
        <f>VLOOKUP($B416,BOM!$A$2:$K$94,10,0)</f>
        <v>0</v>
      </c>
      <c r="P416" s="87">
        <f t="shared" si="22"/>
        <v>0</v>
      </c>
      <c r="Q416" s="84">
        <f>VLOOKUP($B416,BOM!$A$2:$K$94,9,0)</f>
        <v>0</v>
      </c>
    </row>
    <row r="417" spans="1:17" s="45" customFormat="1" ht="20.45" customHeight="1">
      <c r="A417" s="141"/>
      <c r="B417" s="62" t="s">
        <v>33</v>
      </c>
      <c r="C417" s="62" t="s">
        <v>34</v>
      </c>
      <c r="D417" s="85" t="s">
        <v>3</v>
      </c>
      <c r="E417" s="90">
        <f>E418</f>
        <v>3</v>
      </c>
      <c r="F417" s="62"/>
      <c r="G417" s="62"/>
      <c r="H417" s="62"/>
      <c r="I417" s="62"/>
      <c r="J417" s="62"/>
      <c r="K417" s="62" t="s">
        <v>35</v>
      </c>
      <c r="L417" s="62" t="s">
        <v>5</v>
      </c>
      <c r="M417" s="86" t="s">
        <v>6</v>
      </c>
      <c r="N417" s="86" t="s">
        <v>3</v>
      </c>
      <c r="O417" s="87">
        <f>VLOOKUP($B417,BOM!$A$2:$K$94,10,0)</f>
        <v>0</v>
      </c>
      <c r="P417" s="87">
        <f t="shared" si="22"/>
        <v>0</v>
      </c>
      <c r="Q417" s="87" t="str">
        <f>VLOOKUP($B417,BOM!$A$2:$K$94,9,0)</f>
        <v>Cái</v>
      </c>
    </row>
    <row r="418" spans="1:17" s="45" customFormat="1">
      <c r="A418" s="141"/>
      <c r="B418" s="62" t="s">
        <v>330</v>
      </c>
      <c r="C418" s="62" t="s">
        <v>36</v>
      </c>
      <c r="D418" s="85" t="s">
        <v>3</v>
      </c>
      <c r="E418" s="90">
        <f>G416+H416</f>
        <v>3</v>
      </c>
      <c r="F418" s="62"/>
      <c r="G418" s="62"/>
      <c r="H418" s="62"/>
      <c r="I418" s="62"/>
      <c r="J418" s="62"/>
      <c r="K418" s="62" t="s">
        <v>37</v>
      </c>
      <c r="L418" s="62" t="s">
        <v>5</v>
      </c>
      <c r="M418" s="86" t="s">
        <v>37</v>
      </c>
      <c r="N418" s="86" t="s">
        <v>3</v>
      </c>
      <c r="O418" s="87">
        <f>VLOOKUP($B418,BOM!$A$2:$K$94,10,0)</f>
        <v>0</v>
      </c>
      <c r="P418" s="87">
        <f t="shared" si="22"/>
        <v>0</v>
      </c>
      <c r="Q418" s="87" t="str">
        <f>VLOOKUP($B418,BOM!$A$2:$K$94,9,0)</f>
        <v>Cái</v>
      </c>
    </row>
    <row r="419" spans="1:17" s="45" customFormat="1">
      <c r="A419" s="141"/>
      <c r="B419" s="62" t="s">
        <v>38</v>
      </c>
      <c r="C419" s="62" t="s">
        <v>39</v>
      </c>
      <c r="D419" s="85" t="s">
        <v>3</v>
      </c>
      <c r="E419" s="90">
        <f>E418</f>
        <v>3</v>
      </c>
      <c r="F419" s="62"/>
      <c r="G419" s="62"/>
      <c r="H419" s="62"/>
      <c r="I419" s="62"/>
      <c r="J419" s="62"/>
      <c r="K419" s="62" t="s">
        <v>25</v>
      </c>
      <c r="L419" s="62" t="s">
        <v>5</v>
      </c>
      <c r="M419" s="86" t="s">
        <v>6</v>
      </c>
      <c r="N419" s="86" t="s">
        <v>3</v>
      </c>
      <c r="O419" s="87">
        <f>VLOOKUP($B419,BOM!$A$2:$K$94,10,0)</f>
        <v>0</v>
      </c>
      <c r="P419" s="87">
        <f t="shared" si="22"/>
        <v>0</v>
      </c>
      <c r="Q419" s="87" t="str">
        <f>VLOOKUP($B419,BOM!$A$2:$K$94,9,0)</f>
        <v>Cái</v>
      </c>
    </row>
    <row r="420" spans="1:17">
      <c r="A420" s="141"/>
      <c r="B420" s="81"/>
      <c r="C420" s="72" t="s">
        <v>40</v>
      </c>
      <c r="D420" s="72"/>
      <c r="E420" s="72"/>
      <c r="F420" s="72"/>
      <c r="G420" s="72">
        <v>5</v>
      </c>
      <c r="H420" s="72"/>
      <c r="I420" s="72"/>
      <c r="J420" s="72"/>
      <c r="K420" s="83"/>
      <c r="L420" s="83"/>
      <c r="M420" s="83"/>
      <c r="N420" s="83"/>
      <c r="O420" s="87">
        <f>VLOOKUP($B420,BOM!$A$2:$K$94,10,0)</f>
        <v>0</v>
      </c>
      <c r="P420" s="87">
        <f t="shared" si="22"/>
        <v>0</v>
      </c>
      <c r="Q420" s="84">
        <f>VLOOKUP($B420,BOM!$A$2:$K$94,9,0)</f>
        <v>0</v>
      </c>
    </row>
    <row r="421" spans="1:17" s="45" customFormat="1">
      <c r="A421" s="141"/>
      <c r="B421" s="62" t="s">
        <v>41</v>
      </c>
      <c r="C421" s="62" t="s">
        <v>42</v>
      </c>
      <c r="D421" s="85" t="s">
        <v>3</v>
      </c>
      <c r="E421" s="85">
        <f>G420+H420</f>
        <v>5</v>
      </c>
      <c r="F421" s="62"/>
      <c r="G421" s="62"/>
      <c r="H421" s="62"/>
      <c r="I421" s="62"/>
      <c r="J421" s="62"/>
      <c r="K421" s="62" t="s">
        <v>4</v>
      </c>
      <c r="L421" s="62" t="s">
        <v>5</v>
      </c>
      <c r="M421" s="86" t="s">
        <v>6</v>
      </c>
      <c r="N421" s="86" t="s">
        <v>3</v>
      </c>
      <c r="O421" s="87">
        <f>VLOOKUP($B421,BOM!$A$2:$K$94,10,0)</f>
        <v>0</v>
      </c>
      <c r="P421" s="87">
        <f t="shared" si="22"/>
        <v>0</v>
      </c>
      <c r="Q421" s="87" t="str">
        <f>VLOOKUP($B421,BOM!$A$2:$K$94,9,0)</f>
        <v>Cái</v>
      </c>
    </row>
    <row r="422" spans="1:17" s="45" customFormat="1">
      <c r="A422" s="141"/>
      <c r="B422" s="65" t="s">
        <v>43</v>
      </c>
      <c r="C422" s="65" t="s">
        <v>44</v>
      </c>
      <c r="D422" s="85" t="s">
        <v>3</v>
      </c>
      <c r="E422" s="85">
        <f>E421</f>
        <v>5</v>
      </c>
      <c r="F422" s="62"/>
      <c r="G422" s="62"/>
      <c r="H422" s="62"/>
      <c r="I422" s="62"/>
      <c r="J422" s="62"/>
      <c r="K422" s="62" t="s">
        <v>4</v>
      </c>
      <c r="L422" s="62" t="s">
        <v>5</v>
      </c>
      <c r="M422" s="86" t="s">
        <v>6</v>
      </c>
      <c r="N422" s="86" t="s">
        <v>3</v>
      </c>
      <c r="O422" s="87">
        <f>VLOOKUP($B422,BOM!$A$2:$K$94,10,0)</f>
        <v>0</v>
      </c>
      <c r="P422" s="87">
        <f t="shared" si="22"/>
        <v>0</v>
      </c>
      <c r="Q422" s="87" t="str">
        <f>VLOOKUP($B422,BOM!$A$2:$K$94,9,0)</f>
        <v>Cái</v>
      </c>
    </row>
    <row r="423" spans="1:17">
      <c r="A423" s="141"/>
      <c r="B423" s="81"/>
      <c r="C423" s="72" t="s">
        <v>45</v>
      </c>
      <c r="D423" s="72"/>
      <c r="E423" s="72"/>
      <c r="F423" s="72"/>
      <c r="G423" s="72"/>
      <c r="H423" s="72"/>
      <c r="I423" s="72"/>
      <c r="J423" s="72"/>
      <c r="K423" s="83"/>
      <c r="L423" s="83"/>
      <c r="M423" s="83"/>
      <c r="N423" s="83"/>
      <c r="O423" s="87">
        <f>VLOOKUP($B423,BOM!$A$2:$K$94,10,0)</f>
        <v>0</v>
      </c>
      <c r="P423" s="87">
        <f t="shared" si="22"/>
        <v>0</v>
      </c>
      <c r="Q423" s="84">
        <f>VLOOKUP($B423,BOM!$A$2:$K$94,9,0)</f>
        <v>0</v>
      </c>
    </row>
    <row r="424" spans="1:17" s="45" customFormat="1">
      <c r="A424" s="141"/>
      <c r="B424" s="62" t="s">
        <v>48</v>
      </c>
      <c r="C424" s="62" t="s">
        <v>49</v>
      </c>
      <c r="D424" s="85" t="s">
        <v>14</v>
      </c>
      <c r="E424" s="85">
        <f>E417+E421+1</f>
        <v>9</v>
      </c>
      <c r="F424" s="62"/>
      <c r="G424" s="62"/>
      <c r="H424" s="62"/>
      <c r="I424" s="62"/>
      <c r="J424" s="62"/>
      <c r="K424" s="62"/>
      <c r="L424" s="62" t="s">
        <v>5</v>
      </c>
      <c r="M424" s="86" t="s">
        <v>6</v>
      </c>
      <c r="N424" s="86" t="s">
        <v>15</v>
      </c>
      <c r="O424" s="87">
        <f>VLOOKUP($B424,BOM!$A$2:$K$94,10,0)</f>
        <v>0</v>
      </c>
      <c r="P424" s="87">
        <f t="shared" si="22"/>
        <v>0</v>
      </c>
      <c r="Q424" s="87" t="str">
        <f>VLOOKUP($B424,BOM!$A$2:$K$94,9,0)</f>
        <v>Sợi</v>
      </c>
    </row>
    <row r="425" spans="1:17" s="45" customFormat="1">
      <c r="A425" s="141"/>
      <c r="B425" s="62" t="s">
        <v>48</v>
      </c>
      <c r="C425" s="62" t="s">
        <v>49</v>
      </c>
      <c r="D425" s="85" t="s">
        <v>14</v>
      </c>
      <c r="E425" s="90">
        <f>ROUNDUP(E424*0.2,0)</f>
        <v>2</v>
      </c>
      <c r="F425" s="62"/>
      <c r="G425" s="62"/>
      <c r="H425" s="62"/>
      <c r="I425" s="62"/>
      <c r="J425" s="62"/>
      <c r="K425" s="62" t="s">
        <v>4</v>
      </c>
      <c r="L425" s="62" t="s">
        <v>5</v>
      </c>
      <c r="M425" s="86" t="s">
        <v>6</v>
      </c>
      <c r="N425" s="86" t="s">
        <v>15</v>
      </c>
      <c r="O425" s="87">
        <f>VLOOKUP($B425,BOM!$A$2:$K$94,10,0)</f>
        <v>0</v>
      </c>
      <c r="P425" s="87">
        <f t="shared" si="22"/>
        <v>0</v>
      </c>
      <c r="Q425" s="87" t="str">
        <f>VLOOKUP($B425,BOM!$A$2:$K$94,9,0)</f>
        <v>Sợi</v>
      </c>
    </row>
    <row r="426" spans="1:17">
      <c r="A426" s="141"/>
      <c r="B426" s="81"/>
      <c r="C426" s="72" t="s">
        <v>50</v>
      </c>
      <c r="D426" s="72"/>
      <c r="E426" s="72"/>
      <c r="F426" s="72"/>
      <c r="G426" s="72"/>
      <c r="H426" s="72"/>
      <c r="I426" s="72"/>
      <c r="J426" s="72"/>
      <c r="K426" s="83"/>
      <c r="L426" s="83"/>
      <c r="M426" s="83"/>
      <c r="N426" s="83"/>
      <c r="O426" s="87">
        <f>VLOOKUP($B426,BOM!$A$2:$K$94,10,0)</f>
        <v>0</v>
      </c>
      <c r="P426" s="87">
        <f t="shared" si="22"/>
        <v>0</v>
      </c>
      <c r="Q426" s="84">
        <f>VLOOKUP($B426,BOM!$A$2:$K$94,9,0)</f>
        <v>0</v>
      </c>
    </row>
    <row r="427" spans="1:17" s="45" customFormat="1">
      <c r="A427" s="141"/>
      <c r="B427" s="62" t="s">
        <v>332</v>
      </c>
      <c r="C427" s="62" t="s">
        <v>332</v>
      </c>
      <c r="D427" s="85" t="s">
        <v>51</v>
      </c>
      <c r="E427" s="85">
        <f>E412</f>
        <v>1</v>
      </c>
      <c r="F427" s="62"/>
      <c r="G427" s="62"/>
      <c r="H427" s="62"/>
      <c r="I427" s="62"/>
      <c r="J427" s="62"/>
      <c r="K427" s="62"/>
      <c r="L427" s="62"/>
      <c r="M427" s="86"/>
      <c r="N427" s="86" t="s">
        <v>51</v>
      </c>
      <c r="O427" s="87">
        <f>VLOOKUP($B427,BOM!$A$2:$K$94,10,0)</f>
        <v>0</v>
      </c>
      <c r="P427" s="87">
        <f t="shared" si="22"/>
        <v>0</v>
      </c>
      <c r="Q427" s="87" t="str">
        <f>VLOOKUP($B427,BOM!$A$2:$K$94,9,0)</f>
        <v>bộ</v>
      </c>
    </row>
    <row r="428" spans="1:17" s="45" customFormat="1">
      <c r="A428" s="141"/>
      <c r="B428" s="62" t="s">
        <v>52</v>
      </c>
      <c r="C428" s="62" t="s">
        <v>53</v>
      </c>
      <c r="D428" s="86" t="s">
        <v>54</v>
      </c>
      <c r="E428" s="105">
        <f>E425+E424</f>
        <v>11</v>
      </c>
      <c r="F428" s="62"/>
      <c r="G428" s="62"/>
      <c r="H428" s="62"/>
      <c r="I428" s="62"/>
      <c r="J428" s="62"/>
      <c r="K428" s="62"/>
      <c r="L428" s="62"/>
      <c r="M428" s="86" t="s">
        <v>55</v>
      </c>
      <c r="N428" s="86" t="s">
        <v>54</v>
      </c>
      <c r="O428" s="87">
        <f>VLOOKUP($B428,BOM!$A$2:$K$94,10,0)</f>
        <v>0</v>
      </c>
      <c r="P428" s="87">
        <f t="shared" si="22"/>
        <v>0</v>
      </c>
      <c r="Q428" s="87" t="str">
        <f>VLOOKUP($B428,BOM!$A$2:$K$94,9,0)</f>
        <v>node</v>
      </c>
    </row>
    <row r="429" spans="1:17" s="45" customFormat="1">
      <c r="A429" s="141"/>
      <c r="B429" s="62" t="s">
        <v>56</v>
      </c>
      <c r="C429" s="62" t="s">
        <v>57</v>
      </c>
      <c r="D429" s="86" t="s">
        <v>14</v>
      </c>
      <c r="E429" s="105">
        <f>E398+E394</f>
        <v>14</v>
      </c>
      <c r="F429" s="62"/>
      <c r="G429" s="62"/>
      <c r="H429" s="62"/>
      <c r="I429" s="62"/>
      <c r="J429" s="62"/>
      <c r="K429" s="62"/>
      <c r="L429" s="62"/>
      <c r="M429" s="86" t="s">
        <v>55</v>
      </c>
      <c r="N429" s="86" t="s">
        <v>14</v>
      </c>
      <c r="O429" s="87">
        <f>VLOOKUP($B429,BOM!$A$2:$K$94,10,0)</f>
        <v>0</v>
      </c>
      <c r="P429" s="87">
        <f t="shared" si="22"/>
        <v>0</v>
      </c>
      <c r="Q429" s="87" t="str">
        <f>VLOOKUP($B429,BOM!$A$2:$K$94,9,0)</f>
        <v>sợi</v>
      </c>
    </row>
    <row r="430" spans="1:17" s="45" customFormat="1">
      <c r="A430" s="141"/>
      <c r="B430" s="62" t="s">
        <v>58</v>
      </c>
      <c r="C430" s="62" t="s">
        <v>59</v>
      </c>
      <c r="D430" s="86" t="s">
        <v>60</v>
      </c>
      <c r="E430" s="105">
        <f>E429*2</f>
        <v>28</v>
      </c>
      <c r="F430" s="62"/>
      <c r="G430" s="62"/>
      <c r="H430" s="62"/>
      <c r="I430" s="62"/>
      <c r="J430" s="62"/>
      <c r="K430" s="62"/>
      <c r="L430" s="62"/>
      <c r="M430" s="86" t="s">
        <v>61</v>
      </c>
      <c r="N430" s="86" t="s">
        <v>60</v>
      </c>
      <c r="O430" s="87">
        <f>VLOOKUP($B430,BOM!$A$2:$K$94,10,0)</f>
        <v>0</v>
      </c>
      <c r="P430" s="87">
        <f t="shared" si="22"/>
        <v>0</v>
      </c>
      <c r="Q430" s="87" t="str">
        <f>VLOOKUP($B430,BOM!$A$2:$K$94,9,0)</f>
        <v>đầu</v>
      </c>
    </row>
    <row r="431" spans="1:17" s="45" customFormat="1">
      <c r="A431" s="141"/>
      <c r="B431" s="62" t="s">
        <v>62</v>
      </c>
      <c r="C431" s="62" t="s">
        <v>63</v>
      </c>
      <c r="D431" s="86" t="s">
        <v>64</v>
      </c>
      <c r="E431" s="105">
        <f>E408</f>
        <v>1</v>
      </c>
      <c r="F431" s="62"/>
      <c r="G431" s="62"/>
      <c r="H431" s="62"/>
      <c r="I431" s="62"/>
      <c r="J431" s="62"/>
      <c r="K431" s="62"/>
      <c r="L431" s="62"/>
      <c r="M431" s="86" t="s">
        <v>61</v>
      </c>
      <c r="N431" s="86" t="s">
        <v>64</v>
      </c>
      <c r="O431" s="87">
        <f>VLOOKUP($B431,BOM!$A$2:$K$94,10,0)</f>
        <v>0</v>
      </c>
      <c r="P431" s="87">
        <f t="shared" si="22"/>
        <v>0</v>
      </c>
      <c r="Q431" s="87" t="str">
        <f>VLOOKUP($B431,BOM!$A$2:$K$94,9,0)</f>
        <v>cái</v>
      </c>
    </row>
    <row r="432" spans="1:17" s="140" customFormat="1">
      <c r="A432" s="134">
        <v>9</v>
      </c>
      <c r="B432" s="135"/>
      <c r="C432" s="71" t="s">
        <v>79</v>
      </c>
      <c r="D432" s="136" t="s">
        <v>0</v>
      </c>
      <c r="E432" s="134">
        <v>1</v>
      </c>
      <c r="F432" s="134"/>
      <c r="G432" s="134">
        <v>24</v>
      </c>
      <c r="H432" s="134">
        <v>0</v>
      </c>
      <c r="I432" s="134"/>
      <c r="J432" s="137">
        <f>SUBTOTAL(9,J435:J459)</f>
        <v>15</v>
      </c>
      <c r="K432" s="137"/>
      <c r="L432" s="137"/>
      <c r="M432" s="137"/>
      <c r="N432" s="137"/>
      <c r="O432" s="87">
        <f>VLOOKUP($B432,BOM!$A$2:$K$94,10,0)</f>
        <v>0</v>
      </c>
      <c r="P432" s="87">
        <f t="shared" si="22"/>
        <v>0</v>
      </c>
      <c r="Q432" s="139">
        <f>VLOOKUP($B432,BOM!$A$2:$K$94,9,0)</f>
        <v>0</v>
      </c>
    </row>
    <row r="433" spans="1:17">
      <c r="A433" s="141"/>
      <c r="B433" s="81"/>
      <c r="C433" s="72" t="s">
        <v>124</v>
      </c>
      <c r="D433" s="72" t="s">
        <v>0</v>
      </c>
      <c r="E433" s="72">
        <v>1</v>
      </c>
      <c r="F433" s="72"/>
      <c r="G433" s="72"/>
      <c r="H433" s="72"/>
      <c r="I433" s="72"/>
      <c r="J433" s="72"/>
      <c r="K433" s="83"/>
      <c r="L433" s="83"/>
      <c r="M433" s="83"/>
      <c r="N433" s="83"/>
      <c r="O433" s="87">
        <f>VLOOKUP($B433,BOM!$A$2:$K$94,10,0)</f>
        <v>0</v>
      </c>
      <c r="P433" s="87">
        <f t="shared" si="22"/>
        <v>0</v>
      </c>
      <c r="Q433" s="84">
        <f>VLOOKUP($B433,BOM!$A$2:$K$94,9,0)</f>
        <v>0</v>
      </c>
    </row>
    <row r="434" spans="1:17" s="19" customFormat="1">
      <c r="A434" s="141"/>
      <c r="B434" s="21" t="s">
        <v>226</v>
      </c>
      <c r="C434" s="21" t="s">
        <v>227</v>
      </c>
      <c r="D434" s="21"/>
      <c r="E434" s="22">
        <v>1</v>
      </c>
      <c r="F434" s="21"/>
      <c r="G434" s="21"/>
      <c r="H434" s="21"/>
      <c r="I434" s="21"/>
      <c r="J434" s="21"/>
      <c r="K434" s="21" t="s">
        <v>4</v>
      </c>
      <c r="L434" s="21" t="s">
        <v>5</v>
      </c>
      <c r="M434" s="22" t="s">
        <v>22</v>
      </c>
      <c r="N434" s="22" t="s">
        <v>3</v>
      </c>
      <c r="O434" s="87">
        <f>VLOOKUP($B434,BOM!$A$2:$K$94,10,0)</f>
        <v>0</v>
      </c>
      <c r="P434" s="87">
        <f t="shared" si="22"/>
        <v>0</v>
      </c>
      <c r="Q434" s="142">
        <f>VLOOKUP($B434,BOM!$A$2:$K$94,9,0)</f>
        <v>0</v>
      </c>
    </row>
    <row r="435" spans="1:17" s="19" customFormat="1">
      <c r="A435" s="141"/>
      <c r="B435" s="21" t="s">
        <v>122</v>
      </c>
      <c r="C435" s="21" t="s">
        <v>123</v>
      </c>
      <c r="D435" s="21"/>
      <c r="E435" s="22">
        <v>1</v>
      </c>
      <c r="F435" s="21"/>
      <c r="G435" s="21"/>
      <c r="H435" s="21"/>
      <c r="I435" s="21"/>
      <c r="J435" s="21">
        <f>E435</f>
        <v>1</v>
      </c>
      <c r="K435" s="21" t="s">
        <v>4</v>
      </c>
      <c r="L435" s="21" t="s">
        <v>5</v>
      </c>
      <c r="M435" s="22" t="s">
        <v>22</v>
      </c>
      <c r="N435" s="22" t="s">
        <v>3</v>
      </c>
      <c r="O435" s="87">
        <f>VLOOKUP($B435,BOM!$A$2:$K$94,10,0)</f>
        <v>0</v>
      </c>
      <c r="P435" s="87">
        <f t="shared" si="22"/>
        <v>0</v>
      </c>
      <c r="Q435" s="142" t="str">
        <f>VLOOKUP($B435,BOM!$A$2:$K$94,9,0)</f>
        <v>Cái</v>
      </c>
    </row>
    <row r="436" spans="1:17">
      <c r="A436" s="141"/>
      <c r="B436" s="81"/>
      <c r="C436" s="72" t="s">
        <v>1</v>
      </c>
      <c r="D436" s="72" t="s">
        <v>0</v>
      </c>
      <c r="E436" s="72">
        <v>1</v>
      </c>
      <c r="F436" s="72"/>
      <c r="G436" s="72">
        <f>ROUNDUP(G432/24,0)</f>
        <v>1</v>
      </c>
      <c r="H436" s="72">
        <f t="shared" ref="H436" si="24">ROUNDUP(H432/24,0)</f>
        <v>0</v>
      </c>
      <c r="I436" s="72"/>
      <c r="J436" s="72"/>
      <c r="K436" s="83"/>
      <c r="L436" s="83"/>
      <c r="M436" s="83"/>
      <c r="N436" s="83"/>
      <c r="O436" s="87">
        <f>VLOOKUP($B436,BOM!$A$2:$K$94,10,0)</f>
        <v>0</v>
      </c>
      <c r="P436" s="87">
        <f t="shared" si="22"/>
        <v>0</v>
      </c>
      <c r="Q436" s="84">
        <f>VLOOKUP($B436,BOM!$A$2:$K$94,9,0)</f>
        <v>0</v>
      </c>
    </row>
    <row r="437" spans="1:17" s="45" customFormat="1">
      <c r="A437" s="141"/>
      <c r="B437" s="62">
        <v>760249997</v>
      </c>
      <c r="C437" s="62" t="s">
        <v>2</v>
      </c>
      <c r="D437" s="85" t="s">
        <v>3</v>
      </c>
      <c r="E437" s="85">
        <f>ROUNDUP((E439+E443)/3,0)</f>
        <v>1</v>
      </c>
      <c r="F437" s="62"/>
      <c r="G437" s="62"/>
      <c r="H437" s="62"/>
      <c r="I437" s="62"/>
      <c r="J437" s="21">
        <f>E437</f>
        <v>1</v>
      </c>
      <c r="K437" s="62" t="s">
        <v>4</v>
      </c>
      <c r="L437" s="62" t="s">
        <v>5</v>
      </c>
      <c r="M437" s="86" t="s">
        <v>6</v>
      </c>
      <c r="N437" s="86" t="s">
        <v>3</v>
      </c>
      <c r="O437" s="87">
        <f>VLOOKUP($B437,BOM!$A$2:$K$94,10,0)</f>
        <v>0</v>
      </c>
      <c r="P437" s="87">
        <f t="shared" si="22"/>
        <v>0</v>
      </c>
      <c r="Q437" s="87" t="str">
        <f>VLOOKUP($B437,BOM!$A$2:$K$94,9,0)</f>
        <v>Cái</v>
      </c>
    </row>
    <row r="438" spans="1:17" s="45" customFormat="1">
      <c r="A438" s="141"/>
      <c r="B438" s="62">
        <v>760241378</v>
      </c>
      <c r="C438" s="62" t="s">
        <v>7</v>
      </c>
      <c r="D438" s="85" t="s">
        <v>3</v>
      </c>
      <c r="E438" s="85">
        <f>IF(E439&lt;=2,1,ROUNDUP(E437*1.5,0))</f>
        <v>1</v>
      </c>
      <c r="F438" s="62"/>
      <c r="G438" s="62"/>
      <c r="H438" s="62"/>
      <c r="I438" s="62"/>
      <c r="J438" s="62"/>
      <c r="K438" s="62" t="s">
        <v>4</v>
      </c>
      <c r="L438" s="62" t="s">
        <v>5</v>
      </c>
      <c r="M438" s="86" t="s">
        <v>6</v>
      </c>
      <c r="N438" s="86" t="s">
        <v>3</v>
      </c>
      <c r="O438" s="87">
        <f>VLOOKUP($B438,BOM!$A$2:$K$94,10,0)</f>
        <v>0</v>
      </c>
      <c r="P438" s="87">
        <f t="shared" si="22"/>
        <v>0</v>
      </c>
      <c r="Q438" s="87" t="str">
        <f>VLOOKUP($B438,BOM!$A$2:$K$94,9,0)</f>
        <v>Cái</v>
      </c>
    </row>
    <row r="439" spans="1:17" s="45" customFormat="1">
      <c r="A439" s="141"/>
      <c r="B439" s="62" t="s">
        <v>8</v>
      </c>
      <c r="C439" s="62" t="s">
        <v>9</v>
      </c>
      <c r="D439" s="85" t="s">
        <v>3</v>
      </c>
      <c r="E439" s="85">
        <f>G436</f>
        <v>1</v>
      </c>
      <c r="F439" s="62"/>
      <c r="G439" s="62"/>
      <c r="H439" s="62"/>
      <c r="I439" s="62"/>
      <c r="J439" s="62"/>
      <c r="K439" s="62" t="s">
        <v>4</v>
      </c>
      <c r="L439" s="62" t="s">
        <v>5</v>
      </c>
      <c r="M439" s="86" t="s">
        <v>6</v>
      </c>
      <c r="N439" s="86" t="s">
        <v>3</v>
      </c>
      <c r="O439" s="87">
        <f>VLOOKUP($B439,BOM!$A$2:$K$94,10,0)</f>
        <v>0</v>
      </c>
      <c r="P439" s="87">
        <f t="shared" si="22"/>
        <v>0</v>
      </c>
      <c r="Q439" s="87" t="str">
        <f>VLOOKUP($B439,BOM!$A$2:$K$94,9,0)</f>
        <v>Cái</v>
      </c>
    </row>
    <row r="440" spans="1:17" s="45" customFormat="1">
      <c r="A440" s="141"/>
      <c r="B440" s="62" t="s">
        <v>10</v>
      </c>
      <c r="C440" s="62" t="s">
        <v>11</v>
      </c>
      <c r="D440" s="85" t="s">
        <v>3</v>
      </c>
      <c r="E440" s="85">
        <f>E437*3-E439-E443</f>
        <v>2</v>
      </c>
      <c r="F440" s="62"/>
      <c r="G440" s="62"/>
      <c r="H440" s="62"/>
      <c r="I440" s="62"/>
      <c r="J440" s="62"/>
      <c r="K440" s="62" t="s">
        <v>4</v>
      </c>
      <c r="L440" s="62" t="s">
        <v>5</v>
      </c>
      <c r="M440" s="86" t="s">
        <v>6</v>
      </c>
      <c r="N440" s="86" t="s">
        <v>3</v>
      </c>
      <c r="O440" s="87">
        <f>VLOOKUP($B440,BOM!$A$2:$K$94,10,0)</f>
        <v>0</v>
      </c>
      <c r="P440" s="87">
        <f t="shared" si="22"/>
        <v>0</v>
      </c>
      <c r="Q440" s="87" t="str">
        <f>VLOOKUP($B440,BOM!$A$2:$K$94,9,0)</f>
        <v>Cái</v>
      </c>
    </row>
    <row r="441" spans="1:17" s="45" customFormat="1">
      <c r="A441" s="141"/>
      <c r="B441" s="62" t="s">
        <v>12</v>
      </c>
      <c r="C441" s="62" t="s">
        <v>13</v>
      </c>
      <c r="D441" s="85" t="s">
        <v>14</v>
      </c>
      <c r="E441" s="85">
        <f>G432/2</f>
        <v>12</v>
      </c>
      <c r="F441" s="62"/>
      <c r="G441" s="62"/>
      <c r="H441" s="62"/>
      <c r="I441" s="62"/>
      <c r="J441" s="62"/>
      <c r="K441" s="62" t="s">
        <v>4</v>
      </c>
      <c r="L441" s="62" t="s">
        <v>5</v>
      </c>
      <c r="M441" s="86" t="s">
        <v>6</v>
      </c>
      <c r="N441" s="86" t="s">
        <v>15</v>
      </c>
      <c r="O441" s="87">
        <f>VLOOKUP($B441,BOM!$A$2:$K$94,10,0)</f>
        <v>0</v>
      </c>
      <c r="P441" s="87">
        <f t="shared" si="22"/>
        <v>0</v>
      </c>
      <c r="Q441" s="87" t="str">
        <f>VLOOKUP($B441,BOM!$A$2:$K$94,9,0)</f>
        <v>Sợi</v>
      </c>
    </row>
    <row r="442" spans="1:17" s="45" customFormat="1">
      <c r="A442" s="141"/>
      <c r="B442" s="62" t="s">
        <v>16</v>
      </c>
      <c r="C442" s="62" t="s">
        <v>17</v>
      </c>
      <c r="D442" s="85" t="s">
        <v>14</v>
      </c>
      <c r="E442" s="85">
        <f>ROUNDUP((E449*1.3),0)</f>
        <v>3</v>
      </c>
      <c r="F442" s="62"/>
      <c r="G442" s="62"/>
      <c r="H442" s="62"/>
      <c r="I442" s="62"/>
      <c r="J442" s="62"/>
      <c r="K442" s="62" t="s">
        <v>4</v>
      </c>
      <c r="L442" s="62" t="s">
        <v>5</v>
      </c>
      <c r="M442" s="86" t="s">
        <v>6</v>
      </c>
      <c r="N442" s="86" t="s">
        <v>15</v>
      </c>
      <c r="O442" s="87">
        <f>VLOOKUP($B442,BOM!$A$2:$K$94,10,0)</f>
        <v>0</v>
      </c>
      <c r="P442" s="87">
        <f t="shared" si="22"/>
        <v>0</v>
      </c>
      <c r="Q442" s="87" t="str">
        <f>VLOOKUP($B442,BOM!$A$2:$K$94,9,0)</f>
        <v>Sợi</v>
      </c>
    </row>
    <row r="443" spans="1:17" s="110" customFormat="1">
      <c r="A443" s="141"/>
      <c r="B443" s="66" t="s">
        <v>198</v>
      </c>
      <c r="C443" s="66" t="s">
        <v>199</v>
      </c>
      <c r="D443" s="89" t="s">
        <v>3</v>
      </c>
      <c r="E443" s="89">
        <f>H436</f>
        <v>0</v>
      </c>
      <c r="F443" s="66"/>
      <c r="G443" s="66"/>
      <c r="H443" s="66"/>
      <c r="I443" s="66"/>
      <c r="J443" s="66"/>
      <c r="K443" s="108" t="s">
        <v>4</v>
      </c>
      <c r="L443" s="108" t="s">
        <v>5</v>
      </c>
      <c r="M443" s="109" t="s">
        <v>6</v>
      </c>
      <c r="N443" s="109" t="s">
        <v>15</v>
      </c>
      <c r="O443" s="87">
        <f>VLOOKUP($B443,BOM!$A$2:$K$94,10,0)</f>
        <v>0</v>
      </c>
      <c r="P443" s="87">
        <f t="shared" si="22"/>
        <v>0</v>
      </c>
      <c r="Q443" s="146" t="str">
        <f>VLOOKUP($B443,BOM!$A$2:$K$94,9,0)</f>
        <v>Cái</v>
      </c>
    </row>
    <row r="444" spans="1:17" s="111" customFormat="1">
      <c r="A444" s="141"/>
      <c r="B444" s="66" t="s">
        <v>194</v>
      </c>
      <c r="C444" s="66" t="s">
        <v>195</v>
      </c>
      <c r="D444" s="89" t="s">
        <v>14</v>
      </c>
      <c r="E444" s="89">
        <f>ROUNDUP((E448*1.3),0)</f>
        <v>0</v>
      </c>
      <c r="F444" s="108"/>
      <c r="G444" s="108"/>
      <c r="H444" s="108"/>
      <c r="I444" s="108"/>
      <c r="J444" s="108"/>
      <c r="K444" s="108" t="s">
        <v>4</v>
      </c>
      <c r="L444" s="108" t="s">
        <v>5</v>
      </c>
      <c r="M444" s="109" t="s">
        <v>6</v>
      </c>
      <c r="N444" s="109" t="s">
        <v>15</v>
      </c>
      <c r="O444" s="87">
        <f>VLOOKUP($B444,BOM!$A$2:$K$94,10,0)</f>
        <v>0</v>
      </c>
      <c r="P444" s="87">
        <f t="shared" si="22"/>
        <v>0</v>
      </c>
      <c r="Q444" s="146" t="str">
        <f>VLOOKUP($B444,BOM!$A$2:$K$94,9,0)</f>
        <v>Cái</v>
      </c>
    </row>
    <row r="445" spans="1:17" s="110" customFormat="1">
      <c r="A445" s="141"/>
      <c r="B445" s="66" t="s">
        <v>196</v>
      </c>
      <c r="C445" s="66" t="s">
        <v>197</v>
      </c>
      <c r="D445" s="89" t="s">
        <v>14</v>
      </c>
      <c r="E445" s="89">
        <f>H432/2</f>
        <v>0</v>
      </c>
      <c r="F445" s="66"/>
      <c r="G445" s="66"/>
      <c r="H445" s="66"/>
      <c r="I445" s="66"/>
      <c r="J445" s="66"/>
      <c r="K445" s="108" t="s">
        <v>4</v>
      </c>
      <c r="L445" s="108" t="s">
        <v>5</v>
      </c>
      <c r="M445" s="109" t="s">
        <v>6</v>
      </c>
      <c r="N445" s="109" t="s">
        <v>15</v>
      </c>
      <c r="O445" s="87">
        <f>VLOOKUP($B445,BOM!$A$2:$K$94,10,0)</f>
        <v>0</v>
      </c>
      <c r="P445" s="87">
        <f t="shared" si="22"/>
        <v>0</v>
      </c>
      <c r="Q445" s="146" t="str">
        <f>VLOOKUP($B445,BOM!$A$2:$K$94,9,0)</f>
        <v>Cái</v>
      </c>
    </row>
    <row r="446" spans="1:17">
      <c r="A446" s="141"/>
      <c r="B446" s="81"/>
      <c r="C446" s="72" t="s">
        <v>26</v>
      </c>
      <c r="D446" s="72" t="s">
        <v>0</v>
      </c>
      <c r="E446" s="72">
        <v>1</v>
      </c>
      <c r="F446" s="72"/>
      <c r="G446" s="72"/>
      <c r="H446" s="72"/>
      <c r="I446" s="72"/>
      <c r="J446" s="72"/>
      <c r="K446" s="83"/>
      <c r="L446" s="83"/>
      <c r="M446" s="83"/>
      <c r="N446" s="83"/>
      <c r="O446" s="87">
        <f>VLOOKUP($B446,BOM!$A$2:$K$94,10,0)</f>
        <v>0</v>
      </c>
      <c r="P446" s="87">
        <f t="shared" si="22"/>
        <v>0</v>
      </c>
      <c r="Q446" s="84">
        <f>VLOOKUP($B446,BOM!$A$2:$K$94,9,0)</f>
        <v>0</v>
      </c>
    </row>
    <row r="447" spans="1:17" ht="60">
      <c r="A447" s="147"/>
      <c r="B447" s="67" t="s">
        <v>228</v>
      </c>
      <c r="C447" s="187" t="s">
        <v>324</v>
      </c>
      <c r="D447" s="90" t="s">
        <v>51</v>
      </c>
      <c r="E447" s="90">
        <v>1</v>
      </c>
      <c r="F447" s="65"/>
      <c r="G447" s="65"/>
      <c r="H447" s="65"/>
      <c r="I447" s="65"/>
      <c r="J447" s="103">
        <f>E447</f>
        <v>1</v>
      </c>
      <c r="K447" s="65" t="s">
        <v>143</v>
      </c>
      <c r="L447" s="65" t="s">
        <v>151</v>
      </c>
      <c r="M447" s="90" t="s">
        <v>154</v>
      </c>
      <c r="N447" s="90" t="s">
        <v>51</v>
      </c>
      <c r="O447" s="87">
        <f>VLOOKUP($B447,BOM!$A$2:$K$94,10,0)</f>
        <v>0</v>
      </c>
      <c r="P447" s="87">
        <f t="shared" si="22"/>
        <v>0</v>
      </c>
      <c r="Q447" s="151" t="str">
        <f>VLOOKUP($B447,BOM!$A$2:$K$94,9,0)</f>
        <v>cái</v>
      </c>
    </row>
    <row r="448" spans="1:17" s="111" customFormat="1">
      <c r="A448" s="120"/>
      <c r="B448" s="68" t="s">
        <v>216</v>
      </c>
      <c r="C448" s="68" t="s">
        <v>217</v>
      </c>
      <c r="D448" s="89" t="s">
        <v>64</v>
      </c>
      <c r="E448" s="89">
        <v>0</v>
      </c>
      <c r="F448" s="124"/>
      <c r="G448" s="124"/>
      <c r="H448" s="124"/>
      <c r="I448" s="124"/>
      <c r="J448" s="124"/>
      <c r="K448" s="124" t="s">
        <v>143</v>
      </c>
      <c r="L448" s="124" t="s">
        <v>151</v>
      </c>
      <c r="M448" s="89" t="s">
        <v>154</v>
      </c>
      <c r="N448" s="89" t="s">
        <v>64</v>
      </c>
      <c r="O448" s="87">
        <f>VLOOKUP($B448,BOM!$A$2:$K$94,10,0)</f>
        <v>0</v>
      </c>
      <c r="P448" s="87">
        <f t="shared" si="22"/>
        <v>0</v>
      </c>
      <c r="Q448" s="152" t="str">
        <f>VLOOKUP($B448,BOM!$A$2:$K$94,9,0)</f>
        <v>cái</v>
      </c>
    </row>
    <row r="449" spans="1:17" s="45" customFormat="1">
      <c r="A449" s="141"/>
      <c r="B449" s="64" t="s">
        <v>212</v>
      </c>
      <c r="C449" s="64" t="s">
        <v>213</v>
      </c>
      <c r="D449" s="97" t="s">
        <v>64</v>
      </c>
      <c r="E449" s="98">
        <v>2</v>
      </c>
      <c r="F449" s="95"/>
      <c r="G449" s="95"/>
      <c r="H449" s="95"/>
      <c r="I449" s="95"/>
      <c r="J449" s="95"/>
      <c r="K449" s="95" t="s">
        <v>143</v>
      </c>
      <c r="L449" s="95" t="s">
        <v>151</v>
      </c>
      <c r="M449" s="97" t="s">
        <v>154</v>
      </c>
      <c r="N449" s="97" t="s">
        <v>64</v>
      </c>
      <c r="O449" s="87">
        <f>VLOOKUP($B449,BOM!$A$2:$K$94,10,0)</f>
        <v>0</v>
      </c>
      <c r="P449" s="87">
        <f t="shared" si="22"/>
        <v>0</v>
      </c>
      <c r="Q449" s="153" t="str">
        <f>VLOOKUP($B449,BOM!$A$2:$K$94,9,0)</f>
        <v>cái</v>
      </c>
    </row>
    <row r="450" spans="1:17" s="45" customFormat="1">
      <c r="A450" s="141"/>
      <c r="B450" s="62"/>
      <c r="C450" s="62"/>
      <c r="D450" s="85"/>
      <c r="E450" s="90"/>
      <c r="F450" s="62"/>
      <c r="G450" s="62"/>
      <c r="H450" s="62"/>
      <c r="I450" s="62"/>
      <c r="J450" s="62"/>
      <c r="K450" s="62"/>
      <c r="L450" s="62"/>
      <c r="M450" s="86"/>
      <c r="N450" s="86"/>
      <c r="O450" s="87">
        <f>VLOOKUP($B450,BOM!$A$2:$K$94,10,0)</f>
        <v>0</v>
      </c>
      <c r="P450" s="87">
        <f t="shared" si="22"/>
        <v>0</v>
      </c>
      <c r="Q450" s="87">
        <f>VLOOKUP($B450,BOM!$A$2:$K$94,9,0)</f>
        <v>0</v>
      </c>
    </row>
    <row r="451" spans="1:17" s="45" customFormat="1">
      <c r="A451" s="141"/>
      <c r="B451" s="62"/>
      <c r="C451" s="62"/>
      <c r="D451" s="85"/>
      <c r="E451" s="90"/>
      <c r="F451" s="62"/>
      <c r="G451" s="62"/>
      <c r="H451" s="62"/>
      <c r="I451" s="62"/>
      <c r="J451" s="62"/>
      <c r="K451" s="62"/>
      <c r="L451" s="62"/>
      <c r="M451" s="86"/>
      <c r="N451" s="86"/>
      <c r="O451" s="87">
        <f>VLOOKUP($B451,BOM!$A$2:$K$94,10,0)</f>
        <v>0</v>
      </c>
      <c r="P451" s="87">
        <f t="shared" si="22"/>
        <v>0</v>
      </c>
      <c r="Q451" s="87">
        <f>VLOOKUP($B451,BOM!$A$2:$K$94,9,0)</f>
        <v>0</v>
      </c>
    </row>
    <row r="452" spans="1:17" outlineLevel="1">
      <c r="A452" s="141"/>
      <c r="B452" s="117"/>
      <c r="C452" s="61" t="s">
        <v>67</v>
      </c>
      <c r="D452" s="119" t="s">
        <v>0</v>
      </c>
      <c r="E452" s="120">
        <v>1</v>
      </c>
      <c r="F452" s="121"/>
      <c r="G452" s="121"/>
      <c r="H452" s="121" t="s">
        <v>69</v>
      </c>
      <c r="I452" s="122"/>
      <c r="J452" s="21">
        <f t="shared" ref="J452:J453" si="25">E452</f>
        <v>1</v>
      </c>
      <c r="K452" s="63"/>
      <c r="L452" s="63"/>
      <c r="M452" s="63"/>
      <c r="N452" s="63"/>
      <c r="O452" s="87">
        <f>VLOOKUP($B452,BOM!$A$2:$K$94,10,0)</f>
        <v>0</v>
      </c>
      <c r="P452" s="87">
        <f t="shared" si="22"/>
        <v>0</v>
      </c>
      <c r="Q452" s="80">
        <f>VLOOKUP($B452,BOM!$A$2:$K$94,9,0)</f>
        <v>0</v>
      </c>
    </row>
    <row r="453" spans="1:17" outlineLevel="1">
      <c r="A453" s="141"/>
      <c r="B453" s="117"/>
      <c r="C453" s="61" t="s">
        <v>70</v>
      </c>
      <c r="D453" s="119" t="s">
        <v>0</v>
      </c>
      <c r="E453" s="120">
        <v>1</v>
      </c>
      <c r="F453" s="121"/>
      <c r="G453" s="121"/>
      <c r="H453" s="121" t="s">
        <v>69</v>
      </c>
      <c r="I453" s="122"/>
      <c r="J453" s="21">
        <f t="shared" si="25"/>
        <v>1</v>
      </c>
      <c r="K453" s="63"/>
      <c r="L453" s="63"/>
      <c r="M453" s="63"/>
      <c r="N453" s="63"/>
      <c r="O453" s="87">
        <f>VLOOKUP($B453,BOM!$A$2:$K$94,10,0)</f>
        <v>0</v>
      </c>
      <c r="P453" s="87">
        <f t="shared" si="22"/>
        <v>0</v>
      </c>
      <c r="Q453" s="80">
        <f>VLOOKUP($B453,BOM!$A$2:$K$94,9,0)</f>
        <v>0</v>
      </c>
    </row>
    <row r="454" spans="1:17">
      <c r="A454" s="141"/>
      <c r="B454" s="81"/>
      <c r="C454" s="72" t="s">
        <v>18</v>
      </c>
      <c r="D454" s="72" t="s">
        <v>0</v>
      </c>
      <c r="E454" s="72">
        <v>1</v>
      </c>
      <c r="F454" s="72"/>
      <c r="G454" s="72"/>
      <c r="H454" s="72"/>
      <c r="I454" s="72"/>
      <c r="J454" s="72"/>
      <c r="K454" s="83"/>
      <c r="L454" s="83"/>
      <c r="M454" s="83"/>
      <c r="N454" s="83"/>
      <c r="O454" s="87">
        <f>VLOOKUP($B454,BOM!$A$2:$K$94,10,0)</f>
        <v>0</v>
      </c>
      <c r="P454" s="87">
        <f t="shared" si="22"/>
        <v>0</v>
      </c>
      <c r="Q454" s="84">
        <f>VLOOKUP($B454,BOM!$A$2:$K$94,9,0)</f>
        <v>0</v>
      </c>
    </row>
    <row r="455" spans="1:17" s="45" customFormat="1">
      <c r="A455" s="141"/>
      <c r="B455" s="62">
        <v>760237046</v>
      </c>
      <c r="C455" s="62" t="s">
        <v>19</v>
      </c>
      <c r="D455" s="85" t="s">
        <v>3</v>
      </c>
      <c r="E455" s="85">
        <f>E447+E450</f>
        <v>1</v>
      </c>
      <c r="F455" s="62"/>
      <c r="G455" s="62"/>
      <c r="H455" s="62"/>
      <c r="I455" s="62"/>
      <c r="J455" s="21">
        <f>E455</f>
        <v>1</v>
      </c>
      <c r="K455" s="62" t="s">
        <v>4</v>
      </c>
      <c r="L455" s="62" t="s">
        <v>5</v>
      </c>
      <c r="M455" s="86" t="s">
        <v>6</v>
      </c>
      <c r="N455" s="86" t="s">
        <v>3</v>
      </c>
      <c r="O455" s="87">
        <f>VLOOKUP($B455,BOM!$A$2:$K$94,10,0)</f>
        <v>0</v>
      </c>
      <c r="P455" s="87">
        <f t="shared" si="22"/>
        <v>0</v>
      </c>
      <c r="Q455" s="87" t="str">
        <f>VLOOKUP($B455,BOM!$A$2:$K$94,9,0)</f>
        <v>Cái</v>
      </c>
    </row>
    <row r="456" spans="1:17" s="45" customFormat="1">
      <c r="A456" s="141"/>
      <c r="B456" s="62" t="s">
        <v>23</v>
      </c>
      <c r="C456" s="62" t="s">
        <v>24</v>
      </c>
      <c r="D456" s="85" t="s">
        <v>3</v>
      </c>
      <c r="E456" s="85">
        <f>E455*24</f>
        <v>24</v>
      </c>
      <c r="F456" s="62"/>
      <c r="G456" s="62"/>
      <c r="H456" s="62"/>
      <c r="I456" s="62"/>
      <c r="J456" s="62"/>
      <c r="K456" s="62" t="s">
        <v>25</v>
      </c>
      <c r="L456" s="62" t="s">
        <v>5</v>
      </c>
      <c r="M456" s="86" t="s">
        <v>6</v>
      </c>
      <c r="N456" s="86" t="s">
        <v>3</v>
      </c>
      <c r="O456" s="87">
        <f>VLOOKUP($B456,BOM!$A$2:$K$94,10,0)</f>
        <v>0</v>
      </c>
      <c r="P456" s="87">
        <f t="shared" si="22"/>
        <v>0</v>
      </c>
      <c r="Q456" s="87" t="str">
        <f>VLOOKUP($B456,BOM!$A$2:$K$94,9,0)</f>
        <v>Cái</v>
      </c>
    </row>
    <row r="457" spans="1:17" s="45" customFormat="1">
      <c r="A457" s="141"/>
      <c r="B457" s="62" t="s">
        <v>20</v>
      </c>
      <c r="C457" s="62" t="s">
        <v>21</v>
      </c>
      <c r="D457" s="85" t="s">
        <v>3</v>
      </c>
      <c r="E457" s="85">
        <f>E455</f>
        <v>1</v>
      </c>
      <c r="F457" s="62"/>
      <c r="G457" s="62"/>
      <c r="H457" s="62"/>
      <c r="I457" s="62"/>
      <c r="J457" s="21">
        <f>E457</f>
        <v>1</v>
      </c>
      <c r="K457" s="62" t="s">
        <v>4</v>
      </c>
      <c r="L457" s="62" t="s">
        <v>5</v>
      </c>
      <c r="M457" s="86" t="s">
        <v>22</v>
      </c>
      <c r="N457" s="86" t="s">
        <v>3</v>
      </c>
      <c r="O457" s="87">
        <f>VLOOKUP($B457,BOM!$A$2:$K$94,10,0)</f>
        <v>0</v>
      </c>
      <c r="P457" s="87">
        <f t="shared" si="22"/>
        <v>0</v>
      </c>
      <c r="Q457" s="87" t="str">
        <f>VLOOKUP($B457,BOM!$A$2:$K$94,9,0)</f>
        <v>Cái</v>
      </c>
    </row>
    <row r="458" spans="1:17">
      <c r="A458" s="141"/>
      <c r="B458" s="81"/>
      <c r="C458" s="72" t="s">
        <v>71</v>
      </c>
      <c r="D458" s="72" t="s">
        <v>0</v>
      </c>
      <c r="E458" s="72">
        <v>1</v>
      </c>
      <c r="F458" s="72"/>
      <c r="G458" s="72"/>
      <c r="H458" s="72"/>
      <c r="I458" s="72"/>
      <c r="J458" s="72"/>
      <c r="K458" s="83"/>
      <c r="L458" s="83"/>
      <c r="M458" s="83"/>
      <c r="N458" s="83"/>
      <c r="O458" s="87">
        <f>VLOOKUP($B458,BOM!$A$2:$K$94,10,0)</f>
        <v>0</v>
      </c>
      <c r="P458" s="87">
        <f t="shared" ref="P458:P521" si="26">O458*E458</f>
        <v>0</v>
      </c>
      <c r="Q458" s="84">
        <f>VLOOKUP($B458,BOM!$A$2:$K$94,9,0)</f>
        <v>0</v>
      </c>
    </row>
    <row r="459" spans="1:17" s="45" customFormat="1">
      <c r="A459" s="141"/>
      <c r="B459" s="62" t="s">
        <v>314</v>
      </c>
      <c r="C459" s="62" t="s">
        <v>316</v>
      </c>
      <c r="D459" s="116" t="s">
        <v>51</v>
      </c>
      <c r="E459" s="85">
        <v>1</v>
      </c>
      <c r="F459" s="62"/>
      <c r="G459" s="62"/>
      <c r="H459" s="62"/>
      <c r="I459" s="62"/>
      <c r="J459" s="86">
        <f>E459*8</f>
        <v>8</v>
      </c>
      <c r="K459" s="62"/>
      <c r="L459" s="62" t="s">
        <v>5</v>
      </c>
      <c r="M459" s="86" t="s">
        <v>28</v>
      </c>
      <c r="N459" s="86" t="s">
        <v>3</v>
      </c>
      <c r="O459" s="87">
        <f>VLOOKUP($B459,BOM!$A$2:$K$94,10,0)</f>
        <v>0</v>
      </c>
      <c r="P459" s="87">
        <f t="shared" si="26"/>
        <v>0</v>
      </c>
      <c r="Q459" s="87" t="str">
        <f>VLOOKUP($B459,BOM!$A$2:$K$94,9,0)</f>
        <v>Cái</v>
      </c>
    </row>
    <row r="460" spans="1:17" s="45" customFormat="1">
      <c r="A460" s="141"/>
      <c r="B460" s="62"/>
      <c r="C460" s="62"/>
      <c r="D460" s="116"/>
      <c r="E460" s="85"/>
      <c r="F460" s="62"/>
      <c r="G460" s="62"/>
      <c r="H460" s="62"/>
      <c r="I460" s="62"/>
      <c r="J460" s="62"/>
      <c r="K460" s="62"/>
      <c r="L460" s="62"/>
      <c r="M460" s="86"/>
      <c r="N460" s="86"/>
      <c r="O460" s="87">
        <f>VLOOKUP($B460,BOM!$A$2:$K$94,10,0)</f>
        <v>0</v>
      </c>
      <c r="P460" s="87">
        <f t="shared" si="26"/>
        <v>0</v>
      </c>
      <c r="Q460" s="87">
        <f>VLOOKUP($B460,BOM!$A$2:$K$94,9,0)</f>
        <v>0</v>
      </c>
    </row>
    <row r="461" spans="1:17" s="45" customFormat="1">
      <c r="A461" s="141"/>
      <c r="B461" s="62" t="s">
        <v>225</v>
      </c>
      <c r="C461" s="62" t="s">
        <v>72</v>
      </c>
      <c r="D461" s="116" t="s">
        <v>64</v>
      </c>
      <c r="E461" s="85">
        <v>0</v>
      </c>
      <c r="F461" s="62"/>
      <c r="G461" s="62"/>
      <c r="H461" s="62"/>
      <c r="I461" s="62"/>
      <c r="J461" s="62"/>
      <c r="K461" s="62"/>
      <c r="L461" s="62" t="s">
        <v>5</v>
      </c>
      <c r="M461" s="86" t="s">
        <v>28</v>
      </c>
      <c r="N461" s="86" t="s">
        <v>3</v>
      </c>
      <c r="O461" s="87">
        <f>VLOOKUP($B461,BOM!$A$2:$K$94,10,0)</f>
        <v>0</v>
      </c>
      <c r="P461" s="87">
        <f t="shared" si="26"/>
        <v>0</v>
      </c>
      <c r="Q461" s="87" t="str">
        <f>VLOOKUP($B461,BOM!$A$2:$K$94,9,0)</f>
        <v>Cái</v>
      </c>
    </row>
    <row r="462" spans="1:17">
      <c r="A462" s="141"/>
      <c r="B462" s="81"/>
      <c r="C462" s="72" t="s">
        <v>31</v>
      </c>
      <c r="D462" s="72" t="s">
        <v>0</v>
      </c>
      <c r="E462" s="72">
        <v>1</v>
      </c>
      <c r="F462" s="72"/>
      <c r="G462" s="72"/>
      <c r="H462" s="72"/>
      <c r="I462" s="72"/>
      <c r="J462" s="72"/>
      <c r="K462" s="83"/>
      <c r="L462" s="83"/>
      <c r="M462" s="83"/>
      <c r="N462" s="83"/>
      <c r="O462" s="87">
        <f>VLOOKUP($B462,BOM!$A$2:$K$94,10,0)</f>
        <v>0</v>
      </c>
      <c r="P462" s="87">
        <f t="shared" si="26"/>
        <v>0</v>
      </c>
      <c r="Q462" s="84">
        <f>VLOOKUP($B462,BOM!$A$2:$K$94,9,0)</f>
        <v>0</v>
      </c>
    </row>
    <row r="463" spans="1:17">
      <c r="A463" s="141"/>
      <c r="B463" s="81"/>
      <c r="C463" s="72" t="s">
        <v>32</v>
      </c>
      <c r="D463" s="72"/>
      <c r="E463" s="72"/>
      <c r="F463" s="72"/>
      <c r="G463" s="72">
        <v>6</v>
      </c>
      <c r="H463" s="72"/>
      <c r="I463" s="72"/>
      <c r="J463" s="72"/>
      <c r="K463" s="83"/>
      <c r="L463" s="83"/>
      <c r="M463" s="83"/>
      <c r="N463" s="83"/>
      <c r="O463" s="87">
        <f>VLOOKUP($B463,BOM!$A$2:$K$94,10,0)</f>
        <v>0</v>
      </c>
      <c r="P463" s="87">
        <f t="shared" si="26"/>
        <v>0</v>
      </c>
      <c r="Q463" s="84">
        <f>VLOOKUP($B463,BOM!$A$2:$K$94,9,0)</f>
        <v>0</v>
      </c>
    </row>
    <row r="464" spans="1:17" s="45" customFormat="1" ht="20.45" customHeight="1">
      <c r="A464" s="141"/>
      <c r="B464" s="62" t="s">
        <v>33</v>
      </c>
      <c r="C464" s="62" t="s">
        <v>34</v>
      </c>
      <c r="D464" s="85" t="s">
        <v>3</v>
      </c>
      <c r="E464" s="90">
        <f>E465</f>
        <v>6</v>
      </c>
      <c r="F464" s="62"/>
      <c r="G464" s="62"/>
      <c r="H464" s="62"/>
      <c r="I464" s="62"/>
      <c r="J464" s="62"/>
      <c r="K464" s="62" t="s">
        <v>35</v>
      </c>
      <c r="L464" s="62" t="s">
        <v>5</v>
      </c>
      <c r="M464" s="86" t="s">
        <v>6</v>
      </c>
      <c r="N464" s="86" t="s">
        <v>3</v>
      </c>
      <c r="O464" s="87">
        <f>VLOOKUP($B464,BOM!$A$2:$K$94,10,0)</f>
        <v>0</v>
      </c>
      <c r="P464" s="87">
        <f t="shared" si="26"/>
        <v>0</v>
      </c>
      <c r="Q464" s="87" t="str">
        <f>VLOOKUP($B464,BOM!$A$2:$K$94,9,0)</f>
        <v>Cái</v>
      </c>
    </row>
    <row r="465" spans="1:17" s="45" customFormat="1">
      <c r="A465" s="141"/>
      <c r="B465" s="62" t="s">
        <v>330</v>
      </c>
      <c r="C465" s="62" t="s">
        <v>36</v>
      </c>
      <c r="D465" s="85" t="s">
        <v>3</v>
      </c>
      <c r="E465" s="90">
        <f>G463+H463</f>
        <v>6</v>
      </c>
      <c r="F465" s="62"/>
      <c r="G465" s="62"/>
      <c r="H465" s="62"/>
      <c r="I465" s="62"/>
      <c r="J465" s="62"/>
      <c r="K465" s="62" t="s">
        <v>37</v>
      </c>
      <c r="L465" s="62" t="s">
        <v>5</v>
      </c>
      <c r="M465" s="86" t="s">
        <v>37</v>
      </c>
      <c r="N465" s="86" t="s">
        <v>3</v>
      </c>
      <c r="O465" s="87">
        <f>VLOOKUP($B465,BOM!$A$2:$K$94,10,0)</f>
        <v>0</v>
      </c>
      <c r="P465" s="87">
        <f t="shared" si="26"/>
        <v>0</v>
      </c>
      <c r="Q465" s="87" t="str">
        <f>VLOOKUP($B465,BOM!$A$2:$K$94,9,0)</f>
        <v>Cái</v>
      </c>
    </row>
    <row r="466" spans="1:17" s="45" customFormat="1">
      <c r="A466" s="141"/>
      <c r="B466" s="62" t="s">
        <v>38</v>
      </c>
      <c r="C466" s="62" t="s">
        <v>39</v>
      </c>
      <c r="D466" s="85" t="s">
        <v>3</v>
      </c>
      <c r="E466" s="90">
        <f>E465</f>
        <v>6</v>
      </c>
      <c r="F466" s="62"/>
      <c r="G466" s="62"/>
      <c r="H466" s="62"/>
      <c r="I466" s="62"/>
      <c r="J466" s="62"/>
      <c r="K466" s="62" t="s">
        <v>25</v>
      </c>
      <c r="L466" s="62" t="s">
        <v>5</v>
      </c>
      <c r="M466" s="86" t="s">
        <v>6</v>
      </c>
      <c r="N466" s="86" t="s">
        <v>3</v>
      </c>
      <c r="O466" s="87">
        <f>VLOOKUP($B466,BOM!$A$2:$K$94,10,0)</f>
        <v>0</v>
      </c>
      <c r="P466" s="87">
        <f t="shared" si="26"/>
        <v>0</v>
      </c>
      <c r="Q466" s="87" t="str">
        <f>VLOOKUP($B466,BOM!$A$2:$K$94,9,0)</f>
        <v>Cái</v>
      </c>
    </row>
    <row r="467" spans="1:17">
      <c r="A467" s="141"/>
      <c r="B467" s="81"/>
      <c r="C467" s="72" t="s">
        <v>40</v>
      </c>
      <c r="D467" s="72"/>
      <c r="E467" s="72"/>
      <c r="F467" s="72"/>
      <c r="G467" s="72">
        <v>5</v>
      </c>
      <c r="H467" s="72"/>
      <c r="I467" s="72"/>
      <c r="J467" s="72"/>
      <c r="K467" s="83"/>
      <c r="L467" s="83"/>
      <c r="M467" s="83"/>
      <c r="N467" s="83"/>
      <c r="O467" s="87">
        <f>VLOOKUP($B467,BOM!$A$2:$K$94,10,0)</f>
        <v>0</v>
      </c>
      <c r="P467" s="87">
        <f t="shared" si="26"/>
        <v>0</v>
      </c>
      <c r="Q467" s="84">
        <f>VLOOKUP($B467,BOM!$A$2:$K$94,9,0)</f>
        <v>0</v>
      </c>
    </row>
    <row r="468" spans="1:17" s="45" customFormat="1">
      <c r="A468" s="141"/>
      <c r="B468" s="62" t="s">
        <v>41</v>
      </c>
      <c r="C468" s="62" t="s">
        <v>42</v>
      </c>
      <c r="D468" s="85" t="s">
        <v>3</v>
      </c>
      <c r="E468" s="85">
        <f>G467+H467</f>
        <v>5</v>
      </c>
      <c r="F468" s="62"/>
      <c r="G468" s="62"/>
      <c r="H468" s="62"/>
      <c r="I468" s="62"/>
      <c r="J468" s="62"/>
      <c r="K468" s="62" t="s">
        <v>4</v>
      </c>
      <c r="L468" s="62" t="s">
        <v>5</v>
      </c>
      <c r="M468" s="86" t="s">
        <v>6</v>
      </c>
      <c r="N468" s="86" t="s">
        <v>3</v>
      </c>
      <c r="O468" s="87">
        <f>VLOOKUP($B468,BOM!$A$2:$K$94,10,0)</f>
        <v>0</v>
      </c>
      <c r="P468" s="87">
        <f t="shared" si="26"/>
        <v>0</v>
      </c>
      <c r="Q468" s="87" t="str">
        <f>VLOOKUP($B468,BOM!$A$2:$K$94,9,0)</f>
        <v>Cái</v>
      </c>
    </row>
    <row r="469" spans="1:17" s="45" customFormat="1">
      <c r="A469" s="141"/>
      <c r="B469" s="65" t="s">
        <v>43</v>
      </c>
      <c r="C469" s="65" t="s">
        <v>44</v>
      </c>
      <c r="D469" s="85" t="s">
        <v>3</v>
      </c>
      <c r="E469" s="85">
        <f>E468</f>
        <v>5</v>
      </c>
      <c r="F469" s="62"/>
      <c r="G469" s="62"/>
      <c r="H469" s="62"/>
      <c r="I469" s="62"/>
      <c r="J469" s="62"/>
      <c r="K469" s="62" t="s">
        <v>4</v>
      </c>
      <c r="L469" s="62" t="s">
        <v>5</v>
      </c>
      <c r="M469" s="86" t="s">
        <v>6</v>
      </c>
      <c r="N469" s="86" t="s">
        <v>3</v>
      </c>
      <c r="O469" s="87">
        <f>VLOOKUP($B469,BOM!$A$2:$K$94,10,0)</f>
        <v>0</v>
      </c>
      <c r="P469" s="87">
        <f t="shared" si="26"/>
        <v>0</v>
      </c>
      <c r="Q469" s="87" t="str">
        <f>VLOOKUP($B469,BOM!$A$2:$K$94,9,0)</f>
        <v>Cái</v>
      </c>
    </row>
    <row r="470" spans="1:17">
      <c r="A470" s="141"/>
      <c r="B470" s="81"/>
      <c r="C470" s="72" t="s">
        <v>45</v>
      </c>
      <c r="D470" s="72"/>
      <c r="E470" s="72"/>
      <c r="F470" s="72"/>
      <c r="G470" s="72"/>
      <c r="H470" s="72"/>
      <c r="I470" s="72"/>
      <c r="J470" s="72"/>
      <c r="K470" s="83"/>
      <c r="L470" s="83"/>
      <c r="M470" s="83"/>
      <c r="N470" s="83"/>
      <c r="O470" s="87">
        <f>VLOOKUP($B470,BOM!$A$2:$K$94,10,0)</f>
        <v>0</v>
      </c>
      <c r="P470" s="87">
        <f t="shared" si="26"/>
        <v>0</v>
      </c>
      <c r="Q470" s="84">
        <f>VLOOKUP($B470,BOM!$A$2:$K$94,9,0)</f>
        <v>0</v>
      </c>
    </row>
    <row r="471" spans="1:17" s="45" customFormat="1">
      <c r="A471" s="141"/>
      <c r="B471" s="62" t="s">
        <v>48</v>
      </c>
      <c r="C471" s="62" t="s">
        <v>49</v>
      </c>
      <c r="D471" s="85" t="s">
        <v>14</v>
      </c>
      <c r="E471" s="85">
        <f>E464+E468+1</f>
        <v>12</v>
      </c>
      <c r="F471" s="62"/>
      <c r="G471" s="62"/>
      <c r="H471" s="62"/>
      <c r="I471" s="62"/>
      <c r="J471" s="62"/>
      <c r="K471" s="62"/>
      <c r="L471" s="62" t="s">
        <v>5</v>
      </c>
      <c r="M471" s="86" t="s">
        <v>6</v>
      </c>
      <c r="N471" s="86" t="s">
        <v>15</v>
      </c>
      <c r="O471" s="87">
        <f>VLOOKUP($B471,BOM!$A$2:$K$94,10,0)</f>
        <v>0</v>
      </c>
      <c r="P471" s="87">
        <f t="shared" si="26"/>
        <v>0</v>
      </c>
      <c r="Q471" s="87" t="str">
        <f>VLOOKUP($B471,BOM!$A$2:$K$94,9,0)</f>
        <v>Sợi</v>
      </c>
    </row>
    <row r="472" spans="1:17" s="45" customFormat="1">
      <c r="A472" s="141"/>
      <c r="B472" s="62" t="s">
        <v>48</v>
      </c>
      <c r="C472" s="62" t="s">
        <v>49</v>
      </c>
      <c r="D472" s="85" t="s">
        <v>14</v>
      </c>
      <c r="E472" s="90">
        <f>ROUNDUP(E471*0.2,0)</f>
        <v>3</v>
      </c>
      <c r="F472" s="62"/>
      <c r="G472" s="62"/>
      <c r="H472" s="62"/>
      <c r="I472" s="62"/>
      <c r="J472" s="62"/>
      <c r="K472" s="62" t="s">
        <v>4</v>
      </c>
      <c r="L472" s="62" t="s">
        <v>5</v>
      </c>
      <c r="M472" s="86" t="s">
        <v>6</v>
      </c>
      <c r="N472" s="86" t="s">
        <v>15</v>
      </c>
      <c r="O472" s="87">
        <f>VLOOKUP($B472,BOM!$A$2:$K$94,10,0)</f>
        <v>0</v>
      </c>
      <c r="P472" s="87">
        <f t="shared" si="26"/>
        <v>0</v>
      </c>
      <c r="Q472" s="87" t="str">
        <f>VLOOKUP($B472,BOM!$A$2:$K$94,9,0)</f>
        <v>Sợi</v>
      </c>
    </row>
    <row r="473" spans="1:17">
      <c r="A473" s="141"/>
      <c r="B473" s="81"/>
      <c r="C473" s="72" t="s">
        <v>50</v>
      </c>
      <c r="D473" s="72"/>
      <c r="E473" s="72"/>
      <c r="F473" s="72"/>
      <c r="G473" s="72"/>
      <c r="H473" s="72"/>
      <c r="I473" s="72"/>
      <c r="J473" s="72"/>
      <c r="K473" s="83"/>
      <c r="L473" s="83"/>
      <c r="M473" s="83"/>
      <c r="N473" s="83"/>
      <c r="O473" s="87">
        <f>VLOOKUP($B473,BOM!$A$2:$K$94,10,0)</f>
        <v>0</v>
      </c>
      <c r="P473" s="87">
        <f t="shared" si="26"/>
        <v>0</v>
      </c>
      <c r="Q473" s="84">
        <f>VLOOKUP($B473,BOM!$A$2:$K$94,9,0)</f>
        <v>0</v>
      </c>
    </row>
    <row r="474" spans="1:17" s="45" customFormat="1">
      <c r="A474" s="141"/>
      <c r="B474" s="62" t="s">
        <v>332</v>
      </c>
      <c r="C474" s="62" t="s">
        <v>332</v>
      </c>
      <c r="D474" s="85" t="s">
        <v>51</v>
      </c>
      <c r="E474" s="85">
        <f>E459</f>
        <v>1</v>
      </c>
      <c r="F474" s="62"/>
      <c r="G474" s="62"/>
      <c r="H474" s="62"/>
      <c r="I474" s="62"/>
      <c r="J474" s="62"/>
      <c r="K474" s="62"/>
      <c r="L474" s="62"/>
      <c r="M474" s="86"/>
      <c r="N474" s="86" t="s">
        <v>51</v>
      </c>
      <c r="O474" s="87">
        <f>VLOOKUP($B474,BOM!$A$2:$K$94,10,0)</f>
        <v>0</v>
      </c>
      <c r="P474" s="87">
        <f t="shared" si="26"/>
        <v>0</v>
      </c>
      <c r="Q474" s="87" t="str">
        <f>VLOOKUP($B474,BOM!$A$2:$K$94,9,0)</f>
        <v>bộ</v>
      </c>
    </row>
    <row r="475" spans="1:17" s="45" customFormat="1">
      <c r="A475" s="141"/>
      <c r="B475" s="62" t="s">
        <v>52</v>
      </c>
      <c r="C475" s="62" t="s">
        <v>53</v>
      </c>
      <c r="D475" s="86" t="s">
        <v>54</v>
      </c>
      <c r="E475" s="105">
        <f>E472+E471</f>
        <v>15</v>
      </c>
      <c r="F475" s="62"/>
      <c r="G475" s="62"/>
      <c r="H475" s="62"/>
      <c r="I475" s="62"/>
      <c r="J475" s="62"/>
      <c r="K475" s="62"/>
      <c r="L475" s="62"/>
      <c r="M475" s="86" t="s">
        <v>55</v>
      </c>
      <c r="N475" s="86" t="s">
        <v>54</v>
      </c>
      <c r="O475" s="87">
        <f>VLOOKUP($B475,BOM!$A$2:$K$94,10,0)</f>
        <v>0</v>
      </c>
      <c r="P475" s="87">
        <f t="shared" si="26"/>
        <v>0</v>
      </c>
      <c r="Q475" s="87" t="str">
        <f>VLOOKUP($B475,BOM!$A$2:$K$94,9,0)</f>
        <v>node</v>
      </c>
    </row>
    <row r="476" spans="1:17" s="45" customFormat="1">
      <c r="A476" s="141"/>
      <c r="B476" s="62" t="s">
        <v>56</v>
      </c>
      <c r="C476" s="62" t="s">
        <v>57</v>
      </c>
      <c r="D476" s="86" t="s">
        <v>14</v>
      </c>
      <c r="E476" s="105">
        <f>E445+E441</f>
        <v>12</v>
      </c>
      <c r="F476" s="62"/>
      <c r="G476" s="62"/>
      <c r="H476" s="62"/>
      <c r="I476" s="62"/>
      <c r="J476" s="62"/>
      <c r="K476" s="62"/>
      <c r="L476" s="62"/>
      <c r="M476" s="86" t="s">
        <v>55</v>
      </c>
      <c r="N476" s="86" t="s">
        <v>14</v>
      </c>
      <c r="O476" s="87">
        <f>VLOOKUP($B476,BOM!$A$2:$K$94,10,0)</f>
        <v>0</v>
      </c>
      <c r="P476" s="87">
        <f t="shared" si="26"/>
        <v>0</v>
      </c>
      <c r="Q476" s="87" t="str">
        <f>VLOOKUP($B476,BOM!$A$2:$K$94,9,0)</f>
        <v>sợi</v>
      </c>
    </row>
    <row r="477" spans="1:17" s="45" customFormat="1">
      <c r="A477" s="141"/>
      <c r="B477" s="62" t="s">
        <v>58</v>
      </c>
      <c r="C477" s="62" t="s">
        <v>59</v>
      </c>
      <c r="D477" s="86" t="s">
        <v>60</v>
      </c>
      <c r="E477" s="105">
        <f>E476*2</f>
        <v>24</v>
      </c>
      <c r="F477" s="62"/>
      <c r="G477" s="62"/>
      <c r="H477" s="62"/>
      <c r="I477" s="62"/>
      <c r="J477" s="62"/>
      <c r="K477" s="62"/>
      <c r="L477" s="62"/>
      <c r="M477" s="86" t="s">
        <v>61</v>
      </c>
      <c r="N477" s="86" t="s">
        <v>60</v>
      </c>
      <c r="O477" s="87">
        <f>VLOOKUP($B477,BOM!$A$2:$K$94,10,0)</f>
        <v>0</v>
      </c>
      <c r="P477" s="87">
        <f t="shared" si="26"/>
        <v>0</v>
      </c>
      <c r="Q477" s="87" t="str">
        <f>VLOOKUP($B477,BOM!$A$2:$K$94,9,0)</f>
        <v>đầu</v>
      </c>
    </row>
    <row r="478" spans="1:17" s="45" customFormat="1">
      <c r="A478" s="141"/>
      <c r="B478" s="62" t="s">
        <v>62</v>
      </c>
      <c r="C478" s="62" t="s">
        <v>63</v>
      </c>
      <c r="D478" s="86" t="s">
        <v>64</v>
      </c>
      <c r="E478" s="105">
        <f>E455</f>
        <v>1</v>
      </c>
      <c r="F478" s="62"/>
      <c r="G478" s="62"/>
      <c r="H478" s="62"/>
      <c r="I478" s="62"/>
      <c r="J478" s="62"/>
      <c r="K478" s="62"/>
      <c r="L478" s="62"/>
      <c r="M478" s="86" t="s">
        <v>61</v>
      </c>
      <c r="N478" s="86" t="s">
        <v>64</v>
      </c>
      <c r="O478" s="87">
        <f>VLOOKUP($B478,BOM!$A$2:$K$94,10,0)</f>
        <v>0</v>
      </c>
      <c r="P478" s="87">
        <f t="shared" si="26"/>
        <v>0</v>
      </c>
      <c r="Q478" s="87" t="str">
        <f>VLOOKUP($B478,BOM!$A$2:$K$94,9,0)</f>
        <v>cái</v>
      </c>
    </row>
    <row r="479" spans="1:17" s="140" customFormat="1">
      <c r="A479" s="134">
        <v>10</v>
      </c>
      <c r="B479" s="135"/>
      <c r="C479" s="71" t="s">
        <v>80</v>
      </c>
      <c r="D479" s="136" t="s">
        <v>0</v>
      </c>
      <c r="E479" s="134">
        <v>1</v>
      </c>
      <c r="F479" s="134"/>
      <c r="G479" s="134">
        <v>12</v>
      </c>
      <c r="H479" s="134">
        <v>8</v>
      </c>
      <c r="I479" s="134"/>
      <c r="J479" s="137">
        <f>SUBTOTAL(9,J482:J506)</f>
        <v>15</v>
      </c>
      <c r="K479" s="137"/>
      <c r="L479" s="137"/>
      <c r="M479" s="137"/>
      <c r="N479" s="137"/>
      <c r="O479" s="87">
        <f>VLOOKUP($B479,BOM!$A$2:$K$94,10,0)</f>
        <v>0</v>
      </c>
      <c r="P479" s="87">
        <f t="shared" si="26"/>
        <v>0</v>
      </c>
      <c r="Q479" s="139">
        <f>VLOOKUP($B479,BOM!$A$2:$K$94,9,0)</f>
        <v>0</v>
      </c>
    </row>
    <row r="480" spans="1:17">
      <c r="A480" s="141"/>
      <c r="B480" s="81"/>
      <c r="C480" s="72" t="s">
        <v>124</v>
      </c>
      <c r="D480" s="72" t="s">
        <v>0</v>
      </c>
      <c r="E480" s="72">
        <v>1</v>
      </c>
      <c r="F480" s="72"/>
      <c r="G480" s="72"/>
      <c r="H480" s="72"/>
      <c r="I480" s="72"/>
      <c r="J480" s="72"/>
      <c r="K480" s="83"/>
      <c r="L480" s="83"/>
      <c r="M480" s="83"/>
      <c r="N480" s="83"/>
      <c r="O480" s="87">
        <f>VLOOKUP($B480,BOM!$A$2:$K$94,10,0)</f>
        <v>0</v>
      </c>
      <c r="P480" s="87">
        <f t="shared" si="26"/>
        <v>0</v>
      </c>
      <c r="Q480" s="84">
        <f>VLOOKUP($B480,BOM!$A$2:$K$94,9,0)</f>
        <v>0</v>
      </c>
    </row>
    <row r="481" spans="1:17" s="19" customFormat="1">
      <c r="A481" s="141"/>
      <c r="B481" s="21" t="s">
        <v>226</v>
      </c>
      <c r="C481" s="21" t="s">
        <v>227</v>
      </c>
      <c r="D481" s="21"/>
      <c r="E481" s="22">
        <v>1</v>
      </c>
      <c r="F481" s="21"/>
      <c r="G481" s="21"/>
      <c r="H481" s="21"/>
      <c r="I481" s="21"/>
      <c r="J481" s="21"/>
      <c r="K481" s="21" t="s">
        <v>4</v>
      </c>
      <c r="L481" s="21" t="s">
        <v>5</v>
      </c>
      <c r="M481" s="22" t="s">
        <v>22</v>
      </c>
      <c r="N481" s="22" t="s">
        <v>3</v>
      </c>
      <c r="O481" s="87">
        <f>VLOOKUP($B481,BOM!$A$2:$K$94,10,0)</f>
        <v>0</v>
      </c>
      <c r="P481" s="87">
        <f t="shared" si="26"/>
        <v>0</v>
      </c>
      <c r="Q481" s="142">
        <f>VLOOKUP($B481,BOM!$A$2:$K$94,9,0)</f>
        <v>0</v>
      </c>
    </row>
    <row r="482" spans="1:17" s="19" customFormat="1">
      <c r="A482" s="141"/>
      <c r="B482" s="21" t="s">
        <v>122</v>
      </c>
      <c r="C482" s="21" t="s">
        <v>123</v>
      </c>
      <c r="D482" s="21"/>
      <c r="E482" s="22">
        <v>1</v>
      </c>
      <c r="F482" s="21"/>
      <c r="G482" s="21"/>
      <c r="H482" s="21"/>
      <c r="I482" s="21"/>
      <c r="J482" s="21">
        <f>E482</f>
        <v>1</v>
      </c>
      <c r="K482" s="21" t="s">
        <v>4</v>
      </c>
      <c r="L482" s="21" t="s">
        <v>5</v>
      </c>
      <c r="M482" s="22" t="s">
        <v>22</v>
      </c>
      <c r="N482" s="22" t="s">
        <v>3</v>
      </c>
      <c r="O482" s="87">
        <f>VLOOKUP($B482,BOM!$A$2:$K$94,10,0)</f>
        <v>0</v>
      </c>
      <c r="P482" s="87">
        <f t="shared" si="26"/>
        <v>0</v>
      </c>
      <c r="Q482" s="142" t="str">
        <f>VLOOKUP($B482,BOM!$A$2:$K$94,9,0)</f>
        <v>Cái</v>
      </c>
    </row>
    <row r="483" spans="1:17">
      <c r="A483" s="141"/>
      <c r="B483" s="81"/>
      <c r="C483" s="72" t="s">
        <v>1</v>
      </c>
      <c r="D483" s="72" t="s">
        <v>0</v>
      </c>
      <c r="E483" s="72">
        <v>1</v>
      </c>
      <c r="F483" s="72"/>
      <c r="G483" s="72">
        <f>ROUNDUP(G479/24,0)</f>
        <v>1</v>
      </c>
      <c r="H483" s="72">
        <f t="shared" ref="H483" si="27">ROUNDUP(H479/24,0)</f>
        <v>1</v>
      </c>
      <c r="I483" s="72"/>
      <c r="J483" s="72"/>
      <c r="K483" s="83"/>
      <c r="L483" s="83"/>
      <c r="M483" s="83"/>
      <c r="N483" s="83"/>
      <c r="O483" s="87">
        <f>VLOOKUP($B483,BOM!$A$2:$K$94,10,0)</f>
        <v>0</v>
      </c>
      <c r="P483" s="87">
        <f t="shared" si="26"/>
        <v>0</v>
      </c>
      <c r="Q483" s="84">
        <f>VLOOKUP($B483,BOM!$A$2:$K$94,9,0)</f>
        <v>0</v>
      </c>
    </row>
    <row r="484" spans="1:17" s="45" customFormat="1">
      <c r="A484" s="141"/>
      <c r="B484" s="62">
        <v>760249997</v>
      </c>
      <c r="C484" s="62" t="s">
        <v>2</v>
      </c>
      <c r="D484" s="85" t="s">
        <v>3</v>
      </c>
      <c r="E484" s="85">
        <f>ROUNDUP((E486+E490)/3,0)</f>
        <v>1</v>
      </c>
      <c r="F484" s="62"/>
      <c r="G484" s="62"/>
      <c r="H484" s="62"/>
      <c r="I484" s="62"/>
      <c r="J484" s="21">
        <f>E484</f>
        <v>1</v>
      </c>
      <c r="K484" s="62" t="s">
        <v>4</v>
      </c>
      <c r="L484" s="62" t="s">
        <v>5</v>
      </c>
      <c r="M484" s="86" t="s">
        <v>6</v>
      </c>
      <c r="N484" s="86" t="s">
        <v>3</v>
      </c>
      <c r="O484" s="87">
        <f>VLOOKUP($B484,BOM!$A$2:$K$94,10,0)</f>
        <v>0</v>
      </c>
      <c r="P484" s="87">
        <f t="shared" si="26"/>
        <v>0</v>
      </c>
      <c r="Q484" s="87" t="str">
        <f>VLOOKUP($B484,BOM!$A$2:$K$94,9,0)</f>
        <v>Cái</v>
      </c>
    </row>
    <row r="485" spans="1:17" s="45" customFormat="1">
      <c r="A485" s="141"/>
      <c r="B485" s="62">
        <v>760241378</v>
      </c>
      <c r="C485" s="62" t="s">
        <v>7</v>
      </c>
      <c r="D485" s="85" t="s">
        <v>3</v>
      </c>
      <c r="E485" s="85">
        <f>IF(E486&lt;=2,1,ROUNDUP(E484*1.5,0))</f>
        <v>1</v>
      </c>
      <c r="F485" s="62"/>
      <c r="G485" s="62"/>
      <c r="H485" s="62"/>
      <c r="I485" s="62"/>
      <c r="J485" s="62"/>
      <c r="K485" s="62" t="s">
        <v>4</v>
      </c>
      <c r="L485" s="62" t="s">
        <v>5</v>
      </c>
      <c r="M485" s="86" t="s">
        <v>6</v>
      </c>
      <c r="N485" s="86" t="s">
        <v>3</v>
      </c>
      <c r="O485" s="87">
        <f>VLOOKUP($B485,BOM!$A$2:$K$94,10,0)</f>
        <v>0</v>
      </c>
      <c r="P485" s="87">
        <f t="shared" si="26"/>
        <v>0</v>
      </c>
      <c r="Q485" s="87" t="str">
        <f>VLOOKUP($B485,BOM!$A$2:$K$94,9,0)</f>
        <v>Cái</v>
      </c>
    </row>
    <row r="486" spans="1:17" s="45" customFormat="1">
      <c r="A486" s="141"/>
      <c r="B486" s="62" t="s">
        <v>8</v>
      </c>
      <c r="C486" s="62" t="s">
        <v>9</v>
      </c>
      <c r="D486" s="85" t="s">
        <v>3</v>
      </c>
      <c r="E486" s="85">
        <f>G483</f>
        <v>1</v>
      </c>
      <c r="F486" s="62"/>
      <c r="G486" s="62"/>
      <c r="H486" s="62"/>
      <c r="I486" s="62"/>
      <c r="J486" s="62"/>
      <c r="K486" s="62" t="s">
        <v>4</v>
      </c>
      <c r="L486" s="62" t="s">
        <v>5</v>
      </c>
      <c r="M486" s="86" t="s">
        <v>6</v>
      </c>
      <c r="N486" s="86" t="s">
        <v>3</v>
      </c>
      <c r="O486" s="87">
        <f>VLOOKUP($B486,BOM!$A$2:$K$94,10,0)</f>
        <v>0</v>
      </c>
      <c r="P486" s="87">
        <f t="shared" si="26"/>
        <v>0</v>
      </c>
      <c r="Q486" s="87" t="str">
        <f>VLOOKUP($B486,BOM!$A$2:$K$94,9,0)</f>
        <v>Cái</v>
      </c>
    </row>
    <row r="487" spans="1:17" s="45" customFormat="1">
      <c r="A487" s="141"/>
      <c r="B487" s="62" t="s">
        <v>10</v>
      </c>
      <c r="C487" s="62" t="s">
        <v>11</v>
      </c>
      <c r="D487" s="85" t="s">
        <v>3</v>
      </c>
      <c r="E487" s="85">
        <f>E484*3-E486-E490</f>
        <v>1</v>
      </c>
      <c r="F487" s="62"/>
      <c r="G487" s="62"/>
      <c r="H487" s="62"/>
      <c r="I487" s="62"/>
      <c r="J487" s="62"/>
      <c r="K487" s="62" t="s">
        <v>4</v>
      </c>
      <c r="L487" s="62" t="s">
        <v>5</v>
      </c>
      <c r="M487" s="86" t="s">
        <v>6</v>
      </c>
      <c r="N487" s="86" t="s">
        <v>3</v>
      </c>
      <c r="O487" s="87">
        <f>VLOOKUP($B487,BOM!$A$2:$K$94,10,0)</f>
        <v>0</v>
      </c>
      <c r="P487" s="87">
        <f t="shared" si="26"/>
        <v>0</v>
      </c>
      <c r="Q487" s="87" t="str">
        <f>VLOOKUP($B487,BOM!$A$2:$K$94,9,0)</f>
        <v>Cái</v>
      </c>
    </row>
    <row r="488" spans="1:17" s="45" customFormat="1">
      <c r="A488" s="141"/>
      <c r="B488" s="62" t="s">
        <v>12</v>
      </c>
      <c r="C488" s="62" t="s">
        <v>13</v>
      </c>
      <c r="D488" s="85" t="s">
        <v>14</v>
      </c>
      <c r="E488" s="85">
        <f>G479/2</f>
        <v>6</v>
      </c>
      <c r="F488" s="62"/>
      <c r="G488" s="62"/>
      <c r="H488" s="62"/>
      <c r="I488" s="62"/>
      <c r="J488" s="62"/>
      <c r="K488" s="62" t="s">
        <v>4</v>
      </c>
      <c r="L488" s="62" t="s">
        <v>5</v>
      </c>
      <c r="M488" s="86" t="s">
        <v>6</v>
      </c>
      <c r="N488" s="86" t="s">
        <v>15</v>
      </c>
      <c r="O488" s="87">
        <f>VLOOKUP($B488,BOM!$A$2:$K$94,10,0)</f>
        <v>0</v>
      </c>
      <c r="P488" s="87">
        <f t="shared" si="26"/>
        <v>0</v>
      </c>
      <c r="Q488" s="87" t="str">
        <f>VLOOKUP($B488,BOM!$A$2:$K$94,9,0)</f>
        <v>Sợi</v>
      </c>
    </row>
    <row r="489" spans="1:17" s="45" customFormat="1">
      <c r="A489" s="141"/>
      <c r="B489" s="62" t="s">
        <v>16</v>
      </c>
      <c r="C489" s="62" t="s">
        <v>17</v>
      </c>
      <c r="D489" s="85" t="s">
        <v>14</v>
      </c>
      <c r="E489" s="85">
        <f>ROUNDUP((E496*1.3),0)</f>
        <v>3</v>
      </c>
      <c r="F489" s="62"/>
      <c r="G489" s="62"/>
      <c r="H489" s="62"/>
      <c r="I489" s="62"/>
      <c r="J489" s="62"/>
      <c r="K489" s="62" t="s">
        <v>4</v>
      </c>
      <c r="L489" s="62" t="s">
        <v>5</v>
      </c>
      <c r="M489" s="86" t="s">
        <v>6</v>
      </c>
      <c r="N489" s="86" t="s">
        <v>15</v>
      </c>
      <c r="O489" s="87">
        <f>VLOOKUP($B489,BOM!$A$2:$K$94,10,0)</f>
        <v>0</v>
      </c>
      <c r="P489" s="87">
        <f t="shared" si="26"/>
        <v>0</v>
      </c>
      <c r="Q489" s="87" t="str">
        <f>VLOOKUP($B489,BOM!$A$2:$K$94,9,0)</f>
        <v>Sợi</v>
      </c>
    </row>
    <row r="490" spans="1:17" s="110" customFormat="1">
      <c r="A490" s="141"/>
      <c r="B490" s="66" t="s">
        <v>198</v>
      </c>
      <c r="C490" s="66" t="s">
        <v>199</v>
      </c>
      <c r="D490" s="89" t="s">
        <v>3</v>
      </c>
      <c r="E490" s="89">
        <f>H483</f>
        <v>1</v>
      </c>
      <c r="F490" s="66"/>
      <c r="G490" s="66"/>
      <c r="H490" s="66"/>
      <c r="I490" s="66"/>
      <c r="J490" s="66"/>
      <c r="K490" s="108" t="s">
        <v>4</v>
      </c>
      <c r="L490" s="108" t="s">
        <v>5</v>
      </c>
      <c r="M490" s="109" t="s">
        <v>6</v>
      </c>
      <c r="N490" s="109" t="s">
        <v>15</v>
      </c>
      <c r="O490" s="87">
        <f>VLOOKUP($B490,BOM!$A$2:$K$94,10,0)</f>
        <v>0</v>
      </c>
      <c r="P490" s="87">
        <f t="shared" si="26"/>
        <v>0</v>
      </c>
      <c r="Q490" s="146" t="str">
        <f>VLOOKUP($B490,BOM!$A$2:$K$94,9,0)</f>
        <v>Cái</v>
      </c>
    </row>
    <row r="491" spans="1:17" s="111" customFormat="1">
      <c r="A491" s="141"/>
      <c r="B491" s="66" t="s">
        <v>194</v>
      </c>
      <c r="C491" s="66" t="s">
        <v>195</v>
      </c>
      <c r="D491" s="89" t="s">
        <v>14</v>
      </c>
      <c r="E491" s="89">
        <f>ROUNDUP((E495*1.3),0)</f>
        <v>2</v>
      </c>
      <c r="F491" s="108"/>
      <c r="G491" s="108"/>
      <c r="H491" s="108"/>
      <c r="I491" s="108"/>
      <c r="J491" s="108"/>
      <c r="K491" s="108" t="s">
        <v>4</v>
      </c>
      <c r="L491" s="108" t="s">
        <v>5</v>
      </c>
      <c r="M491" s="109" t="s">
        <v>6</v>
      </c>
      <c r="N491" s="109" t="s">
        <v>15</v>
      </c>
      <c r="O491" s="87">
        <f>VLOOKUP($B491,BOM!$A$2:$K$94,10,0)</f>
        <v>0</v>
      </c>
      <c r="P491" s="87">
        <f t="shared" si="26"/>
        <v>0</v>
      </c>
      <c r="Q491" s="146" t="str">
        <f>VLOOKUP($B491,BOM!$A$2:$K$94,9,0)</f>
        <v>Cái</v>
      </c>
    </row>
    <row r="492" spans="1:17" s="110" customFormat="1">
      <c r="A492" s="141"/>
      <c r="B492" s="66" t="s">
        <v>196</v>
      </c>
      <c r="C492" s="66" t="s">
        <v>197</v>
      </c>
      <c r="D492" s="89" t="s">
        <v>14</v>
      </c>
      <c r="E492" s="89">
        <f>H479/2</f>
        <v>4</v>
      </c>
      <c r="F492" s="66"/>
      <c r="G492" s="66"/>
      <c r="H492" s="66"/>
      <c r="I492" s="66"/>
      <c r="J492" s="66"/>
      <c r="K492" s="108" t="s">
        <v>4</v>
      </c>
      <c r="L492" s="108" t="s">
        <v>5</v>
      </c>
      <c r="M492" s="109" t="s">
        <v>6</v>
      </c>
      <c r="N492" s="109" t="s">
        <v>15</v>
      </c>
      <c r="O492" s="87">
        <f>VLOOKUP($B492,BOM!$A$2:$K$94,10,0)</f>
        <v>0</v>
      </c>
      <c r="P492" s="87">
        <f t="shared" si="26"/>
        <v>0</v>
      </c>
      <c r="Q492" s="146" t="str">
        <f>VLOOKUP($B492,BOM!$A$2:$K$94,9,0)</f>
        <v>Cái</v>
      </c>
    </row>
    <row r="493" spans="1:17">
      <c r="A493" s="141"/>
      <c r="B493" s="81"/>
      <c r="C493" s="72" t="s">
        <v>26</v>
      </c>
      <c r="D493" s="72" t="s">
        <v>0</v>
      </c>
      <c r="E493" s="72">
        <v>1</v>
      </c>
      <c r="F493" s="72"/>
      <c r="G493" s="72"/>
      <c r="H493" s="72"/>
      <c r="I493" s="72"/>
      <c r="J493" s="72"/>
      <c r="K493" s="83"/>
      <c r="L493" s="83"/>
      <c r="M493" s="83"/>
      <c r="N493" s="83"/>
      <c r="O493" s="87">
        <f>VLOOKUP($B493,BOM!$A$2:$K$94,10,0)</f>
        <v>0</v>
      </c>
      <c r="P493" s="87">
        <f t="shared" si="26"/>
        <v>0</v>
      </c>
      <c r="Q493" s="84">
        <f>VLOOKUP($B493,BOM!$A$2:$K$94,9,0)</f>
        <v>0</v>
      </c>
    </row>
    <row r="494" spans="1:17" ht="60">
      <c r="A494" s="147"/>
      <c r="B494" s="67" t="s">
        <v>228</v>
      </c>
      <c r="C494" s="187" t="s">
        <v>324</v>
      </c>
      <c r="D494" s="90" t="s">
        <v>51</v>
      </c>
      <c r="E494" s="90">
        <v>1</v>
      </c>
      <c r="F494" s="65"/>
      <c r="G494" s="65"/>
      <c r="H494" s="65"/>
      <c r="I494" s="65"/>
      <c r="J494" s="103">
        <f>E494</f>
        <v>1</v>
      </c>
      <c r="K494" s="65" t="s">
        <v>143</v>
      </c>
      <c r="L494" s="65" t="s">
        <v>151</v>
      </c>
      <c r="M494" s="90" t="s">
        <v>154</v>
      </c>
      <c r="N494" s="90" t="s">
        <v>51</v>
      </c>
      <c r="O494" s="87">
        <f>VLOOKUP($B494,BOM!$A$2:$K$94,10,0)</f>
        <v>0</v>
      </c>
      <c r="P494" s="87">
        <f t="shared" si="26"/>
        <v>0</v>
      </c>
      <c r="Q494" s="151" t="str">
        <f>VLOOKUP($B494,BOM!$A$2:$K$94,9,0)</f>
        <v>cái</v>
      </c>
    </row>
    <row r="495" spans="1:17" s="111" customFormat="1">
      <c r="A495" s="120"/>
      <c r="B495" s="68" t="s">
        <v>216</v>
      </c>
      <c r="C495" s="68" t="s">
        <v>217</v>
      </c>
      <c r="D495" s="89" t="s">
        <v>64</v>
      </c>
      <c r="E495" s="89">
        <v>1</v>
      </c>
      <c r="F495" s="124"/>
      <c r="G495" s="124"/>
      <c r="H495" s="124"/>
      <c r="I495" s="124"/>
      <c r="J495" s="124"/>
      <c r="K495" s="124" t="s">
        <v>143</v>
      </c>
      <c r="L495" s="124" t="s">
        <v>151</v>
      </c>
      <c r="M495" s="89" t="s">
        <v>154</v>
      </c>
      <c r="N495" s="89" t="s">
        <v>64</v>
      </c>
      <c r="O495" s="87">
        <f>VLOOKUP($B495,BOM!$A$2:$K$94,10,0)</f>
        <v>0</v>
      </c>
      <c r="P495" s="87">
        <f t="shared" si="26"/>
        <v>0</v>
      </c>
      <c r="Q495" s="152" t="str">
        <f>VLOOKUP($B495,BOM!$A$2:$K$94,9,0)</f>
        <v>cái</v>
      </c>
    </row>
    <row r="496" spans="1:17" s="45" customFormat="1">
      <c r="A496" s="141"/>
      <c r="B496" s="64" t="s">
        <v>212</v>
      </c>
      <c r="C496" s="64" t="s">
        <v>213</v>
      </c>
      <c r="D496" s="97" t="s">
        <v>64</v>
      </c>
      <c r="E496" s="98">
        <v>2</v>
      </c>
      <c r="F496" s="95"/>
      <c r="G496" s="95"/>
      <c r="H496" s="95"/>
      <c r="I496" s="95"/>
      <c r="J496" s="95"/>
      <c r="K496" s="95" t="s">
        <v>143</v>
      </c>
      <c r="L496" s="95" t="s">
        <v>151</v>
      </c>
      <c r="M496" s="97" t="s">
        <v>154</v>
      </c>
      <c r="N496" s="97" t="s">
        <v>64</v>
      </c>
      <c r="O496" s="87">
        <f>VLOOKUP($B496,BOM!$A$2:$K$94,10,0)</f>
        <v>0</v>
      </c>
      <c r="P496" s="87">
        <f t="shared" si="26"/>
        <v>0</v>
      </c>
      <c r="Q496" s="153" t="str">
        <f>VLOOKUP($B496,BOM!$A$2:$K$94,9,0)</f>
        <v>cái</v>
      </c>
    </row>
    <row r="497" spans="1:17" s="45" customFormat="1">
      <c r="A497" s="141"/>
      <c r="B497" s="62"/>
      <c r="C497" s="62"/>
      <c r="D497" s="85"/>
      <c r="E497" s="90"/>
      <c r="F497" s="62"/>
      <c r="G497" s="62"/>
      <c r="H497" s="62"/>
      <c r="I497" s="62"/>
      <c r="J497" s="62"/>
      <c r="K497" s="62"/>
      <c r="L497" s="62"/>
      <c r="M497" s="86"/>
      <c r="N497" s="86"/>
      <c r="O497" s="87">
        <f>VLOOKUP($B497,BOM!$A$2:$K$94,10,0)</f>
        <v>0</v>
      </c>
      <c r="P497" s="87">
        <f t="shared" si="26"/>
        <v>0</v>
      </c>
      <c r="Q497" s="87">
        <f>VLOOKUP($B497,BOM!$A$2:$K$94,9,0)</f>
        <v>0</v>
      </c>
    </row>
    <row r="498" spans="1:17" s="45" customFormat="1">
      <c r="A498" s="141"/>
      <c r="B498" s="62"/>
      <c r="C498" s="62"/>
      <c r="D498" s="85"/>
      <c r="E498" s="90"/>
      <c r="F498" s="62"/>
      <c r="G498" s="62"/>
      <c r="H498" s="62"/>
      <c r="I498" s="62"/>
      <c r="J498" s="62"/>
      <c r="K498" s="62"/>
      <c r="L498" s="62"/>
      <c r="M498" s="86"/>
      <c r="N498" s="86"/>
      <c r="O498" s="87">
        <f>VLOOKUP($B498,BOM!$A$2:$K$94,10,0)</f>
        <v>0</v>
      </c>
      <c r="P498" s="87">
        <f t="shared" si="26"/>
        <v>0</v>
      </c>
      <c r="Q498" s="87">
        <f>VLOOKUP($B498,BOM!$A$2:$K$94,9,0)</f>
        <v>0</v>
      </c>
    </row>
    <row r="499" spans="1:17" outlineLevel="1">
      <c r="A499" s="141"/>
      <c r="B499" s="117"/>
      <c r="C499" s="61" t="s">
        <v>67</v>
      </c>
      <c r="D499" s="119" t="s">
        <v>0</v>
      </c>
      <c r="E499" s="120">
        <v>1</v>
      </c>
      <c r="F499" s="121"/>
      <c r="G499" s="121"/>
      <c r="H499" s="121" t="s">
        <v>69</v>
      </c>
      <c r="I499" s="122"/>
      <c r="J499" s="21">
        <f t="shared" ref="J499:J500" si="28">E499</f>
        <v>1</v>
      </c>
      <c r="K499" s="63"/>
      <c r="L499" s="63"/>
      <c r="M499" s="63"/>
      <c r="N499" s="63"/>
      <c r="O499" s="87">
        <f>VLOOKUP($B499,BOM!$A$2:$K$94,10,0)</f>
        <v>0</v>
      </c>
      <c r="P499" s="87">
        <f t="shared" si="26"/>
        <v>0</v>
      </c>
      <c r="Q499" s="80">
        <f>VLOOKUP($B499,BOM!$A$2:$K$94,9,0)</f>
        <v>0</v>
      </c>
    </row>
    <row r="500" spans="1:17" outlineLevel="1">
      <c r="A500" s="141"/>
      <c r="B500" s="117"/>
      <c r="C500" s="61" t="s">
        <v>70</v>
      </c>
      <c r="D500" s="119" t="s">
        <v>0</v>
      </c>
      <c r="E500" s="120">
        <v>1</v>
      </c>
      <c r="F500" s="121"/>
      <c r="G500" s="121"/>
      <c r="H500" s="121" t="s">
        <v>69</v>
      </c>
      <c r="I500" s="122"/>
      <c r="J500" s="21">
        <f t="shared" si="28"/>
        <v>1</v>
      </c>
      <c r="K500" s="63"/>
      <c r="L500" s="63"/>
      <c r="M500" s="63"/>
      <c r="N500" s="63"/>
      <c r="O500" s="87">
        <f>VLOOKUP($B500,BOM!$A$2:$K$94,10,0)</f>
        <v>0</v>
      </c>
      <c r="P500" s="87">
        <f t="shared" si="26"/>
        <v>0</v>
      </c>
      <c r="Q500" s="80">
        <f>VLOOKUP($B500,BOM!$A$2:$K$94,9,0)</f>
        <v>0</v>
      </c>
    </row>
    <row r="501" spans="1:17">
      <c r="A501" s="141"/>
      <c r="B501" s="81"/>
      <c r="C501" s="72" t="s">
        <v>18</v>
      </c>
      <c r="D501" s="72" t="s">
        <v>0</v>
      </c>
      <c r="E501" s="72">
        <v>1</v>
      </c>
      <c r="F501" s="72"/>
      <c r="G501" s="72"/>
      <c r="H501" s="72"/>
      <c r="I501" s="72"/>
      <c r="J501" s="72"/>
      <c r="K501" s="83"/>
      <c r="L501" s="83"/>
      <c r="M501" s="83"/>
      <c r="N501" s="83"/>
      <c r="O501" s="87">
        <f>VLOOKUP($B501,BOM!$A$2:$K$94,10,0)</f>
        <v>0</v>
      </c>
      <c r="P501" s="87">
        <f t="shared" si="26"/>
        <v>0</v>
      </c>
      <c r="Q501" s="84">
        <f>VLOOKUP($B501,BOM!$A$2:$K$94,9,0)</f>
        <v>0</v>
      </c>
    </row>
    <row r="502" spans="1:17" s="45" customFormat="1">
      <c r="A502" s="141"/>
      <c r="B502" s="62">
        <v>760237046</v>
      </c>
      <c r="C502" s="62" t="s">
        <v>19</v>
      </c>
      <c r="D502" s="85" t="s">
        <v>3</v>
      </c>
      <c r="E502" s="85">
        <f>E494+E497</f>
        <v>1</v>
      </c>
      <c r="F502" s="62"/>
      <c r="G502" s="62"/>
      <c r="H502" s="62"/>
      <c r="I502" s="62"/>
      <c r="J502" s="21">
        <f>E502</f>
        <v>1</v>
      </c>
      <c r="K502" s="62" t="s">
        <v>4</v>
      </c>
      <c r="L502" s="62" t="s">
        <v>5</v>
      </c>
      <c r="M502" s="86" t="s">
        <v>6</v>
      </c>
      <c r="N502" s="86" t="s">
        <v>3</v>
      </c>
      <c r="O502" s="87">
        <f>VLOOKUP($B502,BOM!$A$2:$K$94,10,0)</f>
        <v>0</v>
      </c>
      <c r="P502" s="87">
        <f t="shared" si="26"/>
        <v>0</v>
      </c>
      <c r="Q502" s="87" t="str">
        <f>VLOOKUP($B502,BOM!$A$2:$K$94,9,0)</f>
        <v>Cái</v>
      </c>
    </row>
    <row r="503" spans="1:17" s="45" customFormat="1">
      <c r="A503" s="141"/>
      <c r="B503" s="62" t="s">
        <v>23</v>
      </c>
      <c r="C503" s="62" t="s">
        <v>24</v>
      </c>
      <c r="D503" s="85" t="s">
        <v>3</v>
      </c>
      <c r="E503" s="85">
        <f>E502*24</f>
        <v>24</v>
      </c>
      <c r="F503" s="62"/>
      <c r="G503" s="62"/>
      <c r="H503" s="62"/>
      <c r="I503" s="62"/>
      <c r="J503" s="62"/>
      <c r="K503" s="62" t="s">
        <v>25</v>
      </c>
      <c r="L503" s="62" t="s">
        <v>5</v>
      </c>
      <c r="M503" s="86" t="s">
        <v>6</v>
      </c>
      <c r="N503" s="86" t="s">
        <v>3</v>
      </c>
      <c r="O503" s="87">
        <f>VLOOKUP($B503,BOM!$A$2:$K$94,10,0)</f>
        <v>0</v>
      </c>
      <c r="P503" s="87">
        <f t="shared" si="26"/>
        <v>0</v>
      </c>
      <c r="Q503" s="87" t="str">
        <f>VLOOKUP($B503,BOM!$A$2:$K$94,9,0)</f>
        <v>Cái</v>
      </c>
    </row>
    <row r="504" spans="1:17" s="45" customFormat="1">
      <c r="A504" s="141"/>
      <c r="B504" s="62" t="s">
        <v>20</v>
      </c>
      <c r="C504" s="62" t="s">
        <v>21</v>
      </c>
      <c r="D504" s="85" t="s">
        <v>3</v>
      </c>
      <c r="E504" s="85">
        <f>E502</f>
        <v>1</v>
      </c>
      <c r="F504" s="62"/>
      <c r="G504" s="62"/>
      <c r="H504" s="62"/>
      <c r="I504" s="62"/>
      <c r="J504" s="21">
        <f>E504</f>
        <v>1</v>
      </c>
      <c r="K504" s="62" t="s">
        <v>4</v>
      </c>
      <c r="L504" s="62" t="s">
        <v>5</v>
      </c>
      <c r="M504" s="86" t="s">
        <v>22</v>
      </c>
      <c r="N504" s="86" t="s">
        <v>3</v>
      </c>
      <c r="O504" s="87">
        <f>VLOOKUP($B504,BOM!$A$2:$K$94,10,0)</f>
        <v>0</v>
      </c>
      <c r="P504" s="87">
        <f t="shared" si="26"/>
        <v>0</v>
      </c>
      <c r="Q504" s="87" t="str">
        <f>VLOOKUP($B504,BOM!$A$2:$K$94,9,0)</f>
        <v>Cái</v>
      </c>
    </row>
    <row r="505" spans="1:17">
      <c r="A505" s="141"/>
      <c r="B505" s="81"/>
      <c r="C505" s="72" t="s">
        <v>71</v>
      </c>
      <c r="D505" s="72" t="s">
        <v>0</v>
      </c>
      <c r="E505" s="72">
        <v>1</v>
      </c>
      <c r="F505" s="72"/>
      <c r="G505" s="72"/>
      <c r="H505" s="72"/>
      <c r="I505" s="72"/>
      <c r="J505" s="72"/>
      <c r="K505" s="83"/>
      <c r="L505" s="83"/>
      <c r="M505" s="83"/>
      <c r="N505" s="83"/>
      <c r="O505" s="87">
        <f>VLOOKUP($B505,BOM!$A$2:$K$94,10,0)</f>
        <v>0</v>
      </c>
      <c r="P505" s="87">
        <f t="shared" si="26"/>
        <v>0</v>
      </c>
      <c r="Q505" s="84">
        <f>VLOOKUP($B505,BOM!$A$2:$K$94,9,0)</f>
        <v>0</v>
      </c>
    </row>
    <row r="506" spans="1:17" s="45" customFormat="1">
      <c r="A506" s="141"/>
      <c r="B506" s="62" t="s">
        <v>314</v>
      </c>
      <c r="C506" s="62" t="s">
        <v>316</v>
      </c>
      <c r="D506" s="116" t="s">
        <v>51</v>
      </c>
      <c r="E506" s="85">
        <v>1</v>
      </c>
      <c r="F506" s="62"/>
      <c r="G506" s="62"/>
      <c r="H506" s="62"/>
      <c r="I506" s="62"/>
      <c r="J506" s="86">
        <f>E506*8</f>
        <v>8</v>
      </c>
      <c r="K506" s="62"/>
      <c r="L506" s="62" t="s">
        <v>5</v>
      </c>
      <c r="M506" s="86" t="s">
        <v>28</v>
      </c>
      <c r="N506" s="86" t="s">
        <v>3</v>
      </c>
      <c r="O506" s="87">
        <f>VLOOKUP($B506,BOM!$A$2:$K$94,10,0)</f>
        <v>0</v>
      </c>
      <c r="P506" s="87">
        <f t="shared" si="26"/>
        <v>0</v>
      </c>
      <c r="Q506" s="87" t="str">
        <f>VLOOKUP($B506,BOM!$A$2:$K$94,9,0)</f>
        <v>Cái</v>
      </c>
    </row>
    <row r="507" spans="1:17" s="45" customFormat="1">
      <c r="A507" s="141"/>
      <c r="B507" s="62"/>
      <c r="C507" s="62"/>
      <c r="D507" s="116"/>
      <c r="E507" s="85"/>
      <c r="F507" s="62"/>
      <c r="G507" s="62"/>
      <c r="H507" s="62"/>
      <c r="I507" s="62"/>
      <c r="J507" s="62"/>
      <c r="K507" s="62"/>
      <c r="L507" s="62"/>
      <c r="M507" s="86"/>
      <c r="N507" s="86"/>
      <c r="O507" s="87">
        <f>VLOOKUP($B507,BOM!$A$2:$K$94,10,0)</f>
        <v>0</v>
      </c>
      <c r="P507" s="87">
        <f t="shared" si="26"/>
        <v>0</v>
      </c>
      <c r="Q507" s="87">
        <f>VLOOKUP($B507,BOM!$A$2:$K$94,9,0)</f>
        <v>0</v>
      </c>
    </row>
    <row r="508" spans="1:17" s="45" customFormat="1">
      <c r="A508" s="141"/>
      <c r="B508" s="62" t="s">
        <v>225</v>
      </c>
      <c r="C508" s="62" t="s">
        <v>72</v>
      </c>
      <c r="D508" s="116" t="s">
        <v>64</v>
      </c>
      <c r="E508" s="85">
        <v>0</v>
      </c>
      <c r="F508" s="62"/>
      <c r="G508" s="62"/>
      <c r="H508" s="62"/>
      <c r="I508" s="62"/>
      <c r="J508" s="62"/>
      <c r="K508" s="62"/>
      <c r="L508" s="62" t="s">
        <v>5</v>
      </c>
      <c r="M508" s="86" t="s">
        <v>28</v>
      </c>
      <c r="N508" s="86" t="s">
        <v>3</v>
      </c>
      <c r="O508" s="87">
        <f>VLOOKUP($B508,BOM!$A$2:$K$94,10,0)</f>
        <v>0</v>
      </c>
      <c r="P508" s="87">
        <f t="shared" si="26"/>
        <v>0</v>
      </c>
      <c r="Q508" s="87" t="str">
        <f>VLOOKUP($B508,BOM!$A$2:$K$94,9,0)</f>
        <v>Cái</v>
      </c>
    </row>
    <row r="509" spans="1:17">
      <c r="A509" s="141"/>
      <c r="B509" s="81"/>
      <c r="C509" s="72" t="s">
        <v>31</v>
      </c>
      <c r="D509" s="72" t="s">
        <v>0</v>
      </c>
      <c r="E509" s="72">
        <v>1</v>
      </c>
      <c r="F509" s="72"/>
      <c r="G509" s="72"/>
      <c r="H509" s="72"/>
      <c r="I509" s="72"/>
      <c r="J509" s="72"/>
      <c r="K509" s="83"/>
      <c r="L509" s="83"/>
      <c r="M509" s="83"/>
      <c r="N509" s="83"/>
      <c r="O509" s="87">
        <f>VLOOKUP($B509,BOM!$A$2:$K$94,10,0)</f>
        <v>0</v>
      </c>
      <c r="P509" s="87">
        <f t="shared" si="26"/>
        <v>0</v>
      </c>
      <c r="Q509" s="84">
        <f>VLOOKUP($B509,BOM!$A$2:$K$94,9,0)</f>
        <v>0</v>
      </c>
    </row>
    <row r="510" spans="1:17">
      <c r="A510" s="141"/>
      <c r="B510" s="81"/>
      <c r="C510" s="72" t="s">
        <v>32</v>
      </c>
      <c r="D510" s="72"/>
      <c r="E510" s="72"/>
      <c r="F510" s="72"/>
      <c r="G510" s="72">
        <v>3</v>
      </c>
      <c r="H510" s="72"/>
      <c r="I510" s="72"/>
      <c r="J510" s="72"/>
      <c r="K510" s="83"/>
      <c r="L510" s="83"/>
      <c r="M510" s="83"/>
      <c r="N510" s="83"/>
      <c r="O510" s="87">
        <f>VLOOKUP($B510,BOM!$A$2:$K$94,10,0)</f>
        <v>0</v>
      </c>
      <c r="P510" s="87">
        <f t="shared" si="26"/>
        <v>0</v>
      </c>
      <c r="Q510" s="84">
        <f>VLOOKUP($B510,BOM!$A$2:$K$94,9,0)</f>
        <v>0</v>
      </c>
    </row>
    <row r="511" spans="1:17" s="45" customFormat="1" ht="20.45" customHeight="1">
      <c r="A511" s="141"/>
      <c r="B511" s="62" t="s">
        <v>33</v>
      </c>
      <c r="C511" s="62" t="s">
        <v>34</v>
      </c>
      <c r="D511" s="85" t="s">
        <v>3</v>
      </c>
      <c r="E511" s="90">
        <f>E512</f>
        <v>3</v>
      </c>
      <c r="F511" s="62"/>
      <c r="G511" s="62"/>
      <c r="H511" s="62"/>
      <c r="I511" s="62"/>
      <c r="J511" s="62"/>
      <c r="K511" s="62" t="s">
        <v>35</v>
      </c>
      <c r="L511" s="62" t="s">
        <v>5</v>
      </c>
      <c r="M511" s="86" t="s">
        <v>6</v>
      </c>
      <c r="N511" s="86" t="s">
        <v>3</v>
      </c>
      <c r="O511" s="87">
        <f>VLOOKUP($B511,BOM!$A$2:$K$94,10,0)</f>
        <v>0</v>
      </c>
      <c r="P511" s="87">
        <f t="shared" si="26"/>
        <v>0</v>
      </c>
      <c r="Q511" s="87" t="str">
        <f>VLOOKUP($B511,BOM!$A$2:$K$94,9,0)</f>
        <v>Cái</v>
      </c>
    </row>
    <row r="512" spans="1:17" s="45" customFormat="1">
      <c r="A512" s="141"/>
      <c r="B512" s="62" t="s">
        <v>330</v>
      </c>
      <c r="C512" s="62" t="s">
        <v>36</v>
      </c>
      <c r="D512" s="85" t="s">
        <v>3</v>
      </c>
      <c r="E512" s="90">
        <f>G510+H510</f>
        <v>3</v>
      </c>
      <c r="F512" s="62"/>
      <c r="G512" s="62"/>
      <c r="H512" s="62"/>
      <c r="I512" s="62"/>
      <c r="J512" s="62"/>
      <c r="K512" s="62" t="s">
        <v>37</v>
      </c>
      <c r="L512" s="62" t="s">
        <v>5</v>
      </c>
      <c r="M512" s="86" t="s">
        <v>37</v>
      </c>
      <c r="N512" s="86" t="s">
        <v>3</v>
      </c>
      <c r="O512" s="87">
        <f>VLOOKUP($B512,BOM!$A$2:$K$94,10,0)</f>
        <v>0</v>
      </c>
      <c r="P512" s="87">
        <f t="shared" si="26"/>
        <v>0</v>
      </c>
      <c r="Q512" s="87" t="str">
        <f>VLOOKUP($B512,BOM!$A$2:$K$94,9,0)</f>
        <v>Cái</v>
      </c>
    </row>
    <row r="513" spans="1:17" s="45" customFormat="1">
      <c r="A513" s="141"/>
      <c r="B513" s="62" t="s">
        <v>38</v>
      </c>
      <c r="C513" s="62" t="s">
        <v>39</v>
      </c>
      <c r="D513" s="85" t="s">
        <v>3</v>
      </c>
      <c r="E513" s="90">
        <f>E512</f>
        <v>3</v>
      </c>
      <c r="F513" s="62"/>
      <c r="G513" s="62"/>
      <c r="H513" s="62"/>
      <c r="I513" s="62"/>
      <c r="J513" s="62"/>
      <c r="K513" s="62" t="s">
        <v>25</v>
      </c>
      <c r="L513" s="62" t="s">
        <v>5</v>
      </c>
      <c r="M513" s="86" t="s">
        <v>6</v>
      </c>
      <c r="N513" s="86" t="s">
        <v>3</v>
      </c>
      <c r="O513" s="87">
        <f>VLOOKUP($B513,BOM!$A$2:$K$94,10,0)</f>
        <v>0</v>
      </c>
      <c r="P513" s="87">
        <f t="shared" si="26"/>
        <v>0</v>
      </c>
      <c r="Q513" s="87" t="str">
        <f>VLOOKUP($B513,BOM!$A$2:$K$94,9,0)</f>
        <v>Cái</v>
      </c>
    </row>
    <row r="514" spans="1:17">
      <c r="A514" s="141"/>
      <c r="B514" s="81"/>
      <c r="C514" s="72" t="s">
        <v>40</v>
      </c>
      <c r="D514" s="72"/>
      <c r="E514" s="72"/>
      <c r="F514" s="72"/>
      <c r="G514" s="72">
        <v>5</v>
      </c>
      <c r="H514" s="72"/>
      <c r="I514" s="72"/>
      <c r="J514" s="72"/>
      <c r="K514" s="83"/>
      <c r="L514" s="83"/>
      <c r="M514" s="83"/>
      <c r="N514" s="83"/>
      <c r="O514" s="87">
        <f>VLOOKUP($B514,BOM!$A$2:$K$94,10,0)</f>
        <v>0</v>
      </c>
      <c r="P514" s="87">
        <f t="shared" si="26"/>
        <v>0</v>
      </c>
      <c r="Q514" s="84">
        <f>VLOOKUP($B514,BOM!$A$2:$K$94,9,0)</f>
        <v>0</v>
      </c>
    </row>
    <row r="515" spans="1:17" s="45" customFormat="1">
      <c r="A515" s="141"/>
      <c r="B515" s="62" t="s">
        <v>41</v>
      </c>
      <c r="C515" s="62" t="s">
        <v>42</v>
      </c>
      <c r="D515" s="85" t="s">
        <v>3</v>
      </c>
      <c r="E515" s="85">
        <f>G514+H514</f>
        <v>5</v>
      </c>
      <c r="F515" s="62"/>
      <c r="G515" s="62"/>
      <c r="H515" s="62"/>
      <c r="I515" s="62"/>
      <c r="J515" s="62"/>
      <c r="K515" s="62" t="s">
        <v>4</v>
      </c>
      <c r="L515" s="62" t="s">
        <v>5</v>
      </c>
      <c r="M515" s="86" t="s">
        <v>6</v>
      </c>
      <c r="N515" s="86" t="s">
        <v>3</v>
      </c>
      <c r="O515" s="87">
        <f>VLOOKUP($B515,BOM!$A$2:$K$94,10,0)</f>
        <v>0</v>
      </c>
      <c r="P515" s="87">
        <f t="shared" si="26"/>
        <v>0</v>
      </c>
      <c r="Q515" s="87" t="str">
        <f>VLOOKUP($B515,BOM!$A$2:$K$94,9,0)</f>
        <v>Cái</v>
      </c>
    </row>
    <row r="516" spans="1:17" s="45" customFormat="1">
      <c r="A516" s="141"/>
      <c r="B516" s="65" t="s">
        <v>43</v>
      </c>
      <c r="C516" s="65" t="s">
        <v>44</v>
      </c>
      <c r="D516" s="85" t="s">
        <v>3</v>
      </c>
      <c r="E516" s="85">
        <f>E515</f>
        <v>5</v>
      </c>
      <c r="F516" s="62"/>
      <c r="G516" s="62"/>
      <c r="H516" s="62"/>
      <c r="I516" s="62"/>
      <c r="J516" s="62"/>
      <c r="K516" s="62" t="s">
        <v>4</v>
      </c>
      <c r="L516" s="62" t="s">
        <v>5</v>
      </c>
      <c r="M516" s="86" t="s">
        <v>6</v>
      </c>
      <c r="N516" s="86" t="s">
        <v>3</v>
      </c>
      <c r="O516" s="87">
        <f>VLOOKUP($B516,BOM!$A$2:$K$94,10,0)</f>
        <v>0</v>
      </c>
      <c r="P516" s="87">
        <f t="shared" si="26"/>
        <v>0</v>
      </c>
      <c r="Q516" s="87" t="str">
        <f>VLOOKUP($B516,BOM!$A$2:$K$94,9,0)</f>
        <v>Cái</v>
      </c>
    </row>
    <row r="517" spans="1:17">
      <c r="A517" s="141"/>
      <c r="B517" s="81"/>
      <c r="C517" s="72" t="s">
        <v>45</v>
      </c>
      <c r="D517" s="72"/>
      <c r="E517" s="72"/>
      <c r="F517" s="72"/>
      <c r="G517" s="72"/>
      <c r="H517" s="72"/>
      <c r="I517" s="72"/>
      <c r="J517" s="72"/>
      <c r="K517" s="83"/>
      <c r="L517" s="83"/>
      <c r="M517" s="83"/>
      <c r="N517" s="83"/>
      <c r="O517" s="87">
        <f>VLOOKUP($B517,BOM!$A$2:$K$94,10,0)</f>
        <v>0</v>
      </c>
      <c r="P517" s="87">
        <f t="shared" si="26"/>
        <v>0</v>
      </c>
      <c r="Q517" s="84">
        <f>VLOOKUP($B517,BOM!$A$2:$K$94,9,0)</f>
        <v>0</v>
      </c>
    </row>
    <row r="518" spans="1:17" s="45" customFormat="1">
      <c r="A518" s="141"/>
      <c r="B518" s="62" t="s">
        <v>48</v>
      </c>
      <c r="C518" s="62" t="s">
        <v>49</v>
      </c>
      <c r="D518" s="85" t="s">
        <v>14</v>
      </c>
      <c r="E518" s="85">
        <f>E511+E515+1</f>
        <v>9</v>
      </c>
      <c r="F518" s="62"/>
      <c r="G518" s="62"/>
      <c r="H518" s="62"/>
      <c r="I518" s="62"/>
      <c r="J518" s="62"/>
      <c r="K518" s="62"/>
      <c r="L518" s="62" t="s">
        <v>5</v>
      </c>
      <c r="M518" s="86" t="s">
        <v>6</v>
      </c>
      <c r="N518" s="86" t="s">
        <v>15</v>
      </c>
      <c r="O518" s="87">
        <f>VLOOKUP($B518,BOM!$A$2:$K$94,10,0)</f>
        <v>0</v>
      </c>
      <c r="P518" s="87">
        <f t="shared" si="26"/>
        <v>0</v>
      </c>
      <c r="Q518" s="87" t="str">
        <f>VLOOKUP($B518,BOM!$A$2:$K$94,9,0)</f>
        <v>Sợi</v>
      </c>
    </row>
    <row r="519" spans="1:17" s="45" customFormat="1">
      <c r="A519" s="141"/>
      <c r="B519" s="62" t="s">
        <v>48</v>
      </c>
      <c r="C519" s="62" t="s">
        <v>49</v>
      </c>
      <c r="D519" s="85" t="s">
        <v>14</v>
      </c>
      <c r="E519" s="90">
        <f>ROUNDUP(E518*0.2,0)</f>
        <v>2</v>
      </c>
      <c r="F519" s="62"/>
      <c r="G519" s="62"/>
      <c r="H519" s="62"/>
      <c r="I519" s="62"/>
      <c r="J519" s="62"/>
      <c r="K519" s="62" t="s">
        <v>4</v>
      </c>
      <c r="L519" s="62" t="s">
        <v>5</v>
      </c>
      <c r="M519" s="86" t="s">
        <v>6</v>
      </c>
      <c r="N519" s="86" t="s">
        <v>15</v>
      </c>
      <c r="O519" s="87">
        <f>VLOOKUP($B519,BOM!$A$2:$K$94,10,0)</f>
        <v>0</v>
      </c>
      <c r="P519" s="87">
        <f t="shared" si="26"/>
        <v>0</v>
      </c>
      <c r="Q519" s="87" t="str">
        <f>VLOOKUP($B519,BOM!$A$2:$K$94,9,0)</f>
        <v>Sợi</v>
      </c>
    </row>
    <row r="520" spans="1:17">
      <c r="A520" s="141"/>
      <c r="B520" s="81"/>
      <c r="C520" s="72" t="s">
        <v>50</v>
      </c>
      <c r="D520" s="72"/>
      <c r="E520" s="72"/>
      <c r="F520" s="72"/>
      <c r="G520" s="72"/>
      <c r="H520" s="72"/>
      <c r="I520" s="72"/>
      <c r="J520" s="72"/>
      <c r="K520" s="83"/>
      <c r="L520" s="83"/>
      <c r="M520" s="83"/>
      <c r="N520" s="83"/>
      <c r="O520" s="87">
        <f>VLOOKUP($B520,BOM!$A$2:$K$94,10,0)</f>
        <v>0</v>
      </c>
      <c r="P520" s="87">
        <f t="shared" si="26"/>
        <v>0</v>
      </c>
      <c r="Q520" s="84">
        <f>VLOOKUP($B520,BOM!$A$2:$K$94,9,0)</f>
        <v>0</v>
      </c>
    </row>
    <row r="521" spans="1:17" s="45" customFormat="1">
      <c r="A521" s="141"/>
      <c r="B521" s="62" t="s">
        <v>332</v>
      </c>
      <c r="C521" s="62" t="s">
        <v>332</v>
      </c>
      <c r="D521" s="85" t="s">
        <v>51</v>
      </c>
      <c r="E521" s="85">
        <f>E506</f>
        <v>1</v>
      </c>
      <c r="F521" s="62"/>
      <c r="G521" s="62"/>
      <c r="H521" s="62"/>
      <c r="I521" s="62"/>
      <c r="J521" s="62"/>
      <c r="K521" s="62"/>
      <c r="L521" s="62"/>
      <c r="M521" s="86"/>
      <c r="N521" s="86" t="s">
        <v>51</v>
      </c>
      <c r="O521" s="87">
        <f>VLOOKUP($B521,BOM!$A$2:$K$94,10,0)</f>
        <v>0</v>
      </c>
      <c r="P521" s="87">
        <f t="shared" si="26"/>
        <v>0</v>
      </c>
      <c r="Q521" s="87" t="str">
        <f>VLOOKUP($B521,BOM!$A$2:$K$94,9,0)</f>
        <v>bộ</v>
      </c>
    </row>
    <row r="522" spans="1:17" s="45" customFormat="1">
      <c r="A522" s="141"/>
      <c r="B522" s="62" t="s">
        <v>52</v>
      </c>
      <c r="C522" s="62" t="s">
        <v>53</v>
      </c>
      <c r="D522" s="86" t="s">
        <v>54</v>
      </c>
      <c r="E522" s="105">
        <f>E519+E518</f>
        <v>11</v>
      </c>
      <c r="F522" s="62"/>
      <c r="G522" s="62"/>
      <c r="H522" s="62"/>
      <c r="I522" s="62"/>
      <c r="J522" s="62"/>
      <c r="K522" s="62"/>
      <c r="L522" s="62"/>
      <c r="M522" s="86" t="s">
        <v>55</v>
      </c>
      <c r="N522" s="86" t="s">
        <v>54</v>
      </c>
      <c r="O522" s="87">
        <f>VLOOKUP($B522,BOM!$A$2:$K$94,10,0)</f>
        <v>0</v>
      </c>
      <c r="P522" s="87">
        <f t="shared" ref="P522:P585" si="29">O522*E522</f>
        <v>0</v>
      </c>
      <c r="Q522" s="87" t="str">
        <f>VLOOKUP($B522,BOM!$A$2:$K$94,9,0)</f>
        <v>node</v>
      </c>
    </row>
    <row r="523" spans="1:17" s="45" customFormat="1">
      <c r="A523" s="141"/>
      <c r="B523" s="62" t="s">
        <v>56</v>
      </c>
      <c r="C523" s="62" t="s">
        <v>57</v>
      </c>
      <c r="D523" s="86" t="s">
        <v>14</v>
      </c>
      <c r="E523" s="105">
        <f>E492+E488</f>
        <v>10</v>
      </c>
      <c r="F523" s="62"/>
      <c r="G523" s="62"/>
      <c r="H523" s="62"/>
      <c r="I523" s="62"/>
      <c r="J523" s="62"/>
      <c r="K523" s="62"/>
      <c r="L523" s="62"/>
      <c r="M523" s="86" t="s">
        <v>55</v>
      </c>
      <c r="N523" s="86" t="s">
        <v>14</v>
      </c>
      <c r="O523" s="87">
        <f>VLOOKUP($B523,BOM!$A$2:$K$94,10,0)</f>
        <v>0</v>
      </c>
      <c r="P523" s="87">
        <f t="shared" si="29"/>
        <v>0</v>
      </c>
      <c r="Q523" s="87" t="str">
        <f>VLOOKUP($B523,BOM!$A$2:$K$94,9,0)</f>
        <v>sợi</v>
      </c>
    </row>
    <row r="524" spans="1:17" s="45" customFormat="1">
      <c r="A524" s="141"/>
      <c r="B524" s="62" t="s">
        <v>58</v>
      </c>
      <c r="C524" s="62" t="s">
        <v>59</v>
      </c>
      <c r="D524" s="86" t="s">
        <v>60</v>
      </c>
      <c r="E524" s="105">
        <f>E523*2</f>
        <v>20</v>
      </c>
      <c r="F524" s="62"/>
      <c r="G524" s="62"/>
      <c r="H524" s="62"/>
      <c r="I524" s="62"/>
      <c r="J524" s="62"/>
      <c r="K524" s="62"/>
      <c r="L524" s="62"/>
      <c r="M524" s="86" t="s">
        <v>61</v>
      </c>
      <c r="N524" s="86" t="s">
        <v>60</v>
      </c>
      <c r="O524" s="87">
        <f>VLOOKUP($B524,BOM!$A$2:$K$94,10,0)</f>
        <v>0</v>
      </c>
      <c r="P524" s="87">
        <f t="shared" si="29"/>
        <v>0</v>
      </c>
      <c r="Q524" s="87" t="str">
        <f>VLOOKUP($B524,BOM!$A$2:$K$94,9,0)</f>
        <v>đầu</v>
      </c>
    </row>
    <row r="525" spans="1:17" s="45" customFormat="1">
      <c r="A525" s="141"/>
      <c r="B525" s="62" t="s">
        <v>62</v>
      </c>
      <c r="C525" s="62" t="s">
        <v>63</v>
      </c>
      <c r="D525" s="86" t="s">
        <v>64</v>
      </c>
      <c r="E525" s="105">
        <f>E502</f>
        <v>1</v>
      </c>
      <c r="F525" s="62"/>
      <c r="G525" s="62"/>
      <c r="H525" s="62"/>
      <c r="I525" s="62"/>
      <c r="J525" s="62"/>
      <c r="K525" s="62"/>
      <c r="L525" s="62"/>
      <c r="M525" s="86" t="s">
        <v>61</v>
      </c>
      <c r="N525" s="86" t="s">
        <v>64</v>
      </c>
      <c r="O525" s="87">
        <f>VLOOKUP($B525,BOM!$A$2:$K$94,10,0)</f>
        <v>0</v>
      </c>
      <c r="P525" s="87">
        <f t="shared" si="29"/>
        <v>0</v>
      </c>
      <c r="Q525" s="87" t="str">
        <f>VLOOKUP($B525,BOM!$A$2:$K$94,9,0)</f>
        <v>cái</v>
      </c>
    </row>
    <row r="526" spans="1:17" s="140" customFormat="1">
      <c r="A526" s="134">
        <v>11</v>
      </c>
      <c r="B526" s="135"/>
      <c r="C526" s="71" t="s">
        <v>81</v>
      </c>
      <c r="D526" s="136" t="s">
        <v>0</v>
      </c>
      <c r="E526" s="134">
        <v>1</v>
      </c>
      <c r="F526" s="134"/>
      <c r="G526" s="134"/>
      <c r="H526" s="134">
        <v>16</v>
      </c>
      <c r="I526" s="134"/>
      <c r="J526" s="137">
        <f>SUBTOTAL(9,J529:J553)</f>
        <v>15</v>
      </c>
      <c r="K526" s="137"/>
      <c r="L526" s="137"/>
      <c r="M526" s="137"/>
      <c r="N526" s="137"/>
      <c r="O526" s="87">
        <f>VLOOKUP($B526,BOM!$A$2:$K$94,10,0)</f>
        <v>0</v>
      </c>
      <c r="P526" s="87">
        <f t="shared" si="29"/>
        <v>0</v>
      </c>
      <c r="Q526" s="139">
        <f>VLOOKUP($B526,BOM!$A$2:$K$94,9,0)</f>
        <v>0</v>
      </c>
    </row>
    <row r="527" spans="1:17">
      <c r="A527" s="141"/>
      <c r="B527" s="81"/>
      <c r="C527" s="72" t="s">
        <v>124</v>
      </c>
      <c r="D527" s="72" t="s">
        <v>0</v>
      </c>
      <c r="E527" s="72">
        <v>1</v>
      </c>
      <c r="F527" s="72"/>
      <c r="G527" s="72"/>
      <c r="H527" s="72"/>
      <c r="I527" s="72"/>
      <c r="J527" s="72"/>
      <c r="K527" s="83"/>
      <c r="L527" s="83"/>
      <c r="M527" s="83"/>
      <c r="N527" s="83"/>
      <c r="O527" s="87">
        <f>VLOOKUP($B527,BOM!$A$2:$K$94,10,0)</f>
        <v>0</v>
      </c>
      <c r="P527" s="87">
        <f t="shared" si="29"/>
        <v>0</v>
      </c>
      <c r="Q527" s="84">
        <f>VLOOKUP($B527,BOM!$A$2:$K$94,9,0)</f>
        <v>0</v>
      </c>
    </row>
    <row r="528" spans="1:17" s="19" customFormat="1">
      <c r="A528" s="141"/>
      <c r="B528" s="21" t="s">
        <v>226</v>
      </c>
      <c r="C528" s="21" t="s">
        <v>227</v>
      </c>
      <c r="D528" s="21"/>
      <c r="E528" s="22">
        <v>1</v>
      </c>
      <c r="F528" s="21"/>
      <c r="G528" s="21"/>
      <c r="H528" s="21"/>
      <c r="I528" s="21"/>
      <c r="J528" s="21"/>
      <c r="K528" s="21" t="s">
        <v>4</v>
      </c>
      <c r="L528" s="21" t="s">
        <v>5</v>
      </c>
      <c r="M528" s="22" t="s">
        <v>22</v>
      </c>
      <c r="N528" s="22" t="s">
        <v>3</v>
      </c>
      <c r="O528" s="87">
        <f>VLOOKUP($B528,BOM!$A$2:$K$94,10,0)</f>
        <v>0</v>
      </c>
      <c r="P528" s="87">
        <f t="shared" si="29"/>
        <v>0</v>
      </c>
      <c r="Q528" s="142">
        <f>VLOOKUP($B528,BOM!$A$2:$K$94,9,0)</f>
        <v>0</v>
      </c>
    </row>
    <row r="529" spans="1:17" s="19" customFormat="1">
      <c r="A529" s="141"/>
      <c r="B529" s="21" t="s">
        <v>122</v>
      </c>
      <c r="C529" s="21" t="s">
        <v>123</v>
      </c>
      <c r="D529" s="21"/>
      <c r="E529" s="22">
        <v>1</v>
      </c>
      <c r="F529" s="21"/>
      <c r="G529" s="21"/>
      <c r="H529" s="21"/>
      <c r="I529" s="21"/>
      <c r="J529" s="21">
        <f>E529</f>
        <v>1</v>
      </c>
      <c r="K529" s="21" t="s">
        <v>4</v>
      </c>
      <c r="L529" s="21" t="s">
        <v>5</v>
      </c>
      <c r="M529" s="22" t="s">
        <v>22</v>
      </c>
      <c r="N529" s="22" t="s">
        <v>3</v>
      </c>
      <c r="O529" s="87">
        <f>VLOOKUP($B529,BOM!$A$2:$K$94,10,0)</f>
        <v>0</v>
      </c>
      <c r="P529" s="87">
        <f t="shared" si="29"/>
        <v>0</v>
      </c>
      <c r="Q529" s="142" t="str">
        <f>VLOOKUP($B529,BOM!$A$2:$K$94,9,0)</f>
        <v>Cái</v>
      </c>
    </row>
    <row r="530" spans="1:17">
      <c r="A530" s="141"/>
      <c r="B530" s="81"/>
      <c r="C530" s="72" t="s">
        <v>1</v>
      </c>
      <c r="D530" s="72" t="s">
        <v>0</v>
      </c>
      <c r="E530" s="72">
        <v>1</v>
      </c>
      <c r="F530" s="72"/>
      <c r="G530" s="72">
        <f>ROUNDUP(G526/24,0)</f>
        <v>0</v>
      </c>
      <c r="H530" s="72">
        <f t="shared" ref="H530" si="30">ROUNDUP(H526/24,0)</f>
        <v>1</v>
      </c>
      <c r="I530" s="72"/>
      <c r="J530" s="72"/>
      <c r="K530" s="83"/>
      <c r="L530" s="83"/>
      <c r="M530" s="83"/>
      <c r="N530" s="83"/>
      <c r="O530" s="87">
        <f>VLOOKUP($B530,BOM!$A$2:$K$94,10,0)</f>
        <v>0</v>
      </c>
      <c r="P530" s="87">
        <f t="shared" si="29"/>
        <v>0</v>
      </c>
      <c r="Q530" s="84">
        <f>VLOOKUP($B530,BOM!$A$2:$K$94,9,0)</f>
        <v>0</v>
      </c>
    </row>
    <row r="531" spans="1:17" s="45" customFormat="1">
      <c r="A531" s="141"/>
      <c r="B531" s="62">
        <v>760249997</v>
      </c>
      <c r="C531" s="62" t="s">
        <v>2</v>
      </c>
      <c r="D531" s="85" t="s">
        <v>3</v>
      </c>
      <c r="E531" s="85">
        <f>ROUNDUP((E533+E537)/3,0)</f>
        <v>1</v>
      </c>
      <c r="F531" s="62"/>
      <c r="G531" s="62"/>
      <c r="H531" s="62"/>
      <c r="I531" s="62"/>
      <c r="J531" s="21">
        <f>E531</f>
        <v>1</v>
      </c>
      <c r="K531" s="62" t="s">
        <v>4</v>
      </c>
      <c r="L531" s="62" t="s">
        <v>5</v>
      </c>
      <c r="M531" s="86" t="s">
        <v>6</v>
      </c>
      <c r="N531" s="86" t="s">
        <v>3</v>
      </c>
      <c r="O531" s="87">
        <f>VLOOKUP($B531,BOM!$A$2:$K$94,10,0)</f>
        <v>0</v>
      </c>
      <c r="P531" s="87">
        <f t="shared" si="29"/>
        <v>0</v>
      </c>
      <c r="Q531" s="87" t="str">
        <f>VLOOKUP($B531,BOM!$A$2:$K$94,9,0)</f>
        <v>Cái</v>
      </c>
    </row>
    <row r="532" spans="1:17" s="45" customFormat="1">
      <c r="A532" s="141"/>
      <c r="B532" s="62">
        <v>760241378</v>
      </c>
      <c r="C532" s="62" t="s">
        <v>7</v>
      </c>
      <c r="D532" s="85" t="s">
        <v>3</v>
      </c>
      <c r="E532" s="85">
        <f>IF(E533&lt;=2,1,ROUNDUP(E531*1.5,0))</f>
        <v>1</v>
      </c>
      <c r="F532" s="62"/>
      <c r="G532" s="62"/>
      <c r="H532" s="62"/>
      <c r="I532" s="62"/>
      <c r="J532" s="62"/>
      <c r="K532" s="62" t="s">
        <v>4</v>
      </c>
      <c r="L532" s="62" t="s">
        <v>5</v>
      </c>
      <c r="M532" s="86" t="s">
        <v>6</v>
      </c>
      <c r="N532" s="86" t="s">
        <v>3</v>
      </c>
      <c r="O532" s="87">
        <f>VLOOKUP($B532,BOM!$A$2:$K$94,10,0)</f>
        <v>0</v>
      </c>
      <c r="P532" s="87">
        <f t="shared" si="29"/>
        <v>0</v>
      </c>
      <c r="Q532" s="87" t="str">
        <f>VLOOKUP($B532,BOM!$A$2:$K$94,9,0)</f>
        <v>Cái</v>
      </c>
    </row>
    <row r="533" spans="1:17" s="45" customFormat="1">
      <c r="A533" s="141"/>
      <c r="B533" s="62" t="s">
        <v>8</v>
      </c>
      <c r="C533" s="62" t="s">
        <v>9</v>
      </c>
      <c r="D533" s="85" t="s">
        <v>3</v>
      </c>
      <c r="E533" s="85">
        <f>G530</f>
        <v>0</v>
      </c>
      <c r="F533" s="62"/>
      <c r="G533" s="62"/>
      <c r="H533" s="62"/>
      <c r="I533" s="62"/>
      <c r="J533" s="62"/>
      <c r="K533" s="62" t="s">
        <v>4</v>
      </c>
      <c r="L533" s="62" t="s">
        <v>5</v>
      </c>
      <c r="M533" s="86" t="s">
        <v>6</v>
      </c>
      <c r="N533" s="86" t="s">
        <v>3</v>
      </c>
      <c r="O533" s="87">
        <f>VLOOKUP($B533,BOM!$A$2:$K$94,10,0)</f>
        <v>0</v>
      </c>
      <c r="P533" s="87">
        <f t="shared" si="29"/>
        <v>0</v>
      </c>
      <c r="Q533" s="87" t="str">
        <f>VLOOKUP($B533,BOM!$A$2:$K$94,9,0)</f>
        <v>Cái</v>
      </c>
    </row>
    <row r="534" spans="1:17" s="45" customFormat="1">
      <c r="A534" s="141"/>
      <c r="B534" s="62" t="s">
        <v>10</v>
      </c>
      <c r="C534" s="62" t="s">
        <v>11</v>
      </c>
      <c r="D534" s="85" t="s">
        <v>3</v>
      </c>
      <c r="E534" s="85">
        <f>E531*3-E533-E537</f>
        <v>2</v>
      </c>
      <c r="F534" s="62"/>
      <c r="G534" s="62"/>
      <c r="H534" s="62"/>
      <c r="I534" s="62"/>
      <c r="J534" s="62"/>
      <c r="K534" s="62" t="s">
        <v>4</v>
      </c>
      <c r="L534" s="62" t="s">
        <v>5</v>
      </c>
      <c r="M534" s="86" t="s">
        <v>6</v>
      </c>
      <c r="N534" s="86" t="s">
        <v>3</v>
      </c>
      <c r="O534" s="87">
        <f>VLOOKUP($B534,BOM!$A$2:$K$94,10,0)</f>
        <v>0</v>
      </c>
      <c r="P534" s="87">
        <f t="shared" si="29"/>
        <v>0</v>
      </c>
      <c r="Q534" s="87" t="str">
        <f>VLOOKUP($B534,BOM!$A$2:$K$94,9,0)</f>
        <v>Cái</v>
      </c>
    </row>
    <row r="535" spans="1:17" s="45" customFormat="1">
      <c r="A535" s="141"/>
      <c r="B535" s="62" t="s">
        <v>12</v>
      </c>
      <c r="C535" s="62" t="s">
        <v>13</v>
      </c>
      <c r="D535" s="85" t="s">
        <v>14</v>
      </c>
      <c r="E535" s="85">
        <f>G526/2</f>
        <v>0</v>
      </c>
      <c r="F535" s="62"/>
      <c r="G535" s="62"/>
      <c r="H535" s="62"/>
      <c r="I535" s="62"/>
      <c r="J535" s="62"/>
      <c r="K535" s="62" t="s">
        <v>4</v>
      </c>
      <c r="L535" s="62" t="s">
        <v>5</v>
      </c>
      <c r="M535" s="86" t="s">
        <v>6</v>
      </c>
      <c r="N535" s="86" t="s">
        <v>15</v>
      </c>
      <c r="O535" s="87">
        <f>VLOOKUP($B535,BOM!$A$2:$K$94,10,0)</f>
        <v>0</v>
      </c>
      <c r="P535" s="87">
        <f t="shared" si="29"/>
        <v>0</v>
      </c>
      <c r="Q535" s="87" t="str">
        <f>VLOOKUP($B535,BOM!$A$2:$K$94,9,0)</f>
        <v>Sợi</v>
      </c>
    </row>
    <row r="536" spans="1:17" s="45" customFormat="1">
      <c r="A536" s="141"/>
      <c r="B536" s="62" t="s">
        <v>16</v>
      </c>
      <c r="C536" s="62" t="s">
        <v>17</v>
      </c>
      <c r="D536" s="85" t="s">
        <v>14</v>
      </c>
      <c r="E536" s="85">
        <f>ROUNDUP((E543*1.3),0)</f>
        <v>0</v>
      </c>
      <c r="F536" s="62"/>
      <c r="G536" s="62"/>
      <c r="H536" s="62"/>
      <c r="I536" s="62"/>
      <c r="J536" s="62"/>
      <c r="K536" s="62" t="s">
        <v>4</v>
      </c>
      <c r="L536" s="62" t="s">
        <v>5</v>
      </c>
      <c r="M536" s="86" t="s">
        <v>6</v>
      </c>
      <c r="N536" s="86" t="s">
        <v>15</v>
      </c>
      <c r="O536" s="87">
        <f>VLOOKUP($B536,BOM!$A$2:$K$94,10,0)</f>
        <v>0</v>
      </c>
      <c r="P536" s="87">
        <f t="shared" si="29"/>
        <v>0</v>
      </c>
      <c r="Q536" s="87" t="str">
        <f>VLOOKUP($B536,BOM!$A$2:$K$94,9,0)</f>
        <v>Sợi</v>
      </c>
    </row>
    <row r="537" spans="1:17" s="110" customFormat="1">
      <c r="A537" s="141"/>
      <c r="B537" s="66" t="s">
        <v>198</v>
      </c>
      <c r="C537" s="66" t="s">
        <v>199</v>
      </c>
      <c r="D537" s="89" t="s">
        <v>3</v>
      </c>
      <c r="E537" s="89">
        <f>H530</f>
        <v>1</v>
      </c>
      <c r="F537" s="66"/>
      <c r="G537" s="66"/>
      <c r="H537" s="66"/>
      <c r="I537" s="66"/>
      <c r="J537" s="66"/>
      <c r="K537" s="108" t="s">
        <v>4</v>
      </c>
      <c r="L537" s="108" t="s">
        <v>5</v>
      </c>
      <c r="M537" s="109" t="s">
        <v>6</v>
      </c>
      <c r="N537" s="109" t="s">
        <v>15</v>
      </c>
      <c r="O537" s="87">
        <f>VLOOKUP($B537,BOM!$A$2:$K$94,10,0)</f>
        <v>0</v>
      </c>
      <c r="P537" s="87">
        <f t="shared" si="29"/>
        <v>0</v>
      </c>
      <c r="Q537" s="146" t="str">
        <f>VLOOKUP($B537,BOM!$A$2:$K$94,9,0)</f>
        <v>Cái</v>
      </c>
    </row>
    <row r="538" spans="1:17" s="111" customFormat="1">
      <c r="A538" s="141"/>
      <c r="B538" s="66" t="s">
        <v>194</v>
      </c>
      <c r="C538" s="66" t="s">
        <v>195</v>
      </c>
      <c r="D538" s="89" t="s">
        <v>14</v>
      </c>
      <c r="E538" s="89">
        <f>ROUNDUP((E542*1.3),0)</f>
        <v>4</v>
      </c>
      <c r="F538" s="108"/>
      <c r="G538" s="108"/>
      <c r="H538" s="108"/>
      <c r="I538" s="108"/>
      <c r="J538" s="108"/>
      <c r="K538" s="108" t="s">
        <v>4</v>
      </c>
      <c r="L538" s="108" t="s">
        <v>5</v>
      </c>
      <c r="M538" s="109" t="s">
        <v>6</v>
      </c>
      <c r="N538" s="109" t="s">
        <v>15</v>
      </c>
      <c r="O538" s="87">
        <f>VLOOKUP($B538,BOM!$A$2:$K$94,10,0)</f>
        <v>0</v>
      </c>
      <c r="P538" s="87">
        <f t="shared" si="29"/>
        <v>0</v>
      </c>
      <c r="Q538" s="146" t="str">
        <f>VLOOKUP($B538,BOM!$A$2:$K$94,9,0)</f>
        <v>Cái</v>
      </c>
    </row>
    <row r="539" spans="1:17" s="110" customFormat="1">
      <c r="A539" s="141"/>
      <c r="B539" s="66" t="s">
        <v>196</v>
      </c>
      <c r="C539" s="66" t="s">
        <v>197</v>
      </c>
      <c r="D539" s="89" t="s">
        <v>14</v>
      </c>
      <c r="E539" s="89">
        <f>H526/2</f>
        <v>8</v>
      </c>
      <c r="F539" s="66"/>
      <c r="G539" s="66"/>
      <c r="H539" s="66"/>
      <c r="I539" s="66"/>
      <c r="J539" s="66"/>
      <c r="K539" s="108" t="s">
        <v>4</v>
      </c>
      <c r="L539" s="108" t="s">
        <v>5</v>
      </c>
      <c r="M539" s="109" t="s">
        <v>6</v>
      </c>
      <c r="N539" s="109" t="s">
        <v>15</v>
      </c>
      <c r="O539" s="87">
        <f>VLOOKUP($B539,BOM!$A$2:$K$94,10,0)</f>
        <v>0</v>
      </c>
      <c r="P539" s="87">
        <f t="shared" si="29"/>
        <v>0</v>
      </c>
      <c r="Q539" s="146" t="str">
        <f>VLOOKUP($B539,BOM!$A$2:$K$94,9,0)</f>
        <v>Cái</v>
      </c>
    </row>
    <row r="540" spans="1:17">
      <c r="A540" s="141"/>
      <c r="B540" s="81"/>
      <c r="C540" s="72" t="s">
        <v>26</v>
      </c>
      <c r="D540" s="72" t="s">
        <v>0</v>
      </c>
      <c r="E540" s="72">
        <v>1</v>
      </c>
      <c r="F540" s="72"/>
      <c r="G540" s="72"/>
      <c r="H540" s="72"/>
      <c r="I540" s="72"/>
      <c r="J540" s="72"/>
      <c r="K540" s="83"/>
      <c r="L540" s="83"/>
      <c r="M540" s="83"/>
      <c r="N540" s="83"/>
      <c r="O540" s="87">
        <f>VLOOKUP($B540,BOM!$A$2:$K$94,10,0)</f>
        <v>0</v>
      </c>
      <c r="P540" s="87">
        <f t="shared" si="29"/>
        <v>0</v>
      </c>
      <c r="Q540" s="84">
        <f>VLOOKUP($B540,BOM!$A$2:$K$94,9,0)</f>
        <v>0</v>
      </c>
    </row>
    <row r="541" spans="1:17" ht="60">
      <c r="A541" s="147"/>
      <c r="B541" s="67" t="s">
        <v>228</v>
      </c>
      <c r="C541" s="187" t="s">
        <v>324</v>
      </c>
      <c r="D541" s="90" t="s">
        <v>51</v>
      </c>
      <c r="E541" s="90">
        <v>1</v>
      </c>
      <c r="F541" s="65"/>
      <c r="G541" s="65"/>
      <c r="H541" s="65"/>
      <c r="I541" s="65"/>
      <c r="J541" s="103">
        <f>E541</f>
        <v>1</v>
      </c>
      <c r="K541" s="65" t="s">
        <v>143</v>
      </c>
      <c r="L541" s="65" t="s">
        <v>151</v>
      </c>
      <c r="M541" s="90" t="s">
        <v>154</v>
      </c>
      <c r="N541" s="90" t="s">
        <v>51</v>
      </c>
      <c r="O541" s="87">
        <f>VLOOKUP($B541,BOM!$A$2:$K$94,10,0)</f>
        <v>0</v>
      </c>
      <c r="P541" s="87">
        <f t="shared" si="29"/>
        <v>0</v>
      </c>
      <c r="Q541" s="151" t="str">
        <f>VLOOKUP($B541,BOM!$A$2:$K$94,9,0)</f>
        <v>cái</v>
      </c>
    </row>
    <row r="542" spans="1:17" s="111" customFormat="1">
      <c r="A542" s="120"/>
      <c r="B542" s="68" t="s">
        <v>216</v>
      </c>
      <c r="C542" s="68" t="s">
        <v>217</v>
      </c>
      <c r="D542" s="89" t="s">
        <v>64</v>
      </c>
      <c r="E542" s="89">
        <v>3</v>
      </c>
      <c r="F542" s="124"/>
      <c r="G542" s="124"/>
      <c r="H542" s="124"/>
      <c r="I542" s="124"/>
      <c r="J542" s="124"/>
      <c r="K542" s="124" t="s">
        <v>143</v>
      </c>
      <c r="L542" s="124" t="s">
        <v>151</v>
      </c>
      <c r="M542" s="89" t="s">
        <v>154</v>
      </c>
      <c r="N542" s="89" t="s">
        <v>64</v>
      </c>
      <c r="O542" s="87">
        <f>VLOOKUP($B542,BOM!$A$2:$K$94,10,0)</f>
        <v>0</v>
      </c>
      <c r="P542" s="87">
        <f t="shared" si="29"/>
        <v>0</v>
      </c>
      <c r="Q542" s="152" t="str">
        <f>VLOOKUP($B542,BOM!$A$2:$K$94,9,0)</f>
        <v>cái</v>
      </c>
    </row>
    <row r="543" spans="1:17" s="45" customFormat="1">
      <c r="A543" s="141"/>
      <c r="B543" s="64" t="s">
        <v>212</v>
      </c>
      <c r="C543" s="64" t="s">
        <v>213</v>
      </c>
      <c r="D543" s="97" t="s">
        <v>64</v>
      </c>
      <c r="E543" s="98">
        <v>0</v>
      </c>
      <c r="F543" s="95"/>
      <c r="G543" s="95"/>
      <c r="H543" s="95"/>
      <c r="I543" s="95"/>
      <c r="J543" s="95"/>
      <c r="K543" s="95" t="s">
        <v>143</v>
      </c>
      <c r="L543" s="95" t="s">
        <v>151</v>
      </c>
      <c r="M543" s="97" t="s">
        <v>154</v>
      </c>
      <c r="N543" s="97" t="s">
        <v>64</v>
      </c>
      <c r="O543" s="87">
        <f>VLOOKUP($B543,BOM!$A$2:$K$94,10,0)</f>
        <v>0</v>
      </c>
      <c r="P543" s="87">
        <f t="shared" si="29"/>
        <v>0</v>
      </c>
      <c r="Q543" s="153" t="str">
        <f>VLOOKUP($B543,BOM!$A$2:$K$94,9,0)</f>
        <v>cái</v>
      </c>
    </row>
    <row r="544" spans="1:17" s="45" customFormat="1">
      <c r="A544" s="141"/>
      <c r="B544" s="62"/>
      <c r="C544" s="62"/>
      <c r="D544" s="85"/>
      <c r="E544" s="90"/>
      <c r="F544" s="62"/>
      <c r="G544" s="62"/>
      <c r="H544" s="62"/>
      <c r="I544" s="62"/>
      <c r="J544" s="62"/>
      <c r="K544" s="62"/>
      <c r="L544" s="62"/>
      <c r="M544" s="86"/>
      <c r="N544" s="86"/>
      <c r="O544" s="87">
        <f>VLOOKUP($B544,BOM!$A$2:$K$94,10,0)</f>
        <v>0</v>
      </c>
      <c r="P544" s="87">
        <f t="shared" si="29"/>
        <v>0</v>
      </c>
      <c r="Q544" s="87">
        <f>VLOOKUP($B544,BOM!$A$2:$K$94,9,0)</f>
        <v>0</v>
      </c>
    </row>
    <row r="545" spans="1:17" s="45" customFormat="1">
      <c r="A545" s="141"/>
      <c r="B545" s="62"/>
      <c r="C545" s="62"/>
      <c r="D545" s="85"/>
      <c r="E545" s="90"/>
      <c r="F545" s="62"/>
      <c r="G545" s="62"/>
      <c r="H545" s="62"/>
      <c r="I545" s="62"/>
      <c r="J545" s="62"/>
      <c r="K545" s="62"/>
      <c r="L545" s="62"/>
      <c r="M545" s="86"/>
      <c r="N545" s="86"/>
      <c r="O545" s="87">
        <f>VLOOKUP($B545,BOM!$A$2:$K$94,10,0)</f>
        <v>0</v>
      </c>
      <c r="P545" s="87">
        <f t="shared" si="29"/>
        <v>0</v>
      </c>
      <c r="Q545" s="87">
        <f>VLOOKUP($B545,BOM!$A$2:$K$94,9,0)</f>
        <v>0</v>
      </c>
    </row>
    <row r="546" spans="1:17" outlineLevel="1">
      <c r="A546" s="141"/>
      <c r="B546" s="117"/>
      <c r="C546" s="61" t="s">
        <v>67</v>
      </c>
      <c r="D546" s="119" t="s">
        <v>0</v>
      </c>
      <c r="E546" s="120">
        <v>1</v>
      </c>
      <c r="F546" s="121"/>
      <c r="G546" s="121"/>
      <c r="H546" s="121" t="s">
        <v>69</v>
      </c>
      <c r="I546" s="122"/>
      <c r="J546" s="21">
        <f t="shared" ref="J546:J547" si="31">E546</f>
        <v>1</v>
      </c>
      <c r="K546" s="63"/>
      <c r="L546" s="63"/>
      <c r="M546" s="63"/>
      <c r="N546" s="63"/>
      <c r="O546" s="87">
        <f>VLOOKUP($B546,BOM!$A$2:$K$94,10,0)</f>
        <v>0</v>
      </c>
      <c r="P546" s="87">
        <f t="shared" si="29"/>
        <v>0</v>
      </c>
      <c r="Q546" s="80">
        <f>VLOOKUP($B546,BOM!$A$2:$K$94,9,0)</f>
        <v>0</v>
      </c>
    </row>
    <row r="547" spans="1:17" outlineLevel="1">
      <c r="A547" s="141"/>
      <c r="B547" s="117"/>
      <c r="C547" s="61" t="s">
        <v>70</v>
      </c>
      <c r="D547" s="119" t="s">
        <v>0</v>
      </c>
      <c r="E547" s="120">
        <v>1</v>
      </c>
      <c r="F547" s="121"/>
      <c r="G547" s="121"/>
      <c r="H547" s="121" t="s">
        <v>69</v>
      </c>
      <c r="I547" s="122"/>
      <c r="J547" s="21">
        <f t="shared" si="31"/>
        <v>1</v>
      </c>
      <c r="K547" s="63"/>
      <c r="L547" s="63"/>
      <c r="M547" s="63"/>
      <c r="N547" s="63"/>
      <c r="O547" s="87">
        <f>VLOOKUP($B547,BOM!$A$2:$K$94,10,0)</f>
        <v>0</v>
      </c>
      <c r="P547" s="87">
        <f t="shared" si="29"/>
        <v>0</v>
      </c>
      <c r="Q547" s="80">
        <f>VLOOKUP($B547,BOM!$A$2:$K$94,9,0)</f>
        <v>0</v>
      </c>
    </row>
    <row r="548" spans="1:17">
      <c r="A548" s="141"/>
      <c r="B548" s="81"/>
      <c r="C548" s="72" t="s">
        <v>18</v>
      </c>
      <c r="D548" s="72" t="s">
        <v>0</v>
      </c>
      <c r="E548" s="72">
        <v>1</v>
      </c>
      <c r="F548" s="72"/>
      <c r="G548" s="72"/>
      <c r="H548" s="72"/>
      <c r="I548" s="72"/>
      <c r="J548" s="72"/>
      <c r="K548" s="83"/>
      <c r="L548" s="83"/>
      <c r="M548" s="83"/>
      <c r="N548" s="83"/>
      <c r="O548" s="87">
        <f>VLOOKUP($B548,BOM!$A$2:$K$94,10,0)</f>
        <v>0</v>
      </c>
      <c r="P548" s="87">
        <f t="shared" si="29"/>
        <v>0</v>
      </c>
      <c r="Q548" s="84">
        <f>VLOOKUP($B548,BOM!$A$2:$K$94,9,0)</f>
        <v>0</v>
      </c>
    </row>
    <row r="549" spans="1:17" s="45" customFormat="1">
      <c r="A549" s="141"/>
      <c r="B549" s="62">
        <v>760237046</v>
      </c>
      <c r="C549" s="62" t="s">
        <v>19</v>
      </c>
      <c r="D549" s="85" t="s">
        <v>3</v>
      </c>
      <c r="E549" s="85">
        <f>E541+E544</f>
        <v>1</v>
      </c>
      <c r="F549" s="62"/>
      <c r="G549" s="62"/>
      <c r="H549" s="62"/>
      <c r="I549" s="62"/>
      <c r="J549" s="21">
        <f>E549</f>
        <v>1</v>
      </c>
      <c r="K549" s="62" t="s">
        <v>4</v>
      </c>
      <c r="L549" s="62" t="s">
        <v>5</v>
      </c>
      <c r="M549" s="86" t="s">
        <v>6</v>
      </c>
      <c r="N549" s="86" t="s">
        <v>3</v>
      </c>
      <c r="O549" s="87">
        <f>VLOOKUP($B549,BOM!$A$2:$K$94,10,0)</f>
        <v>0</v>
      </c>
      <c r="P549" s="87">
        <f t="shared" si="29"/>
        <v>0</v>
      </c>
      <c r="Q549" s="87" t="str">
        <f>VLOOKUP($B549,BOM!$A$2:$K$94,9,0)</f>
        <v>Cái</v>
      </c>
    </row>
    <row r="550" spans="1:17" s="45" customFormat="1">
      <c r="A550" s="141"/>
      <c r="B550" s="62" t="s">
        <v>23</v>
      </c>
      <c r="C550" s="62" t="s">
        <v>24</v>
      </c>
      <c r="D550" s="85" t="s">
        <v>3</v>
      </c>
      <c r="E550" s="85">
        <f>E549*24</f>
        <v>24</v>
      </c>
      <c r="F550" s="62"/>
      <c r="G550" s="62"/>
      <c r="H550" s="62"/>
      <c r="I550" s="62"/>
      <c r="J550" s="62"/>
      <c r="K550" s="62" t="s">
        <v>25</v>
      </c>
      <c r="L550" s="62" t="s">
        <v>5</v>
      </c>
      <c r="M550" s="86" t="s">
        <v>6</v>
      </c>
      <c r="N550" s="86" t="s">
        <v>3</v>
      </c>
      <c r="O550" s="87">
        <f>VLOOKUP($B550,BOM!$A$2:$K$94,10,0)</f>
        <v>0</v>
      </c>
      <c r="P550" s="87">
        <f t="shared" si="29"/>
        <v>0</v>
      </c>
      <c r="Q550" s="87" t="str">
        <f>VLOOKUP($B550,BOM!$A$2:$K$94,9,0)</f>
        <v>Cái</v>
      </c>
    </row>
    <row r="551" spans="1:17" s="45" customFormat="1">
      <c r="A551" s="141"/>
      <c r="B551" s="62" t="s">
        <v>20</v>
      </c>
      <c r="C551" s="62" t="s">
        <v>21</v>
      </c>
      <c r="D551" s="85" t="s">
        <v>3</v>
      </c>
      <c r="E551" s="85">
        <f>E549</f>
        <v>1</v>
      </c>
      <c r="F551" s="62"/>
      <c r="G551" s="62"/>
      <c r="H551" s="62"/>
      <c r="I551" s="62"/>
      <c r="J551" s="21">
        <f>E551</f>
        <v>1</v>
      </c>
      <c r="K551" s="62" t="s">
        <v>4</v>
      </c>
      <c r="L551" s="62" t="s">
        <v>5</v>
      </c>
      <c r="M551" s="86" t="s">
        <v>22</v>
      </c>
      <c r="N551" s="86" t="s">
        <v>3</v>
      </c>
      <c r="O551" s="87">
        <f>VLOOKUP($B551,BOM!$A$2:$K$94,10,0)</f>
        <v>0</v>
      </c>
      <c r="P551" s="87">
        <f t="shared" si="29"/>
        <v>0</v>
      </c>
      <c r="Q551" s="87" t="str">
        <f>VLOOKUP($B551,BOM!$A$2:$K$94,9,0)</f>
        <v>Cái</v>
      </c>
    </row>
    <row r="552" spans="1:17">
      <c r="A552" s="141"/>
      <c r="B552" s="81"/>
      <c r="C552" s="72" t="s">
        <v>71</v>
      </c>
      <c r="D552" s="72" t="s">
        <v>0</v>
      </c>
      <c r="E552" s="72">
        <v>1</v>
      </c>
      <c r="F552" s="72"/>
      <c r="G552" s="72"/>
      <c r="H552" s="72"/>
      <c r="I552" s="72"/>
      <c r="J552" s="72"/>
      <c r="K552" s="83"/>
      <c r="L552" s="83"/>
      <c r="M552" s="83"/>
      <c r="N552" s="83"/>
      <c r="O552" s="87">
        <f>VLOOKUP($B552,BOM!$A$2:$K$94,10,0)</f>
        <v>0</v>
      </c>
      <c r="P552" s="87">
        <f t="shared" si="29"/>
        <v>0</v>
      </c>
      <c r="Q552" s="84">
        <f>VLOOKUP($B552,BOM!$A$2:$K$94,9,0)</f>
        <v>0</v>
      </c>
    </row>
    <row r="553" spans="1:17" s="45" customFormat="1">
      <c r="A553" s="141"/>
      <c r="B553" s="62" t="s">
        <v>314</v>
      </c>
      <c r="C553" s="62" t="s">
        <v>316</v>
      </c>
      <c r="D553" s="116" t="s">
        <v>51</v>
      </c>
      <c r="E553" s="85">
        <v>1</v>
      </c>
      <c r="F553" s="62"/>
      <c r="G553" s="62"/>
      <c r="H553" s="62"/>
      <c r="I553" s="62"/>
      <c r="J553" s="86">
        <f>E553*8</f>
        <v>8</v>
      </c>
      <c r="K553" s="62"/>
      <c r="L553" s="62" t="s">
        <v>5</v>
      </c>
      <c r="M553" s="86" t="s">
        <v>28</v>
      </c>
      <c r="N553" s="86" t="s">
        <v>3</v>
      </c>
      <c r="O553" s="87">
        <f>VLOOKUP($B553,BOM!$A$2:$K$94,10,0)</f>
        <v>0</v>
      </c>
      <c r="P553" s="87">
        <f t="shared" si="29"/>
        <v>0</v>
      </c>
      <c r="Q553" s="87" t="str">
        <f>VLOOKUP($B553,BOM!$A$2:$K$94,9,0)</f>
        <v>Cái</v>
      </c>
    </row>
    <row r="554" spans="1:17" s="45" customFormat="1">
      <c r="A554" s="141"/>
      <c r="B554" s="62"/>
      <c r="C554" s="62"/>
      <c r="D554" s="116"/>
      <c r="E554" s="85"/>
      <c r="F554" s="62"/>
      <c r="G554" s="62"/>
      <c r="H554" s="62"/>
      <c r="I554" s="62"/>
      <c r="J554" s="62"/>
      <c r="K554" s="62"/>
      <c r="L554" s="62"/>
      <c r="M554" s="86"/>
      <c r="N554" s="86"/>
      <c r="O554" s="87">
        <f>VLOOKUP($B554,BOM!$A$2:$K$94,10,0)</f>
        <v>0</v>
      </c>
      <c r="P554" s="87">
        <f t="shared" si="29"/>
        <v>0</v>
      </c>
      <c r="Q554" s="87">
        <f>VLOOKUP($B554,BOM!$A$2:$K$94,9,0)</f>
        <v>0</v>
      </c>
    </row>
    <row r="555" spans="1:17" s="45" customFormat="1">
      <c r="A555" s="141"/>
      <c r="B555" s="62" t="s">
        <v>225</v>
      </c>
      <c r="C555" s="62" t="s">
        <v>72</v>
      </c>
      <c r="D555" s="116" t="s">
        <v>64</v>
      </c>
      <c r="E555" s="85">
        <v>0</v>
      </c>
      <c r="F555" s="62"/>
      <c r="G555" s="62"/>
      <c r="H555" s="62"/>
      <c r="I555" s="62"/>
      <c r="J555" s="62"/>
      <c r="K555" s="62"/>
      <c r="L555" s="62" t="s">
        <v>5</v>
      </c>
      <c r="M555" s="86" t="s">
        <v>28</v>
      </c>
      <c r="N555" s="86" t="s">
        <v>3</v>
      </c>
      <c r="O555" s="87">
        <f>VLOOKUP($B555,BOM!$A$2:$K$94,10,0)</f>
        <v>0</v>
      </c>
      <c r="P555" s="87">
        <f t="shared" si="29"/>
        <v>0</v>
      </c>
      <c r="Q555" s="87" t="str">
        <f>VLOOKUP($B555,BOM!$A$2:$K$94,9,0)</f>
        <v>Cái</v>
      </c>
    </row>
    <row r="556" spans="1:17">
      <c r="A556" s="141"/>
      <c r="B556" s="81"/>
      <c r="C556" s="72" t="s">
        <v>31</v>
      </c>
      <c r="D556" s="72" t="s">
        <v>0</v>
      </c>
      <c r="E556" s="72">
        <v>1</v>
      </c>
      <c r="F556" s="72"/>
      <c r="G556" s="72"/>
      <c r="H556" s="72"/>
      <c r="I556" s="72"/>
      <c r="J556" s="72"/>
      <c r="K556" s="83"/>
      <c r="L556" s="83"/>
      <c r="M556" s="83"/>
      <c r="N556" s="83"/>
      <c r="O556" s="87">
        <f>VLOOKUP($B556,BOM!$A$2:$K$94,10,0)</f>
        <v>0</v>
      </c>
      <c r="P556" s="87">
        <f t="shared" si="29"/>
        <v>0</v>
      </c>
      <c r="Q556" s="84">
        <f>VLOOKUP($B556,BOM!$A$2:$K$94,9,0)</f>
        <v>0</v>
      </c>
    </row>
    <row r="557" spans="1:17">
      <c r="A557" s="141"/>
      <c r="B557" s="81"/>
      <c r="C557" s="72" t="s">
        <v>32</v>
      </c>
      <c r="D557" s="72"/>
      <c r="E557" s="72"/>
      <c r="F557" s="72"/>
      <c r="G557" s="72">
        <v>5</v>
      </c>
      <c r="H557" s="72"/>
      <c r="I557" s="72"/>
      <c r="J557" s="72"/>
      <c r="K557" s="83"/>
      <c r="L557" s="83"/>
      <c r="M557" s="83"/>
      <c r="N557" s="83"/>
      <c r="O557" s="87">
        <f>VLOOKUP($B557,BOM!$A$2:$K$94,10,0)</f>
        <v>0</v>
      </c>
      <c r="P557" s="87">
        <f t="shared" si="29"/>
        <v>0</v>
      </c>
      <c r="Q557" s="84">
        <f>VLOOKUP($B557,BOM!$A$2:$K$94,9,0)</f>
        <v>0</v>
      </c>
    </row>
    <row r="558" spans="1:17" s="45" customFormat="1" ht="20.45" customHeight="1">
      <c r="A558" s="141"/>
      <c r="B558" s="62" t="s">
        <v>33</v>
      </c>
      <c r="C558" s="62" t="s">
        <v>34</v>
      </c>
      <c r="D558" s="85" t="s">
        <v>3</v>
      </c>
      <c r="E558" s="90">
        <f>E559</f>
        <v>5</v>
      </c>
      <c r="F558" s="62"/>
      <c r="G558" s="62"/>
      <c r="H558" s="62"/>
      <c r="I558" s="62"/>
      <c r="J558" s="62"/>
      <c r="K558" s="62" t="s">
        <v>35</v>
      </c>
      <c r="L558" s="62" t="s">
        <v>5</v>
      </c>
      <c r="M558" s="86" t="s">
        <v>6</v>
      </c>
      <c r="N558" s="86" t="s">
        <v>3</v>
      </c>
      <c r="O558" s="87">
        <f>VLOOKUP($B558,BOM!$A$2:$K$94,10,0)</f>
        <v>0</v>
      </c>
      <c r="P558" s="87">
        <f t="shared" si="29"/>
        <v>0</v>
      </c>
      <c r="Q558" s="87" t="str">
        <f>VLOOKUP($B558,BOM!$A$2:$K$94,9,0)</f>
        <v>Cái</v>
      </c>
    </row>
    <row r="559" spans="1:17" s="45" customFormat="1">
      <c r="A559" s="141"/>
      <c r="B559" s="62" t="s">
        <v>330</v>
      </c>
      <c r="C559" s="62" t="s">
        <v>36</v>
      </c>
      <c r="D559" s="85" t="s">
        <v>3</v>
      </c>
      <c r="E559" s="90">
        <f>G557+H557</f>
        <v>5</v>
      </c>
      <c r="F559" s="62"/>
      <c r="G559" s="62"/>
      <c r="H559" s="62"/>
      <c r="I559" s="62"/>
      <c r="J559" s="62"/>
      <c r="K559" s="62" t="s">
        <v>37</v>
      </c>
      <c r="L559" s="62" t="s">
        <v>5</v>
      </c>
      <c r="M559" s="86" t="s">
        <v>37</v>
      </c>
      <c r="N559" s="86" t="s">
        <v>3</v>
      </c>
      <c r="O559" s="87">
        <f>VLOOKUP($B559,BOM!$A$2:$K$94,10,0)</f>
        <v>0</v>
      </c>
      <c r="P559" s="87">
        <f t="shared" si="29"/>
        <v>0</v>
      </c>
      <c r="Q559" s="87" t="str">
        <f>VLOOKUP($B559,BOM!$A$2:$K$94,9,0)</f>
        <v>Cái</v>
      </c>
    </row>
    <row r="560" spans="1:17" s="45" customFormat="1">
      <c r="A560" s="141"/>
      <c r="B560" s="62" t="s">
        <v>38</v>
      </c>
      <c r="C560" s="62" t="s">
        <v>39</v>
      </c>
      <c r="D560" s="85" t="s">
        <v>3</v>
      </c>
      <c r="E560" s="90">
        <f>E559</f>
        <v>5</v>
      </c>
      <c r="F560" s="62"/>
      <c r="G560" s="62"/>
      <c r="H560" s="62"/>
      <c r="I560" s="62"/>
      <c r="J560" s="62"/>
      <c r="K560" s="62" t="s">
        <v>25</v>
      </c>
      <c r="L560" s="62" t="s">
        <v>5</v>
      </c>
      <c r="M560" s="86" t="s">
        <v>6</v>
      </c>
      <c r="N560" s="86" t="s">
        <v>3</v>
      </c>
      <c r="O560" s="87">
        <f>VLOOKUP($B560,BOM!$A$2:$K$94,10,0)</f>
        <v>0</v>
      </c>
      <c r="P560" s="87">
        <f t="shared" si="29"/>
        <v>0</v>
      </c>
      <c r="Q560" s="87" t="str">
        <f>VLOOKUP($B560,BOM!$A$2:$K$94,9,0)</f>
        <v>Cái</v>
      </c>
    </row>
    <row r="561" spans="1:17">
      <c r="A561" s="141"/>
      <c r="B561" s="81"/>
      <c r="C561" s="72" t="s">
        <v>40</v>
      </c>
      <c r="D561" s="72"/>
      <c r="E561" s="72"/>
      <c r="F561" s="72"/>
      <c r="G561" s="72">
        <v>5</v>
      </c>
      <c r="H561" s="72"/>
      <c r="I561" s="72"/>
      <c r="J561" s="72"/>
      <c r="K561" s="83"/>
      <c r="L561" s="83"/>
      <c r="M561" s="83"/>
      <c r="N561" s="83"/>
      <c r="O561" s="87">
        <f>VLOOKUP($B561,BOM!$A$2:$K$94,10,0)</f>
        <v>0</v>
      </c>
      <c r="P561" s="87">
        <f t="shared" si="29"/>
        <v>0</v>
      </c>
      <c r="Q561" s="84">
        <f>VLOOKUP($B561,BOM!$A$2:$K$94,9,0)</f>
        <v>0</v>
      </c>
    </row>
    <row r="562" spans="1:17" s="45" customFormat="1">
      <c r="A562" s="141"/>
      <c r="B562" s="62" t="s">
        <v>41</v>
      </c>
      <c r="C562" s="62" t="s">
        <v>42</v>
      </c>
      <c r="D562" s="85" t="s">
        <v>3</v>
      </c>
      <c r="E562" s="85">
        <f>G561+H561</f>
        <v>5</v>
      </c>
      <c r="F562" s="62"/>
      <c r="G562" s="62"/>
      <c r="H562" s="62"/>
      <c r="I562" s="62"/>
      <c r="J562" s="62"/>
      <c r="K562" s="62" t="s">
        <v>4</v>
      </c>
      <c r="L562" s="62" t="s">
        <v>5</v>
      </c>
      <c r="M562" s="86" t="s">
        <v>6</v>
      </c>
      <c r="N562" s="86" t="s">
        <v>3</v>
      </c>
      <c r="O562" s="87">
        <f>VLOOKUP($B562,BOM!$A$2:$K$94,10,0)</f>
        <v>0</v>
      </c>
      <c r="P562" s="87">
        <f t="shared" si="29"/>
        <v>0</v>
      </c>
      <c r="Q562" s="87" t="str">
        <f>VLOOKUP($B562,BOM!$A$2:$K$94,9,0)</f>
        <v>Cái</v>
      </c>
    </row>
    <row r="563" spans="1:17" s="45" customFormat="1">
      <c r="A563" s="141"/>
      <c r="B563" s="65" t="s">
        <v>43</v>
      </c>
      <c r="C563" s="65" t="s">
        <v>44</v>
      </c>
      <c r="D563" s="85" t="s">
        <v>3</v>
      </c>
      <c r="E563" s="85">
        <f>E562</f>
        <v>5</v>
      </c>
      <c r="F563" s="62"/>
      <c r="G563" s="62"/>
      <c r="H563" s="62"/>
      <c r="I563" s="62"/>
      <c r="J563" s="62"/>
      <c r="K563" s="62" t="s">
        <v>4</v>
      </c>
      <c r="L563" s="62" t="s">
        <v>5</v>
      </c>
      <c r="M563" s="86" t="s">
        <v>6</v>
      </c>
      <c r="N563" s="86" t="s">
        <v>3</v>
      </c>
      <c r="O563" s="87">
        <f>VLOOKUP($B563,BOM!$A$2:$K$94,10,0)</f>
        <v>0</v>
      </c>
      <c r="P563" s="87">
        <f t="shared" si="29"/>
        <v>0</v>
      </c>
      <c r="Q563" s="87" t="str">
        <f>VLOOKUP($B563,BOM!$A$2:$K$94,9,0)</f>
        <v>Cái</v>
      </c>
    </row>
    <row r="564" spans="1:17">
      <c r="A564" s="141"/>
      <c r="B564" s="81"/>
      <c r="C564" s="72" t="s">
        <v>45</v>
      </c>
      <c r="D564" s="72"/>
      <c r="E564" s="72"/>
      <c r="F564" s="72"/>
      <c r="G564" s="72"/>
      <c r="H564" s="72"/>
      <c r="I564" s="72"/>
      <c r="J564" s="72"/>
      <c r="K564" s="83"/>
      <c r="L564" s="83"/>
      <c r="M564" s="83"/>
      <c r="N564" s="83"/>
      <c r="O564" s="87">
        <f>VLOOKUP($B564,BOM!$A$2:$K$94,10,0)</f>
        <v>0</v>
      </c>
      <c r="P564" s="87">
        <f t="shared" si="29"/>
        <v>0</v>
      </c>
      <c r="Q564" s="84">
        <f>VLOOKUP($B564,BOM!$A$2:$K$94,9,0)</f>
        <v>0</v>
      </c>
    </row>
    <row r="565" spans="1:17" s="45" customFormat="1">
      <c r="A565" s="141"/>
      <c r="B565" s="62" t="s">
        <v>48</v>
      </c>
      <c r="C565" s="62" t="s">
        <v>49</v>
      </c>
      <c r="D565" s="85" t="s">
        <v>14</v>
      </c>
      <c r="E565" s="85">
        <f>E558+E562+1</f>
        <v>11</v>
      </c>
      <c r="F565" s="62"/>
      <c r="G565" s="62"/>
      <c r="H565" s="62"/>
      <c r="I565" s="62"/>
      <c r="J565" s="62"/>
      <c r="K565" s="62"/>
      <c r="L565" s="62" t="s">
        <v>5</v>
      </c>
      <c r="M565" s="86" t="s">
        <v>6</v>
      </c>
      <c r="N565" s="86" t="s">
        <v>15</v>
      </c>
      <c r="O565" s="87">
        <f>VLOOKUP($B565,BOM!$A$2:$K$94,10,0)</f>
        <v>0</v>
      </c>
      <c r="P565" s="87">
        <f t="shared" si="29"/>
        <v>0</v>
      </c>
      <c r="Q565" s="87" t="str">
        <f>VLOOKUP($B565,BOM!$A$2:$K$94,9,0)</f>
        <v>Sợi</v>
      </c>
    </row>
    <row r="566" spans="1:17" s="45" customFormat="1">
      <c r="A566" s="141"/>
      <c r="B566" s="62" t="s">
        <v>48</v>
      </c>
      <c r="C566" s="62" t="s">
        <v>49</v>
      </c>
      <c r="D566" s="85" t="s">
        <v>14</v>
      </c>
      <c r="E566" s="90">
        <f>ROUNDUP(E565*0.2,0)</f>
        <v>3</v>
      </c>
      <c r="F566" s="62"/>
      <c r="G566" s="62"/>
      <c r="H566" s="62"/>
      <c r="I566" s="62"/>
      <c r="J566" s="62"/>
      <c r="K566" s="62" t="s">
        <v>4</v>
      </c>
      <c r="L566" s="62" t="s">
        <v>5</v>
      </c>
      <c r="M566" s="86" t="s">
        <v>6</v>
      </c>
      <c r="N566" s="86" t="s">
        <v>15</v>
      </c>
      <c r="O566" s="87">
        <f>VLOOKUP($B566,BOM!$A$2:$K$94,10,0)</f>
        <v>0</v>
      </c>
      <c r="P566" s="87">
        <f t="shared" si="29"/>
        <v>0</v>
      </c>
      <c r="Q566" s="87" t="str">
        <f>VLOOKUP($B566,BOM!$A$2:$K$94,9,0)</f>
        <v>Sợi</v>
      </c>
    </row>
    <row r="567" spans="1:17">
      <c r="A567" s="141"/>
      <c r="B567" s="81"/>
      <c r="C567" s="72" t="s">
        <v>50</v>
      </c>
      <c r="D567" s="72"/>
      <c r="E567" s="72"/>
      <c r="F567" s="72"/>
      <c r="G567" s="72"/>
      <c r="H567" s="72"/>
      <c r="I567" s="72"/>
      <c r="J567" s="72"/>
      <c r="K567" s="83"/>
      <c r="L567" s="83"/>
      <c r="M567" s="83"/>
      <c r="N567" s="83"/>
      <c r="O567" s="87">
        <f>VLOOKUP($B567,BOM!$A$2:$K$94,10,0)</f>
        <v>0</v>
      </c>
      <c r="P567" s="87">
        <f t="shared" si="29"/>
        <v>0</v>
      </c>
      <c r="Q567" s="84">
        <f>VLOOKUP($B567,BOM!$A$2:$K$94,9,0)</f>
        <v>0</v>
      </c>
    </row>
    <row r="568" spans="1:17" s="45" customFormat="1">
      <c r="A568" s="141"/>
      <c r="B568" s="62" t="s">
        <v>332</v>
      </c>
      <c r="C568" s="62" t="s">
        <v>332</v>
      </c>
      <c r="D568" s="85" t="s">
        <v>51</v>
      </c>
      <c r="E568" s="85">
        <f>E553</f>
        <v>1</v>
      </c>
      <c r="F568" s="62"/>
      <c r="G568" s="62"/>
      <c r="H568" s="62"/>
      <c r="I568" s="62"/>
      <c r="J568" s="62"/>
      <c r="K568" s="62"/>
      <c r="L568" s="62"/>
      <c r="M568" s="86"/>
      <c r="N568" s="86" t="s">
        <v>51</v>
      </c>
      <c r="O568" s="87">
        <f>VLOOKUP($B568,BOM!$A$2:$K$94,10,0)</f>
        <v>0</v>
      </c>
      <c r="P568" s="87">
        <f t="shared" si="29"/>
        <v>0</v>
      </c>
      <c r="Q568" s="87" t="str">
        <f>VLOOKUP($B568,BOM!$A$2:$K$94,9,0)</f>
        <v>bộ</v>
      </c>
    </row>
    <row r="569" spans="1:17" s="45" customFormat="1">
      <c r="A569" s="141"/>
      <c r="B569" s="62" t="s">
        <v>52</v>
      </c>
      <c r="C569" s="62" t="s">
        <v>53</v>
      </c>
      <c r="D569" s="86" t="s">
        <v>54</v>
      </c>
      <c r="E569" s="105">
        <f>E566+E565</f>
        <v>14</v>
      </c>
      <c r="F569" s="62"/>
      <c r="G569" s="62"/>
      <c r="H569" s="62"/>
      <c r="I569" s="62"/>
      <c r="J569" s="62"/>
      <c r="K569" s="62"/>
      <c r="L569" s="62"/>
      <c r="M569" s="86" t="s">
        <v>55</v>
      </c>
      <c r="N569" s="86" t="s">
        <v>54</v>
      </c>
      <c r="O569" s="87">
        <f>VLOOKUP($B569,BOM!$A$2:$K$94,10,0)</f>
        <v>0</v>
      </c>
      <c r="P569" s="87">
        <f t="shared" si="29"/>
        <v>0</v>
      </c>
      <c r="Q569" s="87" t="str">
        <f>VLOOKUP($B569,BOM!$A$2:$K$94,9,0)</f>
        <v>node</v>
      </c>
    </row>
    <row r="570" spans="1:17" s="45" customFormat="1">
      <c r="A570" s="141"/>
      <c r="B570" s="62" t="s">
        <v>56</v>
      </c>
      <c r="C570" s="62" t="s">
        <v>57</v>
      </c>
      <c r="D570" s="86" t="s">
        <v>14</v>
      </c>
      <c r="E570" s="105">
        <f>E539+E535</f>
        <v>8</v>
      </c>
      <c r="F570" s="62"/>
      <c r="G570" s="62"/>
      <c r="H570" s="62"/>
      <c r="I570" s="62"/>
      <c r="J570" s="62"/>
      <c r="K570" s="62"/>
      <c r="L570" s="62"/>
      <c r="M570" s="86" t="s">
        <v>55</v>
      </c>
      <c r="N570" s="86" t="s">
        <v>14</v>
      </c>
      <c r="O570" s="87">
        <f>VLOOKUP($B570,BOM!$A$2:$K$94,10,0)</f>
        <v>0</v>
      </c>
      <c r="P570" s="87">
        <f t="shared" si="29"/>
        <v>0</v>
      </c>
      <c r="Q570" s="87" t="str">
        <f>VLOOKUP($B570,BOM!$A$2:$K$94,9,0)</f>
        <v>sợi</v>
      </c>
    </row>
    <row r="571" spans="1:17" s="45" customFormat="1">
      <c r="A571" s="141"/>
      <c r="B571" s="62" t="s">
        <v>58</v>
      </c>
      <c r="C571" s="62" t="s">
        <v>59</v>
      </c>
      <c r="D571" s="86" t="s">
        <v>60</v>
      </c>
      <c r="E571" s="105">
        <f>E570*2</f>
        <v>16</v>
      </c>
      <c r="F571" s="62"/>
      <c r="G571" s="62"/>
      <c r="H571" s="62"/>
      <c r="I571" s="62"/>
      <c r="J571" s="62"/>
      <c r="K571" s="62"/>
      <c r="L571" s="62"/>
      <c r="M571" s="86" t="s">
        <v>61</v>
      </c>
      <c r="N571" s="86" t="s">
        <v>60</v>
      </c>
      <c r="O571" s="87">
        <f>VLOOKUP($B571,BOM!$A$2:$K$94,10,0)</f>
        <v>0</v>
      </c>
      <c r="P571" s="87">
        <f t="shared" si="29"/>
        <v>0</v>
      </c>
      <c r="Q571" s="87" t="str">
        <f>VLOOKUP($B571,BOM!$A$2:$K$94,9,0)</f>
        <v>đầu</v>
      </c>
    </row>
    <row r="572" spans="1:17" s="45" customFormat="1">
      <c r="A572" s="141"/>
      <c r="B572" s="62" t="s">
        <v>62</v>
      </c>
      <c r="C572" s="62" t="s">
        <v>63</v>
      </c>
      <c r="D572" s="86" t="s">
        <v>64</v>
      </c>
      <c r="E572" s="105">
        <f>E549</f>
        <v>1</v>
      </c>
      <c r="F572" s="62"/>
      <c r="G572" s="62"/>
      <c r="H572" s="62"/>
      <c r="I572" s="62"/>
      <c r="J572" s="62"/>
      <c r="K572" s="62"/>
      <c r="L572" s="62"/>
      <c r="M572" s="86" t="s">
        <v>61</v>
      </c>
      <c r="N572" s="86" t="s">
        <v>64</v>
      </c>
      <c r="O572" s="87">
        <f>VLOOKUP($B572,BOM!$A$2:$K$94,10,0)</f>
        <v>0</v>
      </c>
      <c r="P572" s="87">
        <f t="shared" si="29"/>
        <v>0</v>
      </c>
      <c r="Q572" s="87" t="str">
        <f>VLOOKUP($B572,BOM!$A$2:$K$94,9,0)</f>
        <v>cái</v>
      </c>
    </row>
    <row r="573" spans="1:17" s="140" customFormat="1">
      <c r="A573" s="134">
        <v>12</v>
      </c>
      <c r="B573" s="135"/>
      <c r="C573" s="71" t="s">
        <v>82</v>
      </c>
      <c r="D573" s="136" t="s">
        <v>0</v>
      </c>
      <c r="E573" s="134">
        <v>1</v>
      </c>
      <c r="F573" s="134"/>
      <c r="G573" s="134"/>
      <c r="H573" s="134">
        <v>16</v>
      </c>
      <c r="I573" s="134"/>
      <c r="J573" s="137">
        <f>SUBTOTAL(9,J576:J600)</f>
        <v>15</v>
      </c>
      <c r="K573" s="137"/>
      <c r="L573" s="137"/>
      <c r="M573" s="137"/>
      <c r="N573" s="137"/>
      <c r="O573" s="87">
        <f>VLOOKUP($B573,BOM!$A$2:$K$94,10,0)</f>
        <v>0</v>
      </c>
      <c r="P573" s="87">
        <f t="shared" si="29"/>
        <v>0</v>
      </c>
      <c r="Q573" s="139">
        <f>VLOOKUP($B573,BOM!$A$2:$K$94,9,0)</f>
        <v>0</v>
      </c>
    </row>
    <row r="574" spans="1:17">
      <c r="A574" s="141"/>
      <c r="B574" s="81"/>
      <c r="C574" s="72" t="s">
        <v>124</v>
      </c>
      <c r="D574" s="72" t="s">
        <v>0</v>
      </c>
      <c r="E574" s="72">
        <v>1</v>
      </c>
      <c r="F574" s="72"/>
      <c r="G574" s="72"/>
      <c r="H574" s="72"/>
      <c r="I574" s="72"/>
      <c r="J574" s="72"/>
      <c r="K574" s="83"/>
      <c r="L574" s="83"/>
      <c r="M574" s="83"/>
      <c r="N574" s="83"/>
      <c r="O574" s="87">
        <f>VLOOKUP($B574,BOM!$A$2:$K$94,10,0)</f>
        <v>0</v>
      </c>
      <c r="P574" s="87">
        <f t="shared" si="29"/>
        <v>0</v>
      </c>
      <c r="Q574" s="84">
        <f>VLOOKUP($B574,BOM!$A$2:$K$94,9,0)</f>
        <v>0</v>
      </c>
    </row>
    <row r="575" spans="1:17" s="19" customFormat="1">
      <c r="A575" s="141"/>
      <c r="B575" s="21" t="s">
        <v>226</v>
      </c>
      <c r="C575" s="21" t="s">
        <v>227</v>
      </c>
      <c r="D575" s="21"/>
      <c r="E575" s="22">
        <v>1</v>
      </c>
      <c r="F575" s="21"/>
      <c r="G575" s="21"/>
      <c r="H575" s="21"/>
      <c r="I575" s="21"/>
      <c r="J575" s="21"/>
      <c r="K575" s="21" t="s">
        <v>4</v>
      </c>
      <c r="L575" s="21" t="s">
        <v>5</v>
      </c>
      <c r="M575" s="22" t="s">
        <v>22</v>
      </c>
      <c r="N575" s="22" t="s">
        <v>3</v>
      </c>
      <c r="O575" s="87">
        <f>VLOOKUP($B575,BOM!$A$2:$K$94,10,0)</f>
        <v>0</v>
      </c>
      <c r="P575" s="87">
        <f t="shared" si="29"/>
        <v>0</v>
      </c>
      <c r="Q575" s="142">
        <f>VLOOKUP($B575,BOM!$A$2:$K$94,9,0)</f>
        <v>0</v>
      </c>
    </row>
    <row r="576" spans="1:17" s="19" customFormat="1">
      <c r="A576" s="141"/>
      <c r="B576" s="21" t="s">
        <v>122</v>
      </c>
      <c r="C576" s="21" t="s">
        <v>123</v>
      </c>
      <c r="D576" s="21"/>
      <c r="E576" s="22">
        <v>1</v>
      </c>
      <c r="F576" s="21"/>
      <c r="G576" s="21"/>
      <c r="H576" s="21"/>
      <c r="I576" s="21"/>
      <c r="J576" s="21">
        <f>E576</f>
        <v>1</v>
      </c>
      <c r="K576" s="21" t="s">
        <v>4</v>
      </c>
      <c r="L576" s="21" t="s">
        <v>5</v>
      </c>
      <c r="M576" s="22" t="s">
        <v>22</v>
      </c>
      <c r="N576" s="22" t="s">
        <v>3</v>
      </c>
      <c r="O576" s="87">
        <f>VLOOKUP($B576,BOM!$A$2:$K$94,10,0)</f>
        <v>0</v>
      </c>
      <c r="P576" s="87">
        <f t="shared" si="29"/>
        <v>0</v>
      </c>
      <c r="Q576" s="142" t="str">
        <f>VLOOKUP($B576,BOM!$A$2:$K$94,9,0)</f>
        <v>Cái</v>
      </c>
    </row>
    <row r="577" spans="1:17">
      <c r="A577" s="141"/>
      <c r="B577" s="81"/>
      <c r="C577" s="72" t="s">
        <v>1</v>
      </c>
      <c r="D577" s="72" t="s">
        <v>0</v>
      </c>
      <c r="E577" s="72">
        <v>1</v>
      </c>
      <c r="F577" s="72"/>
      <c r="G577" s="72">
        <f>ROUNDUP(G573/24,0)</f>
        <v>0</v>
      </c>
      <c r="H577" s="72">
        <f t="shared" ref="H577" si="32">ROUNDUP(H573/24,0)</f>
        <v>1</v>
      </c>
      <c r="I577" s="72"/>
      <c r="J577" s="72"/>
      <c r="K577" s="83"/>
      <c r="L577" s="83"/>
      <c r="M577" s="83"/>
      <c r="N577" s="83"/>
      <c r="O577" s="87">
        <f>VLOOKUP($B577,BOM!$A$2:$K$94,10,0)</f>
        <v>0</v>
      </c>
      <c r="P577" s="87">
        <f t="shared" si="29"/>
        <v>0</v>
      </c>
      <c r="Q577" s="84">
        <f>VLOOKUP($B577,BOM!$A$2:$K$94,9,0)</f>
        <v>0</v>
      </c>
    </row>
    <row r="578" spans="1:17" s="45" customFormat="1">
      <c r="A578" s="141"/>
      <c r="B578" s="62">
        <v>760249997</v>
      </c>
      <c r="C578" s="62" t="s">
        <v>2</v>
      </c>
      <c r="D578" s="85" t="s">
        <v>3</v>
      </c>
      <c r="E578" s="85">
        <f>ROUNDUP((E580+E584)/3,0)</f>
        <v>1</v>
      </c>
      <c r="F578" s="62"/>
      <c r="G578" s="62"/>
      <c r="H578" s="62"/>
      <c r="I578" s="62"/>
      <c r="J578" s="21">
        <f>E578</f>
        <v>1</v>
      </c>
      <c r="K578" s="62" t="s">
        <v>4</v>
      </c>
      <c r="L578" s="62" t="s">
        <v>5</v>
      </c>
      <c r="M578" s="86" t="s">
        <v>6</v>
      </c>
      <c r="N578" s="86" t="s">
        <v>3</v>
      </c>
      <c r="O578" s="87">
        <f>VLOOKUP($B578,BOM!$A$2:$K$94,10,0)</f>
        <v>0</v>
      </c>
      <c r="P578" s="87">
        <f t="shared" si="29"/>
        <v>0</v>
      </c>
      <c r="Q578" s="87" t="str">
        <f>VLOOKUP($B578,BOM!$A$2:$K$94,9,0)</f>
        <v>Cái</v>
      </c>
    </row>
    <row r="579" spans="1:17" s="45" customFormat="1">
      <c r="A579" s="141"/>
      <c r="B579" s="62">
        <v>760241378</v>
      </c>
      <c r="C579" s="62" t="s">
        <v>7</v>
      </c>
      <c r="D579" s="85" t="s">
        <v>3</v>
      </c>
      <c r="E579" s="85">
        <f>IF(E580&lt;=2,1,ROUNDUP(E578*1.5,0))</f>
        <v>1</v>
      </c>
      <c r="F579" s="62"/>
      <c r="G579" s="62"/>
      <c r="H579" s="62"/>
      <c r="I579" s="62"/>
      <c r="J579" s="62"/>
      <c r="K579" s="62" t="s">
        <v>4</v>
      </c>
      <c r="L579" s="62" t="s">
        <v>5</v>
      </c>
      <c r="M579" s="86" t="s">
        <v>6</v>
      </c>
      <c r="N579" s="86" t="s">
        <v>3</v>
      </c>
      <c r="O579" s="87">
        <f>VLOOKUP($B579,BOM!$A$2:$K$94,10,0)</f>
        <v>0</v>
      </c>
      <c r="P579" s="87">
        <f t="shared" si="29"/>
        <v>0</v>
      </c>
      <c r="Q579" s="87" t="str">
        <f>VLOOKUP($B579,BOM!$A$2:$K$94,9,0)</f>
        <v>Cái</v>
      </c>
    </row>
    <row r="580" spans="1:17" s="45" customFormat="1">
      <c r="A580" s="141"/>
      <c r="B580" s="62" t="s">
        <v>8</v>
      </c>
      <c r="C580" s="62" t="s">
        <v>9</v>
      </c>
      <c r="D580" s="85" t="s">
        <v>3</v>
      </c>
      <c r="E580" s="85">
        <f>G577</f>
        <v>0</v>
      </c>
      <c r="F580" s="62"/>
      <c r="G580" s="62"/>
      <c r="H580" s="62"/>
      <c r="I580" s="62"/>
      <c r="J580" s="62"/>
      <c r="K580" s="62" t="s">
        <v>4</v>
      </c>
      <c r="L580" s="62" t="s">
        <v>5</v>
      </c>
      <c r="M580" s="86" t="s">
        <v>6</v>
      </c>
      <c r="N580" s="86" t="s">
        <v>3</v>
      </c>
      <c r="O580" s="87">
        <f>VLOOKUP($B580,BOM!$A$2:$K$94,10,0)</f>
        <v>0</v>
      </c>
      <c r="P580" s="87">
        <f t="shared" si="29"/>
        <v>0</v>
      </c>
      <c r="Q580" s="87" t="str">
        <f>VLOOKUP($B580,BOM!$A$2:$K$94,9,0)</f>
        <v>Cái</v>
      </c>
    </row>
    <row r="581" spans="1:17" s="45" customFormat="1">
      <c r="A581" s="141"/>
      <c r="B581" s="62" t="s">
        <v>10</v>
      </c>
      <c r="C581" s="62" t="s">
        <v>11</v>
      </c>
      <c r="D581" s="85" t="s">
        <v>3</v>
      </c>
      <c r="E581" s="85">
        <f>E578*3-E580-E584</f>
        <v>2</v>
      </c>
      <c r="F581" s="62"/>
      <c r="G581" s="62"/>
      <c r="H581" s="62"/>
      <c r="I581" s="62"/>
      <c r="J581" s="62"/>
      <c r="K581" s="62" t="s">
        <v>4</v>
      </c>
      <c r="L581" s="62" t="s">
        <v>5</v>
      </c>
      <c r="M581" s="86" t="s">
        <v>6</v>
      </c>
      <c r="N581" s="86" t="s">
        <v>3</v>
      </c>
      <c r="O581" s="87">
        <f>VLOOKUP($B581,BOM!$A$2:$K$94,10,0)</f>
        <v>0</v>
      </c>
      <c r="P581" s="87">
        <f t="shared" si="29"/>
        <v>0</v>
      </c>
      <c r="Q581" s="87" t="str">
        <f>VLOOKUP($B581,BOM!$A$2:$K$94,9,0)</f>
        <v>Cái</v>
      </c>
    </row>
    <row r="582" spans="1:17" s="45" customFormat="1">
      <c r="A582" s="141"/>
      <c r="B582" s="62" t="s">
        <v>12</v>
      </c>
      <c r="C582" s="62" t="s">
        <v>13</v>
      </c>
      <c r="D582" s="85" t="s">
        <v>14</v>
      </c>
      <c r="E582" s="85">
        <f>G573/2</f>
        <v>0</v>
      </c>
      <c r="F582" s="62"/>
      <c r="G582" s="62"/>
      <c r="H582" s="62"/>
      <c r="I582" s="62"/>
      <c r="J582" s="62"/>
      <c r="K582" s="62" t="s">
        <v>4</v>
      </c>
      <c r="L582" s="62" t="s">
        <v>5</v>
      </c>
      <c r="M582" s="86" t="s">
        <v>6</v>
      </c>
      <c r="N582" s="86" t="s">
        <v>15</v>
      </c>
      <c r="O582" s="87">
        <f>VLOOKUP($B582,BOM!$A$2:$K$94,10,0)</f>
        <v>0</v>
      </c>
      <c r="P582" s="87">
        <f t="shared" si="29"/>
        <v>0</v>
      </c>
      <c r="Q582" s="87" t="str">
        <f>VLOOKUP($B582,BOM!$A$2:$K$94,9,0)</f>
        <v>Sợi</v>
      </c>
    </row>
    <row r="583" spans="1:17" s="45" customFormat="1">
      <c r="A583" s="141"/>
      <c r="B583" s="62" t="s">
        <v>16</v>
      </c>
      <c r="C583" s="62" t="s">
        <v>17</v>
      </c>
      <c r="D583" s="85" t="s">
        <v>14</v>
      </c>
      <c r="E583" s="85">
        <f>ROUNDUP((E590*1.3),0)</f>
        <v>0</v>
      </c>
      <c r="F583" s="62"/>
      <c r="G583" s="62"/>
      <c r="H583" s="62"/>
      <c r="I583" s="62"/>
      <c r="J583" s="62"/>
      <c r="K583" s="62" t="s">
        <v>4</v>
      </c>
      <c r="L583" s="62" t="s">
        <v>5</v>
      </c>
      <c r="M583" s="86" t="s">
        <v>6</v>
      </c>
      <c r="N583" s="86" t="s">
        <v>15</v>
      </c>
      <c r="O583" s="87">
        <f>VLOOKUP($B583,BOM!$A$2:$K$94,10,0)</f>
        <v>0</v>
      </c>
      <c r="P583" s="87">
        <f t="shared" si="29"/>
        <v>0</v>
      </c>
      <c r="Q583" s="87" t="str">
        <f>VLOOKUP($B583,BOM!$A$2:$K$94,9,0)</f>
        <v>Sợi</v>
      </c>
    </row>
    <row r="584" spans="1:17" s="110" customFormat="1">
      <c r="A584" s="141"/>
      <c r="B584" s="66" t="s">
        <v>198</v>
      </c>
      <c r="C584" s="66" t="s">
        <v>199</v>
      </c>
      <c r="D584" s="89" t="s">
        <v>3</v>
      </c>
      <c r="E584" s="89">
        <f>H577</f>
        <v>1</v>
      </c>
      <c r="F584" s="66"/>
      <c r="G584" s="66"/>
      <c r="H584" s="66"/>
      <c r="I584" s="66"/>
      <c r="J584" s="66"/>
      <c r="K584" s="108" t="s">
        <v>4</v>
      </c>
      <c r="L584" s="108" t="s">
        <v>5</v>
      </c>
      <c r="M584" s="109" t="s">
        <v>6</v>
      </c>
      <c r="N584" s="109" t="s">
        <v>15</v>
      </c>
      <c r="O584" s="87">
        <f>VLOOKUP($B584,BOM!$A$2:$K$94,10,0)</f>
        <v>0</v>
      </c>
      <c r="P584" s="87">
        <f t="shared" si="29"/>
        <v>0</v>
      </c>
      <c r="Q584" s="146" t="str">
        <f>VLOOKUP($B584,BOM!$A$2:$K$94,9,0)</f>
        <v>Cái</v>
      </c>
    </row>
    <row r="585" spans="1:17" s="111" customFormat="1">
      <c r="A585" s="141"/>
      <c r="B585" s="66" t="s">
        <v>194</v>
      </c>
      <c r="C585" s="66" t="s">
        <v>195</v>
      </c>
      <c r="D585" s="89" t="s">
        <v>14</v>
      </c>
      <c r="E585" s="89">
        <f>ROUNDUP((E589*1.3),0)</f>
        <v>4</v>
      </c>
      <c r="F585" s="108"/>
      <c r="G585" s="108"/>
      <c r="H585" s="108"/>
      <c r="I585" s="108"/>
      <c r="J585" s="108"/>
      <c r="K585" s="108" t="s">
        <v>4</v>
      </c>
      <c r="L585" s="108" t="s">
        <v>5</v>
      </c>
      <c r="M585" s="109" t="s">
        <v>6</v>
      </c>
      <c r="N585" s="109" t="s">
        <v>15</v>
      </c>
      <c r="O585" s="87">
        <f>VLOOKUP($B585,BOM!$A$2:$K$94,10,0)</f>
        <v>0</v>
      </c>
      <c r="P585" s="87">
        <f t="shared" si="29"/>
        <v>0</v>
      </c>
      <c r="Q585" s="146" t="str">
        <f>VLOOKUP($B585,BOM!$A$2:$K$94,9,0)</f>
        <v>Cái</v>
      </c>
    </row>
    <row r="586" spans="1:17" s="110" customFormat="1">
      <c r="A586" s="141"/>
      <c r="B586" s="66" t="s">
        <v>196</v>
      </c>
      <c r="C586" s="66" t="s">
        <v>197</v>
      </c>
      <c r="D586" s="89" t="s">
        <v>14</v>
      </c>
      <c r="E586" s="89">
        <f>H573/2</f>
        <v>8</v>
      </c>
      <c r="F586" s="66"/>
      <c r="G586" s="66"/>
      <c r="H586" s="66"/>
      <c r="I586" s="66"/>
      <c r="J586" s="66"/>
      <c r="K586" s="108" t="s">
        <v>4</v>
      </c>
      <c r="L586" s="108" t="s">
        <v>5</v>
      </c>
      <c r="M586" s="109" t="s">
        <v>6</v>
      </c>
      <c r="N586" s="109" t="s">
        <v>15</v>
      </c>
      <c r="O586" s="87">
        <f>VLOOKUP($B586,BOM!$A$2:$K$94,10,0)</f>
        <v>0</v>
      </c>
      <c r="P586" s="87">
        <f t="shared" ref="P586:P649" si="33">O586*E586</f>
        <v>0</v>
      </c>
      <c r="Q586" s="146" t="str">
        <f>VLOOKUP($B586,BOM!$A$2:$K$94,9,0)</f>
        <v>Cái</v>
      </c>
    </row>
    <row r="587" spans="1:17">
      <c r="A587" s="141"/>
      <c r="B587" s="81"/>
      <c r="C587" s="72" t="s">
        <v>26</v>
      </c>
      <c r="D587" s="72" t="s">
        <v>0</v>
      </c>
      <c r="E587" s="72">
        <v>1</v>
      </c>
      <c r="F587" s="72"/>
      <c r="G587" s="72"/>
      <c r="H587" s="72"/>
      <c r="I587" s="72"/>
      <c r="J587" s="72"/>
      <c r="K587" s="83"/>
      <c r="L587" s="83"/>
      <c r="M587" s="83"/>
      <c r="N587" s="83"/>
      <c r="O587" s="87">
        <f>VLOOKUP($B587,BOM!$A$2:$K$94,10,0)</f>
        <v>0</v>
      </c>
      <c r="P587" s="87">
        <f t="shared" si="33"/>
        <v>0</v>
      </c>
      <c r="Q587" s="84">
        <f>VLOOKUP($B587,BOM!$A$2:$K$94,9,0)</f>
        <v>0</v>
      </c>
    </row>
    <row r="588" spans="1:17" ht="60">
      <c r="A588" s="147"/>
      <c r="B588" s="67" t="s">
        <v>228</v>
      </c>
      <c r="C588" s="187" t="s">
        <v>324</v>
      </c>
      <c r="D588" s="90" t="s">
        <v>51</v>
      </c>
      <c r="E588" s="90">
        <v>1</v>
      </c>
      <c r="F588" s="65"/>
      <c r="G588" s="65"/>
      <c r="H588" s="65"/>
      <c r="I588" s="65"/>
      <c r="J588" s="103">
        <f>E588</f>
        <v>1</v>
      </c>
      <c r="K588" s="65" t="s">
        <v>143</v>
      </c>
      <c r="L588" s="65" t="s">
        <v>151</v>
      </c>
      <c r="M588" s="90" t="s">
        <v>154</v>
      </c>
      <c r="N588" s="90" t="s">
        <v>51</v>
      </c>
      <c r="O588" s="87">
        <f>VLOOKUP($B588,BOM!$A$2:$K$94,10,0)</f>
        <v>0</v>
      </c>
      <c r="P588" s="87">
        <f t="shared" si="33"/>
        <v>0</v>
      </c>
      <c r="Q588" s="151" t="str">
        <f>VLOOKUP($B588,BOM!$A$2:$K$94,9,0)</f>
        <v>cái</v>
      </c>
    </row>
    <row r="589" spans="1:17" s="111" customFormat="1">
      <c r="A589" s="120"/>
      <c r="B589" s="68" t="s">
        <v>216</v>
      </c>
      <c r="C589" s="68" t="s">
        <v>217</v>
      </c>
      <c r="D589" s="89" t="s">
        <v>64</v>
      </c>
      <c r="E589" s="89">
        <v>3</v>
      </c>
      <c r="F589" s="124"/>
      <c r="G589" s="124"/>
      <c r="H589" s="124"/>
      <c r="I589" s="124"/>
      <c r="J589" s="124"/>
      <c r="K589" s="124" t="s">
        <v>143</v>
      </c>
      <c r="L589" s="124" t="s">
        <v>151</v>
      </c>
      <c r="M589" s="89" t="s">
        <v>154</v>
      </c>
      <c r="N589" s="89" t="s">
        <v>64</v>
      </c>
      <c r="O589" s="87">
        <f>VLOOKUP($B589,BOM!$A$2:$K$94,10,0)</f>
        <v>0</v>
      </c>
      <c r="P589" s="87">
        <f t="shared" si="33"/>
        <v>0</v>
      </c>
      <c r="Q589" s="152" t="str">
        <f>VLOOKUP($B589,BOM!$A$2:$K$94,9,0)</f>
        <v>cái</v>
      </c>
    </row>
    <row r="590" spans="1:17" s="45" customFormat="1">
      <c r="A590" s="141"/>
      <c r="B590" s="64" t="s">
        <v>212</v>
      </c>
      <c r="C590" s="64" t="s">
        <v>213</v>
      </c>
      <c r="D590" s="97" t="s">
        <v>64</v>
      </c>
      <c r="E590" s="98">
        <v>0</v>
      </c>
      <c r="F590" s="95"/>
      <c r="G590" s="95"/>
      <c r="H590" s="95"/>
      <c r="I590" s="95"/>
      <c r="J590" s="95"/>
      <c r="K590" s="95" t="s">
        <v>143</v>
      </c>
      <c r="L590" s="95" t="s">
        <v>151</v>
      </c>
      <c r="M590" s="97" t="s">
        <v>154</v>
      </c>
      <c r="N590" s="97" t="s">
        <v>64</v>
      </c>
      <c r="O590" s="87">
        <f>VLOOKUP($B590,BOM!$A$2:$K$94,10,0)</f>
        <v>0</v>
      </c>
      <c r="P590" s="87">
        <f t="shared" si="33"/>
        <v>0</v>
      </c>
      <c r="Q590" s="153" t="str">
        <f>VLOOKUP($B590,BOM!$A$2:$K$94,9,0)</f>
        <v>cái</v>
      </c>
    </row>
    <row r="591" spans="1:17" s="45" customFormat="1">
      <c r="A591" s="141"/>
      <c r="B591" s="62"/>
      <c r="C591" s="62"/>
      <c r="D591" s="85"/>
      <c r="E591" s="90"/>
      <c r="F591" s="62"/>
      <c r="G591" s="62"/>
      <c r="H591" s="62"/>
      <c r="I591" s="62"/>
      <c r="J591" s="62"/>
      <c r="K591" s="62"/>
      <c r="L591" s="62"/>
      <c r="M591" s="86"/>
      <c r="N591" s="86"/>
      <c r="O591" s="87">
        <f>VLOOKUP($B591,BOM!$A$2:$K$94,10,0)</f>
        <v>0</v>
      </c>
      <c r="P591" s="87">
        <f t="shared" si="33"/>
        <v>0</v>
      </c>
      <c r="Q591" s="87">
        <f>VLOOKUP($B591,BOM!$A$2:$K$94,9,0)</f>
        <v>0</v>
      </c>
    </row>
    <row r="592" spans="1:17" s="45" customFormat="1">
      <c r="A592" s="141"/>
      <c r="B592" s="62"/>
      <c r="C592" s="62"/>
      <c r="D592" s="85"/>
      <c r="E592" s="90"/>
      <c r="F592" s="62"/>
      <c r="G592" s="62"/>
      <c r="H592" s="62"/>
      <c r="I592" s="62"/>
      <c r="J592" s="62"/>
      <c r="K592" s="62"/>
      <c r="L592" s="62"/>
      <c r="M592" s="86"/>
      <c r="N592" s="86"/>
      <c r="O592" s="87">
        <f>VLOOKUP($B592,BOM!$A$2:$K$94,10,0)</f>
        <v>0</v>
      </c>
      <c r="P592" s="87">
        <f t="shared" si="33"/>
        <v>0</v>
      </c>
      <c r="Q592" s="87">
        <f>VLOOKUP($B592,BOM!$A$2:$K$94,9,0)</f>
        <v>0</v>
      </c>
    </row>
    <row r="593" spans="1:17" outlineLevel="1">
      <c r="A593" s="141"/>
      <c r="B593" s="117"/>
      <c r="C593" s="61" t="s">
        <v>67</v>
      </c>
      <c r="D593" s="119" t="s">
        <v>0</v>
      </c>
      <c r="E593" s="120">
        <v>1</v>
      </c>
      <c r="F593" s="121"/>
      <c r="G593" s="121"/>
      <c r="H593" s="121" t="s">
        <v>69</v>
      </c>
      <c r="I593" s="122"/>
      <c r="J593" s="21">
        <f t="shared" ref="J593:J594" si="34">E593</f>
        <v>1</v>
      </c>
      <c r="K593" s="63"/>
      <c r="L593" s="63"/>
      <c r="M593" s="63"/>
      <c r="N593" s="63"/>
      <c r="O593" s="87">
        <f>VLOOKUP($B593,BOM!$A$2:$K$94,10,0)</f>
        <v>0</v>
      </c>
      <c r="P593" s="87">
        <f t="shared" si="33"/>
        <v>0</v>
      </c>
      <c r="Q593" s="80">
        <f>VLOOKUP($B593,BOM!$A$2:$K$94,9,0)</f>
        <v>0</v>
      </c>
    </row>
    <row r="594" spans="1:17" outlineLevel="1">
      <c r="A594" s="141"/>
      <c r="B594" s="117"/>
      <c r="C594" s="61" t="s">
        <v>70</v>
      </c>
      <c r="D594" s="119" t="s">
        <v>0</v>
      </c>
      <c r="E594" s="120">
        <v>1</v>
      </c>
      <c r="F594" s="121"/>
      <c r="G594" s="121"/>
      <c r="H594" s="121" t="s">
        <v>69</v>
      </c>
      <c r="I594" s="122"/>
      <c r="J594" s="21">
        <f t="shared" si="34"/>
        <v>1</v>
      </c>
      <c r="K594" s="63"/>
      <c r="L594" s="63"/>
      <c r="M594" s="63"/>
      <c r="N594" s="63"/>
      <c r="O594" s="87">
        <f>VLOOKUP($B594,BOM!$A$2:$K$94,10,0)</f>
        <v>0</v>
      </c>
      <c r="P594" s="87">
        <f t="shared" si="33"/>
        <v>0</v>
      </c>
      <c r="Q594" s="80">
        <f>VLOOKUP($B594,BOM!$A$2:$K$94,9,0)</f>
        <v>0</v>
      </c>
    </row>
    <row r="595" spans="1:17">
      <c r="A595" s="141"/>
      <c r="B595" s="81"/>
      <c r="C595" s="72" t="s">
        <v>18</v>
      </c>
      <c r="D595" s="72" t="s">
        <v>0</v>
      </c>
      <c r="E595" s="72">
        <v>1</v>
      </c>
      <c r="F595" s="72"/>
      <c r="G595" s="72"/>
      <c r="H595" s="72"/>
      <c r="I595" s="72"/>
      <c r="J595" s="72"/>
      <c r="K595" s="83"/>
      <c r="L595" s="83"/>
      <c r="M595" s="83"/>
      <c r="N595" s="83"/>
      <c r="O595" s="87">
        <f>VLOOKUP($B595,BOM!$A$2:$K$94,10,0)</f>
        <v>0</v>
      </c>
      <c r="P595" s="87">
        <f t="shared" si="33"/>
        <v>0</v>
      </c>
      <c r="Q595" s="84">
        <f>VLOOKUP($B595,BOM!$A$2:$K$94,9,0)</f>
        <v>0</v>
      </c>
    </row>
    <row r="596" spans="1:17" s="45" customFormat="1">
      <c r="A596" s="141"/>
      <c r="B596" s="62">
        <v>760237046</v>
      </c>
      <c r="C596" s="62" t="s">
        <v>19</v>
      </c>
      <c r="D596" s="85" t="s">
        <v>3</v>
      </c>
      <c r="E596" s="85">
        <f>E588+E591</f>
        <v>1</v>
      </c>
      <c r="F596" s="62"/>
      <c r="G596" s="62"/>
      <c r="H596" s="62"/>
      <c r="I596" s="62"/>
      <c r="J596" s="21">
        <f>E596</f>
        <v>1</v>
      </c>
      <c r="K596" s="62" t="s">
        <v>4</v>
      </c>
      <c r="L596" s="62" t="s">
        <v>5</v>
      </c>
      <c r="M596" s="86" t="s">
        <v>6</v>
      </c>
      <c r="N596" s="86" t="s">
        <v>3</v>
      </c>
      <c r="O596" s="87">
        <f>VLOOKUP($B596,BOM!$A$2:$K$94,10,0)</f>
        <v>0</v>
      </c>
      <c r="P596" s="87">
        <f t="shared" si="33"/>
        <v>0</v>
      </c>
      <c r="Q596" s="87" t="str">
        <f>VLOOKUP($B596,BOM!$A$2:$K$94,9,0)</f>
        <v>Cái</v>
      </c>
    </row>
    <row r="597" spans="1:17" s="45" customFormat="1">
      <c r="A597" s="141"/>
      <c r="B597" s="62" t="s">
        <v>23</v>
      </c>
      <c r="C597" s="62" t="s">
        <v>24</v>
      </c>
      <c r="D597" s="85" t="s">
        <v>3</v>
      </c>
      <c r="E597" s="85">
        <f>E596*24</f>
        <v>24</v>
      </c>
      <c r="F597" s="62"/>
      <c r="G597" s="62"/>
      <c r="H597" s="62"/>
      <c r="I597" s="62"/>
      <c r="J597" s="62"/>
      <c r="K597" s="62" t="s">
        <v>25</v>
      </c>
      <c r="L597" s="62" t="s">
        <v>5</v>
      </c>
      <c r="M597" s="86" t="s">
        <v>6</v>
      </c>
      <c r="N597" s="86" t="s">
        <v>3</v>
      </c>
      <c r="O597" s="87">
        <f>VLOOKUP($B597,BOM!$A$2:$K$94,10,0)</f>
        <v>0</v>
      </c>
      <c r="P597" s="87">
        <f t="shared" si="33"/>
        <v>0</v>
      </c>
      <c r="Q597" s="87" t="str">
        <f>VLOOKUP($B597,BOM!$A$2:$K$94,9,0)</f>
        <v>Cái</v>
      </c>
    </row>
    <row r="598" spans="1:17" s="45" customFormat="1">
      <c r="A598" s="141"/>
      <c r="B598" s="62" t="s">
        <v>20</v>
      </c>
      <c r="C598" s="62" t="s">
        <v>21</v>
      </c>
      <c r="D598" s="85" t="s">
        <v>3</v>
      </c>
      <c r="E598" s="85">
        <f>E596</f>
        <v>1</v>
      </c>
      <c r="F598" s="62"/>
      <c r="G598" s="62"/>
      <c r="H598" s="62"/>
      <c r="I598" s="62"/>
      <c r="J598" s="21">
        <f>E598</f>
        <v>1</v>
      </c>
      <c r="K598" s="62" t="s">
        <v>4</v>
      </c>
      <c r="L598" s="62" t="s">
        <v>5</v>
      </c>
      <c r="M598" s="86" t="s">
        <v>22</v>
      </c>
      <c r="N598" s="86" t="s">
        <v>3</v>
      </c>
      <c r="O598" s="87">
        <f>VLOOKUP($B598,BOM!$A$2:$K$94,10,0)</f>
        <v>0</v>
      </c>
      <c r="P598" s="87">
        <f t="shared" si="33"/>
        <v>0</v>
      </c>
      <c r="Q598" s="87" t="str">
        <f>VLOOKUP($B598,BOM!$A$2:$K$94,9,0)</f>
        <v>Cái</v>
      </c>
    </row>
    <row r="599" spans="1:17">
      <c r="A599" s="141"/>
      <c r="B599" s="81"/>
      <c r="C599" s="72" t="s">
        <v>71</v>
      </c>
      <c r="D599" s="72" t="s">
        <v>0</v>
      </c>
      <c r="E599" s="72">
        <v>1</v>
      </c>
      <c r="F599" s="72"/>
      <c r="G599" s="72"/>
      <c r="H599" s="72"/>
      <c r="I599" s="72"/>
      <c r="J599" s="72"/>
      <c r="K599" s="83"/>
      <c r="L599" s="83"/>
      <c r="M599" s="83"/>
      <c r="N599" s="83"/>
      <c r="O599" s="87">
        <f>VLOOKUP($B599,BOM!$A$2:$K$94,10,0)</f>
        <v>0</v>
      </c>
      <c r="P599" s="87">
        <f t="shared" si="33"/>
        <v>0</v>
      </c>
      <c r="Q599" s="84">
        <f>VLOOKUP($B599,BOM!$A$2:$K$94,9,0)</f>
        <v>0</v>
      </c>
    </row>
    <row r="600" spans="1:17" s="45" customFormat="1">
      <c r="A600" s="141"/>
      <c r="B600" s="62" t="s">
        <v>314</v>
      </c>
      <c r="C600" s="62" t="s">
        <v>316</v>
      </c>
      <c r="D600" s="116" t="s">
        <v>51</v>
      </c>
      <c r="E600" s="85">
        <v>1</v>
      </c>
      <c r="F600" s="62"/>
      <c r="G600" s="62"/>
      <c r="H600" s="62"/>
      <c r="I600" s="62"/>
      <c r="J600" s="86">
        <f>E600*8</f>
        <v>8</v>
      </c>
      <c r="K600" s="62"/>
      <c r="L600" s="62" t="s">
        <v>5</v>
      </c>
      <c r="M600" s="86" t="s">
        <v>28</v>
      </c>
      <c r="N600" s="86" t="s">
        <v>3</v>
      </c>
      <c r="O600" s="87">
        <f>VLOOKUP($B600,BOM!$A$2:$K$94,10,0)</f>
        <v>0</v>
      </c>
      <c r="P600" s="87">
        <f t="shared" si="33"/>
        <v>0</v>
      </c>
      <c r="Q600" s="87" t="str">
        <f>VLOOKUP($B600,BOM!$A$2:$K$94,9,0)</f>
        <v>Cái</v>
      </c>
    </row>
    <row r="601" spans="1:17" s="45" customFormat="1">
      <c r="A601" s="141"/>
      <c r="B601" s="62"/>
      <c r="C601" s="62"/>
      <c r="D601" s="116"/>
      <c r="E601" s="85"/>
      <c r="F601" s="62"/>
      <c r="G601" s="62"/>
      <c r="H601" s="62"/>
      <c r="I601" s="62"/>
      <c r="J601" s="62"/>
      <c r="K601" s="62"/>
      <c r="L601" s="62"/>
      <c r="M601" s="86"/>
      <c r="N601" s="86"/>
      <c r="O601" s="87">
        <f>VLOOKUP($B601,BOM!$A$2:$K$94,10,0)</f>
        <v>0</v>
      </c>
      <c r="P601" s="87">
        <f t="shared" si="33"/>
        <v>0</v>
      </c>
      <c r="Q601" s="87">
        <f>VLOOKUP($B601,BOM!$A$2:$K$94,9,0)</f>
        <v>0</v>
      </c>
    </row>
    <row r="602" spans="1:17" s="45" customFormat="1">
      <c r="A602" s="141"/>
      <c r="B602" s="62" t="s">
        <v>225</v>
      </c>
      <c r="C602" s="62" t="s">
        <v>72</v>
      </c>
      <c r="D602" s="116" t="s">
        <v>64</v>
      </c>
      <c r="E602" s="85">
        <v>0</v>
      </c>
      <c r="F602" s="62"/>
      <c r="G602" s="62"/>
      <c r="H602" s="62"/>
      <c r="I602" s="62"/>
      <c r="J602" s="62"/>
      <c r="K602" s="62"/>
      <c r="L602" s="62" t="s">
        <v>5</v>
      </c>
      <c r="M602" s="86" t="s">
        <v>28</v>
      </c>
      <c r="N602" s="86" t="s">
        <v>3</v>
      </c>
      <c r="O602" s="87">
        <f>VLOOKUP($B602,BOM!$A$2:$K$94,10,0)</f>
        <v>0</v>
      </c>
      <c r="P602" s="87">
        <f t="shared" si="33"/>
        <v>0</v>
      </c>
      <c r="Q602" s="87" t="str">
        <f>VLOOKUP($B602,BOM!$A$2:$K$94,9,0)</f>
        <v>Cái</v>
      </c>
    </row>
    <row r="603" spans="1:17">
      <c r="A603" s="141"/>
      <c r="B603" s="81"/>
      <c r="C603" s="72" t="s">
        <v>31</v>
      </c>
      <c r="D603" s="72" t="s">
        <v>0</v>
      </c>
      <c r="E603" s="72">
        <v>1</v>
      </c>
      <c r="F603" s="72"/>
      <c r="G603" s="72"/>
      <c r="H603" s="72"/>
      <c r="I603" s="72"/>
      <c r="J603" s="72"/>
      <c r="K603" s="83"/>
      <c r="L603" s="83"/>
      <c r="M603" s="83"/>
      <c r="N603" s="83"/>
      <c r="O603" s="87">
        <f>VLOOKUP($B603,BOM!$A$2:$K$94,10,0)</f>
        <v>0</v>
      </c>
      <c r="P603" s="87">
        <f t="shared" si="33"/>
        <v>0</v>
      </c>
      <c r="Q603" s="84">
        <f>VLOOKUP($B603,BOM!$A$2:$K$94,9,0)</f>
        <v>0</v>
      </c>
    </row>
    <row r="604" spans="1:17">
      <c r="A604" s="141"/>
      <c r="B604" s="81"/>
      <c r="C604" s="72" t="s">
        <v>32</v>
      </c>
      <c r="D604" s="72"/>
      <c r="E604" s="72"/>
      <c r="F604" s="72"/>
      <c r="G604" s="72">
        <v>3</v>
      </c>
      <c r="H604" s="72"/>
      <c r="I604" s="72"/>
      <c r="J604" s="72"/>
      <c r="K604" s="83"/>
      <c r="L604" s="83"/>
      <c r="M604" s="83"/>
      <c r="N604" s="83"/>
      <c r="O604" s="87">
        <f>VLOOKUP($B604,BOM!$A$2:$K$94,10,0)</f>
        <v>0</v>
      </c>
      <c r="P604" s="87">
        <f t="shared" si="33"/>
        <v>0</v>
      </c>
      <c r="Q604" s="84">
        <f>VLOOKUP($B604,BOM!$A$2:$K$94,9,0)</f>
        <v>0</v>
      </c>
    </row>
    <row r="605" spans="1:17" s="45" customFormat="1" ht="20.45" customHeight="1">
      <c r="A605" s="141"/>
      <c r="B605" s="62" t="s">
        <v>33</v>
      </c>
      <c r="C605" s="62" t="s">
        <v>34</v>
      </c>
      <c r="D605" s="85" t="s">
        <v>3</v>
      </c>
      <c r="E605" s="90">
        <f>E606</f>
        <v>3</v>
      </c>
      <c r="F605" s="62"/>
      <c r="G605" s="62"/>
      <c r="H605" s="62"/>
      <c r="I605" s="62"/>
      <c r="J605" s="62"/>
      <c r="K605" s="62" t="s">
        <v>35</v>
      </c>
      <c r="L605" s="62" t="s">
        <v>5</v>
      </c>
      <c r="M605" s="86" t="s">
        <v>6</v>
      </c>
      <c r="N605" s="86" t="s">
        <v>3</v>
      </c>
      <c r="O605" s="87">
        <f>VLOOKUP($B605,BOM!$A$2:$K$94,10,0)</f>
        <v>0</v>
      </c>
      <c r="P605" s="87">
        <f t="shared" si="33"/>
        <v>0</v>
      </c>
      <c r="Q605" s="87" t="str">
        <f>VLOOKUP($B605,BOM!$A$2:$K$94,9,0)</f>
        <v>Cái</v>
      </c>
    </row>
    <row r="606" spans="1:17" s="45" customFormat="1">
      <c r="A606" s="141"/>
      <c r="B606" s="62" t="s">
        <v>330</v>
      </c>
      <c r="C606" s="62" t="s">
        <v>36</v>
      </c>
      <c r="D606" s="85" t="s">
        <v>3</v>
      </c>
      <c r="E606" s="90">
        <f>G604+H604</f>
        <v>3</v>
      </c>
      <c r="F606" s="62"/>
      <c r="G606" s="62"/>
      <c r="H606" s="62"/>
      <c r="I606" s="62"/>
      <c r="J606" s="62"/>
      <c r="K606" s="62" t="s">
        <v>37</v>
      </c>
      <c r="L606" s="62" t="s">
        <v>5</v>
      </c>
      <c r="M606" s="86" t="s">
        <v>37</v>
      </c>
      <c r="N606" s="86" t="s">
        <v>3</v>
      </c>
      <c r="O606" s="87">
        <f>VLOOKUP($B606,BOM!$A$2:$K$94,10,0)</f>
        <v>0</v>
      </c>
      <c r="P606" s="87">
        <f t="shared" si="33"/>
        <v>0</v>
      </c>
      <c r="Q606" s="87" t="str">
        <f>VLOOKUP($B606,BOM!$A$2:$K$94,9,0)</f>
        <v>Cái</v>
      </c>
    </row>
    <row r="607" spans="1:17" s="45" customFormat="1">
      <c r="A607" s="141"/>
      <c r="B607" s="62" t="s">
        <v>38</v>
      </c>
      <c r="C607" s="62" t="s">
        <v>39</v>
      </c>
      <c r="D607" s="85" t="s">
        <v>3</v>
      </c>
      <c r="E607" s="90">
        <f>E606</f>
        <v>3</v>
      </c>
      <c r="F607" s="62"/>
      <c r="G607" s="62"/>
      <c r="H607" s="62"/>
      <c r="I607" s="62"/>
      <c r="J607" s="62"/>
      <c r="K607" s="62" t="s">
        <v>25</v>
      </c>
      <c r="L607" s="62" t="s">
        <v>5</v>
      </c>
      <c r="M607" s="86" t="s">
        <v>6</v>
      </c>
      <c r="N607" s="86" t="s">
        <v>3</v>
      </c>
      <c r="O607" s="87">
        <f>VLOOKUP($B607,BOM!$A$2:$K$94,10,0)</f>
        <v>0</v>
      </c>
      <c r="P607" s="87">
        <f t="shared" si="33"/>
        <v>0</v>
      </c>
      <c r="Q607" s="87" t="str">
        <f>VLOOKUP($B607,BOM!$A$2:$K$94,9,0)</f>
        <v>Cái</v>
      </c>
    </row>
    <row r="608" spans="1:17">
      <c r="A608" s="141"/>
      <c r="B608" s="81"/>
      <c r="C608" s="72" t="s">
        <v>40</v>
      </c>
      <c r="D608" s="72"/>
      <c r="E608" s="72"/>
      <c r="F608" s="72"/>
      <c r="G608" s="72">
        <v>5</v>
      </c>
      <c r="H608" s="72"/>
      <c r="I608" s="72"/>
      <c r="J608" s="72"/>
      <c r="K608" s="83"/>
      <c r="L608" s="83"/>
      <c r="M608" s="83"/>
      <c r="N608" s="83"/>
      <c r="O608" s="87">
        <f>VLOOKUP($B608,BOM!$A$2:$K$94,10,0)</f>
        <v>0</v>
      </c>
      <c r="P608" s="87">
        <f t="shared" si="33"/>
        <v>0</v>
      </c>
      <c r="Q608" s="84">
        <f>VLOOKUP($B608,BOM!$A$2:$K$94,9,0)</f>
        <v>0</v>
      </c>
    </row>
    <row r="609" spans="1:17" s="45" customFormat="1">
      <c r="A609" s="141"/>
      <c r="B609" s="62" t="s">
        <v>41</v>
      </c>
      <c r="C609" s="62" t="s">
        <v>42</v>
      </c>
      <c r="D609" s="85" t="s">
        <v>3</v>
      </c>
      <c r="E609" s="85">
        <f>G608+H608</f>
        <v>5</v>
      </c>
      <c r="F609" s="62"/>
      <c r="G609" s="62"/>
      <c r="H609" s="62"/>
      <c r="I609" s="62"/>
      <c r="J609" s="62"/>
      <c r="K609" s="62" t="s">
        <v>4</v>
      </c>
      <c r="L609" s="62" t="s">
        <v>5</v>
      </c>
      <c r="M609" s="86" t="s">
        <v>6</v>
      </c>
      <c r="N609" s="86" t="s">
        <v>3</v>
      </c>
      <c r="O609" s="87">
        <f>VLOOKUP($B609,BOM!$A$2:$K$94,10,0)</f>
        <v>0</v>
      </c>
      <c r="P609" s="87">
        <f t="shared" si="33"/>
        <v>0</v>
      </c>
      <c r="Q609" s="87" t="str">
        <f>VLOOKUP($B609,BOM!$A$2:$K$94,9,0)</f>
        <v>Cái</v>
      </c>
    </row>
    <row r="610" spans="1:17" s="45" customFormat="1">
      <c r="A610" s="141"/>
      <c r="B610" s="65" t="s">
        <v>43</v>
      </c>
      <c r="C610" s="65" t="s">
        <v>44</v>
      </c>
      <c r="D610" s="85" t="s">
        <v>3</v>
      </c>
      <c r="E610" s="85">
        <f>E609</f>
        <v>5</v>
      </c>
      <c r="F610" s="62"/>
      <c r="G610" s="62"/>
      <c r="H610" s="62"/>
      <c r="I610" s="62"/>
      <c r="J610" s="62"/>
      <c r="K610" s="62" t="s">
        <v>4</v>
      </c>
      <c r="L610" s="62" t="s">
        <v>5</v>
      </c>
      <c r="M610" s="86" t="s">
        <v>6</v>
      </c>
      <c r="N610" s="86" t="s">
        <v>3</v>
      </c>
      <c r="O610" s="87">
        <f>VLOOKUP($B610,BOM!$A$2:$K$94,10,0)</f>
        <v>0</v>
      </c>
      <c r="P610" s="87">
        <f t="shared" si="33"/>
        <v>0</v>
      </c>
      <c r="Q610" s="87" t="str">
        <f>VLOOKUP($B610,BOM!$A$2:$K$94,9,0)</f>
        <v>Cái</v>
      </c>
    </row>
    <row r="611" spans="1:17">
      <c r="A611" s="141"/>
      <c r="B611" s="81"/>
      <c r="C611" s="72" t="s">
        <v>45</v>
      </c>
      <c r="D611" s="72"/>
      <c r="E611" s="72"/>
      <c r="F611" s="72"/>
      <c r="G611" s="72"/>
      <c r="H611" s="72"/>
      <c r="I611" s="72"/>
      <c r="J611" s="72"/>
      <c r="K611" s="83"/>
      <c r="L611" s="83"/>
      <c r="M611" s="83"/>
      <c r="N611" s="83"/>
      <c r="O611" s="87">
        <f>VLOOKUP($B611,BOM!$A$2:$K$94,10,0)</f>
        <v>0</v>
      </c>
      <c r="P611" s="87">
        <f t="shared" si="33"/>
        <v>0</v>
      </c>
      <c r="Q611" s="84">
        <f>VLOOKUP($B611,BOM!$A$2:$K$94,9,0)</f>
        <v>0</v>
      </c>
    </row>
    <row r="612" spans="1:17" s="45" customFormat="1">
      <c r="A612" s="141"/>
      <c r="B612" s="62" t="s">
        <v>48</v>
      </c>
      <c r="C612" s="62" t="s">
        <v>49</v>
      </c>
      <c r="D612" s="85" t="s">
        <v>14</v>
      </c>
      <c r="E612" s="85">
        <f>E605+E609+1</f>
        <v>9</v>
      </c>
      <c r="F612" s="62"/>
      <c r="G612" s="62"/>
      <c r="H612" s="62"/>
      <c r="I612" s="62"/>
      <c r="J612" s="62"/>
      <c r="K612" s="62"/>
      <c r="L612" s="62" t="s">
        <v>5</v>
      </c>
      <c r="M612" s="86" t="s">
        <v>6</v>
      </c>
      <c r="N612" s="86" t="s">
        <v>15</v>
      </c>
      <c r="O612" s="87">
        <f>VLOOKUP($B612,BOM!$A$2:$K$94,10,0)</f>
        <v>0</v>
      </c>
      <c r="P612" s="87">
        <f t="shared" si="33"/>
        <v>0</v>
      </c>
      <c r="Q612" s="87" t="str">
        <f>VLOOKUP($B612,BOM!$A$2:$K$94,9,0)</f>
        <v>Sợi</v>
      </c>
    </row>
    <row r="613" spans="1:17" s="45" customFormat="1">
      <c r="A613" s="141"/>
      <c r="B613" s="62" t="s">
        <v>48</v>
      </c>
      <c r="C613" s="62" t="s">
        <v>49</v>
      </c>
      <c r="D613" s="85" t="s">
        <v>14</v>
      </c>
      <c r="E613" s="90">
        <f>ROUNDUP(E612*0.2,0)</f>
        <v>2</v>
      </c>
      <c r="F613" s="62"/>
      <c r="G613" s="62"/>
      <c r="H613" s="62"/>
      <c r="I613" s="62"/>
      <c r="J613" s="62"/>
      <c r="K613" s="62" t="s">
        <v>4</v>
      </c>
      <c r="L613" s="62" t="s">
        <v>5</v>
      </c>
      <c r="M613" s="86" t="s">
        <v>6</v>
      </c>
      <c r="N613" s="86" t="s">
        <v>15</v>
      </c>
      <c r="O613" s="87">
        <f>VLOOKUP($B613,BOM!$A$2:$K$94,10,0)</f>
        <v>0</v>
      </c>
      <c r="P613" s="87">
        <f t="shared" si="33"/>
        <v>0</v>
      </c>
      <c r="Q613" s="87" t="str">
        <f>VLOOKUP($B613,BOM!$A$2:$K$94,9,0)</f>
        <v>Sợi</v>
      </c>
    </row>
    <row r="614" spans="1:17">
      <c r="A614" s="141"/>
      <c r="B614" s="81"/>
      <c r="C614" s="72" t="s">
        <v>50</v>
      </c>
      <c r="D614" s="72"/>
      <c r="E614" s="72"/>
      <c r="F614" s="72"/>
      <c r="G614" s="72"/>
      <c r="H614" s="72"/>
      <c r="I614" s="72"/>
      <c r="J614" s="72"/>
      <c r="K614" s="83"/>
      <c r="L614" s="83"/>
      <c r="M614" s="83"/>
      <c r="N614" s="83"/>
      <c r="O614" s="87">
        <f>VLOOKUP($B614,BOM!$A$2:$K$94,10,0)</f>
        <v>0</v>
      </c>
      <c r="P614" s="87">
        <f t="shared" si="33"/>
        <v>0</v>
      </c>
      <c r="Q614" s="84">
        <f>VLOOKUP($B614,BOM!$A$2:$K$94,9,0)</f>
        <v>0</v>
      </c>
    </row>
    <row r="615" spans="1:17" s="45" customFormat="1">
      <c r="A615" s="141"/>
      <c r="B615" s="62" t="s">
        <v>332</v>
      </c>
      <c r="C615" s="62" t="s">
        <v>332</v>
      </c>
      <c r="D615" s="85" t="s">
        <v>51</v>
      </c>
      <c r="E615" s="85">
        <f>E600</f>
        <v>1</v>
      </c>
      <c r="F615" s="62"/>
      <c r="G615" s="62"/>
      <c r="H615" s="62"/>
      <c r="I615" s="62"/>
      <c r="J615" s="62"/>
      <c r="K615" s="62"/>
      <c r="L615" s="62"/>
      <c r="M615" s="86"/>
      <c r="N615" s="86" t="s">
        <v>51</v>
      </c>
      <c r="O615" s="87">
        <f>VLOOKUP($B615,BOM!$A$2:$K$94,10,0)</f>
        <v>0</v>
      </c>
      <c r="P615" s="87">
        <f t="shared" si="33"/>
        <v>0</v>
      </c>
      <c r="Q615" s="87" t="str">
        <f>VLOOKUP($B615,BOM!$A$2:$K$94,9,0)</f>
        <v>bộ</v>
      </c>
    </row>
    <row r="616" spans="1:17" s="45" customFormat="1">
      <c r="A616" s="141"/>
      <c r="B616" s="62" t="s">
        <v>52</v>
      </c>
      <c r="C616" s="62" t="s">
        <v>53</v>
      </c>
      <c r="D616" s="86" t="s">
        <v>54</v>
      </c>
      <c r="E616" s="105">
        <f>E613+E612</f>
        <v>11</v>
      </c>
      <c r="F616" s="62"/>
      <c r="G616" s="62"/>
      <c r="H616" s="62"/>
      <c r="I616" s="62"/>
      <c r="J616" s="62"/>
      <c r="K616" s="62"/>
      <c r="L616" s="62"/>
      <c r="M616" s="86" t="s">
        <v>55</v>
      </c>
      <c r="N616" s="86" t="s">
        <v>54</v>
      </c>
      <c r="O616" s="87">
        <f>VLOOKUP($B616,BOM!$A$2:$K$94,10,0)</f>
        <v>0</v>
      </c>
      <c r="P616" s="87">
        <f t="shared" si="33"/>
        <v>0</v>
      </c>
      <c r="Q616" s="87" t="str">
        <f>VLOOKUP($B616,BOM!$A$2:$K$94,9,0)</f>
        <v>node</v>
      </c>
    </row>
    <row r="617" spans="1:17" s="45" customFormat="1">
      <c r="A617" s="141"/>
      <c r="B617" s="62" t="s">
        <v>56</v>
      </c>
      <c r="C617" s="62" t="s">
        <v>57</v>
      </c>
      <c r="D617" s="86" t="s">
        <v>14</v>
      </c>
      <c r="E617" s="105">
        <f>E586+E582</f>
        <v>8</v>
      </c>
      <c r="F617" s="62"/>
      <c r="G617" s="62"/>
      <c r="H617" s="62"/>
      <c r="I617" s="62"/>
      <c r="J617" s="62"/>
      <c r="K617" s="62"/>
      <c r="L617" s="62"/>
      <c r="M617" s="86" t="s">
        <v>55</v>
      </c>
      <c r="N617" s="86" t="s">
        <v>14</v>
      </c>
      <c r="O617" s="87">
        <f>VLOOKUP($B617,BOM!$A$2:$K$94,10,0)</f>
        <v>0</v>
      </c>
      <c r="P617" s="87">
        <f t="shared" si="33"/>
        <v>0</v>
      </c>
      <c r="Q617" s="87" t="str">
        <f>VLOOKUP($B617,BOM!$A$2:$K$94,9,0)</f>
        <v>sợi</v>
      </c>
    </row>
    <row r="618" spans="1:17" s="45" customFormat="1">
      <c r="A618" s="141"/>
      <c r="B618" s="62" t="s">
        <v>58</v>
      </c>
      <c r="C618" s="62" t="s">
        <v>59</v>
      </c>
      <c r="D618" s="86" t="s">
        <v>60</v>
      </c>
      <c r="E618" s="105">
        <f>E617*2</f>
        <v>16</v>
      </c>
      <c r="F618" s="62"/>
      <c r="G618" s="62"/>
      <c r="H618" s="62"/>
      <c r="I618" s="62"/>
      <c r="J618" s="62"/>
      <c r="K618" s="62"/>
      <c r="L618" s="62"/>
      <c r="M618" s="86" t="s">
        <v>61</v>
      </c>
      <c r="N618" s="86" t="s">
        <v>60</v>
      </c>
      <c r="O618" s="87">
        <f>VLOOKUP($B618,BOM!$A$2:$K$94,10,0)</f>
        <v>0</v>
      </c>
      <c r="P618" s="87">
        <f t="shared" si="33"/>
        <v>0</v>
      </c>
      <c r="Q618" s="87" t="str">
        <f>VLOOKUP($B618,BOM!$A$2:$K$94,9,0)</f>
        <v>đầu</v>
      </c>
    </row>
    <row r="619" spans="1:17" s="45" customFormat="1">
      <c r="A619" s="141"/>
      <c r="B619" s="62" t="s">
        <v>62</v>
      </c>
      <c r="C619" s="62" t="s">
        <v>63</v>
      </c>
      <c r="D619" s="86" t="s">
        <v>64</v>
      </c>
      <c r="E619" s="105">
        <f>E596</f>
        <v>1</v>
      </c>
      <c r="F619" s="62"/>
      <c r="G619" s="62"/>
      <c r="H619" s="62"/>
      <c r="I619" s="62"/>
      <c r="J619" s="62"/>
      <c r="K619" s="62"/>
      <c r="L619" s="62"/>
      <c r="M619" s="86" t="s">
        <v>61</v>
      </c>
      <c r="N619" s="86" t="s">
        <v>64</v>
      </c>
      <c r="O619" s="87">
        <f>VLOOKUP($B619,BOM!$A$2:$K$94,10,0)</f>
        <v>0</v>
      </c>
      <c r="P619" s="87">
        <f t="shared" si="33"/>
        <v>0</v>
      </c>
      <c r="Q619" s="87" t="str">
        <f>VLOOKUP($B619,BOM!$A$2:$K$94,9,0)</f>
        <v>cái</v>
      </c>
    </row>
    <row r="620" spans="1:17" s="140" customFormat="1">
      <c r="A620" s="134">
        <v>13</v>
      </c>
      <c r="B620" s="135"/>
      <c r="C620" s="71" t="s">
        <v>83</v>
      </c>
      <c r="D620" s="136" t="s">
        <v>0</v>
      </c>
      <c r="E620" s="134">
        <v>1</v>
      </c>
      <c r="F620" s="134"/>
      <c r="G620" s="134"/>
      <c r="H620" s="134">
        <v>16</v>
      </c>
      <c r="I620" s="134"/>
      <c r="J620" s="137">
        <f>SUBTOTAL(9,J623:J647)</f>
        <v>15</v>
      </c>
      <c r="K620" s="137"/>
      <c r="L620" s="137"/>
      <c r="M620" s="137"/>
      <c r="N620" s="137"/>
      <c r="O620" s="87">
        <f>VLOOKUP($B620,BOM!$A$2:$K$94,10,0)</f>
        <v>0</v>
      </c>
      <c r="P620" s="87">
        <f t="shared" si="33"/>
        <v>0</v>
      </c>
      <c r="Q620" s="139">
        <f>VLOOKUP($B620,BOM!$A$2:$K$94,9,0)</f>
        <v>0</v>
      </c>
    </row>
    <row r="621" spans="1:17">
      <c r="A621" s="141"/>
      <c r="B621" s="81"/>
      <c r="C621" s="72" t="s">
        <v>124</v>
      </c>
      <c r="D621" s="72" t="s">
        <v>0</v>
      </c>
      <c r="E621" s="72">
        <v>1</v>
      </c>
      <c r="F621" s="72"/>
      <c r="G621" s="72"/>
      <c r="H621" s="72"/>
      <c r="I621" s="72"/>
      <c r="J621" s="72"/>
      <c r="K621" s="83"/>
      <c r="L621" s="83"/>
      <c r="M621" s="83"/>
      <c r="N621" s="83"/>
      <c r="O621" s="87">
        <f>VLOOKUP($B621,BOM!$A$2:$K$94,10,0)</f>
        <v>0</v>
      </c>
      <c r="P621" s="87">
        <f t="shared" si="33"/>
        <v>0</v>
      </c>
      <c r="Q621" s="84">
        <f>VLOOKUP($B621,BOM!$A$2:$K$94,9,0)</f>
        <v>0</v>
      </c>
    </row>
    <row r="622" spans="1:17" s="19" customFormat="1">
      <c r="A622" s="141"/>
      <c r="B622" s="21" t="s">
        <v>226</v>
      </c>
      <c r="C622" s="21" t="s">
        <v>227</v>
      </c>
      <c r="D622" s="21"/>
      <c r="E622" s="22">
        <v>1</v>
      </c>
      <c r="F622" s="21"/>
      <c r="G622" s="21"/>
      <c r="H622" s="21"/>
      <c r="I622" s="21"/>
      <c r="J622" s="21"/>
      <c r="K622" s="21" t="s">
        <v>4</v>
      </c>
      <c r="L622" s="21" t="s">
        <v>5</v>
      </c>
      <c r="M622" s="22" t="s">
        <v>22</v>
      </c>
      <c r="N622" s="22" t="s">
        <v>3</v>
      </c>
      <c r="O622" s="87">
        <f>VLOOKUP($B622,BOM!$A$2:$K$94,10,0)</f>
        <v>0</v>
      </c>
      <c r="P622" s="87">
        <f t="shared" si="33"/>
        <v>0</v>
      </c>
      <c r="Q622" s="142">
        <f>VLOOKUP($B622,BOM!$A$2:$K$94,9,0)</f>
        <v>0</v>
      </c>
    </row>
    <row r="623" spans="1:17" s="19" customFormat="1">
      <c r="A623" s="141"/>
      <c r="B623" s="21" t="s">
        <v>122</v>
      </c>
      <c r="C623" s="21" t="s">
        <v>123</v>
      </c>
      <c r="D623" s="21"/>
      <c r="E623" s="22">
        <v>1</v>
      </c>
      <c r="F623" s="21"/>
      <c r="G623" s="21"/>
      <c r="H623" s="21"/>
      <c r="I623" s="21"/>
      <c r="J623" s="21">
        <f>E623</f>
        <v>1</v>
      </c>
      <c r="K623" s="21" t="s">
        <v>4</v>
      </c>
      <c r="L623" s="21" t="s">
        <v>5</v>
      </c>
      <c r="M623" s="22" t="s">
        <v>22</v>
      </c>
      <c r="N623" s="22" t="s">
        <v>3</v>
      </c>
      <c r="O623" s="87">
        <f>VLOOKUP($B623,BOM!$A$2:$K$94,10,0)</f>
        <v>0</v>
      </c>
      <c r="P623" s="87">
        <f t="shared" si="33"/>
        <v>0</v>
      </c>
      <c r="Q623" s="142" t="str">
        <f>VLOOKUP($B623,BOM!$A$2:$K$94,9,0)</f>
        <v>Cái</v>
      </c>
    </row>
    <row r="624" spans="1:17">
      <c r="A624" s="141"/>
      <c r="B624" s="81"/>
      <c r="C624" s="72" t="s">
        <v>1</v>
      </c>
      <c r="D624" s="72" t="s">
        <v>0</v>
      </c>
      <c r="E624" s="72">
        <v>1</v>
      </c>
      <c r="F624" s="72"/>
      <c r="G624" s="72">
        <f>ROUNDUP(G620/24,0)</f>
        <v>0</v>
      </c>
      <c r="H624" s="72">
        <f t="shared" ref="H624" si="35">ROUNDUP(H620/24,0)</f>
        <v>1</v>
      </c>
      <c r="I624" s="72"/>
      <c r="J624" s="72"/>
      <c r="K624" s="83"/>
      <c r="L624" s="83"/>
      <c r="M624" s="83"/>
      <c r="N624" s="83"/>
      <c r="O624" s="87">
        <f>VLOOKUP($B624,BOM!$A$2:$K$94,10,0)</f>
        <v>0</v>
      </c>
      <c r="P624" s="87">
        <f t="shared" si="33"/>
        <v>0</v>
      </c>
      <c r="Q624" s="84">
        <f>VLOOKUP($B624,BOM!$A$2:$K$94,9,0)</f>
        <v>0</v>
      </c>
    </row>
    <row r="625" spans="1:17" s="45" customFormat="1">
      <c r="A625" s="141"/>
      <c r="B625" s="62">
        <v>760249997</v>
      </c>
      <c r="C625" s="62" t="s">
        <v>2</v>
      </c>
      <c r="D625" s="85" t="s">
        <v>3</v>
      </c>
      <c r="E625" s="85">
        <f>ROUNDUP((E627+E631)/3,0)</f>
        <v>1</v>
      </c>
      <c r="F625" s="62"/>
      <c r="G625" s="62"/>
      <c r="H625" s="62"/>
      <c r="I625" s="62"/>
      <c r="J625" s="21">
        <f>E625</f>
        <v>1</v>
      </c>
      <c r="K625" s="62" t="s">
        <v>4</v>
      </c>
      <c r="L625" s="62" t="s">
        <v>5</v>
      </c>
      <c r="M625" s="86" t="s">
        <v>6</v>
      </c>
      <c r="N625" s="86" t="s">
        <v>3</v>
      </c>
      <c r="O625" s="87">
        <f>VLOOKUP($B625,BOM!$A$2:$K$94,10,0)</f>
        <v>0</v>
      </c>
      <c r="P625" s="87">
        <f t="shared" si="33"/>
        <v>0</v>
      </c>
      <c r="Q625" s="87" t="str">
        <f>VLOOKUP($B625,BOM!$A$2:$K$94,9,0)</f>
        <v>Cái</v>
      </c>
    </row>
    <row r="626" spans="1:17" s="45" customFormat="1">
      <c r="A626" s="141"/>
      <c r="B626" s="62">
        <v>760241378</v>
      </c>
      <c r="C626" s="62" t="s">
        <v>7</v>
      </c>
      <c r="D626" s="85" t="s">
        <v>3</v>
      </c>
      <c r="E626" s="85">
        <f>IF(E627&lt;=2,1,ROUNDUP(E625*1.5,0))</f>
        <v>1</v>
      </c>
      <c r="F626" s="62"/>
      <c r="G626" s="62"/>
      <c r="H626" s="62"/>
      <c r="I626" s="62"/>
      <c r="J626" s="62"/>
      <c r="K626" s="62" t="s">
        <v>4</v>
      </c>
      <c r="L626" s="62" t="s">
        <v>5</v>
      </c>
      <c r="M626" s="86" t="s">
        <v>6</v>
      </c>
      <c r="N626" s="86" t="s">
        <v>3</v>
      </c>
      <c r="O626" s="87">
        <f>VLOOKUP($B626,BOM!$A$2:$K$94,10,0)</f>
        <v>0</v>
      </c>
      <c r="P626" s="87">
        <f t="shared" si="33"/>
        <v>0</v>
      </c>
      <c r="Q626" s="87" t="str">
        <f>VLOOKUP($B626,BOM!$A$2:$K$94,9,0)</f>
        <v>Cái</v>
      </c>
    </row>
    <row r="627" spans="1:17" s="45" customFormat="1">
      <c r="A627" s="141"/>
      <c r="B627" s="62" t="s">
        <v>8</v>
      </c>
      <c r="C627" s="62" t="s">
        <v>9</v>
      </c>
      <c r="D627" s="85" t="s">
        <v>3</v>
      </c>
      <c r="E627" s="85">
        <f>G624</f>
        <v>0</v>
      </c>
      <c r="F627" s="62"/>
      <c r="G627" s="62"/>
      <c r="H627" s="62"/>
      <c r="I627" s="62"/>
      <c r="J627" s="62"/>
      <c r="K627" s="62" t="s">
        <v>4</v>
      </c>
      <c r="L627" s="62" t="s">
        <v>5</v>
      </c>
      <c r="M627" s="86" t="s">
        <v>6</v>
      </c>
      <c r="N627" s="86" t="s">
        <v>3</v>
      </c>
      <c r="O627" s="87">
        <f>VLOOKUP($B627,BOM!$A$2:$K$94,10,0)</f>
        <v>0</v>
      </c>
      <c r="P627" s="87">
        <f t="shared" si="33"/>
        <v>0</v>
      </c>
      <c r="Q627" s="87" t="str">
        <f>VLOOKUP($B627,BOM!$A$2:$K$94,9,0)</f>
        <v>Cái</v>
      </c>
    </row>
    <row r="628" spans="1:17" s="45" customFormat="1">
      <c r="A628" s="141"/>
      <c r="B628" s="62" t="s">
        <v>10</v>
      </c>
      <c r="C628" s="62" t="s">
        <v>11</v>
      </c>
      <c r="D628" s="85" t="s">
        <v>3</v>
      </c>
      <c r="E628" s="85">
        <f>E625*3-E627-E631</f>
        <v>2</v>
      </c>
      <c r="F628" s="62"/>
      <c r="G628" s="62"/>
      <c r="H628" s="62"/>
      <c r="I628" s="62"/>
      <c r="J628" s="62"/>
      <c r="K628" s="62" t="s">
        <v>4</v>
      </c>
      <c r="L628" s="62" t="s">
        <v>5</v>
      </c>
      <c r="M628" s="86" t="s">
        <v>6</v>
      </c>
      <c r="N628" s="86" t="s">
        <v>3</v>
      </c>
      <c r="O628" s="87">
        <f>VLOOKUP($B628,BOM!$A$2:$K$94,10,0)</f>
        <v>0</v>
      </c>
      <c r="P628" s="87">
        <f t="shared" si="33"/>
        <v>0</v>
      </c>
      <c r="Q628" s="87" t="str">
        <f>VLOOKUP($B628,BOM!$A$2:$K$94,9,0)</f>
        <v>Cái</v>
      </c>
    </row>
    <row r="629" spans="1:17" s="45" customFormat="1">
      <c r="A629" s="141"/>
      <c r="B629" s="62" t="s">
        <v>12</v>
      </c>
      <c r="C629" s="62" t="s">
        <v>13</v>
      </c>
      <c r="D629" s="85" t="s">
        <v>14</v>
      </c>
      <c r="E629" s="85">
        <f>G620/2</f>
        <v>0</v>
      </c>
      <c r="F629" s="62"/>
      <c r="G629" s="62"/>
      <c r="H629" s="62"/>
      <c r="I629" s="62"/>
      <c r="J629" s="62"/>
      <c r="K629" s="62" t="s">
        <v>4</v>
      </c>
      <c r="L629" s="62" t="s">
        <v>5</v>
      </c>
      <c r="M629" s="86" t="s">
        <v>6</v>
      </c>
      <c r="N629" s="86" t="s">
        <v>15</v>
      </c>
      <c r="O629" s="87">
        <f>VLOOKUP($B629,BOM!$A$2:$K$94,10,0)</f>
        <v>0</v>
      </c>
      <c r="P629" s="87">
        <f t="shared" si="33"/>
        <v>0</v>
      </c>
      <c r="Q629" s="87" t="str">
        <f>VLOOKUP($B629,BOM!$A$2:$K$94,9,0)</f>
        <v>Sợi</v>
      </c>
    </row>
    <row r="630" spans="1:17" s="45" customFormat="1">
      <c r="A630" s="141"/>
      <c r="B630" s="62" t="s">
        <v>16</v>
      </c>
      <c r="C630" s="62" t="s">
        <v>17</v>
      </c>
      <c r="D630" s="85" t="s">
        <v>14</v>
      </c>
      <c r="E630" s="85">
        <f>ROUNDUP((E637*1.3),0)</f>
        <v>0</v>
      </c>
      <c r="F630" s="62"/>
      <c r="G630" s="62"/>
      <c r="H630" s="62"/>
      <c r="I630" s="62"/>
      <c r="J630" s="62"/>
      <c r="K630" s="62" t="s">
        <v>4</v>
      </c>
      <c r="L630" s="62" t="s">
        <v>5</v>
      </c>
      <c r="M630" s="86" t="s">
        <v>6</v>
      </c>
      <c r="N630" s="86" t="s">
        <v>15</v>
      </c>
      <c r="O630" s="87">
        <f>VLOOKUP($B630,BOM!$A$2:$K$94,10,0)</f>
        <v>0</v>
      </c>
      <c r="P630" s="87">
        <f t="shared" si="33"/>
        <v>0</v>
      </c>
      <c r="Q630" s="87" t="str">
        <f>VLOOKUP($B630,BOM!$A$2:$K$94,9,0)</f>
        <v>Sợi</v>
      </c>
    </row>
    <row r="631" spans="1:17" s="110" customFormat="1">
      <c r="A631" s="141"/>
      <c r="B631" s="66" t="s">
        <v>198</v>
      </c>
      <c r="C631" s="66" t="s">
        <v>199</v>
      </c>
      <c r="D631" s="89" t="s">
        <v>3</v>
      </c>
      <c r="E631" s="89">
        <f>H624</f>
        <v>1</v>
      </c>
      <c r="F631" s="66"/>
      <c r="G631" s="66"/>
      <c r="H631" s="66"/>
      <c r="I631" s="66"/>
      <c r="J631" s="66"/>
      <c r="K631" s="108" t="s">
        <v>4</v>
      </c>
      <c r="L631" s="108" t="s">
        <v>5</v>
      </c>
      <c r="M631" s="109" t="s">
        <v>6</v>
      </c>
      <c r="N631" s="109" t="s">
        <v>15</v>
      </c>
      <c r="O631" s="87">
        <f>VLOOKUP($B631,BOM!$A$2:$K$94,10,0)</f>
        <v>0</v>
      </c>
      <c r="P631" s="87">
        <f t="shared" si="33"/>
        <v>0</v>
      </c>
      <c r="Q631" s="146" t="str">
        <f>VLOOKUP($B631,BOM!$A$2:$K$94,9,0)</f>
        <v>Cái</v>
      </c>
    </row>
    <row r="632" spans="1:17" s="111" customFormat="1">
      <c r="A632" s="141"/>
      <c r="B632" s="66" t="s">
        <v>194</v>
      </c>
      <c r="C632" s="66" t="s">
        <v>195</v>
      </c>
      <c r="D632" s="89" t="s">
        <v>14</v>
      </c>
      <c r="E632" s="89">
        <f>ROUNDUP((E636*1.3),0)</f>
        <v>4</v>
      </c>
      <c r="F632" s="108"/>
      <c r="G632" s="108"/>
      <c r="H632" s="108"/>
      <c r="I632" s="108"/>
      <c r="J632" s="108"/>
      <c r="K632" s="108" t="s">
        <v>4</v>
      </c>
      <c r="L632" s="108" t="s">
        <v>5</v>
      </c>
      <c r="M632" s="109" t="s">
        <v>6</v>
      </c>
      <c r="N632" s="109" t="s">
        <v>15</v>
      </c>
      <c r="O632" s="87">
        <f>VLOOKUP($B632,BOM!$A$2:$K$94,10,0)</f>
        <v>0</v>
      </c>
      <c r="P632" s="87">
        <f t="shared" si="33"/>
        <v>0</v>
      </c>
      <c r="Q632" s="146" t="str">
        <f>VLOOKUP($B632,BOM!$A$2:$K$94,9,0)</f>
        <v>Cái</v>
      </c>
    </row>
    <row r="633" spans="1:17" s="110" customFormat="1">
      <c r="A633" s="141"/>
      <c r="B633" s="66" t="s">
        <v>196</v>
      </c>
      <c r="C633" s="66" t="s">
        <v>197</v>
      </c>
      <c r="D633" s="89" t="s">
        <v>14</v>
      </c>
      <c r="E633" s="89">
        <f>H620/2</f>
        <v>8</v>
      </c>
      <c r="F633" s="66"/>
      <c r="G633" s="66"/>
      <c r="H633" s="66"/>
      <c r="I633" s="66"/>
      <c r="J633" s="66"/>
      <c r="K633" s="108" t="s">
        <v>4</v>
      </c>
      <c r="L633" s="108" t="s">
        <v>5</v>
      </c>
      <c r="M633" s="109" t="s">
        <v>6</v>
      </c>
      <c r="N633" s="109" t="s">
        <v>15</v>
      </c>
      <c r="O633" s="87">
        <f>VLOOKUP($B633,BOM!$A$2:$K$94,10,0)</f>
        <v>0</v>
      </c>
      <c r="P633" s="87">
        <f t="shared" si="33"/>
        <v>0</v>
      </c>
      <c r="Q633" s="146" t="str">
        <f>VLOOKUP($B633,BOM!$A$2:$K$94,9,0)</f>
        <v>Cái</v>
      </c>
    </row>
    <row r="634" spans="1:17">
      <c r="A634" s="141"/>
      <c r="B634" s="81"/>
      <c r="C634" s="72" t="s">
        <v>26</v>
      </c>
      <c r="D634" s="72" t="s">
        <v>0</v>
      </c>
      <c r="E634" s="72">
        <v>1</v>
      </c>
      <c r="F634" s="72"/>
      <c r="G634" s="72"/>
      <c r="H634" s="72"/>
      <c r="I634" s="72"/>
      <c r="J634" s="72"/>
      <c r="K634" s="83"/>
      <c r="L634" s="83"/>
      <c r="M634" s="83"/>
      <c r="N634" s="83"/>
      <c r="O634" s="87">
        <f>VLOOKUP($B634,BOM!$A$2:$K$94,10,0)</f>
        <v>0</v>
      </c>
      <c r="P634" s="87">
        <f t="shared" si="33"/>
        <v>0</v>
      </c>
      <c r="Q634" s="84">
        <f>VLOOKUP($B634,BOM!$A$2:$K$94,9,0)</f>
        <v>0</v>
      </c>
    </row>
    <row r="635" spans="1:17" ht="90">
      <c r="A635" s="147"/>
      <c r="B635" s="67" t="s">
        <v>155</v>
      </c>
      <c r="C635" s="187" t="s">
        <v>325</v>
      </c>
      <c r="D635" s="90" t="s">
        <v>51</v>
      </c>
      <c r="E635" s="90">
        <v>1</v>
      </c>
      <c r="F635" s="65"/>
      <c r="G635" s="65"/>
      <c r="H635" s="65"/>
      <c r="I635" s="65"/>
      <c r="J635" s="103">
        <f>E635</f>
        <v>1</v>
      </c>
      <c r="K635" s="65" t="s">
        <v>143</v>
      </c>
      <c r="L635" s="65" t="s">
        <v>151</v>
      </c>
      <c r="M635" s="90" t="s">
        <v>154</v>
      </c>
      <c r="N635" s="90" t="s">
        <v>51</v>
      </c>
      <c r="O635" s="87">
        <f>VLOOKUP($B635,BOM!$A$2:$K$94,10,0)</f>
        <v>0</v>
      </c>
      <c r="P635" s="87">
        <f t="shared" si="33"/>
        <v>0</v>
      </c>
      <c r="Q635" s="151" t="str">
        <f>VLOOKUP($B635,BOM!$A$2:$K$94,9,0)</f>
        <v>cái</v>
      </c>
    </row>
    <row r="636" spans="1:17" s="111" customFormat="1">
      <c r="A636" s="120"/>
      <c r="B636" s="68" t="s">
        <v>216</v>
      </c>
      <c r="C636" s="68" t="s">
        <v>217</v>
      </c>
      <c r="D636" s="89" t="s">
        <v>64</v>
      </c>
      <c r="E636" s="89">
        <v>3</v>
      </c>
      <c r="F636" s="124"/>
      <c r="G636" s="124"/>
      <c r="H636" s="124"/>
      <c r="I636" s="124"/>
      <c r="J636" s="124"/>
      <c r="K636" s="124" t="s">
        <v>143</v>
      </c>
      <c r="L636" s="124" t="s">
        <v>151</v>
      </c>
      <c r="M636" s="89" t="s">
        <v>154</v>
      </c>
      <c r="N636" s="89" t="s">
        <v>64</v>
      </c>
      <c r="O636" s="87">
        <f>VLOOKUP($B636,BOM!$A$2:$K$94,10,0)</f>
        <v>0</v>
      </c>
      <c r="P636" s="87">
        <f t="shared" si="33"/>
        <v>0</v>
      </c>
      <c r="Q636" s="152" t="str">
        <f>VLOOKUP($B636,BOM!$A$2:$K$94,9,0)</f>
        <v>cái</v>
      </c>
    </row>
    <row r="637" spans="1:17" s="45" customFormat="1">
      <c r="A637" s="141"/>
      <c r="B637" s="64" t="s">
        <v>212</v>
      </c>
      <c r="C637" s="64" t="s">
        <v>213</v>
      </c>
      <c r="D637" s="97" t="s">
        <v>64</v>
      </c>
      <c r="E637" s="98"/>
      <c r="F637" s="95"/>
      <c r="G637" s="95"/>
      <c r="H637" s="95"/>
      <c r="I637" s="95"/>
      <c r="J637" s="95"/>
      <c r="K637" s="95" t="s">
        <v>143</v>
      </c>
      <c r="L637" s="95" t="s">
        <v>151</v>
      </c>
      <c r="M637" s="97" t="s">
        <v>154</v>
      </c>
      <c r="N637" s="97" t="s">
        <v>64</v>
      </c>
      <c r="O637" s="87">
        <f>VLOOKUP($B637,BOM!$A$2:$K$94,10,0)</f>
        <v>0</v>
      </c>
      <c r="P637" s="87">
        <f t="shared" si="33"/>
        <v>0</v>
      </c>
      <c r="Q637" s="153" t="str">
        <f>VLOOKUP($B637,BOM!$A$2:$K$94,9,0)</f>
        <v>cái</v>
      </c>
    </row>
    <row r="638" spans="1:17" s="45" customFormat="1">
      <c r="A638" s="141"/>
      <c r="B638" s="62"/>
      <c r="C638" s="62"/>
      <c r="D638" s="85"/>
      <c r="E638" s="90"/>
      <c r="F638" s="62"/>
      <c r="G638" s="62"/>
      <c r="H638" s="62"/>
      <c r="I638" s="62"/>
      <c r="J638" s="62"/>
      <c r="K638" s="62"/>
      <c r="L638" s="62"/>
      <c r="M638" s="86"/>
      <c r="N638" s="86"/>
      <c r="O638" s="87">
        <f>VLOOKUP($B638,BOM!$A$2:$K$94,10,0)</f>
        <v>0</v>
      </c>
      <c r="P638" s="87">
        <f t="shared" si="33"/>
        <v>0</v>
      </c>
      <c r="Q638" s="87">
        <f>VLOOKUP($B638,BOM!$A$2:$K$94,9,0)</f>
        <v>0</v>
      </c>
    </row>
    <row r="639" spans="1:17" s="111" customFormat="1">
      <c r="A639" s="124"/>
      <c r="B639" s="124" t="s">
        <v>218</v>
      </c>
      <c r="C639" s="75" t="s">
        <v>219</v>
      </c>
      <c r="D639" s="75" t="s">
        <v>159</v>
      </c>
      <c r="E639" s="154">
        <v>2</v>
      </c>
      <c r="F639" s="75"/>
      <c r="G639" s="75"/>
      <c r="H639" s="75"/>
      <c r="I639" s="75"/>
      <c r="J639" s="75"/>
      <c r="K639" s="75" t="s">
        <v>143</v>
      </c>
      <c r="L639" s="75" t="s">
        <v>151</v>
      </c>
      <c r="M639" s="75" t="s">
        <v>154</v>
      </c>
      <c r="N639" s="75" t="s">
        <v>159</v>
      </c>
      <c r="O639" s="87">
        <f>VLOOKUP($B639,BOM!$A$2:$K$94,10,0)</f>
        <v>0</v>
      </c>
      <c r="P639" s="87">
        <f t="shared" si="33"/>
        <v>0</v>
      </c>
      <c r="Q639" s="155" t="str">
        <f>VLOOKUP($B639,BOM!$A$2:$K$94,9,0)</f>
        <v>cái</v>
      </c>
    </row>
    <row r="640" spans="1:17" outlineLevel="1">
      <c r="A640" s="141"/>
      <c r="B640" s="117"/>
      <c r="C640" s="61" t="s">
        <v>67</v>
      </c>
      <c r="D640" s="119" t="s">
        <v>0</v>
      </c>
      <c r="E640" s="120">
        <v>1</v>
      </c>
      <c r="F640" s="121"/>
      <c r="G640" s="121"/>
      <c r="H640" s="121" t="s">
        <v>69</v>
      </c>
      <c r="I640" s="122"/>
      <c r="J640" s="21">
        <f t="shared" ref="J640:J641" si="36">E640</f>
        <v>1</v>
      </c>
      <c r="K640" s="63"/>
      <c r="L640" s="63"/>
      <c r="M640" s="63"/>
      <c r="N640" s="63"/>
      <c r="O640" s="87">
        <f>VLOOKUP($B640,BOM!$A$2:$K$94,10,0)</f>
        <v>0</v>
      </c>
      <c r="P640" s="87">
        <f t="shared" si="33"/>
        <v>0</v>
      </c>
      <c r="Q640" s="80">
        <f>VLOOKUP($B640,BOM!$A$2:$K$94,9,0)</f>
        <v>0</v>
      </c>
    </row>
    <row r="641" spans="1:17" outlineLevel="1">
      <c r="A641" s="141"/>
      <c r="B641" s="117"/>
      <c r="C641" s="61" t="s">
        <v>70</v>
      </c>
      <c r="D641" s="119" t="s">
        <v>0</v>
      </c>
      <c r="E641" s="120">
        <v>1</v>
      </c>
      <c r="F641" s="121"/>
      <c r="G641" s="121"/>
      <c r="H641" s="121" t="s">
        <v>69</v>
      </c>
      <c r="I641" s="122"/>
      <c r="J641" s="21">
        <f t="shared" si="36"/>
        <v>1</v>
      </c>
      <c r="K641" s="63"/>
      <c r="L641" s="63"/>
      <c r="M641" s="63"/>
      <c r="N641" s="63"/>
      <c r="O641" s="87">
        <f>VLOOKUP($B641,BOM!$A$2:$K$94,10,0)</f>
        <v>0</v>
      </c>
      <c r="P641" s="87">
        <f t="shared" si="33"/>
        <v>0</v>
      </c>
      <c r="Q641" s="80">
        <f>VLOOKUP($B641,BOM!$A$2:$K$94,9,0)</f>
        <v>0</v>
      </c>
    </row>
    <row r="642" spans="1:17">
      <c r="A642" s="141"/>
      <c r="B642" s="81"/>
      <c r="C642" s="72" t="s">
        <v>18</v>
      </c>
      <c r="D642" s="72" t="s">
        <v>0</v>
      </c>
      <c r="E642" s="72">
        <v>1</v>
      </c>
      <c r="F642" s="72"/>
      <c r="G642" s="72"/>
      <c r="H642" s="72"/>
      <c r="I642" s="72"/>
      <c r="J642" s="72"/>
      <c r="K642" s="83"/>
      <c r="L642" s="83"/>
      <c r="M642" s="83"/>
      <c r="N642" s="83"/>
      <c r="O642" s="87">
        <f>VLOOKUP($B642,BOM!$A$2:$K$94,10,0)</f>
        <v>0</v>
      </c>
      <c r="P642" s="87">
        <f t="shared" si="33"/>
        <v>0</v>
      </c>
      <c r="Q642" s="84">
        <f>VLOOKUP($B642,BOM!$A$2:$K$94,9,0)</f>
        <v>0</v>
      </c>
    </row>
    <row r="643" spans="1:17" s="45" customFormat="1">
      <c r="A643" s="141"/>
      <c r="B643" s="62">
        <v>760237046</v>
      </c>
      <c r="C643" s="62" t="s">
        <v>19</v>
      </c>
      <c r="D643" s="85" t="s">
        <v>3</v>
      </c>
      <c r="E643" s="85">
        <f>E635+E638</f>
        <v>1</v>
      </c>
      <c r="F643" s="62"/>
      <c r="G643" s="62"/>
      <c r="H643" s="62"/>
      <c r="I643" s="62"/>
      <c r="J643" s="21">
        <f>E643</f>
        <v>1</v>
      </c>
      <c r="K643" s="62" t="s">
        <v>4</v>
      </c>
      <c r="L643" s="62" t="s">
        <v>5</v>
      </c>
      <c r="M643" s="86" t="s">
        <v>6</v>
      </c>
      <c r="N643" s="86" t="s">
        <v>3</v>
      </c>
      <c r="O643" s="87">
        <f>VLOOKUP($B643,BOM!$A$2:$K$94,10,0)</f>
        <v>0</v>
      </c>
      <c r="P643" s="87">
        <f t="shared" si="33"/>
        <v>0</v>
      </c>
      <c r="Q643" s="87" t="str">
        <f>VLOOKUP($B643,BOM!$A$2:$K$94,9,0)</f>
        <v>Cái</v>
      </c>
    </row>
    <row r="644" spans="1:17" s="45" customFormat="1">
      <c r="A644" s="141"/>
      <c r="B644" s="62" t="s">
        <v>23</v>
      </c>
      <c r="C644" s="62" t="s">
        <v>24</v>
      </c>
      <c r="D644" s="85" t="s">
        <v>3</v>
      </c>
      <c r="E644" s="85">
        <f>E643*24</f>
        <v>24</v>
      </c>
      <c r="F644" s="62"/>
      <c r="G644" s="62"/>
      <c r="H644" s="62"/>
      <c r="I644" s="62"/>
      <c r="J644" s="62"/>
      <c r="K644" s="62" t="s">
        <v>25</v>
      </c>
      <c r="L644" s="62" t="s">
        <v>5</v>
      </c>
      <c r="M644" s="86" t="s">
        <v>6</v>
      </c>
      <c r="N644" s="86" t="s">
        <v>3</v>
      </c>
      <c r="O644" s="87">
        <f>VLOOKUP($B644,BOM!$A$2:$K$94,10,0)</f>
        <v>0</v>
      </c>
      <c r="P644" s="87">
        <f t="shared" si="33"/>
        <v>0</v>
      </c>
      <c r="Q644" s="87" t="str">
        <f>VLOOKUP($B644,BOM!$A$2:$K$94,9,0)</f>
        <v>Cái</v>
      </c>
    </row>
    <row r="645" spans="1:17" s="45" customFormat="1">
      <c r="A645" s="141"/>
      <c r="B645" s="62" t="s">
        <v>20</v>
      </c>
      <c r="C645" s="62" t="s">
        <v>21</v>
      </c>
      <c r="D645" s="85" t="s">
        <v>3</v>
      </c>
      <c r="E645" s="85">
        <f>E643</f>
        <v>1</v>
      </c>
      <c r="F645" s="62"/>
      <c r="G645" s="62"/>
      <c r="H645" s="62"/>
      <c r="I645" s="62"/>
      <c r="J645" s="21">
        <f>E645</f>
        <v>1</v>
      </c>
      <c r="K645" s="62" t="s">
        <v>4</v>
      </c>
      <c r="L645" s="62" t="s">
        <v>5</v>
      </c>
      <c r="M645" s="86" t="s">
        <v>22</v>
      </c>
      <c r="N645" s="86" t="s">
        <v>3</v>
      </c>
      <c r="O645" s="87">
        <f>VLOOKUP($B645,BOM!$A$2:$K$94,10,0)</f>
        <v>0</v>
      </c>
      <c r="P645" s="87">
        <f t="shared" si="33"/>
        <v>0</v>
      </c>
      <c r="Q645" s="87" t="str">
        <f>VLOOKUP($B645,BOM!$A$2:$K$94,9,0)</f>
        <v>Cái</v>
      </c>
    </row>
    <row r="646" spans="1:17">
      <c r="A646" s="141"/>
      <c r="B646" s="81"/>
      <c r="C646" s="72" t="s">
        <v>71</v>
      </c>
      <c r="D646" s="72" t="s">
        <v>0</v>
      </c>
      <c r="E646" s="72">
        <v>1</v>
      </c>
      <c r="F646" s="72"/>
      <c r="G646" s="72"/>
      <c r="H646" s="72"/>
      <c r="I646" s="72"/>
      <c r="J646" s="72"/>
      <c r="K646" s="83"/>
      <c r="L646" s="83"/>
      <c r="M646" s="83"/>
      <c r="N646" s="83"/>
      <c r="O646" s="87">
        <f>VLOOKUP($B646,BOM!$A$2:$K$94,10,0)</f>
        <v>0</v>
      </c>
      <c r="P646" s="87">
        <f t="shared" si="33"/>
        <v>0</v>
      </c>
      <c r="Q646" s="84">
        <f>VLOOKUP($B646,BOM!$A$2:$K$94,9,0)</f>
        <v>0</v>
      </c>
    </row>
    <row r="647" spans="1:17" s="45" customFormat="1">
      <c r="A647" s="141"/>
      <c r="B647" s="62" t="s">
        <v>314</v>
      </c>
      <c r="C647" s="62" t="s">
        <v>316</v>
      </c>
      <c r="D647" s="116" t="s">
        <v>51</v>
      </c>
      <c r="E647" s="85">
        <v>1</v>
      </c>
      <c r="F647" s="62"/>
      <c r="G647" s="62"/>
      <c r="H647" s="62"/>
      <c r="I647" s="62"/>
      <c r="J647" s="86">
        <f>E647*8</f>
        <v>8</v>
      </c>
      <c r="K647" s="62"/>
      <c r="L647" s="62" t="s">
        <v>5</v>
      </c>
      <c r="M647" s="86" t="s">
        <v>28</v>
      </c>
      <c r="N647" s="86" t="s">
        <v>3</v>
      </c>
      <c r="O647" s="87">
        <f>VLOOKUP($B647,BOM!$A$2:$K$94,10,0)</f>
        <v>0</v>
      </c>
      <c r="P647" s="87">
        <f t="shared" si="33"/>
        <v>0</v>
      </c>
      <c r="Q647" s="87" t="str">
        <f>VLOOKUP($B647,BOM!$A$2:$K$94,9,0)</f>
        <v>Cái</v>
      </c>
    </row>
    <row r="648" spans="1:17" s="45" customFormat="1">
      <c r="A648" s="141"/>
      <c r="B648" s="62"/>
      <c r="C648" s="62"/>
      <c r="D648" s="116"/>
      <c r="E648" s="85"/>
      <c r="F648" s="62"/>
      <c r="G648" s="62"/>
      <c r="H648" s="62"/>
      <c r="I648" s="62"/>
      <c r="J648" s="62"/>
      <c r="K648" s="62"/>
      <c r="L648" s="62"/>
      <c r="M648" s="86"/>
      <c r="N648" s="86"/>
      <c r="O648" s="87">
        <f>VLOOKUP($B648,BOM!$A$2:$K$94,10,0)</f>
        <v>0</v>
      </c>
      <c r="P648" s="87">
        <f t="shared" si="33"/>
        <v>0</v>
      </c>
      <c r="Q648" s="87">
        <f>VLOOKUP($B648,BOM!$A$2:$K$94,9,0)</f>
        <v>0</v>
      </c>
    </row>
    <row r="649" spans="1:17" s="45" customFormat="1">
      <c r="A649" s="141"/>
      <c r="B649" s="62" t="s">
        <v>225</v>
      </c>
      <c r="C649" s="62" t="s">
        <v>72</v>
      </c>
      <c r="D649" s="116" t="s">
        <v>64</v>
      </c>
      <c r="E649" s="85">
        <v>0</v>
      </c>
      <c r="F649" s="62"/>
      <c r="G649" s="62"/>
      <c r="H649" s="62"/>
      <c r="I649" s="62"/>
      <c r="J649" s="62"/>
      <c r="K649" s="62"/>
      <c r="L649" s="62" t="s">
        <v>5</v>
      </c>
      <c r="M649" s="86" t="s">
        <v>28</v>
      </c>
      <c r="N649" s="86" t="s">
        <v>3</v>
      </c>
      <c r="O649" s="87">
        <f>VLOOKUP($B649,BOM!$A$2:$K$94,10,0)</f>
        <v>0</v>
      </c>
      <c r="P649" s="87">
        <f t="shared" si="33"/>
        <v>0</v>
      </c>
      <c r="Q649" s="87" t="str">
        <f>VLOOKUP($B649,BOM!$A$2:$K$94,9,0)</f>
        <v>Cái</v>
      </c>
    </row>
    <row r="650" spans="1:17">
      <c r="A650" s="141"/>
      <c r="B650" s="81"/>
      <c r="C650" s="72" t="s">
        <v>31</v>
      </c>
      <c r="D650" s="72" t="s">
        <v>0</v>
      </c>
      <c r="E650" s="72">
        <v>1</v>
      </c>
      <c r="F650" s="72"/>
      <c r="G650" s="72"/>
      <c r="H650" s="72"/>
      <c r="I650" s="72"/>
      <c r="J650" s="72"/>
      <c r="K650" s="83"/>
      <c r="L650" s="83"/>
      <c r="M650" s="83"/>
      <c r="N650" s="83"/>
      <c r="O650" s="87">
        <f>VLOOKUP($B650,BOM!$A$2:$K$94,10,0)</f>
        <v>0</v>
      </c>
      <c r="P650" s="87">
        <f t="shared" ref="P650:P713" si="37">O650*E650</f>
        <v>0</v>
      </c>
      <c r="Q650" s="84">
        <f>VLOOKUP($B650,BOM!$A$2:$K$94,9,0)</f>
        <v>0</v>
      </c>
    </row>
    <row r="651" spans="1:17">
      <c r="A651" s="141"/>
      <c r="B651" s="81"/>
      <c r="C651" s="72" t="s">
        <v>32</v>
      </c>
      <c r="D651" s="72"/>
      <c r="E651" s="72"/>
      <c r="F651" s="72"/>
      <c r="G651" s="72">
        <v>10</v>
      </c>
      <c r="H651" s="72"/>
      <c r="I651" s="72"/>
      <c r="J651" s="72"/>
      <c r="K651" s="83"/>
      <c r="L651" s="83"/>
      <c r="M651" s="83"/>
      <c r="N651" s="83"/>
      <c r="O651" s="87">
        <f>VLOOKUP($B651,BOM!$A$2:$K$94,10,0)</f>
        <v>0</v>
      </c>
      <c r="P651" s="87">
        <f t="shared" si="37"/>
        <v>0</v>
      </c>
      <c r="Q651" s="84">
        <f>VLOOKUP($B651,BOM!$A$2:$K$94,9,0)</f>
        <v>0</v>
      </c>
    </row>
    <row r="652" spans="1:17" s="45" customFormat="1" ht="20.45" customHeight="1">
      <c r="A652" s="141"/>
      <c r="B652" s="62" t="s">
        <v>33</v>
      </c>
      <c r="C652" s="62" t="s">
        <v>34</v>
      </c>
      <c r="D652" s="85" t="s">
        <v>3</v>
      </c>
      <c r="E652" s="90">
        <f>E653</f>
        <v>10</v>
      </c>
      <c r="F652" s="62"/>
      <c r="G652" s="62"/>
      <c r="H652" s="62"/>
      <c r="I652" s="62"/>
      <c r="J652" s="62"/>
      <c r="K652" s="62" t="s">
        <v>35</v>
      </c>
      <c r="L652" s="62" t="s">
        <v>5</v>
      </c>
      <c r="M652" s="86" t="s">
        <v>6</v>
      </c>
      <c r="N652" s="86" t="s">
        <v>3</v>
      </c>
      <c r="O652" s="87">
        <f>VLOOKUP($B652,BOM!$A$2:$K$94,10,0)</f>
        <v>0</v>
      </c>
      <c r="P652" s="87">
        <f t="shared" si="37"/>
        <v>0</v>
      </c>
      <c r="Q652" s="87" t="str">
        <f>VLOOKUP($B652,BOM!$A$2:$K$94,9,0)</f>
        <v>Cái</v>
      </c>
    </row>
    <row r="653" spans="1:17" s="45" customFormat="1">
      <c r="A653" s="141"/>
      <c r="B653" s="62" t="s">
        <v>330</v>
      </c>
      <c r="C653" s="62" t="s">
        <v>36</v>
      </c>
      <c r="D653" s="85" t="s">
        <v>3</v>
      </c>
      <c r="E653" s="90">
        <f>G651+H651</f>
        <v>10</v>
      </c>
      <c r="F653" s="62"/>
      <c r="G653" s="62"/>
      <c r="H653" s="62"/>
      <c r="I653" s="62"/>
      <c r="J653" s="62"/>
      <c r="K653" s="62" t="s">
        <v>37</v>
      </c>
      <c r="L653" s="62" t="s">
        <v>5</v>
      </c>
      <c r="M653" s="86" t="s">
        <v>37</v>
      </c>
      <c r="N653" s="86" t="s">
        <v>3</v>
      </c>
      <c r="O653" s="87">
        <f>VLOOKUP($B653,BOM!$A$2:$K$94,10,0)</f>
        <v>0</v>
      </c>
      <c r="P653" s="87">
        <f t="shared" si="37"/>
        <v>0</v>
      </c>
      <c r="Q653" s="87" t="str">
        <f>VLOOKUP($B653,BOM!$A$2:$K$94,9,0)</f>
        <v>Cái</v>
      </c>
    </row>
    <row r="654" spans="1:17" s="45" customFormat="1">
      <c r="A654" s="141"/>
      <c r="B654" s="62" t="s">
        <v>38</v>
      </c>
      <c r="C654" s="62" t="s">
        <v>39</v>
      </c>
      <c r="D654" s="85" t="s">
        <v>3</v>
      </c>
      <c r="E654" s="90">
        <f>E653</f>
        <v>10</v>
      </c>
      <c r="F654" s="62"/>
      <c r="G654" s="62"/>
      <c r="H654" s="62"/>
      <c r="I654" s="62"/>
      <c r="J654" s="62"/>
      <c r="K654" s="62" t="s">
        <v>25</v>
      </c>
      <c r="L654" s="62" t="s">
        <v>5</v>
      </c>
      <c r="M654" s="86" t="s">
        <v>6</v>
      </c>
      <c r="N654" s="86" t="s">
        <v>3</v>
      </c>
      <c r="O654" s="87">
        <f>VLOOKUP($B654,BOM!$A$2:$K$94,10,0)</f>
        <v>0</v>
      </c>
      <c r="P654" s="87">
        <f t="shared" si="37"/>
        <v>0</v>
      </c>
      <c r="Q654" s="87" t="str">
        <f>VLOOKUP($B654,BOM!$A$2:$K$94,9,0)</f>
        <v>Cái</v>
      </c>
    </row>
    <row r="655" spans="1:17">
      <c r="A655" s="141"/>
      <c r="B655" s="81"/>
      <c r="C655" s="72" t="s">
        <v>40</v>
      </c>
      <c r="D655" s="72"/>
      <c r="E655" s="72"/>
      <c r="F655" s="72"/>
      <c r="G655" s="72">
        <v>5</v>
      </c>
      <c r="H655" s="72"/>
      <c r="I655" s="72"/>
      <c r="J655" s="72"/>
      <c r="K655" s="83"/>
      <c r="L655" s="83"/>
      <c r="M655" s="83"/>
      <c r="N655" s="83"/>
      <c r="O655" s="87">
        <f>VLOOKUP($B655,BOM!$A$2:$K$94,10,0)</f>
        <v>0</v>
      </c>
      <c r="P655" s="87">
        <f t="shared" si="37"/>
        <v>0</v>
      </c>
      <c r="Q655" s="84">
        <f>VLOOKUP($B655,BOM!$A$2:$K$94,9,0)</f>
        <v>0</v>
      </c>
    </row>
    <row r="656" spans="1:17" s="45" customFormat="1">
      <c r="A656" s="141"/>
      <c r="B656" s="62" t="s">
        <v>41</v>
      </c>
      <c r="C656" s="62" t="s">
        <v>42</v>
      </c>
      <c r="D656" s="85" t="s">
        <v>3</v>
      </c>
      <c r="E656" s="85">
        <f>G655+H655</f>
        <v>5</v>
      </c>
      <c r="F656" s="62"/>
      <c r="G656" s="62"/>
      <c r="H656" s="62"/>
      <c r="I656" s="62"/>
      <c r="J656" s="62"/>
      <c r="K656" s="62" t="s">
        <v>4</v>
      </c>
      <c r="L656" s="62" t="s">
        <v>5</v>
      </c>
      <c r="M656" s="86" t="s">
        <v>6</v>
      </c>
      <c r="N656" s="86" t="s">
        <v>3</v>
      </c>
      <c r="O656" s="87">
        <f>VLOOKUP($B656,BOM!$A$2:$K$94,10,0)</f>
        <v>0</v>
      </c>
      <c r="P656" s="87">
        <f t="shared" si="37"/>
        <v>0</v>
      </c>
      <c r="Q656" s="87" t="str">
        <f>VLOOKUP($B656,BOM!$A$2:$K$94,9,0)</f>
        <v>Cái</v>
      </c>
    </row>
    <row r="657" spans="1:17" s="45" customFormat="1">
      <c r="A657" s="141"/>
      <c r="B657" s="65" t="s">
        <v>43</v>
      </c>
      <c r="C657" s="65" t="s">
        <v>44</v>
      </c>
      <c r="D657" s="85" t="s">
        <v>3</v>
      </c>
      <c r="E657" s="85">
        <f>E656</f>
        <v>5</v>
      </c>
      <c r="F657" s="62"/>
      <c r="G657" s="62"/>
      <c r="H657" s="62"/>
      <c r="I657" s="62"/>
      <c r="J657" s="62"/>
      <c r="K657" s="62" t="s">
        <v>4</v>
      </c>
      <c r="L657" s="62" t="s">
        <v>5</v>
      </c>
      <c r="M657" s="86" t="s">
        <v>6</v>
      </c>
      <c r="N657" s="86" t="s">
        <v>3</v>
      </c>
      <c r="O657" s="87">
        <f>VLOOKUP($B657,BOM!$A$2:$K$94,10,0)</f>
        <v>0</v>
      </c>
      <c r="P657" s="87">
        <f t="shared" si="37"/>
        <v>0</v>
      </c>
      <c r="Q657" s="87" t="str">
        <f>VLOOKUP($B657,BOM!$A$2:$K$94,9,0)</f>
        <v>Cái</v>
      </c>
    </row>
    <row r="658" spans="1:17">
      <c r="A658" s="141"/>
      <c r="B658" s="81"/>
      <c r="C658" s="72" t="s">
        <v>45</v>
      </c>
      <c r="D658" s="72"/>
      <c r="E658" s="72"/>
      <c r="F658" s="72"/>
      <c r="G658" s="72"/>
      <c r="H658" s="72"/>
      <c r="I658" s="72"/>
      <c r="J658" s="72"/>
      <c r="K658" s="83"/>
      <c r="L658" s="83"/>
      <c r="M658" s="83"/>
      <c r="N658" s="83"/>
      <c r="O658" s="87">
        <f>VLOOKUP($B658,BOM!$A$2:$K$94,10,0)</f>
        <v>0</v>
      </c>
      <c r="P658" s="87">
        <f t="shared" si="37"/>
        <v>0</v>
      </c>
      <c r="Q658" s="84">
        <f>VLOOKUP($B658,BOM!$A$2:$K$94,9,0)</f>
        <v>0</v>
      </c>
    </row>
    <row r="659" spans="1:17" s="45" customFormat="1">
      <c r="A659" s="141"/>
      <c r="B659" s="62" t="s">
        <v>48</v>
      </c>
      <c r="C659" s="62" t="s">
        <v>49</v>
      </c>
      <c r="D659" s="85" t="s">
        <v>14</v>
      </c>
      <c r="E659" s="85">
        <f>E652+E656+1</f>
        <v>16</v>
      </c>
      <c r="F659" s="62"/>
      <c r="G659" s="62"/>
      <c r="H659" s="62"/>
      <c r="I659" s="62"/>
      <c r="J659" s="62"/>
      <c r="K659" s="62"/>
      <c r="L659" s="62" t="s">
        <v>5</v>
      </c>
      <c r="M659" s="86" t="s">
        <v>6</v>
      </c>
      <c r="N659" s="86" t="s">
        <v>15</v>
      </c>
      <c r="O659" s="87">
        <f>VLOOKUP($B659,BOM!$A$2:$K$94,10,0)</f>
        <v>0</v>
      </c>
      <c r="P659" s="87">
        <f t="shared" si="37"/>
        <v>0</v>
      </c>
      <c r="Q659" s="87" t="str">
        <f>VLOOKUP($B659,BOM!$A$2:$K$94,9,0)</f>
        <v>Sợi</v>
      </c>
    </row>
    <row r="660" spans="1:17" s="45" customFormat="1">
      <c r="A660" s="141"/>
      <c r="B660" s="62" t="s">
        <v>48</v>
      </c>
      <c r="C660" s="62" t="s">
        <v>49</v>
      </c>
      <c r="D660" s="85" t="s">
        <v>14</v>
      </c>
      <c r="E660" s="90">
        <f>ROUNDUP(E659*0.2,0)</f>
        <v>4</v>
      </c>
      <c r="F660" s="62"/>
      <c r="G660" s="62"/>
      <c r="H660" s="62"/>
      <c r="I660" s="62"/>
      <c r="J660" s="62"/>
      <c r="K660" s="62" t="s">
        <v>4</v>
      </c>
      <c r="L660" s="62" t="s">
        <v>5</v>
      </c>
      <c r="M660" s="86" t="s">
        <v>6</v>
      </c>
      <c r="N660" s="86" t="s">
        <v>15</v>
      </c>
      <c r="O660" s="87">
        <f>VLOOKUP($B660,BOM!$A$2:$K$94,10,0)</f>
        <v>0</v>
      </c>
      <c r="P660" s="87">
        <f t="shared" si="37"/>
        <v>0</v>
      </c>
      <c r="Q660" s="87" t="str">
        <f>VLOOKUP($B660,BOM!$A$2:$K$94,9,0)</f>
        <v>Sợi</v>
      </c>
    </row>
    <row r="661" spans="1:17">
      <c r="A661" s="141"/>
      <c r="B661" s="81"/>
      <c r="C661" s="72" t="s">
        <v>50</v>
      </c>
      <c r="D661" s="72"/>
      <c r="E661" s="72"/>
      <c r="F661" s="72"/>
      <c r="G661" s="72"/>
      <c r="H661" s="72"/>
      <c r="I661" s="72"/>
      <c r="J661" s="72"/>
      <c r="K661" s="83"/>
      <c r="L661" s="83"/>
      <c r="M661" s="83"/>
      <c r="N661" s="83"/>
      <c r="O661" s="87">
        <f>VLOOKUP($B661,BOM!$A$2:$K$94,10,0)</f>
        <v>0</v>
      </c>
      <c r="P661" s="87">
        <f t="shared" si="37"/>
        <v>0</v>
      </c>
      <c r="Q661" s="84">
        <f>VLOOKUP($B661,BOM!$A$2:$K$94,9,0)</f>
        <v>0</v>
      </c>
    </row>
    <row r="662" spans="1:17" s="45" customFormat="1">
      <c r="A662" s="141"/>
      <c r="B662" s="62" t="s">
        <v>332</v>
      </c>
      <c r="C662" s="62" t="s">
        <v>332</v>
      </c>
      <c r="D662" s="85" t="s">
        <v>51</v>
      </c>
      <c r="E662" s="85">
        <f>E647</f>
        <v>1</v>
      </c>
      <c r="F662" s="62"/>
      <c r="G662" s="62"/>
      <c r="H662" s="62"/>
      <c r="I662" s="62"/>
      <c r="J662" s="62"/>
      <c r="K662" s="62"/>
      <c r="L662" s="62"/>
      <c r="M662" s="86"/>
      <c r="N662" s="86" t="s">
        <v>51</v>
      </c>
      <c r="O662" s="87">
        <f>VLOOKUP($B662,BOM!$A$2:$K$94,10,0)</f>
        <v>0</v>
      </c>
      <c r="P662" s="87">
        <f t="shared" si="37"/>
        <v>0</v>
      </c>
      <c r="Q662" s="87" t="str">
        <f>VLOOKUP($B662,BOM!$A$2:$K$94,9,0)</f>
        <v>bộ</v>
      </c>
    </row>
    <row r="663" spans="1:17" s="45" customFormat="1">
      <c r="A663" s="141"/>
      <c r="B663" s="62" t="s">
        <v>52</v>
      </c>
      <c r="C663" s="62" t="s">
        <v>53</v>
      </c>
      <c r="D663" s="86" t="s">
        <v>54</v>
      </c>
      <c r="E663" s="105">
        <f>E660+E659</f>
        <v>20</v>
      </c>
      <c r="F663" s="62"/>
      <c r="G663" s="62"/>
      <c r="H663" s="62"/>
      <c r="I663" s="62"/>
      <c r="J663" s="62"/>
      <c r="K663" s="62"/>
      <c r="L663" s="62"/>
      <c r="M663" s="86" t="s">
        <v>55</v>
      </c>
      <c r="N663" s="86" t="s">
        <v>54</v>
      </c>
      <c r="O663" s="87">
        <f>VLOOKUP($B663,BOM!$A$2:$K$94,10,0)</f>
        <v>0</v>
      </c>
      <c r="P663" s="87">
        <f t="shared" si="37"/>
        <v>0</v>
      </c>
      <c r="Q663" s="87" t="str">
        <f>VLOOKUP($B663,BOM!$A$2:$K$94,9,0)</f>
        <v>node</v>
      </c>
    </row>
    <row r="664" spans="1:17" s="45" customFormat="1">
      <c r="A664" s="141"/>
      <c r="B664" s="62" t="s">
        <v>56</v>
      </c>
      <c r="C664" s="62" t="s">
        <v>57</v>
      </c>
      <c r="D664" s="86" t="s">
        <v>14</v>
      </c>
      <c r="E664" s="105">
        <f>E633+E629</f>
        <v>8</v>
      </c>
      <c r="F664" s="62"/>
      <c r="G664" s="62"/>
      <c r="H664" s="62"/>
      <c r="I664" s="62"/>
      <c r="J664" s="62"/>
      <c r="K664" s="62"/>
      <c r="L664" s="62"/>
      <c r="M664" s="86" t="s">
        <v>55</v>
      </c>
      <c r="N664" s="86" t="s">
        <v>14</v>
      </c>
      <c r="O664" s="87">
        <f>VLOOKUP($B664,BOM!$A$2:$K$94,10,0)</f>
        <v>0</v>
      </c>
      <c r="P664" s="87">
        <f t="shared" si="37"/>
        <v>0</v>
      </c>
      <c r="Q664" s="87" t="str">
        <f>VLOOKUP($B664,BOM!$A$2:$K$94,9,0)</f>
        <v>sợi</v>
      </c>
    </row>
    <row r="665" spans="1:17" s="45" customFormat="1">
      <c r="A665" s="141"/>
      <c r="B665" s="62" t="s">
        <v>58</v>
      </c>
      <c r="C665" s="62" t="s">
        <v>59</v>
      </c>
      <c r="D665" s="86" t="s">
        <v>60</v>
      </c>
      <c r="E665" s="105">
        <f>E664*2</f>
        <v>16</v>
      </c>
      <c r="F665" s="62"/>
      <c r="G665" s="62"/>
      <c r="H665" s="62"/>
      <c r="I665" s="62"/>
      <c r="J665" s="62"/>
      <c r="K665" s="62"/>
      <c r="L665" s="62"/>
      <c r="M665" s="86" t="s">
        <v>61</v>
      </c>
      <c r="N665" s="86" t="s">
        <v>60</v>
      </c>
      <c r="O665" s="87">
        <f>VLOOKUP($B665,BOM!$A$2:$K$94,10,0)</f>
        <v>0</v>
      </c>
      <c r="P665" s="87">
        <f t="shared" si="37"/>
        <v>0</v>
      </c>
      <c r="Q665" s="87" t="str">
        <f>VLOOKUP($B665,BOM!$A$2:$K$94,9,0)</f>
        <v>đầu</v>
      </c>
    </row>
    <row r="666" spans="1:17" s="45" customFormat="1">
      <c r="A666" s="141"/>
      <c r="B666" s="62" t="s">
        <v>62</v>
      </c>
      <c r="C666" s="62" t="s">
        <v>63</v>
      </c>
      <c r="D666" s="86" t="s">
        <v>64</v>
      </c>
      <c r="E666" s="105">
        <f>E643</f>
        <v>1</v>
      </c>
      <c r="F666" s="62"/>
      <c r="G666" s="62"/>
      <c r="H666" s="62"/>
      <c r="I666" s="62"/>
      <c r="J666" s="62"/>
      <c r="K666" s="62"/>
      <c r="L666" s="62"/>
      <c r="M666" s="86" t="s">
        <v>61</v>
      </c>
      <c r="N666" s="86" t="s">
        <v>64</v>
      </c>
      <c r="O666" s="87">
        <f>VLOOKUP($B666,BOM!$A$2:$K$94,10,0)</f>
        <v>0</v>
      </c>
      <c r="P666" s="87">
        <f t="shared" si="37"/>
        <v>0</v>
      </c>
      <c r="Q666" s="87" t="str">
        <f>VLOOKUP($B666,BOM!$A$2:$K$94,9,0)</f>
        <v>cái</v>
      </c>
    </row>
    <row r="667" spans="1:17" s="140" customFormat="1">
      <c r="A667" s="134">
        <v>14</v>
      </c>
      <c r="B667" s="135"/>
      <c r="C667" s="71" t="s">
        <v>84</v>
      </c>
      <c r="D667" s="136" t="s">
        <v>0</v>
      </c>
      <c r="E667" s="134">
        <v>1</v>
      </c>
      <c r="F667" s="134"/>
      <c r="G667" s="134">
        <v>12</v>
      </c>
      <c r="H667" s="134"/>
      <c r="I667" s="134"/>
      <c r="J667" s="137">
        <f>SUBTOTAL(9,J670:J694)</f>
        <v>15</v>
      </c>
      <c r="K667" s="137"/>
      <c r="L667" s="137"/>
      <c r="M667" s="137"/>
      <c r="N667" s="137"/>
      <c r="O667" s="87">
        <f>VLOOKUP($B667,BOM!$A$2:$K$94,10,0)</f>
        <v>0</v>
      </c>
      <c r="P667" s="87">
        <f t="shared" si="37"/>
        <v>0</v>
      </c>
      <c r="Q667" s="139">
        <f>VLOOKUP($B667,BOM!$A$2:$K$94,9,0)</f>
        <v>0</v>
      </c>
    </row>
    <row r="668" spans="1:17">
      <c r="A668" s="141"/>
      <c r="B668" s="81"/>
      <c r="C668" s="72" t="s">
        <v>124</v>
      </c>
      <c r="D668" s="72" t="s">
        <v>0</v>
      </c>
      <c r="E668" s="72">
        <v>1</v>
      </c>
      <c r="F668" s="72"/>
      <c r="G668" s="72"/>
      <c r="H668" s="72"/>
      <c r="I668" s="72"/>
      <c r="J668" s="72"/>
      <c r="K668" s="83"/>
      <c r="L668" s="83"/>
      <c r="M668" s="83"/>
      <c r="N668" s="83"/>
      <c r="O668" s="87">
        <f>VLOOKUP($B668,BOM!$A$2:$K$94,10,0)</f>
        <v>0</v>
      </c>
      <c r="P668" s="87">
        <f t="shared" si="37"/>
        <v>0</v>
      </c>
      <c r="Q668" s="84">
        <f>VLOOKUP($B668,BOM!$A$2:$K$94,9,0)</f>
        <v>0</v>
      </c>
    </row>
    <row r="669" spans="1:17" s="19" customFormat="1">
      <c r="A669" s="141"/>
      <c r="B669" s="192" t="s">
        <v>343</v>
      </c>
      <c r="C669" s="21" t="s">
        <v>227</v>
      </c>
      <c r="D669" s="21"/>
      <c r="E669" s="22">
        <v>1</v>
      </c>
      <c r="F669" s="21"/>
      <c r="G669" s="21"/>
      <c r="H669" s="21"/>
      <c r="I669" s="21"/>
      <c r="J669" s="21"/>
      <c r="K669" s="21" t="s">
        <v>4</v>
      </c>
      <c r="L669" s="21" t="s">
        <v>5</v>
      </c>
      <c r="M669" s="22" t="s">
        <v>22</v>
      </c>
      <c r="N669" s="22" t="s">
        <v>3</v>
      </c>
      <c r="O669" s="87" t="e">
        <f>VLOOKUP($B669,BOM!$A$2:$K$94,10,0)</f>
        <v>#N/A</v>
      </c>
      <c r="P669" s="87" t="e">
        <f t="shared" si="37"/>
        <v>#N/A</v>
      </c>
      <c r="Q669" s="142" t="e">
        <f>VLOOKUP($B669,BOM!$A$2:$K$94,9,0)</f>
        <v>#N/A</v>
      </c>
    </row>
    <row r="670" spans="1:17" s="19" customFormat="1">
      <c r="A670" s="141"/>
      <c r="B670" s="21" t="s">
        <v>122</v>
      </c>
      <c r="C670" s="21" t="s">
        <v>123</v>
      </c>
      <c r="D670" s="21"/>
      <c r="E670" s="22">
        <v>1</v>
      </c>
      <c r="F670" s="21"/>
      <c r="G670" s="21"/>
      <c r="H670" s="21"/>
      <c r="I670" s="21"/>
      <c r="J670" s="21">
        <f>E670</f>
        <v>1</v>
      </c>
      <c r="K670" s="21" t="s">
        <v>4</v>
      </c>
      <c r="L670" s="21" t="s">
        <v>5</v>
      </c>
      <c r="M670" s="22" t="s">
        <v>22</v>
      </c>
      <c r="N670" s="22" t="s">
        <v>3</v>
      </c>
      <c r="O670" s="87">
        <f>VLOOKUP($B670,BOM!$A$2:$K$94,10,0)</f>
        <v>0</v>
      </c>
      <c r="P670" s="87">
        <f t="shared" si="37"/>
        <v>0</v>
      </c>
      <c r="Q670" s="142" t="str">
        <f>VLOOKUP($B670,BOM!$A$2:$K$94,9,0)</f>
        <v>Cái</v>
      </c>
    </row>
    <row r="671" spans="1:17">
      <c r="A671" s="141"/>
      <c r="B671" s="81"/>
      <c r="C671" s="72" t="s">
        <v>1</v>
      </c>
      <c r="D671" s="72" t="s">
        <v>0</v>
      </c>
      <c r="E671" s="72">
        <v>1</v>
      </c>
      <c r="F671" s="72"/>
      <c r="G671" s="72">
        <f>ROUNDUP(G667/24,0)</f>
        <v>1</v>
      </c>
      <c r="H671" s="72">
        <f t="shared" ref="H671" si="38">ROUNDUP(H667/24,0)</f>
        <v>0</v>
      </c>
      <c r="I671" s="72"/>
      <c r="J671" s="72"/>
      <c r="K671" s="83"/>
      <c r="L671" s="83"/>
      <c r="M671" s="83"/>
      <c r="N671" s="83"/>
      <c r="O671" s="87">
        <f>VLOOKUP($B671,BOM!$A$2:$K$94,10,0)</f>
        <v>0</v>
      </c>
      <c r="P671" s="87">
        <f t="shared" si="37"/>
        <v>0</v>
      </c>
      <c r="Q671" s="84">
        <f>VLOOKUP($B671,BOM!$A$2:$K$94,9,0)</f>
        <v>0</v>
      </c>
    </row>
    <row r="672" spans="1:17" s="45" customFormat="1">
      <c r="A672" s="141"/>
      <c r="B672" s="62">
        <v>760249997</v>
      </c>
      <c r="C672" s="62" t="s">
        <v>2</v>
      </c>
      <c r="D672" s="85" t="s">
        <v>3</v>
      </c>
      <c r="E672" s="85">
        <f>ROUNDUP((E674+E678)/3,0)</f>
        <v>1</v>
      </c>
      <c r="F672" s="62"/>
      <c r="G672" s="62"/>
      <c r="H672" s="62"/>
      <c r="I672" s="62"/>
      <c r="J672" s="21">
        <f>E672</f>
        <v>1</v>
      </c>
      <c r="K672" s="62" t="s">
        <v>4</v>
      </c>
      <c r="L672" s="62" t="s">
        <v>5</v>
      </c>
      <c r="M672" s="86" t="s">
        <v>6</v>
      </c>
      <c r="N672" s="86" t="s">
        <v>3</v>
      </c>
      <c r="O672" s="87">
        <f>VLOOKUP($B672,BOM!$A$2:$K$94,10,0)</f>
        <v>0</v>
      </c>
      <c r="P672" s="87">
        <f t="shared" si="37"/>
        <v>0</v>
      </c>
      <c r="Q672" s="87" t="str">
        <f>VLOOKUP($B672,BOM!$A$2:$K$94,9,0)</f>
        <v>Cái</v>
      </c>
    </row>
    <row r="673" spans="1:17" s="45" customFormat="1">
      <c r="A673" s="141"/>
      <c r="B673" s="62">
        <v>760241378</v>
      </c>
      <c r="C673" s="62" t="s">
        <v>7</v>
      </c>
      <c r="D673" s="85" t="s">
        <v>3</v>
      </c>
      <c r="E673" s="85">
        <f>IF(E674&lt;=2,1,ROUNDUP(E672*1.5,0))</f>
        <v>1</v>
      </c>
      <c r="F673" s="62"/>
      <c r="G673" s="62"/>
      <c r="H673" s="62"/>
      <c r="I673" s="62"/>
      <c r="J673" s="62"/>
      <c r="K673" s="62" t="s">
        <v>4</v>
      </c>
      <c r="L673" s="62" t="s">
        <v>5</v>
      </c>
      <c r="M673" s="86" t="s">
        <v>6</v>
      </c>
      <c r="N673" s="86" t="s">
        <v>3</v>
      </c>
      <c r="O673" s="87">
        <f>VLOOKUP($B673,BOM!$A$2:$K$94,10,0)</f>
        <v>0</v>
      </c>
      <c r="P673" s="87">
        <f t="shared" si="37"/>
        <v>0</v>
      </c>
      <c r="Q673" s="87" t="str">
        <f>VLOOKUP($B673,BOM!$A$2:$K$94,9,0)</f>
        <v>Cái</v>
      </c>
    </row>
    <row r="674" spans="1:17" s="45" customFormat="1">
      <c r="A674" s="141"/>
      <c r="B674" s="62" t="s">
        <v>8</v>
      </c>
      <c r="C674" s="62" t="s">
        <v>9</v>
      </c>
      <c r="D674" s="85" t="s">
        <v>3</v>
      </c>
      <c r="E674" s="85">
        <f>G671</f>
        <v>1</v>
      </c>
      <c r="F674" s="62"/>
      <c r="G674" s="62"/>
      <c r="H674" s="62"/>
      <c r="I674" s="62"/>
      <c r="J674" s="62"/>
      <c r="K674" s="62" t="s">
        <v>4</v>
      </c>
      <c r="L674" s="62" t="s">
        <v>5</v>
      </c>
      <c r="M674" s="86" t="s">
        <v>6</v>
      </c>
      <c r="N674" s="86" t="s">
        <v>3</v>
      </c>
      <c r="O674" s="87">
        <f>VLOOKUP($B674,BOM!$A$2:$K$94,10,0)</f>
        <v>0</v>
      </c>
      <c r="P674" s="87">
        <f t="shared" si="37"/>
        <v>0</v>
      </c>
      <c r="Q674" s="87" t="str">
        <f>VLOOKUP($B674,BOM!$A$2:$K$94,9,0)</f>
        <v>Cái</v>
      </c>
    </row>
    <row r="675" spans="1:17" s="45" customFormat="1">
      <c r="A675" s="141"/>
      <c r="B675" s="62" t="s">
        <v>10</v>
      </c>
      <c r="C675" s="62" t="s">
        <v>11</v>
      </c>
      <c r="D675" s="85" t="s">
        <v>3</v>
      </c>
      <c r="E675" s="85">
        <f>E672*3-E674-E678</f>
        <v>2</v>
      </c>
      <c r="F675" s="62"/>
      <c r="G675" s="62"/>
      <c r="H675" s="62"/>
      <c r="I675" s="62"/>
      <c r="J675" s="62"/>
      <c r="K675" s="62" t="s">
        <v>4</v>
      </c>
      <c r="L675" s="62" t="s">
        <v>5</v>
      </c>
      <c r="M675" s="86" t="s">
        <v>6</v>
      </c>
      <c r="N675" s="86" t="s">
        <v>3</v>
      </c>
      <c r="O675" s="87">
        <f>VLOOKUP($B675,BOM!$A$2:$K$94,10,0)</f>
        <v>0</v>
      </c>
      <c r="P675" s="87">
        <f t="shared" si="37"/>
        <v>0</v>
      </c>
      <c r="Q675" s="87" t="str">
        <f>VLOOKUP($B675,BOM!$A$2:$K$94,9,0)</f>
        <v>Cái</v>
      </c>
    </row>
    <row r="676" spans="1:17" s="45" customFormat="1">
      <c r="A676" s="141"/>
      <c r="B676" s="62" t="s">
        <v>12</v>
      </c>
      <c r="C676" s="62" t="s">
        <v>13</v>
      </c>
      <c r="D676" s="85" t="s">
        <v>14</v>
      </c>
      <c r="E676" s="85">
        <f>G667/2</f>
        <v>6</v>
      </c>
      <c r="F676" s="62"/>
      <c r="G676" s="62"/>
      <c r="H676" s="62"/>
      <c r="I676" s="62"/>
      <c r="J676" s="62"/>
      <c r="K676" s="62" t="s">
        <v>4</v>
      </c>
      <c r="L676" s="62" t="s">
        <v>5</v>
      </c>
      <c r="M676" s="86" t="s">
        <v>6</v>
      </c>
      <c r="N676" s="86" t="s">
        <v>15</v>
      </c>
      <c r="O676" s="87">
        <f>VLOOKUP($B676,BOM!$A$2:$K$94,10,0)</f>
        <v>0</v>
      </c>
      <c r="P676" s="87">
        <f t="shared" si="37"/>
        <v>0</v>
      </c>
      <c r="Q676" s="87" t="str">
        <f>VLOOKUP($B676,BOM!$A$2:$K$94,9,0)</f>
        <v>Sợi</v>
      </c>
    </row>
    <row r="677" spans="1:17" s="45" customFormat="1">
      <c r="A677" s="141"/>
      <c r="B677" s="62" t="s">
        <v>16</v>
      </c>
      <c r="C677" s="62" t="s">
        <v>17</v>
      </c>
      <c r="D677" s="85" t="s">
        <v>14</v>
      </c>
      <c r="E677" s="85">
        <f>ROUNDUP((E684*1.3),0)</f>
        <v>3</v>
      </c>
      <c r="F677" s="62"/>
      <c r="G677" s="62"/>
      <c r="H677" s="62"/>
      <c r="I677" s="62"/>
      <c r="J677" s="62"/>
      <c r="K677" s="62" t="s">
        <v>4</v>
      </c>
      <c r="L677" s="62" t="s">
        <v>5</v>
      </c>
      <c r="M677" s="86" t="s">
        <v>6</v>
      </c>
      <c r="N677" s="86" t="s">
        <v>15</v>
      </c>
      <c r="O677" s="87">
        <f>VLOOKUP($B677,BOM!$A$2:$K$94,10,0)</f>
        <v>0</v>
      </c>
      <c r="P677" s="87">
        <f t="shared" si="37"/>
        <v>0</v>
      </c>
      <c r="Q677" s="87" t="str">
        <f>VLOOKUP($B677,BOM!$A$2:$K$94,9,0)</f>
        <v>Sợi</v>
      </c>
    </row>
    <row r="678" spans="1:17" s="110" customFormat="1">
      <c r="A678" s="141"/>
      <c r="B678" s="66" t="s">
        <v>198</v>
      </c>
      <c r="C678" s="66" t="s">
        <v>199</v>
      </c>
      <c r="D678" s="89" t="s">
        <v>3</v>
      </c>
      <c r="E678" s="89">
        <f>H671</f>
        <v>0</v>
      </c>
      <c r="F678" s="66"/>
      <c r="G678" s="66"/>
      <c r="H678" s="66"/>
      <c r="I678" s="66"/>
      <c r="J678" s="66"/>
      <c r="K678" s="108" t="s">
        <v>4</v>
      </c>
      <c r="L678" s="108" t="s">
        <v>5</v>
      </c>
      <c r="M678" s="109" t="s">
        <v>6</v>
      </c>
      <c r="N678" s="109" t="s">
        <v>15</v>
      </c>
      <c r="O678" s="87">
        <f>VLOOKUP($B678,BOM!$A$2:$K$94,10,0)</f>
        <v>0</v>
      </c>
      <c r="P678" s="87">
        <f t="shared" si="37"/>
        <v>0</v>
      </c>
      <c r="Q678" s="146" t="str">
        <f>VLOOKUP($B678,BOM!$A$2:$K$94,9,0)</f>
        <v>Cái</v>
      </c>
    </row>
    <row r="679" spans="1:17" s="111" customFormat="1">
      <c r="A679" s="141"/>
      <c r="B679" s="66" t="s">
        <v>194</v>
      </c>
      <c r="C679" s="66" t="s">
        <v>195</v>
      </c>
      <c r="D679" s="89" t="s">
        <v>14</v>
      </c>
      <c r="E679" s="89">
        <f>ROUNDUP((E683*1.3),0)</f>
        <v>0</v>
      </c>
      <c r="F679" s="108"/>
      <c r="G679" s="108"/>
      <c r="H679" s="108"/>
      <c r="I679" s="108"/>
      <c r="J679" s="108"/>
      <c r="K679" s="108" t="s">
        <v>4</v>
      </c>
      <c r="L679" s="108" t="s">
        <v>5</v>
      </c>
      <c r="M679" s="109" t="s">
        <v>6</v>
      </c>
      <c r="N679" s="109" t="s">
        <v>15</v>
      </c>
      <c r="O679" s="87">
        <f>VLOOKUP($B679,BOM!$A$2:$K$94,10,0)</f>
        <v>0</v>
      </c>
      <c r="P679" s="87">
        <f t="shared" si="37"/>
        <v>0</v>
      </c>
      <c r="Q679" s="146" t="str">
        <f>VLOOKUP($B679,BOM!$A$2:$K$94,9,0)</f>
        <v>Cái</v>
      </c>
    </row>
    <row r="680" spans="1:17" s="110" customFormat="1">
      <c r="A680" s="141"/>
      <c r="B680" s="66" t="s">
        <v>196</v>
      </c>
      <c r="C680" s="66" t="s">
        <v>197</v>
      </c>
      <c r="D680" s="89" t="s">
        <v>14</v>
      </c>
      <c r="E680" s="89">
        <f>H667/2</f>
        <v>0</v>
      </c>
      <c r="F680" s="66"/>
      <c r="G680" s="66"/>
      <c r="H680" s="66"/>
      <c r="I680" s="66"/>
      <c r="J680" s="66"/>
      <c r="K680" s="108" t="s">
        <v>4</v>
      </c>
      <c r="L680" s="108" t="s">
        <v>5</v>
      </c>
      <c r="M680" s="109" t="s">
        <v>6</v>
      </c>
      <c r="N680" s="109" t="s">
        <v>15</v>
      </c>
      <c r="O680" s="87">
        <f>VLOOKUP($B680,BOM!$A$2:$K$94,10,0)</f>
        <v>0</v>
      </c>
      <c r="P680" s="87">
        <f t="shared" si="37"/>
        <v>0</v>
      </c>
      <c r="Q680" s="146" t="str">
        <f>VLOOKUP($B680,BOM!$A$2:$K$94,9,0)</f>
        <v>Cái</v>
      </c>
    </row>
    <row r="681" spans="1:17">
      <c r="A681" s="141"/>
      <c r="B681" s="81"/>
      <c r="C681" s="72" t="s">
        <v>26</v>
      </c>
      <c r="D681" s="72" t="s">
        <v>0</v>
      </c>
      <c r="E681" s="72">
        <v>1</v>
      </c>
      <c r="F681" s="72"/>
      <c r="G681" s="72"/>
      <c r="H681" s="72"/>
      <c r="I681" s="72"/>
      <c r="J681" s="72"/>
      <c r="K681" s="83"/>
      <c r="L681" s="83"/>
      <c r="M681" s="83"/>
      <c r="N681" s="83"/>
      <c r="O681" s="87">
        <f>VLOOKUP($B681,BOM!$A$2:$K$94,10,0)</f>
        <v>0</v>
      </c>
      <c r="P681" s="87">
        <f t="shared" si="37"/>
        <v>0</v>
      </c>
      <c r="Q681" s="84">
        <f>VLOOKUP($B681,BOM!$A$2:$K$94,9,0)</f>
        <v>0</v>
      </c>
    </row>
    <row r="682" spans="1:17" ht="60">
      <c r="A682" s="147"/>
      <c r="B682" s="67" t="s">
        <v>228</v>
      </c>
      <c r="C682" s="187" t="s">
        <v>324</v>
      </c>
      <c r="D682" s="90" t="s">
        <v>64</v>
      </c>
      <c r="E682" s="90">
        <v>1</v>
      </c>
      <c r="F682" s="65"/>
      <c r="G682" s="65"/>
      <c r="H682" s="65"/>
      <c r="I682" s="65"/>
      <c r="J682" s="103">
        <f>E682</f>
        <v>1</v>
      </c>
      <c r="K682" s="65" t="s">
        <v>143</v>
      </c>
      <c r="L682" s="65" t="s">
        <v>151</v>
      </c>
      <c r="M682" s="90" t="s">
        <v>154</v>
      </c>
      <c r="N682" s="90" t="s">
        <v>64</v>
      </c>
      <c r="O682" s="87">
        <f>VLOOKUP($B682,BOM!$A$2:$K$94,10,0)</f>
        <v>0</v>
      </c>
      <c r="P682" s="87">
        <f t="shared" si="37"/>
        <v>0</v>
      </c>
      <c r="Q682" s="151" t="str">
        <f>VLOOKUP($B682,BOM!$A$2:$K$94,9,0)</f>
        <v>cái</v>
      </c>
    </row>
    <row r="683" spans="1:17" s="111" customFormat="1">
      <c r="A683" s="120"/>
      <c r="B683" s="68" t="s">
        <v>216</v>
      </c>
      <c r="C683" s="68" t="s">
        <v>217</v>
      </c>
      <c r="D683" s="89" t="s">
        <v>64</v>
      </c>
      <c r="E683" s="89">
        <v>0</v>
      </c>
      <c r="F683" s="124"/>
      <c r="G683" s="124"/>
      <c r="H683" s="124"/>
      <c r="I683" s="124"/>
      <c r="J683" s="124"/>
      <c r="K683" s="124" t="s">
        <v>143</v>
      </c>
      <c r="L683" s="124" t="s">
        <v>151</v>
      </c>
      <c r="M683" s="89" t="s">
        <v>154</v>
      </c>
      <c r="N683" s="89" t="s">
        <v>64</v>
      </c>
      <c r="O683" s="87">
        <f>VLOOKUP($B683,BOM!$A$2:$K$94,10,0)</f>
        <v>0</v>
      </c>
      <c r="P683" s="87">
        <f t="shared" si="37"/>
        <v>0</v>
      </c>
      <c r="Q683" s="152" t="str">
        <f>VLOOKUP($B683,BOM!$A$2:$K$94,9,0)</f>
        <v>cái</v>
      </c>
    </row>
    <row r="684" spans="1:17" s="45" customFormat="1">
      <c r="A684" s="141"/>
      <c r="B684" s="64" t="s">
        <v>212</v>
      </c>
      <c r="C684" s="64" t="s">
        <v>213</v>
      </c>
      <c r="D684" s="97" t="s">
        <v>64</v>
      </c>
      <c r="E684" s="98">
        <v>2</v>
      </c>
      <c r="F684" s="95"/>
      <c r="G684" s="95"/>
      <c r="H684" s="95"/>
      <c r="I684" s="95"/>
      <c r="J684" s="95"/>
      <c r="K684" s="95" t="s">
        <v>143</v>
      </c>
      <c r="L684" s="95" t="s">
        <v>151</v>
      </c>
      <c r="M684" s="97" t="s">
        <v>154</v>
      </c>
      <c r="N684" s="97" t="s">
        <v>64</v>
      </c>
      <c r="O684" s="87">
        <f>VLOOKUP($B684,BOM!$A$2:$K$94,10,0)</f>
        <v>0</v>
      </c>
      <c r="P684" s="87">
        <f t="shared" si="37"/>
        <v>0</v>
      </c>
      <c r="Q684" s="153" t="str">
        <f>VLOOKUP($B684,BOM!$A$2:$K$94,9,0)</f>
        <v>cái</v>
      </c>
    </row>
    <row r="685" spans="1:17" s="45" customFormat="1">
      <c r="A685" s="141"/>
      <c r="B685" s="62"/>
      <c r="C685" s="62"/>
      <c r="D685" s="85"/>
      <c r="E685" s="90"/>
      <c r="F685" s="62"/>
      <c r="G685" s="62"/>
      <c r="H685" s="62"/>
      <c r="I685" s="62"/>
      <c r="J685" s="62"/>
      <c r="K685" s="62"/>
      <c r="L685" s="62"/>
      <c r="M685" s="86"/>
      <c r="N685" s="86"/>
      <c r="O685" s="87">
        <f>VLOOKUP($B685,BOM!$A$2:$K$94,10,0)</f>
        <v>0</v>
      </c>
      <c r="P685" s="87">
        <f t="shared" si="37"/>
        <v>0</v>
      </c>
      <c r="Q685" s="87">
        <f>VLOOKUP($B685,BOM!$A$2:$K$94,9,0)</f>
        <v>0</v>
      </c>
    </row>
    <row r="686" spans="1:17" s="45" customFormat="1">
      <c r="A686" s="141"/>
      <c r="B686" s="62"/>
      <c r="C686" s="62"/>
      <c r="D686" s="85"/>
      <c r="E686" s="90"/>
      <c r="F686" s="62"/>
      <c r="G686" s="62"/>
      <c r="H686" s="62"/>
      <c r="I686" s="62"/>
      <c r="J686" s="62"/>
      <c r="K686" s="62"/>
      <c r="L686" s="62"/>
      <c r="M686" s="86"/>
      <c r="N686" s="86"/>
      <c r="O686" s="87">
        <f>VLOOKUP($B686,BOM!$A$2:$K$94,10,0)</f>
        <v>0</v>
      </c>
      <c r="P686" s="87">
        <f t="shared" si="37"/>
        <v>0</v>
      </c>
      <c r="Q686" s="87">
        <f>VLOOKUP($B686,BOM!$A$2:$K$94,9,0)</f>
        <v>0</v>
      </c>
    </row>
    <row r="687" spans="1:17" outlineLevel="1">
      <c r="A687" s="141"/>
      <c r="B687" s="117"/>
      <c r="C687" s="61" t="s">
        <v>67</v>
      </c>
      <c r="D687" s="119" t="s">
        <v>0</v>
      </c>
      <c r="E687" s="120">
        <v>1</v>
      </c>
      <c r="F687" s="121"/>
      <c r="G687" s="121"/>
      <c r="H687" s="121" t="s">
        <v>69</v>
      </c>
      <c r="I687" s="122"/>
      <c r="J687" s="21">
        <f t="shared" ref="J687:J688" si="39">E687</f>
        <v>1</v>
      </c>
      <c r="K687" s="63"/>
      <c r="L687" s="63"/>
      <c r="M687" s="63"/>
      <c r="N687" s="63"/>
      <c r="O687" s="87">
        <f>VLOOKUP($B687,BOM!$A$2:$K$94,10,0)</f>
        <v>0</v>
      </c>
      <c r="P687" s="87">
        <f t="shared" si="37"/>
        <v>0</v>
      </c>
      <c r="Q687" s="80">
        <f>VLOOKUP($B687,BOM!$A$2:$K$94,9,0)</f>
        <v>0</v>
      </c>
    </row>
    <row r="688" spans="1:17" outlineLevel="1">
      <c r="A688" s="141"/>
      <c r="B688" s="117"/>
      <c r="C688" s="61" t="s">
        <v>70</v>
      </c>
      <c r="D688" s="119" t="s">
        <v>0</v>
      </c>
      <c r="E688" s="120">
        <v>1</v>
      </c>
      <c r="F688" s="121"/>
      <c r="G688" s="121"/>
      <c r="H688" s="121" t="s">
        <v>69</v>
      </c>
      <c r="I688" s="122"/>
      <c r="J688" s="21">
        <f t="shared" si="39"/>
        <v>1</v>
      </c>
      <c r="K688" s="63"/>
      <c r="L688" s="63"/>
      <c r="M688" s="63"/>
      <c r="N688" s="63"/>
      <c r="O688" s="87">
        <f>VLOOKUP($B688,BOM!$A$2:$K$94,10,0)</f>
        <v>0</v>
      </c>
      <c r="P688" s="87">
        <f t="shared" si="37"/>
        <v>0</v>
      </c>
      <c r="Q688" s="80">
        <f>VLOOKUP($B688,BOM!$A$2:$K$94,9,0)</f>
        <v>0</v>
      </c>
    </row>
    <row r="689" spans="1:17">
      <c r="A689" s="141"/>
      <c r="B689" s="81"/>
      <c r="C689" s="72" t="s">
        <v>18</v>
      </c>
      <c r="D689" s="72" t="s">
        <v>0</v>
      </c>
      <c r="E689" s="72">
        <v>1</v>
      </c>
      <c r="F689" s="72"/>
      <c r="G689" s="72"/>
      <c r="H689" s="72"/>
      <c r="I689" s="72"/>
      <c r="J689" s="72"/>
      <c r="K689" s="83"/>
      <c r="L689" s="83"/>
      <c r="M689" s="83"/>
      <c r="N689" s="83"/>
      <c r="O689" s="87">
        <f>VLOOKUP($B689,BOM!$A$2:$K$94,10,0)</f>
        <v>0</v>
      </c>
      <c r="P689" s="87">
        <f t="shared" si="37"/>
        <v>0</v>
      </c>
      <c r="Q689" s="84">
        <f>VLOOKUP($B689,BOM!$A$2:$K$94,9,0)</f>
        <v>0</v>
      </c>
    </row>
    <row r="690" spans="1:17" s="45" customFormat="1">
      <c r="A690" s="141"/>
      <c r="B690" s="62">
        <v>760237046</v>
      </c>
      <c r="C690" s="62" t="s">
        <v>19</v>
      </c>
      <c r="D690" s="85" t="s">
        <v>3</v>
      </c>
      <c r="E690" s="85">
        <f>E682+E685</f>
        <v>1</v>
      </c>
      <c r="F690" s="62"/>
      <c r="G690" s="62"/>
      <c r="H690" s="62"/>
      <c r="I690" s="62"/>
      <c r="J690" s="21">
        <f>E690</f>
        <v>1</v>
      </c>
      <c r="K690" s="62" t="s">
        <v>4</v>
      </c>
      <c r="L690" s="62" t="s">
        <v>5</v>
      </c>
      <c r="M690" s="86" t="s">
        <v>6</v>
      </c>
      <c r="N690" s="86" t="s">
        <v>3</v>
      </c>
      <c r="O690" s="87">
        <f>VLOOKUP($B690,BOM!$A$2:$K$94,10,0)</f>
        <v>0</v>
      </c>
      <c r="P690" s="87">
        <f t="shared" si="37"/>
        <v>0</v>
      </c>
      <c r="Q690" s="87" t="str">
        <f>VLOOKUP($B690,BOM!$A$2:$K$94,9,0)</f>
        <v>Cái</v>
      </c>
    </row>
    <row r="691" spans="1:17" s="45" customFormat="1">
      <c r="A691" s="141"/>
      <c r="B691" s="62" t="s">
        <v>23</v>
      </c>
      <c r="C691" s="62" t="s">
        <v>24</v>
      </c>
      <c r="D691" s="85" t="s">
        <v>3</v>
      </c>
      <c r="E691" s="85">
        <f>E690*24</f>
        <v>24</v>
      </c>
      <c r="F691" s="62"/>
      <c r="G691" s="62"/>
      <c r="H691" s="62"/>
      <c r="I691" s="62"/>
      <c r="J691" s="62"/>
      <c r="K691" s="62" t="s">
        <v>25</v>
      </c>
      <c r="L691" s="62" t="s">
        <v>5</v>
      </c>
      <c r="M691" s="86" t="s">
        <v>6</v>
      </c>
      <c r="N691" s="86" t="s">
        <v>3</v>
      </c>
      <c r="O691" s="87">
        <f>VLOOKUP($B691,BOM!$A$2:$K$94,10,0)</f>
        <v>0</v>
      </c>
      <c r="P691" s="87">
        <f t="shared" si="37"/>
        <v>0</v>
      </c>
      <c r="Q691" s="87" t="str">
        <f>VLOOKUP($B691,BOM!$A$2:$K$94,9,0)</f>
        <v>Cái</v>
      </c>
    </row>
    <row r="692" spans="1:17" s="45" customFormat="1">
      <c r="A692" s="141"/>
      <c r="B692" s="62" t="s">
        <v>20</v>
      </c>
      <c r="C692" s="62" t="s">
        <v>21</v>
      </c>
      <c r="D692" s="85" t="s">
        <v>3</v>
      </c>
      <c r="E692" s="85">
        <f>E690</f>
        <v>1</v>
      </c>
      <c r="F692" s="62"/>
      <c r="G692" s="62"/>
      <c r="H692" s="62"/>
      <c r="I692" s="62"/>
      <c r="J692" s="21">
        <f>E692</f>
        <v>1</v>
      </c>
      <c r="K692" s="62" t="s">
        <v>4</v>
      </c>
      <c r="L692" s="62" t="s">
        <v>5</v>
      </c>
      <c r="M692" s="86" t="s">
        <v>22</v>
      </c>
      <c r="N692" s="86" t="s">
        <v>3</v>
      </c>
      <c r="O692" s="87">
        <f>VLOOKUP($B692,BOM!$A$2:$K$94,10,0)</f>
        <v>0</v>
      </c>
      <c r="P692" s="87">
        <f t="shared" si="37"/>
        <v>0</v>
      </c>
      <c r="Q692" s="87" t="str">
        <f>VLOOKUP($B692,BOM!$A$2:$K$94,9,0)</f>
        <v>Cái</v>
      </c>
    </row>
    <row r="693" spans="1:17">
      <c r="A693" s="141"/>
      <c r="B693" s="81"/>
      <c r="C693" s="72" t="s">
        <v>71</v>
      </c>
      <c r="D693" s="72" t="s">
        <v>0</v>
      </c>
      <c r="E693" s="72">
        <v>1</v>
      </c>
      <c r="F693" s="72"/>
      <c r="G693" s="72"/>
      <c r="H693" s="72"/>
      <c r="I693" s="72"/>
      <c r="J693" s="72"/>
      <c r="K693" s="83"/>
      <c r="L693" s="83"/>
      <c r="M693" s="83"/>
      <c r="N693" s="83"/>
      <c r="O693" s="87">
        <f>VLOOKUP($B693,BOM!$A$2:$K$94,10,0)</f>
        <v>0</v>
      </c>
      <c r="P693" s="87">
        <f t="shared" si="37"/>
        <v>0</v>
      </c>
      <c r="Q693" s="84">
        <f>VLOOKUP($B693,BOM!$A$2:$K$94,9,0)</f>
        <v>0</v>
      </c>
    </row>
    <row r="694" spans="1:17" s="45" customFormat="1">
      <c r="A694" s="141"/>
      <c r="B694" s="62" t="s">
        <v>313</v>
      </c>
      <c r="C694" s="62" t="s">
        <v>317</v>
      </c>
      <c r="D694" s="116" t="s">
        <v>51</v>
      </c>
      <c r="E694" s="85">
        <v>1</v>
      </c>
      <c r="F694" s="62"/>
      <c r="G694" s="62"/>
      <c r="H694" s="62"/>
      <c r="I694" s="62"/>
      <c r="J694" s="86">
        <f>E694*8</f>
        <v>8</v>
      </c>
      <c r="K694" s="62"/>
      <c r="L694" s="62" t="s">
        <v>5</v>
      </c>
      <c r="M694" s="86" t="s">
        <v>28</v>
      </c>
      <c r="N694" s="86" t="s">
        <v>3</v>
      </c>
      <c r="O694" s="87">
        <f>VLOOKUP($B694,BOM!$A$2:$K$94,10,0)</f>
        <v>0</v>
      </c>
      <c r="P694" s="87">
        <f t="shared" si="37"/>
        <v>0</v>
      </c>
      <c r="Q694" s="87" t="str">
        <f>VLOOKUP($B694,BOM!$A$2:$K$94,9,0)</f>
        <v>Cái</v>
      </c>
    </row>
    <row r="695" spans="1:17" s="45" customFormat="1">
      <c r="A695" s="141"/>
      <c r="B695" s="62"/>
      <c r="C695" s="62"/>
      <c r="D695" s="116"/>
      <c r="E695" s="85"/>
      <c r="F695" s="62"/>
      <c r="G695" s="62"/>
      <c r="H695" s="62"/>
      <c r="I695" s="62"/>
      <c r="J695" s="62"/>
      <c r="K695" s="62"/>
      <c r="L695" s="62"/>
      <c r="M695" s="86"/>
      <c r="N695" s="86"/>
      <c r="O695" s="87">
        <f>VLOOKUP($B695,BOM!$A$2:$K$94,10,0)</f>
        <v>0</v>
      </c>
      <c r="P695" s="87">
        <f t="shared" si="37"/>
        <v>0</v>
      </c>
      <c r="Q695" s="87">
        <f>VLOOKUP($B695,BOM!$A$2:$K$94,9,0)</f>
        <v>0</v>
      </c>
    </row>
    <row r="696" spans="1:17" s="45" customFormat="1">
      <c r="A696" s="141"/>
      <c r="B696" s="62" t="s">
        <v>225</v>
      </c>
      <c r="C696" s="62" t="s">
        <v>72</v>
      </c>
      <c r="D696" s="116" t="s">
        <v>64</v>
      </c>
      <c r="E696" s="85">
        <v>0</v>
      </c>
      <c r="F696" s="62"/>
      <c r="G696" s="62"/>
      <c r="H696" s="62"/>
      <c r="I696" s="62"/>
      <c r="J696" s="62"/>
      <c r="K696" s="62"/>
      <c r="L696" s="62" t="s">
        <v>5</v>
      </c>
      <c r="M696" s="86" t="s">
        <v>28</v>
      </c>
      <c r="N696" s="86" t="s">
        <v>3</v>
      </c>
      <c r="O696" s="87">
        <f>VLOOKUP($B696,BOM!$A$2:$K$94,10,0)</f>
        <v>0</v>
      </c>
      <c r="P696" s="87">
        <f t="shared" si="37"/>
        <v>0</v>
      </c>
      <c r="Q696" s="87" t="str">
        <f>VLOOKUP($B696,BOM!$A$2:$K$94,9,0)</f>
        <v>Cái</v>
      </c>
    </row>
    <row r="697" spans="1:17">
      <c r="A697" s="141"/>
      <c r="B697" s="81"/>
      <c r="C697" s="72" t="s">
        <v>31</v>
      </c>
      <c r="D697" s="72" t="s">
        <v>0</v>
      </c>
      <c r="E697" s="72">
        <v>1</v>
      </c>
      <c r="F697" s="72"/>
      <c r="G697" s="72"/>
      <c r="H697" s="72"/>
      <c r="I697" s="72"/>
      <c r="J697" s="72"/>
      <c r="K697" s="83"/>
      <c r="L697" s="83"/>
      <c r="M697" s="83"/>
      <c r="N697" s="83"/>
      <c r="O697" s="87">
        <f>VLOOKUP($B697,BOM!$A$2:$K$94,10,0)</f>
        <v>0</v>
      </c>
      <c r="P697" s="87">
        <f t="shared" si="37"/>
        <v>0</v>
      </c>
      <c r="Q697" s="84">
        <f>VLOOKUP($B697,BOM!$A$2:$K$94,9,0)</f>
        <v>0</v>
      </c>
    </row>
    <row r="698" spans="1:17">
      <c r="A698" s="141"/>
      <c r="B698" s="81"/>
      <c r="C698" s="72" t="s">
        <v>32</v>
      </c>
      <c r="D698" s="72"/>
      <c r="E698" s="72"/>
      <c r="F698" s="72"/>
      <c r="G698" s="72">
        <v>2</v>
      </c>
      <c r="H698" s="72"/>
      <c r="I698" s="72"/>
      <c r="J698" s="72"/>
      <c r="K698" s="83"/>
      <c r="L698" s="83"/>
      <c r="M698" s="83"/>
      <c r="N698" s="83"/>
      <c r="O698" s="87">
        <f>VLOOKUP($B698,BOM!$A$2:$K$94,10,0)</f>
        <v>0</v>
      </c>
      <c r="P698" s="87">
        <f t="shared" si="37"/>
        <v>0</v>
      </c>
      <c r="Q698" s="84">
        <f>VLOOKUP($B698,BOM!$A$2:$K$94,9,0)</f>
        <v>0</v>
      </c>
    </row>
    <row r="699" spans="1:17" s="45" customFormat="1" ht="20.45" customHeight="1">
      <c r="A699" s="141"/>
      <c r="B699" s="62" t="s">
        <v>33</v>
      </c>
      <c r="C699" s="62" t="s">
        <v>34</v>
      </c>
      <c r="D699" s="85" t="s">
        <v>3</v>
      </c>
      <c r="E699" s="90">
        <f>E700</f>
        <v>2</v>
      </c>
      <c r="F699" s="62"/>
      <c r="G699" s="62"/>
      <c r="H699" s="62"/>
      <c r="I699" s="62"/>
      <c r="J699" s="62"/>
      <c r="K699" s="62" t="s">
        <v>35</v>
      </c>
      <c r="L699" s="62" t="s">
        <v>5</v>
      </c>
      <c r="M699" s="86" t="s">
        <v>6</v>
      </c>
      <c r="N699" s="86" t="s">
        <v>3</v>
      </c>
      <c r="O699" s="87">
        <f>VLOOKUP($B699,BOM!$A$2:$K$94,10,0)</f>
        <v>0</v>
      </c>
      <c r="P699" s="87">
        <f t="shared" si="37"/>
        <v>0</v>
      </c>
      <c r="Q699" s="87" t="str">
        <f>VLOOKUP($B699,BOM!$A$2:$K$94,9,0)</f>
        <v>Cái</v>
      </c>
    </row>
    <row r="700" spans="1:17" s="45" customFormat="1">
      <c r="A700" s="141"/>
      <c r="B700" s="62" t="s">
        <v>330</v>
      </c>
      <c r="C700" s="62" t="s">
        <v>36</v>
      </c>
      <c r="D700" s="85" t="s">
        <v>3</v>
      </c>
      <c r="E700" s="90">
        <f>G698+H698</f>
        <v>2</v>
      </c>
      <c r="F700" s="62"/>
      <c r="G700" s="62"/>
      <c r="H700" s="62"/>
      <c r="I700" s="62"/>
      <c r="J700" s="62"/>
      <c r="K700" s="62" t="s">
        <v>37</v>
      </c>
      <c r="L700" s="62" t="s">
        <v>5</v>
      </c>
      <c r="M700" s="86" t="s">
        <v>37</v>
      </c>
      <c r="N700" s="86" t="s">
        <v>3</v>
      </c>
      <c r="O700" s="87">
        <f>VLOOKUP($B700,BOM!$A$2:$K$94,10,0)</f>
        <v>0</v>
      </c>
      <c r="P700" s="87">
        <f t="shared" si="37"/>
        <v>0</v>
      </c>
      <c r="Q700" s="87" t="str">
        <f>VLOOKUP($B700,BOM!$A$2:$K$94,9,0)</f>
        <v>Cái</v>
      </c>
    </row>
    <row r="701" spans="1:17" s="45" customFormat="1">
      <c r="A701" s="141"/>
      <c r="B701" s="62" t="s">
        <v>38</v>
      </c>
      <c r="C701" s="62" t="s">
        <v>39</v>
      </c>
      <c r="D701" s="85" t="s">
        <v>3</v>
      </c>
      <c r="E701" s="90">
        <f>E700</f>
        <v>2</v>
      </c>
      <c r="F701" s="62"/>
      <c r="G701" s="62"/>
      <c r="H701" s="62"/>
      <c r="I701" s="62"/>
      <c r="J701" s="62"/>
      <c r="K701" s="62" t="s">
        <v>25</v>
      </c>
      <c r="L701" s="62" t="s">
        <v>5</v>
      </c>
      <c r="M701" s="86" t="s">
        <v>6</v>
      </c>
      <c r="N701" s="86" t="s">
        <v>3</v>
      </c>
      <c r="O701" s="87">
        <f>VLOOKUP($B701,BOM!$A$2:$K$94,10,0)</f>
        <v>0</v>
      </c>
      <c r="P701" s="87">
        <f t="shared" si="37"/>
        <v>0</v>
      </c>
      <c r="Q701" s="87" t="str">
        <f>VLOOKUP($B701,BOM!$A$2:$K$94,9,0)</f>
        <v>Cái</v>
      </c>
    </row>
    <row r="702" spans="1:17">
      <c r="A702" s="141"/>
      <c r="B702" s="81"/>
      <c r="C702" s="72" t="s">
        <v>40</v>
      </c>
      <c r="D702" s="72"/>
      <c r="E702" s="72"/>
      <c r="F702" s="72"/>
      <c r="G702" s="72">
        <v>5</v>
      </c>
      <c r="H702" s="72"/>
      <c r="I702" s="72"/>
      <c r="J702" s="72"/>
      <c r="K702" s="83"/>
      <c r="L702" s="83"/>
      <c r="M702" s="83"/>
      <c r="N702" s="83"/>
      <c r="O702" s="87">
        <f>VLOOKUP($B702,BOM!$A$2:$K$94,10,0)</f>
        <v>0</v>
      </c>
      <c r="P702" s="87">
        <f t="shared" si="37"/>
        <v>0</v>
      </c>
      <c r="Q702" s="84">
        <f>VLOOKUP($B702,BOM!$A$2:$K$94,9,0)</f>
        <v>0</v>
      </c>
    </row>
    <row r="703" spans="1:17" s="45" customFormat="1">
      <c r="A703" s="141"/>
      <c r="B703" s="62" t="s">
        <v>41</v>
      </c>
      <c r="C703" s="62" t="s">
        <v>42</v>
      </c>
      <c r="D703" s="85" t="s">
        <v>3</v>
      </c>
      <c r="E703" s="85">
        <f>G702+H702</f>
        <v>5</v>
      </c>
      <c r="F703" s="62"/>
      <c r="G703" s="62"/>
      <c r="H703" s="62"/>
      <c r="I703" s="62"/>
      <c r="J703" s="62"/>
      <c r="K703" s="62" t="s">
        <v>4</v>
      </c>
      <c r="L703" s="62" t="s">
        <v>5</v>
      </c>
      <c r="M703" s="86" t="s">
        <v>6</v>
      </c>
      <c r="N703" s="86" t="s">
        <v>3</v>
      </c>
      <c r="O703" s="87">
        <f>VLOOKUP($B703,BOM!$A$2:$K$94,10,0)</f>
        <v>0</v>
      </c>
      <c r="P703" s="87">
        <f t="shared" si="37"/>
        <v>0</v>
      </c>
      <c r="Q703" s="87" t="str">
        <f>VLOOKUP($B703,BOM!$A$2:$K$94,9,0)</f>
        <v>Cái</v>
      </c>
    </row>
    <row r="704" spans="1:17" s="45" customFormat="1">
      <c r="A704" s="141"/>
      <c r="B704" s="65" t="s">
        <v>43</v>
      </c>
      <c r="C704" s="65" t="s">
        <v>44</v>
      </c>
      <c r="D704" s="85" t="s">
        <v>3</v>
      </c>
      <c r="E704" s="85">
        <f>E703</f>
        <v>5</v>
      </c>
      <c r="F704" s="62"/>
      <c r="G704" s="62"/>
      <c r="H704" s="62"/>
      <c r="I704" s="62"/>
      <c r="J704" s="62"/>
      <c r="K704" s="62" t="s">
        <v>4</v>
      </c>
      <c r="L704" s="62" t="s">
        <v>5</v>
      </c>
      <c r="M704" s="86" t="s">
        <v>6</v>
      </c>
      <c r="N704" s="86" t="s">
        <v>3</v>
      </c>
      <c r="O704" s="87">
        <f>VLOOKUP($B704,BOM!$A$2:$K$94,10,0)</f>
        <v>0</v>
      </c>
      <c r="P704" s="87">
        <f t="shared" si="37"/>
        <v>0</v>
      </c>
      <c r="Q704" s="87" t="str">
        <f>VLOOKUP($B704,BOM!$A$2:$K$94,9,0)</f>
        <v>Cái</v>
      </c>
    </row>
    <row r="705" spans="1:17">
      <c r="A705" s="141"/>
      <c r="B705" s="81"/>
      <c r="C705" s="72" t="s">
        <v>45</v>
      </c>
      <c r="D705" s="72"/>
      <c r="E705" s="72"/>
      <c r="F705" s="72"/>
      <c r="G705" s="72"/>
      <c r="H705" s="72"/>
      <c r="I705" s="72"/>
      <c r="J705" s="72"/>
      <c r="K705" s="83"/>
      <c r="L705" s="83"/>
      <c r="M705" s="83"/>
      <c r="N705" s="83"/>
      <c r="O705" s="87">
        <f>VLOOKUP($B705,BOM!$A$2:$K$94,10,0)</f>
        <v>0</v>
      </c>
      <c r="P705" s="87">
        <f t="shared" si="37"/>
        <v>0</v>
      </c>
      <c r="Q705" s="84">
        <f>VLOOKUP($B705,BOM!$A$2:$K$94,9,0)</f>
        <v>0</v>
      </c>
    </row>
    <row r="706" spans="1:17" s="45" customFormat="1">
      <c r="A706" s="141"/>
      <c r="B706" s="62" t="s">
        <v>48</v>
      </c>
      <c r="C706" s="62" t="s">
        <v>49</v>
      </c>
      <c r="D706" s="85" t="s">
        <v>14</v>
      </c>
      <c r="E706" s="85">
        <f>E699+E703+1</f>
        <v>8</v>
      </c>
      <c r="F706" s="62"/>
      <c r="G706" s="62"/>
      <c r="H706" s="62"/>
      <c r="I706" s="62"/>
      <c r="J706" s="62"/>
      <c r="K706" s="62"/>
      <c r="L706" s="62" t="s">
        <v>5</v>
      </c>
      <c r="M706" s="86" t="s">
        <v>6</v>
      </c>
      <c r="N706" s="86" t="s">
        <v>15</v>
      </c>
      <c r="O706" s="87">
        <f>VLOOKUP($B706,BOM!$A$2:$K$94,10,0)</f>
        <v>0</v>
      </c>
      <c r="P706" s="87">
        <f t="shared" si="37"/>
        <v>0</v>
      </c>
      <c r="Q706" s="87" t="str">
        <f>VLOOKUP($B706,BOM!$A$2:$K$94,9,0)</f>
        <v>Sợi</v>
      </c>
    </row>
    <row r="707" spans="1:17" s="45" customFormat="1">
      <c r="A707" s="141"/>
      <c r="B707" s="62" t="s">
        <v>48</v>
      </c>
      <c r="C707" s="62" t="s">
        <v>49</v>
      </c>
      <c r="D707" s="85" t="s">
        <v>14</v>
      </c>
      <c r="E707" s="90">
        <f>ROUNDUP(E706*0.2,0)</f>
        <v>2</v>
      </c>
      <c r="F707" s="62"/>
      <c r="G707" s="62"/>
      <c r="H707" s="62"/>
      <c r="I707" s="62"/>
      <c r="J707" s="62"/>
      <c r="K707" s="62" t="s">
        <v>4</v>
      </c>
      <c r="L707" s="62" t="s">
        <v>5</v>
      </c>
      <c r="M707" s="86" t="s">
        <v>6</v>
      </c>
      <c r="N707" s="86" t="s">
        <v>15</v>
      </c>
      <c r="O707" s="87">
        <f>VLOOKUP($B707,BOM!$A$2:$K$94,10,0)</f>
        <v>0</v>
      </c>
      <c r="P707" s="87">
        <f t="shared" si="37"/>
        <v>0</v>
      </c>
      <c r="Q707" s="87" t="str">
        <f>VLOOKUP($B707,BOM!$A$2:$K$94,9,0)</f>
        <v>Sợi</v>
      </c>
    </row>
    <row r="708" spans="1:17">
      <c r="A708" s="141"/>
      <c r="B708" s="81"/>
      <c r="C708" s="72" t="s">
        <v>50</v>
      </c>
      <c r="D708" s="72"/>
      <c r="E708" s="72"/>
      <c r="F708" s="72"/>
      <c r="G708" s="72"/>
      <c r="H708" s="72"/>
      <c r="I708" s="72"/>
      <c r="J708" s="72"/>
      <c r="K708" s="83"/>
      <c r="L708" s="83"/>
      <c r="M708" s="83"/>
      <c r="N708" s="83"/>
      <c r="O708" s="87">
        <f>VLOOKUP($B708,BOM!$A$2:$K$94,10,0)</f>
        <v>0</v>
      </c>
      <c r="P708" s="87">
        <f t="shared" si="37"/>
        <v>0</v>
      </c>
      <c r="Q708" s="84">
        <f>VLOOKUP($B708,BOM!$A$2:$K$94,9,0)</f>
        <v>0</v>
      </c>
    </row>
    <row r="709" spans="1:17" s="45" customFormat="1">
      <c r="A709" s="141"/>
      <c r="B709" s="62" t="s">
        <v>332</v>
      </c>
      <c r="C709" s="62" t="s">
        <v>332</v>
      </c>
      <c r="D709" s="85" t="s">
        <v>51</v>
      </c>
      <c r="E709" s="85">
        <f>E694</f>
        <v>1</v>
      </c>
      <c r="F709" s="62"/>
      <c r="G709" s="62"/>
      <c r="H709" s="62"/>
      <c r="I709" s="62"/>
      <c r="J709" s="62"/>
      <c r="K709" s="62"/>
      <c r="L709" s="62"/>
      <c r="M709" s="86"/>
      <c r="N709" s="86" t="s">
        <v>51</v>
      </c>
      <c r="O709" s="87">
        <f>VLOOKUP($B709,BOM!$A$2:$K$94,10,0)</f>
        <v>0</v>
      </c>
      <c r="P709" s="87">
        <f t="shared" si="37"/>
        <v>0</v>
      </c>
      <c r="Q709" s="87" t="str">
        <f>VLOOKUP($B709,BOM!$A$2:$K$94,9,0)</f>
        <v>bộ</v>
      </c>
    </row>
    <row r="710" spans="1:17" s="45" customFormat="1">
      <c r="A710" s="141"/>
      <c r="B710" s="62" t="s">
        <v>52</v>
      </c>
      <c r="C710" s="62" t="s">
        <v>53</v>
      </c>
      <c r="D710" s="86" t="s">
        <v>54</v>
      </c>
      <c r="E710" s="105">
        <f>E707+E706</f>
        <v>10</v>
      </c>
      <c r="F710" s="62"/>
      <c r="G710" s="62"/>
      <c r="H710" s="62"/>
      <c r="I710" s="62"/>
      <c r="J710" s="62"/>
      <c r="K710" s="62"/>
      <c r="L710" s="62"/>
      <c r="M710" s="86" t="s">
        <v>55</v>
      </c>
      <c r="N710" s="86" t="s">
        <v>54</v>
      </c>
      <c r="O710" s="87">
        <f>VLOOKUP($B710,BOM!$A$2:$K$94,10,0)</f>
        <v>0</v>
      </c>
      <c r="P710" s="87">
        <f t="shared" si="37"/>
        <v>0</v>
      </c>
      <c r="Q710" s="87" t="str">
        <f>VLOOKUP($B710,BOM!$A$2:$K$94,9,0)</f>
        <v>node</v>
      </c>
    </row>
    <row r="711" spans="1:17" s="45" customFormat="1">
      <c r="A711" s="141"/>
      <c r="B711" s="62" t="s">
        <v>56</v>
      </c>
      <c r="C711" s="62" t="s">
        <v>57</v>
      </c>
      <c r="D711" s="86" t="s">
        <v>14</v>
      </c>
      <c r="E711" s="105">
        <f>E680+E676</f>
        <v>6</v>
      </c>
      <c r="F711" s="62"/>
      <c r="G711" s="62"/>
      <c r="H711" s="62"/>
      <c r="I711" s="62"/>
      <c r="J711" s="62"/>
      <c r="K711" s="62"/>
      <c r="L711" s="62"/>
      <c r="M711" s="86" t="s">
        <v>55</v>
      </c>
      <c r="N711" s="86" t="s">
        <v>14</v>
      </c>
      <c r="O711" s="87">
        <f>VLOOKUP($B711,BOM!$A$2:$K$94,10,0)</f>
        <v>0</v>
      </c>
      <c r="P711" s="87">
        <f t="shared" si="37"/>
        <v>0</v>
      </c>
      <c r="Q711" s="87" t="str">
        <f>VLOOKUP($B711,BOM!$A$2:$K$94,9,0)</f>
        <v>sợi</v>
      </c>
    </row>
    <row r="712" spans="1:17" s="45" customFormat="1">
      <c r="A712" s="141"/>
      <c r="B712" s="62" t="s">
        <v>58</v>
      </c>
      <c r="C712" s="62" t="s">
        <v>59</v>
      </c>
      <c r="D712" s="86" t="s">
        <v>60</v>
      </c>
      <c r="E712" s="105">
        <f>E711*2</f>
        <v>12</v>
      </c>
      <c r="F712" s="62"/>
      <c r="G712" s="62"/>
      <c r="H712" s="62"/>
      <c r="I712" s="62"/>
      <c r="J712" s="62"/>
      <c r="K712" s="62"/>
      <c r="L712" s="62"/>
      <c r="M712" s="86" t="s">
        <v>61</v>
      </c>
      <c r="N712" s="86" t="s">
        <v>60</v>
      </c>
      <c r="O712" s="87">
        <f>VLOOKUP($B712,BOM!$A$2:$K$94,10,0)</f>
        <v>0</v>
      </c>
      <c r="P712" s="87">
        <f t="shared" si="37"/>
        <v>0</v>
      </c>
      <c r="Q712" s="87" t="str">
        <f>VLOOKUP($B712,BOM!$A$2:$K$94,9,0)</f>
        <v>đầu</v>
      </c>
    </row>
    <row r="713" spans="1:17" s="45" customFormat="1">
      <c r="A713" s="141"/>
      <c r="B713" s="62" t="s">
        <v>62</v>
      </c>
      <c r="C713" s="62" t="s">
        <v>63</v>
      </c>
      <c r="D713" s="86" t="s">
        <v>64</v>
      </c>
      <c r="E713" s="105">
        <f>E690</f>
        <v>1</v>
      </c>
      <c r="F713" s="62"/>
      <c r="G713" s="62"/>
      <c r="H713" s="62"/>
      <c r="I713" s="62"/>
      <c r="J713" s="62"/>
      <c r="K713" s="62"/>
      <c r="L713" s="62"/>
      <c r="M713" s="86" t="s">
        <v>61</v>
      </c>
      <c r="N713" s="86" t="s">
        <v>64</v>
      </c>
      <c r="O713" s="87">
        <f>VLOOKUP($B713,BOM!$A$2:$K$94,10,0)</f>
        <v>0</v>
      </c>
      <c r="P713" s="87">
        <f t="shared" si="37"/>
        <v>0</v>
      </c>
      <c r="Q713" s="87" t="str">
        <f>VLOOKUP($B713,BOM!$A$2:$K$94,9,0)</f>
        <v>cái</v>
      </c>
    </row>
    <row r="714" spans="1:17" s="140" customFormat="1">
      <c r="A714" s="134">
        <v>15</v>
      </c>
      <c r="B714" s="135"/>
      <c r="C714" s="71" t="s">
        <v>85</v>
      </c>
      <c r="D714" s="136" t="s">
        <v>0</v>
      </c>
      <c r="E714" s="134">
        <v>1</v>
      </c>
      <c r="F714" s="134"/>
      <c r="G714" s="134"/>
      <c r="H714" s="134">
        <v>12</v>
      </c>
      <c r="I714" s="134"/>
      <c r="J714" s="137">
        <f>SUBTOTAL(9,J717:J741)</f>
        <v>15</v>
      </c>
      <c r="K714" s="137"/>
      <c r="L714" s="137"/>
      <c r="M714" s="137"/>
      <c r="N714" s="137"/>
      <c r="O714" s="87">
        <f>VLOOKUP($B714,BOM!$A$2:$K$94,10,0)</f>
        <v>0</v>
      </c>
      <c r="P714" s="87">
        <f t="shared" ref="P714:P777" si="40">O714*E714</f>
        <v>0</v>
      </c>
      <c r="Q714" s="139">
        <f>VLOOKUP($B714,BOM!$A$2:$K$94,9,0)</f>
        <v>0</v>
      </c>
    </row>
    <row r="715" spans="1:17">
      <c r="A715" s="141"/>
      <c r="B715" s="81"/>
      <c r="C715" s="72" t="s">
        <v>124</v>
      </c>
      <c r="D715" s="72" t="s">
        <v>0</v>
      </c>
      <c r="E715" s="72">
        <v>1</v>
      </c>
      <c r="F715" s="72"/>
      <c r="G715" s="72"/>
      <c r="H715" s="72"/>
      <c r="I715" s="72"/>
      <c r="J715" s="72"/>
      <c r="K715" s="83"/>
      <c r="L715" s="83"/>
      <c r="M715" s="83"/>
      <c r="N715" s="83"/>
      <c r="O715" s="87">
        <f>VLOOKUP($B715,BOM!$A$2:$K$94,10,0)</f>
        <v>0</v>
      </c>
      <c r="P715" s="87">
        <f t="shared" si="40"/>
        <v>0</v>
      </c>
      <c r="Q715" s="84">
        <f>VLOOKUP($B715,BOM!$A$2:$K$94,9,0)</f>
        <v>0</v>
      </c>
    </row>
    <row r="716" spans="1:17" s="19" customFormat="1">
      <c r="A716" s="141"/>
      <c r="B716" s="192" t="s">
        <v>343</v>
      </c>
      <c r="C716" s="21" t="s">
        <v>227</v>
      </c>
      <c r="D716" s="21"/>
      <c r="E716" s="22">
        <v>1</v>
      </c>
      <c r="F716" s="21"/>
      <c r="G716" s="21"/>
      <c r="H716" s="21"/>
      <c r="I716" s="21"/>
      <c r="J716" s="21"/>
      <c r="K716" s="21" t="s">
        <v>4</v>
      </c>
      <c r="L716" s="21" t="s">
        <v>5</v>
      </c>
      <c r="M716" s="22" t="s">
        <v>22</v>
      </c>
      <c r="N716" s="22" t="s">
        <v>3</v>
      </c>
      <c r="O716" s="87" t="e">
        <f>VLOOKUP($B716,BOM!$A$2:$K$94,10,0)</f>
        <v>#N/A</v>
      </c>
      <c r="P716" s="87" t="e">
        <f t="shared" si="40"/>
        <v>#N/A</v>
      </c>
      <c r="Q716" s="142" t="e">
        <f>VLOOKUP($B716,BOM!$A$2:$K$94,9,0)</f>
        <v>#N/A</v>
      </c>
    </row>
    <row r="717" spans="1:17" s="19" customFormat="1">
      <c r="A717" s="141"/>
      <c r="B717" s="21" t="s">
        <v>122</v>
      </c>
      <c r="C717" s="21" t="s">
        <v>123</v>
      </c>
      <c r="D717" s="21"/>
      <c r="E717" s="22">
        <v>1</v>
      </c>
      <c r="F717" s="21"/>
      <c r="G717" s="21"/>
      <c r="H717" s="21"/>
      <c r="I717" s="21"/>
      <c r="J717" s="21">
        <f>E717</f>
        <v>1</v>
      </c>
      <c r="K717" s="21" t="s">
        <v>4</v>
      </c>
      <c r="L717" s="21" t="s">
        <v>5</v>
      </c>
      <c r="M717" s="22" t="s">
        <v>22</v>
      </c>
      <c r="N717" s="22" t="s">
        <v>3</v>
      </c>
      <c r="O717" s="87">
        <f>VLOOKUP($B717,BOM!$A$2:$K$94,10,0)</f>
        <v>0</v>
      </c>
      <c r="P717" s="87">
        <f t="shared" si="40"/>
        <v>0</v>
      </c>
      <c r="Q717" s="142" t="str">
        <f>VLOOKUP($B717,BOM!$A$2:$K$94,9,0)</f>
        <v>Cái</v>
      </c>
    </row>
    <row r="718" spans="1:17">
      <c r="A718" s="141"/>
      <c r="B718" s="81"/>
      <c r="C718" s="72" t="s">
        <v>1</v>
      </c>
      <c r="D718" s="72" t="s">
        <v>0</v>
      </c>
      <c r="E718" s="72">
        <v>1</v>
      </c>
      <c r="F718" s="72"/>
      <c r="G718" s="72">
        <f>ROUNDUP(G714/24,0)</f>
        <v>0</v>
      </c>
      <c r="H718" s="72">
        <f t="shared" ref="H718" si="41">ROUNDUP(H714/24,0)</f>
        <v>1</v>
      </c>
      <c r="I718" s="72"/>
      <c r="J718" s="72"/>
      <c r="K718" s="83"/>
      <c r="L718" s="83"/>
      <c r="M718" s="83"/>
      <c r="N718" s="83"/>
      <c r="O718" s="87">
        <f>VLOOKUP($B718,BOM!$A$2:$K$94,10,0)</f>
        <v>0</v>
      </c>
      <c r="P718" s="87">
        <f t="shared" si="40"/>
        <v>0</v>
      </c>
      <c r="Q718" s="84">
        <f>VLOOKUP($B718,BOM!$A$2:$K$94,9,0)</f>
        <v>0</v>
      </c>
    </row>
    <row r="719" spans="1:17" s="45" customFormat="1">
      <c r="A719" s="141"/>
      <c r="B719" s="62">
        <v>760249997</v>
      </c>
      <c r="C719" s="62" t="s">
        <v>2</v>
      </c>
      <c r="D719" s="85" t="s">
        <v>3</v>
      </c>
      <c r="E719" s="85">
        <f>ROUNDUP((E721+E725)/3,0)</f>
        <v>1</v>
      </c>
      <c r="F719" s="62"/>
      <c r="G719" s="62"/>
      <c r="H719" s="62"/>
      <c r="I719" s="62"/>
      <c r="J719" s="21">
        <f>E719</f>
        <v>1</v>
      </c>
      <c r="K719" s="62" t="s">
        <v>4</v>
      </c>
      <c r="L719" s="62" t="s">
        <v>5</v>
      </c>
      <c r="M719" s="86" t="s">
        <v>6</v>
      </c>
      <c r="N719" s="86" t="s">
        <v>3</v>
      </c>
      <c r="O719" s="87">
        <f>VLOOKUP($B719,BOM!$A$2:$K$94,10,0)</f>
        <v>0</v>
      </c>
      <c r="P719" s="87">
        <f t="shared" si="40"/>
        <v>0</v>
      </c>
      <c r="Q719" s="87" t="str">
        <f>VLOOKUP($B719,BOM!$A$2:$K$94,9,0)</f>
        <v>Cái</v>
      </c>
    </row>
    <row r="720" spans="1:17" s="45" customFormat="1">
      <c r="A720" s="141"/>
      <c r="B720" s="62">
        <v>760241378</v>
      </c>
      <c r="C720" s="62" t="s">
        <v>7</v>
      </c>
      <c r="D720" s="85" t="s">
        <v>3</v>
      </c>
      <c r="E720" s="85">
        <f>IF(E721&lt;=2,1,ROUNDUP(E719*1.5,0))</f>
        <v>1</v>
      </c>
      <c r="F720" s="62"/>
      <c r="G720" s="62"/>
      <c r="H720" s="62"/>
      <c r="I720" s="62"/>
      <c r="J720" s="62"/>
      <c r="K720" s="62" t="s">
        <v>4</v>
      </c>
      <c r="L720" s="62" t="s">
        <v>5</v>
      </c>
      <c r="M720" s="86" t="s">
        <v>6</v>
      </c>
      <c r="N720" s="86" t="s">
        <v>3</v>
      </c>
      <c r="O720" s="87">
        <f>VLOOKUP($B720,BOM!$A$2:$K$94,10,0)</f>
        <v>0</v>
      </c>
      <c r="P720" s="87">
        <f t="shared" si="40"/>
        <v>0</v>
      </c>
      <c r="Q720" s="87" t="str">
        <f>VLOOKUP($B720,BOM!$A$2:$K$94,9,0)</f>
        <v>Cái</v>
      </c>
    </row>
    <row r="721" spans="1:17" s="45" customFormat="1">
      <c r="A721" s="141"/>
      <c r="B721" s="62" t="s">
        <v>8</v>
      </c>
      <c r="C721" s="62" t="s">
        <v>9</v>
      </c>
      <c r="D721" s="85" t="s">
        <v>3</v>
      </c>
      <c r="E721" s="85">
        <f>G718</f>
        <v>0</v>
      </c>
      <c r="F721" s="62"/>
      <c r="G721" s="62"/>
      <c r="H721" s="62"/>
      <c r="I721" s="62"/>
      <c r="J721" s="62"/>
      <c r="K721" s="62" t="s">
        <v>4</v>
      </c>
      <c r="L721" s="62" t="s">
        <v>5</v>
      </c>
      <c r="M721" s="86" t="s">
        <v>6</v>
      </c>
      <c r="N721" s="86" t="s">
        <v>3</v>
      </c>
      <c r="O721" s="87">
        <f>VLOOKUP($B721,BOM!$A$2:$K$94,10,0)</f>
        <v>0</v>
      </c>
      <c r="P721" s="87">
        <f t="shared" si="40"/>
        <v>0</v>
      </c>
      <c r="Q721" s="87" t="str">
        <f>VLOOKUP($B721,BOM!$A$2:$K$94,9,0)</f>
        <v>Cái</v>
      </c>
    </row>
    <row r="722" spans="1:17" s="45" customFormat="1">
      <c r="A722" s="141"/>
      <c r="B722" s="62" t="s">
        <v>10</v>
      </c>
      <c r="C722" s="62" t="s">
        <v>11</v>
      </c>
      <c r="D722" s="85" t="s">
        <v>3</v>
      </c>
      <c r="E722" s="85">
        <f>E719*3-E721-E725</f>
        <v>2</v>
      </c>
      <c r="F722" s="62"/>
      <c r="G722" s="62"/>
      <c r="H722" s="62"/>
      <c r="I722" s="62"/>
      <c r="J722" s="62"/>
      <c r="K722" s="62" t="s">
        <v>4</v>
      </c>
      <c r="L722" s="62" t="s">
        <v>5</v>
      </c>
      <c r="M722" s="86" t="s">
        <v>6</v>
      </c>
      <c r="N722" s="86" t="s">
        <v>3</v>
      </c>
      <c r="O722" s="87">
        <f>VLOOKUP($B722,BOM!$A$2:$K$94,10,0)</f>
        <v>0</v>
      </c>
      <c r="P722" s="87">
        <f t="shared" si="40"/>
        <v>0</v>
      </c>
      <c r="Q722" s="87" t="str">
        <f>VLOOKUP($B722,BOM!$A$2:$K$94,9,0)</f>
        <v>Cái</v>
      </c>
    </row>
    <row r="723" spans="1:17" s="45" customFormat="1">
      <c r="A723" s="141"/>
      <c r="B723" s="62" t="s">
        <v>12</v>
      </c>
      <c r="C723" s="62" t="s">
        <v>13</v>
      </c>
      <c r="D723" s="85" t="s">
        <v>14</v>
      </c>
      <c r="E723" s="85">
        <f>G714/2</f>
        <v>0</v>
      </c>
      <c r="F723" s="62"/>
      <c r="G723" s="62"/>
      <c r="H723" s="62"/>
      <c r="I723" s="62"/>
      <c r="J723" s="62"/>
      <c r="K723" s="62" t="s">
        <v>4</v>
      </c>
      <c r="L723" s="62" t="s">
        <v>5</v>
      </c>
      <c r="M723" s="86" t="s">
        <v>6</v>
      </c>
      <c r="N723" s="86" t="s">
        <v>15</v>
      </c>
      <c r="O723" s="87">
        <f>VLOOKUP($B723,BOM!$A$2:$K$94,10,0)</f>
        <v>0</v>
      </c>
      <c r="P723" s="87">
        <f t="shared" si="40"/>
        <v>0</v>
      </c>
      <c r="Q723" s="87" t="str">
        <f>VLOOKUP($B723,BOM!$A$2:$K$94,9,0)</f>
        <v>Sợi</v>
      </c>
    </row>
    <row r="724" spans="1:17" s="45" customFormat="1">
      <c r="A724" s="141"/>
      <c r="B724" s="62" t="s">
        <v>16</v>
      </c>
      <c r="C724" s="62" t="s">
        <v>17</v>
      </c>
      <c r="D724" s="85" t="s">
        <v>14</v>
      </c>
      <c r="E724" s="85">
        <f>ROUNDUP((E731*1.3),0)</f>
        <v>0</v>
      </c>
      <c r="F724" s="62"/>
      <c r="G724" s="62"/>
      <c r="H724" s="62"/>
      <c r="I724" s="62"/>
      <c r="J724" s="62"/>
      <c r="K724" s="62" t="s">
        <v>4</v>
      </c>
      <c r="L724" s="62" t="s">
        <v>5</v>
      </c>
      <c r="M724" s="86" t="s">
        <v>6</v>
      </c>
      <c r="N724" s="86" t="s">
        <v>15</v>
      </c>
      <c r="O724" s="87">
        <f>VLOOKUP($B724,BOM!$A$2:$K$94,10,0)</f>
        <v>0</v>
      </c>
      <c r="P724" s="87">
        <f t="shared" si="40"/>
        <v>0</v>
      </c>
      <c r="Q724" s="87" t="str">
        <f>VLOOKUP($B724,BOM!$A$2:$K$94,9,0)</f>
        <v>Sợi</v>
      </c>
    </row>
    <row r="725" spans="1:17" s="110" customFormat="1">
      <c r="A725" s="141"/>
      <c r="B725" s="66" t="s">
        <v>198</v>
      </c>
      <c r="C725" s="66" t="s">
        <v>199</v>
      </c>
      <c r="D725" s="89" t="s">
        <v>3</v>
      </c>
      <c r="E725" s="89">
        <f>H718</f>
        <v>1</v>
      </c>
      <c r="F725" s="66"/>
      <c r="G725" s="66"/>
      <c r="H725" s="66"/>
      <c r="I725" s="66"/>
      <c r="J725" s="66"/>
      <c r="K725" s="108" t="s">
        <v>4</v>
      </c>
      <c r="L725" s="108" t="s">
        <v>5</v>
      </c>
      <c r="M725" s="109" t="s">
        <v>6</v>
      </c>
      <c r="N725" s="109" t="s">
        <v>15</v>
      </c>
      <c r="O725" s="87">
        <f>VLOOKUP($B725,BOM!$A$2:$K$94,10,0)</f>
        <v>0</v>
      </c>
      <c r="P725" s="87">
        <f t="shared" si="40"/>
        <v>0</v>
      </c>
      <c r="Q725" s="146" t="str">
        <f>VLOOKUP($B725,BOM!$A$2:$K$94,9,0)</f>
        <v>Cái</v>
      </c>
    </row>
    <row r="726" spans="1:17" s="111" customFormat="1">
      <c r="A726" s="141"/>
      <c r="B726" s="66" t="s">
        <v>194</v>
      </c>
      <c r="C726" s="66" t="s">
        <v>195</v>
      </c>
      <c r="D726" s="89" t="s">
        <v>14</v>
      </c>
      <c r="E726" s="89">
        <f>ROUNDUP((E730*1.3),0)</f>
        <v>3</v>
      </c>
      <c r="F726" s="108"/>
      <c r="G726" s="108"/>
      <c r="H726" s="108"/>
      <c r="I726" s="108"/>
      <c r="J726" s="108"/>
      <c r="K726" s="108" t="s">
        <v>4</v>
      </c>
      <c r="L726" s="108" t="s">
        <v>5</v>
      </c>
      <c r="M726" s="109" t="s">
        <v>6</v>
      </c>
      <c r="N726" s="109" t="s">
        <v>15</v>
      </c>
      <c r="O726" s="87">
        <f>VLOOKUP($B726,BOM!$A$2:$K$94,10,0)</f>
        <v>0</v>
      </c>
      <c r="P726" s="87">
        <f t="shared" si="40"/>
        <v>0</v>
      </c>
      <c r="Q726" s="146" t="str">
        <f>VLOOKUP($B726,BOM!$A$2:$K$94,9,0)</f>
        <v>Cái</v>
      </c>
    </row>
    <row r="727" spans="1:17" s="110" customFormat="1">
      <c r="A727" s="141"/>
      <c r="B727" s="66" t="s">
        <v>196</v>
      </c>
      <c r="C727" s="66" t="s">
        <v>197</v>
      </c>
      <c r="D727" s="89" t="s">
        <v>14</v>
      </c>
      <c r="E727" s="89">
        <f>H714/2</f>
        <v>6</v>
      </c>
      <c r="F727" s="66"/>
      <c r="G727" s="66"/>
      <c r="H727" s="66"/>
      <c r="I727" s="66"/>
      <c r="J727" s="66"/>
      <c r="K727" s="108" t="s">
        <v>4</v>
      </c>
      <c r="L727" s="108" t="s">
        <v>5</v>
      </c>
      <c r="M727" s="109" t="s">
        <v>6</v>
      </c>
      <c r="N727" s="109" t="s">
        <v>15</v>
      </c>
      <c r="O727" s="87">
        <f>VLOOKUP($B727,BOM!$A$2:$K$94,10,0)</f>
        <v>0</v>
      </c>
      <c r="P727" s="87">
        <f t="shared" si="40"/>
        <v>0</v>
      </c>
      <c r="Q727" s="146" t="str">
        <f>VLOOKUP($B727,BOM!$A$2:$K$94,9,0)</f>
        <v>Cái</v>
      </c>
    </row>
    <row r="728" spans="1:17">
      <c r="A728" s="141"/>
      <c r="B728" s="81"/>
      <c r="C728" s="72" t="s">
        <v>26</v>
      </c>
      <c r="D728" s="72" t="s">
        <v>0</v>
      </c>
      <c r="E728" s="72">
        <v>1</v>
      </c>
      <c r="F728" s="72"/>
      <c r="G728" s="72"/>
      <c r="H728" s="72"/>
      <c r="I728" s="72"/>
      <c r="J728" s="72"/>
      <c r="K728" s="83"/>
      <c r="L728" s="83"/>
      <c r="M728" s="83"/>
      <c r="N728" s="83"/>
      <c r="O728" s="87">
        <f>VLOOKUP($B728,BOM!$A$2:$K$94,10,0)</f>
        <v>0</v>
      </c>
      <c r="P728" s="87">
        <f t="shared" si="40"/>
        <v>0</v>
      </c>
      <c r="Q728" s="84">
        <f>VLOOKUP($B728,BOM!$A$2:$K$94,9,0)</f>
        <v>0</v>
      </c>
    </row>
    <row r="729" spans="1:17" ht="60">
      <c r="A729" s="147"/>
      <c r="B729" s="67" t="s">
        <v>228</v>
      </c>
      <c r="C729" s="187" t="s">
        <v>324</v>
      </c>
      <c r="D729" s="90" t="s">
        <v>51</v>
      </c>
      <c r="E729" s="90">
        <v>1</v>
      </c>
      <c r="F729" s="65"/>
      <c r="G729" s="65"/>
      <c r="H729" s="65"/>
      <c r="I729" s="65"/>
      <c r="J729" s="103">
        <f>E729</f>
        <v>1</v>
      </c>
      <c r="K729" s="65" t="s">
        <v>143</v>
      </c>
      <c r="L729" s="65" t="s">
        <v>151</v>
      </c>
      <c r="M729" s="90" t="s">
        <v>154</v>
      </c>
      <c r="N729" s="90" t="s">
        <v>51</v>
      </c>
      <c r="O729" s="87">
        <f>VLOOKUP($B729,BOM!$A$2:$K$94,10,0)</f>
        <v>0</v>
      </c>
      <c r="P729" s="87">
        <f t="shared" si="40"/>
        <v>0</v>
      </c>
      <c r="Q729" s="151" t="str">
        <f>VLOOKUP($B729,BOM!$A$2:$K$94,9,0)</f>
        <v>cái</v>
      </c>
    </row>
    <row r="730" spans="1:17" s="111" customFormat="1">
      <c r="A730" s="120"/>
      <c r="B730" s="68" t="s">
        <v>216</v>
      </c>
      <c r="C730" s="68" t="s">
        <v>217</v>
      </c>
      <c r="D730" s="89" t="s">
        <v>64</v>
      </c>
      <c r="E730" s="89">
        <v>2</v>
      </c>
      <c r="F730" s="124"/>
      <c r="G730" s="124"/>
      <c r="H730" s="124"/>
      <c r="I730" s="124"/>
      <c r="J730" s="124"/>
      <c r="K730" s="124" t="s">
        <v>143</v>
      </c>
      <c r="L730" s="124" t="s">
        <v>151</v>
      </c>
      <c r="M730" s="89" t="s">
        <v>154</v>
      </c>
      <c r="N730" s="89" t="s">
        <v>64</v>
      </c>
      <c r="O730" s="87">
        <f>VLOOKUP($B730,BOM!$A$2:$K$94,10,0)</f>
        <v>0</v>
      </c>
      <c r="P730" s="87">
        <f t="shared" si="40"/>
        <v>0</v>
      </c>
      <c r="Q730" s="152" t="str">
        <f>VLOOKUP($B730,BOM!$A$2:$K$94,9,0)</f>
        <v>cái</v>
      </c>
    </row>
    <row r="731" spans="1:17" s="45" customFormat="1">
      <c r="A731" s="141"/>
      <c r="B731" s="64" t="s">
        <v>212</v>
      </c>
      <c r="C731" s="64" t="s">
        <v>213</v>
      </c>
      <c r="D731" s="97" t="s">
        <v>64</v>
      </c>
      <c r="E731" s="98"/>
      <c r="F731" s="95"/>
      <c r="G731" s="95"/>
      <c r="H731" s="95"/>
      <c r="I731" s="95"/>
      <c r="J731" s="95"/>
      <c r="K731" s="95" t="s">
        <v>143</v>
      </c>
      <c r="L731" s="95" t="s">
        <v>151</v>
      </c>
      <c r="M731" s="97" t="s">
        <v>154</v>
      </c>
      <c r="N731" s="97" t="s">
        <v>64</v>
      </c>
      <c r="O731" s="87">
        <f>VLOOKUP($B731,BOM!$A$2:$K$94,10,0)</f>
        <v>0</v>
      </c>
      <c r="P731" s="87">
        <f t="shared" si="40"/>
        <v>0</v>
      </c>
      <c r="Q731" s="153" t="str">
        <f>VLOOKUP($B731,BOM!$A$2:$K$94,9,0)</f>
        <v>cái</v>
      </c>
    </row>
    <row r="732" spans="1:17" s="45" customFormat="1">
      <c r="A732" s="141"/>
      <c r="B732" s="62"/>
      <c r="C732" s="62"/>
      <c r="D732" s="85"/>
      <c r="E732" s="90"/>
      <c r="F732" s="62"/>
      <c r="G732" s="62"/>
      <c r="H732" s="62"/>
      <c r="I732" s="62"/>
      <c r="J732" s="62"/>
      <c r="K732" s="62"/>
      <c r="L732" s="62"/>
      <c r="M732" s="86"/>
      <c r="N732" s="86"/>
      <c r="O732" s="87">
        <f>VLOOKUP($B732,BOM!$A$2:$K$94,10,0)</f>
        <v>0</v>
      </c>
      <c r="P732" s="87">
        <f t="shared" si="40"/>
        <v>0</v>
      </c>
      <c r="Q732" s="87">
        <f>VLOOKUP($B732,BOM!$A$2:$K$94,9,0)</f>
        <v>0</v>
      </c>
    </row>
    <row r="733" spans="1:17" s="45" customFormat="1">
      <c r="A733" s="141"/>
      <c r="B733" s="62"/>
      <c r="C733" s="62"/>
      <c r="D733" s="85"/>
      <c r="E733" s="90"/>
      <c r="F733" s="62"/>
      <c r="G733" s="62"/>
      <c r="H733" s="62"/>
      <c r="I733" s="62"/>
      <c r="J733" s="62"/>
      <c r="K733" s="62"/>
      <c r="L733" s="62"/>
      <c r="M733" s="86"/>
      <c r="N733" s="86"/>
      <c r="O733" s="87">
        <f>VLOOKUP($B733,BOM!$A$2:$K$94,10,0)</f>
        <v>0</v>
      </c>
      <c r="P733" s="87">
        <f t="shared" si="40"/>
        <v>0</v>
      </c>
      <c r="Q733" s="87">
        <f>VLOOKUP($B733,BOM!$A$2:$K$94,9,0)</f>
        <v>0</v>
      </c>
    </row>
    <row r="734" spans="1:17" outlineLevel="1">
      <c r="A734" s="141"/>
      <c r="B734" s="117"/>
      <c r="C734" s="61" t="s">
        <v>67</v>
      </c>
      <c r="D734" s="119" t="s">
        <v>0</v>
      </c>
      <c r="E734" s="120">
        <v>1</v>
      </c>
      <c r="F734" s="121"/>
      <c r="G734" s="121"/>
      <c r="H734" s="121" t="s">
        <v>69</v>
      </c>
      <c r="I734" s="122"/>
      <c r="J734" s="21">
        <f t="shared" ref="J734:J735" si="42">E734</f>
        <v>1</v>
      </c>
      <c r="K734" s="63"/>
      <c r="L734" s="63"/>
      <c r="M734" s="63"/>
      <c r="N734" s="63"/>
      <c r="O734" s="87">
        <f>VLOOKUP($B734,BOM!$A$2:$K$94,10,0)</f>
        <v>0</v>
      </c>
      <c r="P734" s="87">
        <f t="shared" si="40"/>
        <v>0</v>
      </c>
      <c r="Q734" s="80">
        <f>VLOOKUP($B734,BOM!$A$2:$K$94,9,0)</f>
        <v>0</v>
      </c>
    </row>
    <row r="735" spans="1:17" outlineLevel="1">
      <c r="A735" s="141"/>
      <c r="B735" s="117"/>
      <c r="C735" s="61" t="s">
        <v>70</v>
      </c>
      <c r="D735" s="119" t="s">
        <v>0</v>
      </c>
      <c r="E735" s="120">
        <v>1</v>
      </c>
      <c r="F735" s="121"/>
      <c r="G735" s="121"/>
      <c r="H735" s="121" t="s">
        <v>69</v>
      </c>
      <c r="I735" s="122"/>
      <c r="J735" s="21">
        <f t="shared" si="42"/>
        <v>1</v>
      </c>
      <c r="K735" s="63"/>
      <c r="L735" s="63"/>
      <c r="M735" s="63"/>
      <c r="N735" s="63"/>
      <c r="O735" s="87">
        <f>VLOOKUP($B735,BOM!$A$2:$K$94,10,0)</f>
        <v>0</v>
      </c>
      <c r="P735" s="87">
        <f t="shared" si="40"/>
        <v>0</v>
      </c>
      <c r="Q735" s="80">
        <f>VLOOKUP($B735,BOM!$A$2:$K$94,9,0)</f>
        <v>0</v>
      </c>
    </row>
    <row r="736" spans="1:17">
      <c r="A736" s="141"/>
      <c r="B736" s="81"/>
      <c r="C736" s="72" t="s">
        <v>18</v>
      </c>
      <c r="D736" s="72" t="s">
        <v>0</v>
      </c>
      <c r="E736" s="72">
        <v>1</v>
      </c>
      <c r="F736" s="72"/>
      <c r="G736" s="72"/>
      <c r="H736" s="72"/>
      <c r="I736" s="72"/>
      <c r="J736" s="72"/>
      <c r="K736" s="83"/>
      <c r="L736" s="83"/>
      <c r="M736" s="83"/>
      <c r="N736" s="83"/>
      <c r="O736" s="87">
        <f>VLOOKUP($B736,BOM!$A$2:$K$94,10,0)</f>
        <v>0</v>
      </c>
      <c r="P736" s="87">
        <f t="shared" si="40"/>
        <v>0</v>
      </c>
      <c r="Q736" s="84">
        <f>VLOOKUP($B736,BOM!$A$2:$K$94,9,0)</f>
        <v>0</v>
      </c>
    </row>
    <row r="737" spans="1:17" s="45" customFormat="1">
      <c r="A737" s="141"/>
      <c r="B737" s="62">
        <v>760237046</v>
      </c>
      <c r="C737" s="62" t="s">
        <v>19</v>
      </c>
      <c r="D737" s="85" t="s">
        <v>3</v>
      </c>
      <c r="E737" s="85">
        <f>E729+E732</f>
        <v>1</v>
      </c>
      <c r="F737" s="62"/>
      <c r="G737" s="62"/>
      <c r="H737" s="62"/>
      <c r="I737" s="62"/>
      <c r="J737" s="21">
        <f>E737</f>
        <v>1</v>
      </c>
      <c r="K737" s="62" t="s">
        <v>4</v>
      </c>
      <c r="L737" s="62" t="s">
        <v>5</v>
      </c>
      <c r="M737" s="86" t="s">
        <v>6</v>
      </c>
      <c r="N737" s="86" t="s">
        <v>3</v>
      </c>
      <c r="O737" s="87">
        <f>VLOOKUP($B737,BOM!$A$2:$K$94,10,0)</f>
        <v>0</v>
      </c>
      <c r="P737" s="87">
        <f t="shared" si="40"/>
        <v>0</v>
      </c>
      <c r="Q737" s="87" t="str">
        <f>VLOOKUP($B737,BOM!$A$2:$K$94,9,0)</f>
        <v>Cái</v>
      </c>
    </row>
    <row r="738" spans="1:17" s="45" customFormat="1">
      <c r="A738" s="141"/>
      <c r="B738" s="62" t="s">
        <v>23</v>
      </c>
      <c r="C738" s="62" t="s">
        <v>24</v>
      </c>
      <c r="D738" s="85" t="s">
        <v>3</v>
      </c>
      <c r="E738" s="85">
        <f>E737*24</f>
        <v>24</v>
      </c>
      <c r="F738" s="62"/>
      <c r="G738" s="62"/>
      <c r="H738" s="62"/>
      <c r="I738" s="62"/>
      <c r="J738" s="62"/>
      <c r="K738" s="62" t="s">
        <v>25</v>
      </c>
      <c r="L738" s="62" t="s">
        <v>5</v>
      </c>
      <c r="M738" s="86" t="s">
        <v>6</v>
      </c>
      <c r="N738" s="86" t="s">
        <v>3</v>
      </c>
      <c r="O738" s="87">
        <f>VLOOKUP($B738,BOM!$A$2:$K$94,10,0)</f>
        <v>0</v>
      </c>
      <c r="P738" s="87">
        <f t="shared" si="40"/>
        <v>0</v>
      </c>
      <c r="Q738" s="87" t="str">
        <f>VLOOKUP($B738,BOM!$A$2:$K$94,9,0)</f>
        <v>Cái</v>
      </c>
    </row>
    <row r="739" spans="1:17" s="45" customFormat="1">
      <c r="A739" s="141"/>
      <c r="B739" s="62" t="s">
        <v>20</v>
      </c>
      <c r="C739" s="62" t="s">
        <v>21</v>
      </c>
      <c r="D739" s="85" t="s">
        <v>3</v>
      </c>
      <c r="E739" s="85">
        <f>E737</f>
        <v>1</v>
      </c>
      <c r="F739" s="62"/>
      <c r="G739" s="62"/>
      <c r="H739" s="62"/>
      <c r="I739" s="62"/>
      <c r="J739" s="21">
        <f>E739</f>
        <v>1</v>
      </c>
      <c r="K739" s="62" t="s">
        <v>4</v>
      </c>
      <c r="L739" s="62" t="s">
        <v>5</v>
      </c>
      <c r="M739" s="86" t="s">
        <v>22</v>
      </c>
      <c r="N739" s="86" t="s">
        <v>3</v>
      </c>
      <c r="O739" s="87">
        <f>VLOOKUP($B739,BOM!$A$2:$K$94,10,0)</f>
        <v>0</v>
      </c>
      <c r="P739" s="87">
        <f t="shared" si="40"/>
        <v>0</v>
      </c>
      <c r="Q739" s="87" t="str">
        <f>VLOOKUP($B739,BOM!$A$2:$K$94,9,0)</f>
        <v>Cái</v>
      </c>
    </row>
    <row r="740" spans="1:17">
      <c r="A740" s="141"/>
      <c r="B740" s="81"/>
      <c r="C740" s="72" t="s">
        <v>71</v>
      </c>
      <c r="D740" s="72" t="s">
        <v>0</v>
      </c>
      <c r="E740" s="72">
        <v>1</v>
      </c>
      <c r="F740" s="72"/>
      <c r="G740" s="72"/>
      <c r="H740" s="72"/>
      <c r="I740" s="72"/>
      <c r="J740" s="72"/>
      <c r="K740" s="83"/>
      <c r="L740" s="83"/>
      <c r="M740" s="83"/>
      <c r="N740" s="83"/>
      <c r="O740" s="87">
        <f>VLOOKUP($B740,BOM!$A$2:$K$94,10,0)</f>
        <v>0</v>
      </c>
      <c r="P740" s="87">
        <f t="shared" si="40"/>
        <v>0</v>
      </c>
      <c r="Q740" s="84">
        <f>VLOOKUP($B740,BOM!$A$2:$K$94,9,0)</f>
        <v>0</v>
      </c>
    </row>
    <row r="741" spans="1:17" s="45" customFormat="1">
      <c r="A741" s="141"/>
      <c r="B741" s="62" t="s">
        <v>314</v>
      </c>
      <c r="C741" s="62" t="s">
        <v>316</v>
      </c>
      <c r="D741" s="116" t="s">
        <v>51</v>
      </c>
      <c r="E741" s="85">
        <v>1</v>
      </c>
      <c r="F741" s="62"/>
      <c r="G741" s="62"/>
      <c r="H741" s="62"/>
      <c r="I741" s="62"/>
      <c r="J741" s="86">
        <f>E741*8</f>
        <v>8</v>
      </c>
      <c r="K741" s="62"/>
      <c r="L741" s="62" t="s">
        <v>5</v>
      </c>
      <c r="M741" s="86" t="s">
        <v>28</v>
      </c>
      <c r="N741" s="86" t="s">
        <v>3</v>
      </c>
      <c r="O741" s="87">
        <f>VLOOKUP($B741,BOM!$A$2:$K$94,10,0)</f>
        <v>0</v>
      </c>
      <c r="P741" s="87">
        <f t="shared" si="40"/>
        <v>0</v>
      </c>
      <c r="Q741" s="87" t="str">
        <f>VLOOKUP($B741,BOM!$A$2:$K$94,9,0)</f>
        <v>Cái</v>
      </c>
    </row>
    <row r="742" spans="1:17" s="45" customFormat="1">
      <c r="A742" s="141"/>
      <c r="B742" s="62"/>
      <c r="C742" s="62"/>
      <c r="D742" s="116"/>
      <c r="E742" s="85"/>
      <c r="F742" s="62"/>
      <c r="G742" s="62"/>
      <c r="H742" s="62"/>
      <c r="I742" s="62"/>
      <c r="J742" s="62"/>
      <c r="K742" s="62"/>
      <c r="L742" s="62"/>
      <c r="M742" s="86"/>
      <c r="N742" s="86"/>
      <c r="O742" s="87">
        <f>VLOOKUP($B742,BOM!$A$2:$K$94,10,0)</f>
        <v>0</v>
      </c>
      <c r="P742" s="87">
        <f t="shared" si="40"/>
        <v>0</v>
      </c>
      <c r="Q742" s="87">
        <f>VLOOKUP($B742,BOM!$A$2:$K$94,9,0)</f>
        <v>0</v>
      </c>
    </row>
    <row r="743" spans="1:17" s="45" customFormat="1">
      <c r="A743" s="141"/>
      <c r="B743" s="62" t="s">
        <v>225</v>
      </c>
      <c r="C743" s="62" t="s">
        <v>72</v>
      </c>
      <c r="D743" s="116" t="s">
        <v>64</v>
      </c>
      <c r="E743" s="85">
        <v>0</v>
      </c>
      <c r="F743" s="62"/>
      <c r="G743" s="62"/>
      <c r="H743" s="62"/>
      <c r="I743" s="62"/>
      <c r="J743" s="62"/>
      <c r="K743" s="62"/>
      <c r="L743" s="62" t="s">
        <v>5</v>
      </c>
      <c r="M743" s="86" t="s">
        <v>28</v>
      </c>
      <c r="N743" s="86" t="s">
        <v>3</v>
      </c>
      <c r="O743" s="87">
        <f>VLOOKUP($B743,BOM!$A$2:$K$94,10,0)</f>
        <v>0</v>
      </c>
      <c r="P743" s="87">
        <f t="shared" si="40"/>
        <v>0</v>
      </c>
      <c r="Q743" s="87" t="str">
        <f>VLOOKUP($B743,BOM!$A$2:$K$94,9,0)</f>
        <v>Cái</v>
      </c>
    </row>
    <row r="744" spans="1:17">
      <c r="A744" s="141"/>
      <c r="B744" s="81"/>
      <c r="C744" s="72" t="s">
        <v>31</v>
      </c>
      <c r="D744" s="72" t="s">
        <v>0</v>
      </c>
      <c r="E744" s="72">
        <v>1</v>
      </c>
      <c r="F744" s="72"/>
      <c r="G744" s="72"/>
      <c r="H744" s="72"/>
      <c r="I744" s="72"/>
      <c r="J744" s="72"/>
      <c r="K744" s="83"/>
      <c r="L744" s="83"/>
      <c r="M744" s="83"/>
      <c r="N744" s="83"/>
      <c r="O744" s="87">
        <f>VLOOKUP($B744,BOM!$A$2:$K$94,10,0)</f>
        <v>0</v>
      </c>
      <c r="P744" s="87">
        <f t="shared" si="40"/>
        <v>0</v>
      </c>
      <c r="Q744" s="84">
        <f>VLOOKUP($B744,BOM!$A$2:$K$94,9,0)</f>
        <v>0</v>
      </c>
    </row>
    <row r="745" spans="1:17">
      <c r="A745" s="141"/>
      <c r="B745" s="81"/>
      <c r="C745" s="72" t="s">
        <v>32</v>
      </c>
      <c r="D745" s="72"/>
      <c r="E745" s="72"/>
      <c r="F745" s="72"/>
      <c r="G745" s="72">
        <v>2</v>
      </c>
      <c r="H745" s="72"/>
      <c r="I745" s="72"/>
      <c r="J745" s="72"/>
      <c r="K745" s="83"/>
      <c r="L745" s="83"/>
      <c r="M745" s="83"/>
      <c r="N745" s="83"/>
      <c r="O745" s="87">
        <f>VLOOKUP($B745,BOM!$A$2:$K$94,10,0)</f>
        <v>0</v>
      </c>
      <c r="P745" s="87">
        <f t="shared" si="40"/>
        <v>0</v>
      </c>
      <c r="Q745" s="84">
        <f>VLOOKUP($B745,BOM!$A$2:$K$94,9,0)</f>
        <v>0</v>
      </c>
    </row>
    <row r="746" spans="1:17" s="45" customFormat="1" ht="20.45" customHeight="1">
      <c r="A746" s="141"/>
      <c r="B746" s="62" t="s">
        <v>33</v>
      </c>
      <c r="C746" s="62" t="s">
        <v>34</v>
      </c>
      <c r="D746" s="85" t="s">
        <v>3</v>
      </c>
      <c r="E746" s="90">
        <f>E747</f>
        <v>2</v>
      </c>
      <c r="F746" s="62"/>
      <c r="G746" s="62"/>
      <c r="H746" s="62"/>
      <c r="I746" s="62"/>
      <c r="J746" s="62"/>
      <c r="K746" s="62" t="s">
        <v>35</v>
      </c>
      <c r="L746" s="62" t="s">
        <v>5</v>
      </c>
      <c r="M746" s="86" t="s">
        <v>6</v>
      </c>
      <c r="N746" s="86" t="s">
        <v>3</v>
      </c>
      <c r="O746" s="87">
        <f>VLOOKUP($B746,BOM!$A$2:$K$94,10,0)</f>
        <v>0</v>
      </c>
      <c r="P746" s="87">
        <f t="shared" si="40"/>
        <v>0</v>
      </c>
      <c r="Q746" s="87" t="str">
        <f>VLOOKUP($B746,BOM!$A$2:$K$94,9,0)</f>
        <v>Cái</v>
      </c>
    </row>
    <row r="747" spans="1:17" s="45" customFormat="1">
      <c r="A747" s="141"/>
      <c r="B747" s="62" t="s">
        <v>330</v>
      </c>
      <c r="C747" s="62" t="s">
        <v>36</v>
      </c>
      <c r="D747" s="85" t="s">
        <v>3</v>
      </c>
      <c r="E747" s="90">
        <f>G745+H745</f>
        <v>2</v>
      </c>
      <c r="F747" s="62"/>
      <c r="G747" s="62"/>
      <c r="H747" s="62"/>
      <c r="I747" s="62"/>
      <c r="J747" s="62"/>
      <c r="K747" s="62" t="s">
        <v>37</v>
      </c>
      <c r="L747" s="62" t="s">
        <v>5</v>
      </c>
      <c r="M747" s="86" t="s">
        <v>37</v>
      </c>
      <c r="N747" s="86" t="s">
        <v>3</v>
      </c>
      <c r="O747" s="87">
        <f>VLOOKUP($B747,BOM!$A$2:$K$94,10,0)</f>
        <v>0</v>
      </c>
      <c r="P747" s="87">
        <f t="shared" si="40"/>
        <v>0</v>
      </c>
      <c r="Q747" s="87" t="str">
        <f>VLOOKUP($B747,BOM!$A$2:$K$94,9,0)</f>
        <v>Cái</v>
      </c>
    </row>
    <row r="748" spans="1:17" s="45" customFormat="1">
      <c r="A748" s="141"/>
      <c r="B748" s="62" t="s">
        <v>38</v>
      </c>
      <c r="C748" s="62" t="s">
        <v>39</v>
      </c>
      <c r="D748" s="85" t="s">
        <v>3</v>
      </c>
      <c r="E748" s="90">
        <f>E747</f>
        <v>2</v>
      </c>
      <c r="F748" s="62"/>
      <c r="G748" s="62"/>
      <c r="H748" s="62"/>
      <c r="I748" s="62"/>
      <c r="J748" s="62"/>
      <c r="K748" s="62" t="s">
        <v>25</v>
      </c>
      <c r="L748" s="62" t="s">
        <v>5</v>
      </c>
      <c r="M748" s="86" t="s">
        <v>6</v>
      </c>
      <c r="N748" s="86" t="s">
        <v>3</v>
      </c>
      <c r="O748" s="87">
        <f>VLOOKUP($B748,BOM!$A$2:$K$94,10,0)</f>
        <v>0</v>
      </c>
      <c r="P748" s="87">
        <f t="shared" si="40"/>
        <v>0</v>
      </c>
      <c r="Q748" s="87" t="str">
        <f>VLOOKUP($B748,BOM!$A$2:$K$94,9,0)</f>
        <v>Cái</v>
      </c>
    </row>
    <row r="749" spans="1:17">
      <c r="A749" s="141"/>
      <c r="B749" s="81"/>
      <c r="C749" s="72" t="s">
        <v>40</v>
      </c>
      <c r="D749" s="72"/>
      <c r="E749" s="72"/>
      <c r="F749" s="72"/>
      <c r="G749" s="72">
        <v>5</v>
      </c>
      <c r="H749" s="72"/>
      <c r="I749" s="72"/>
      <c r="J749" s="72"/>
      <c r="K749" s="83"/>
      <c r="L749" s="83"/>
      <c r="M749" s="83"/>
      <c r="N749" s="83"/>
      <c r="O749" s="87">
        <f>VLOOKUP($B749,BOM!$A$2:$K$94,10,0)</f>
        <v>0</v>
      </c>
      <c r="P749" s="87">
        <f t="shared" si="40"/>
        <v>0</v>
      </c>
      <c r="Q749" s="84">
        <f>VLOOKUP($B749,BOM!$A$2:$K$94,9,0)</f>
        <v>0</v>
      </c>
    </row>
    <row r="750" spans="1:17" s="45" customFormat="1">
      <c r="A750" s="141"/>
      <c r="B750" s="62" t="s">
        <v>41</v>
      </c>
      <c r="C750" s="62" t="s">
        <v>42</v>
      </c>
      <c r="D750" s="85" t="s">
        <v>3</v>
      </c>
      <c r="E750" s="85">
        <f>G749+H749</f>
        <v>5</v>
      </c>
      <c r="F750" s="62"/>
      <c r="G750" s="62"/>
      <c r="H750" s="62"/>
      <c r="I750" s="62"/>
      <c r="J750" s="62"/>
      <c r="K750" s="62" t="s">
        <v>4</v>
      </c>
      <c r="L750" s="62" t="s">
        <v>5</v>
      </c>
      <c r="M750" s="86" t="s">
        <v>6</v>
      </c>
      <c r="N750" s="86" t="s">
        <v>3</v>
      </c>
      <c r="O750" s="87">
        <f>VLOOKUP($B750,BOM!$A$2:$K$94,10,0)</f>
        <v>0</v>
      </c>
      <c r="P750" s="87">
        <f t="shared" si="40"/>
        <v>0</v>
      </c>
      <c r="Q750" s="87" t="str">
        <f>VLOOKUP($B750,BOM!$A$2:$K$94,9,0)</f>
        <v>Cái</v>
      </c>
    </row>
    <row r="751" spans="1:17" s="45" customFormat="1">
      <c r="A751" s="141"/>
      <c r="B751" s="65" t="s">
        <v>43</v>
      </c>
      <c r="C751" s="65" t="s">
        <v>44</v>
      </c>
      <c r="D751" s="85" t="s">
        <v>3</v>
      </c>
      <c r="E751" s="85">
        <f>E750</f>
        <v>5</v>
      </c>
      <c r="F751" s="62"/>
      <c r="G751" s="62"/>
      <c r="H751" s="62"/>
      <c r="I751" s="62"/>
      <c r="J751" s="62"/>
      <c r="K751" s="62" t="s">
        <v>4</v>
      </c>
      <c r="L751" s="62" t="s">
        <v>5</v>
      </c>
      <c r="M751" s="86" t="s">
        <v>6</v>
      </c>
      <c r="N751" s="86" t="s">
        <v>3</v>
      </c>
      <c r="O751" s="87">
        <f>VLOOKUP($B751,BOM!$A$2:$K$94,10,0)</f>
        <v>0</v>
      </c>
      <c r="P751" s="87">
        <f t="shared" si="40"/>
        <v>0</v>
      </c>
      <c r="Q751" s="87" t="str">
        <f>VLOOKUP($B751,BOM!$A$2:$K$94,9,0)</f>
        <v>Cái</v>
      </c>
    </row>
    <row r="752" spans="1:17">
      <c r="A752" s="141"/>
      <c r="B752" s="81"/>
      <c r="C752" s="72" t="s">
        <v>45</v>
      </c>
      <c r="D752" s="72"/>
      <c r="E752" s="72"/>
      <c r="F752" s="72"/>
      <c r="G752" s="72"/>
      <c r="H752" s="72"/>
      <c r="I752" s="72"/>
      <c r="J752" s="72"/>
      <c r="K752" s="83"/>
      <c r="L752" s="83"/>
      <c r="M752" s="83"/>
      <c r="N752" s="83"/>
      <c r="O752" s="87">
        <f>VLOOKUP($B752,BOM!$A$2:$K$94,10,0)</f>
        <v>0</v>
      </c>
      <c r="P752" s="87">
        <f t="shared" si="40"/>
        <v>0</v>
      </c>
      <c r="Q752" s="84">
        <f>VLOOKUP($B752,BOM!$A$2:$K$94,9,0)</f>
        <v>0</v>
      </c>
    </row>
    <row r="753" spans="1:17" s="45" customFormat="1">
      <c r="A753" s="141"/>
      <c r="B753" s="62" t="s">
        <v>48</v>
      </c>
      <c r="C753" s="62" t="s">
        <v>49</v>
      </c>
      <c r="D753" s="85" t="s">
        <v>14</v>
      </c>
      <c r="E753" s="85">
        <f>E746+E750+1</f>
        <v>8</v>
      </c>
      <c r="F753" s="62"/>
      <c r="G753" s="62"/>
      <c r="H753" s="62"/>
      <c r="I753" s="62"/>
      <c r="J753" s="62"/>
      <c r="K753" s="62"/>
      <c r="L753" s="62" t="s">
        <v>5</v>
      </c>
      <c r="M753" s="86" t="s">
        <v>6</v>
      </c>
      <c r="N753" s="86" t="s">
        <v>15</v>
      </c>
      <c r="O753" s="87">
        <f>VLOOKUP($B753,BOM!$A$2:$K$94,10,0)</f>
        <v>0</v>
      </c>
      <c r="P753" s="87">
        <f t="shared" si="40"/>
        <v>0</v>
      </c>
      <c r="Q753" s="87" t="str">
        <f>VLOOKUP($B753,BOM!$A$2:$K$94,9,0)</f>
        <v>Sợi</v>
      </c>
    </row>
    <row r="754" spans="1:17" s="45" customFormat="1">
      <c r="A754" s="141"/>
      <c r="B754" s="62" t="s">
        <v>48</v>
      </c>
      <c r="C754" s="62" t="s">
        <v>49</v>
      </c>
      <c r="D754" s="85" t="s">
        <v>14</v>
      </c>
      <c r="E754" s="90">
        <f>ROUNDUP(E753*0.2,0)</f>
        <v>2</v>
      </c>
      <c r="F754" s="62"/>
      <c r="G754" s="62"/>
      <c r="H754" s="62"/>
      <c r="I754" s="62"/>
      <c r="J754" s="62"/>
      <c r="K754" s="62" t="s">
        <v>4</v>
      </c>
      <c r="L754" s="62" t="s">
        <v>5</v>
      </c>
      <c r="M754" s="86" t="s">
        <v>6</v>
      </c>
      <c r="N754" s="86" t="s">
        <v>15</v>
      </c>
      <c r="O754" s="87">
        <f>VLOOKUP($B754,BOM!$A$2:$K$94,10,0)</f>
        <v>0</v>
      </c>
      <c r="P754" s="87">
        <f t="shared" si="40"/>
        <v>0</v>
      </c>
      <c r="Q754" s="87" t="str">
        <f>VLOOKUP($B754,BOM!$A$2:$K$94,9,0)</f>
        <v>Sợi</v>
      </c>
    </row>
    <row r="755" spans="1:17">
      <c r="A755" s="141"/>
      <c r="B755" s="81"/>
      <c r="C755" s="72" t="s">
        <v>50</v>
      </c>
      <c r="D755" s="72"/>
      <c r="E755" s="72"/>
      <c r="F755" s="72"/>
      <c r="G755" s="72"/>
      <c r="H755" s="72"/>
      <c r="I755" s="72"/>
      <c r="J755" s="72"/>
      <c r="K755" s="83"/>
      <c r="L755" s="83"/>
      <c r="M755" s="83"/>
      <c r="N755" s="83"/>
      <c r="O755" s="87">
        <f>VLOOKUP($B755,BOM!$A$2:$K$94,10,0)</f>
        <v>0</v>
      </c>
      <c r="P755" s="87">
        <f t="shared" si="40"/>
        <v>0</v>
      </c>
      <c r="Q755" s="84">
        <f>VLOOKUP($B755,BOM!$A$2:$K$94,9,0)</f>
        <v>0</v>
      </c>
    </row>
    <row r="756" spans="1:17" s="45" customFormat="1">
      <c r="A756" s="141"/>
      <c r="B756" s="62" t="s">
        <v>332</v>
      </c>
      <c r="C756" s="62" t="s">
        <v>332</v>
      </c>
      <c r="D756" s="85" t="s">
        <v>51</v>
      </c>
      <c r="E756" s="85">
        <f>E741</f>
        <v>1</v>
      </c>
      <c r="F756" s="62"/>
      <c r="G756" s="62"/>
      <c r="H756" s="62"/>
      <c r="I756" s="62"/>
      <c r="J756" s="62"/>
      <c r="K756" s="62"/>
      <c r="L756" s="62"/>
      <c r="M756" s="86"/>
      <c r="N756" s="86" t="s">
        <v>51</v>
      </c>
      <c r="O756" s="87">
        <f>VLOOKUP($B756,BOM!$A$2:$K$94,10,0)</f>
        <v>0</v>
      </c>
      <c r="P756" s="87">
        <f t="shared" si="40"/>
        <v>0</v>
      </c>
      <c r="Q756" s="87" t="str">
        <f>VLOOKUP($B756,BOM!$A$2:$K$94,9,0)</f>
        <v>bộ</v>
      </c>
    </row>
    <row r="757" spans="1:17" s="45" customFormat="1">
      <c r="A757" s="141"/>
      <c r="B757" s="62" t="s">
        <v>52</v>
      </c>
      <c r="C757" s="62" t="s">
        <v>53</v>
      </c>
      <c r="D757" s="86" t="s">
        <v>54</v>
      </c>
      <c r="E757" s="105">
        <f>E754+E753</f>
        <v>10</v>
      </c>
      <c r="F757" s="62"/>
      <c r="G757" s="62"/>
      <c r="H757" s="62"/>
      <c r="I757" s="62"/>
      <c r="J757" s="62"/>
      <c r="K757" s="62"/>
      <c r="L757" s="62"/>
      <c r="M757" s="86" t="s">
        <v>55</v>
      </c>
      <c r="N757" s="86" t="s">
        <v>54</v>
      </c>
      <c r="O757" s="87">
        <f>VLOOKUP($B757,BOM!$A$2:$K$94,10,0)</f>
        <v>0</v>
      </c>
      <c r="P757" s="87">
        <f t="shared" si="40"/>
        <v>0</v>
      </c>
      <c r="Q757" s="87" t="str">
        <f>VLOOKUP($B757,BOM!$A$2:$K$94,9,0)</f>
        <v>node</v>
      </c>
    </row>
    <row r="758" spans="1:17" s="45" customFormat="1">
      <c r="A758" s="141"/>
      <c r="B758" s="62" t="s">
        <v>56</v>
      </c>
      <c r="C758" s="62" t="s">
        <v>57</v>
      </c>
      <c r="D758" s="86" t="s">
        <v>14</v>
      </c>
      <c r="E758" s="105">
        <f>E727+E723</f>
        <v>6</v>
      </c>
      <c r="F758" s="62"/>
      <c r="G758" s="62"/>
      <c r="H758" s="62"/>
      <c r="I758" s="62"/>
      <c r="J758" s="62"/>
      <c r="K758" s="62"/>
      <c r="L758" s="62"/>
      <c r="M758" s="86" t="s">
        <v>55</v>
      </c>
      <c r="N758" s="86" t="s">
        <v>14</v>
      </c>
      <c r="O758" s="87">
        <f>VLOOKUP($B758,BOM!$A$2:$K$94,10,0)</f>
        <v>0</v>
      </c>
      <c r="P758" s="87">
        <f t="shared" si="40"/>
        <v>0</v>
      </c>
      <c r="Q758" s="87" t="str">
        <f>VLOOKUP($B758,BOM!$A$2:$K$94,9,0)</f>
        <v>sợi</v>
      </c>
    </row>
    <row r="759" spans="1:17" s="45" customFormat="1">
      <c r="A759" s="141"/>
      <c r="B759" s="62" t="s">
        <v>58</v>
      </c>
      <c r="C759" s="62" t="s">
        <v>59</v>
      </c>
      <c r="D759" s="86" t="s">
        <v>60</v>
      </c>
      <c r="E759" s="105">
        <f>E758*2</f>
        <v>12</v>
      </c>
      <c r="F759" s="62"/>
      <c r="G759" s="62"/>
      <c r="H759" s="62"/>
      <c r="I759" s="62"/>
      <c r="J759" s="62"/>
      <c r="K759" s="62"/>
      <c r="L759" s="62"/>
      <c r="M759" s="86" t="s">
        <v>61</v>
      </c>
      <c r="N759" s="86" t="s">
        <v>60</v>
      </c>
      <c r="O759" s="87">
        <f>VLOOKUP($B759,BOM!$A$2:$K$94,10,0)</f>
        <v>0</v>
      </c>
      <c r="P759" s="87">
        <f t="shared" si="40"/>
        <v>0</v>
      </c>
      <c r="Q759" s="87" t="str">
        <f>VLOOKUP($B759,BOM!$A$2:$K$94,9,0)</f>
        <v>đầu</v>
      </c>
    </row>
    <row r="760" spans="1:17" s="45" customFormat="1">
      <c r="A760" s="141"/>
      <c r="B760" s="62" t="s">
        <v>62</v>
      </c>
      <c r="C760" s="62" t="s">
        <v>63</v>
      </c>
      <c r="D760" s="86" t="s">
        <v>64</v>
      </c>
      <c r="E760" s="105">
        <f>E737</f>
        <v>1</v>
      </c>
      <c r="F760" s="62"/>
      <c r="G760" s="62"/>
      <c r="H760" s="62"/>
      <c r="I760" s="62"/>
      <c r="J760" s="62"/>
      <c r="K760" s="62"/>
      <c r="L760" s="62"/>
      <c r="M760" s="86" t="s">
        <v>61</v>
      </c>
      <c r="N760" s="86" t="s">
        <v>64</v>
      </c>
      <c r="O760" s="87">
        <f>VLOOKUP($B760,BOM!$A$2:$K$94,10,0)</f>
        <v>0</v>
      </c>
      <c r="P760" s="87">
        <f t="shared" si="40"/>
        <v>0</v>
      </c>
      <c r="Q760" s="87" t="str">
        <f>VLOOKUP($B760,BOM!$A$2:$K$94,9,0)</f>
        <v>cái</v>
      </c>
    </row>
    <row r="761" spans="1:17" s="140" customFormat="1">
      <c r="A761" s="134">
        <v>16</v>
      </c>
      <c r="B761" s="135"/>
      <c r="C761" s="71" t="s">
        <v>86</v>
      </c>
      <c r="D761" s="136" t="s">
        <v>0</v>
      </c>
      <c r="E761" s="134">
        <v>1</v>
      </c>
      <c r="F761" s="134"/>
      <c r="G761" s="134"/>
      <c r="H761" s="134">
        <v>12</v>
      </c>
      <c r="I761" s="134"/>
      <c r="J761" s="137">
        <f>SUBTOTAL(9,J764:J788)</f>
        <v>15</v>
      </c>
      <c r="K761" s="137"/>
      <c r="L761" s="137"/>
      <c r="M761" s="137"/>
      <c r="N761" s="137"/>
      <c r="O761" s="87">
        <f>VLOOKUP($B761,BOM!$A$2:$K$94,10,0)</f>
        <v>0</v>
      </c>
      <c r="P761" s="87">
        <f t="shared" si="40"/>
        <v>0</v>
      </c>
      <c r="Q761" s="139">
        <f>VLOOKUP($B761,BOM!$A$2:$K$94,9,0)</f>
        <v>0</v>
      </c>
    </row>
    <row r="762" spans="1:17">
      <c r="A762" s="141"/>
      <c r="B762" s="81"/>
      <c r="C762" s="72" t="s">
        <v>124</v>
      </c>
      <c r="D762" s="72" t="s">
        <v>0</v>
      </c>
      <c r="E762" s="72">
        <v>1</v>
      </c>
      <c r="F762" s="72"/>
      <c r="G762" s="72"/>
      <c r="H762" s="72"/>
      <c r="I762" s="72"/>
      <c r="J762" s="72"/>
      <c r="K762" s="83"/>
      <c r="L762" s="83"/>
      <c r="M762" s="83"/>
      <c r="N762" s="83"/>
      <c r="O762" s="87">
        <f>VLOOKUP($B762,BOM!$A$2:$K$94,10,0)</f>
        <v>0</v>
      </c>
      <c r="P762" s="87">
        <f t="shared" si="40"/>
        <v>0</v>
      </c>
      <c r="Q762" s="84">
        <f>VLOOKUP($B762,BOM!$A$2:$K$94,9,0)</f>
        <v>0</v>
      </c>
    </row>
    <row r="763" spans="1:17" s="19" customFormat="1">
      <c r="A763" s="141"/>
      <c r="B763" s="192" t="s">
        <v>343</v>
      </c>
      <c r="C763" s="21" t="s">
        <v>227</v>
      </c>
      <c r="D763" s="21"/>
      <c r="E763" s="22">
        <v>1</v>
      </c>
      <c r="F763" s="21"/>
      <c r="G763" s="21"/>
      <c r="H763" s="21"/>
      <c r="I763" s="21"/>
      <c r="J763" s="21"/>
      <c r="K763" s="21" t="s">
        <v>4</v>
      </c>
      <c r="L763" s="21" t="s">
        <v>5</v>
      </c>
      <c r="M763" s="22" t="s">
        <v>22</v>
      </c>
      <c r="N763" s="22" t="s">
        <v>3</v>
      </c>
      <c r="O763" s="87" t="e">
        <f>VLOOKUP($B763,BOM!$A$2:$K$94,10,0)</f>
        <v>#N/A</v>
      </c>
      <c r="P763" s="87" t="e">
        <f t="shared" si="40"/>
        <v>#N/A</v>
      </c>
      <c r="Q763" s="142" t="e">
        <f>VLOOKUP($B763,BOM!$A$2:$K$94,9,0)</f>
        <v>#N/A</v>
      </c>
    </row>
    <row r="764" spans="1:17" s="19" customFormat="1">
      <c r="A764" s="141"/>
      <c r="B764" s="21" t="s">
        <v>122</v>
      </c>
      <c r="C764" s="21" t="s">
        <v>123</v>
      </c>
      <c r="D764" s="21"/>
      <c r="E764" s="22">
        <v>1</v>
      </c>
      <c r="F764" s="21"/>
      <c r="G764" s="21"/>
      <c r="H764" s="21"/>
      <c r="I764" s="21"/>
      <c r="J764" s="21">
        <f>E764</f>
        <v>1</v>
      </c>
      <c r="K764" s="21" t="s">
        <v>4</v>
      </c>
      <c r="L764" s="21" t="s">
        <v>5</v>
      </c>
      <c r="M764" s="22" t="s">
        <v>22</v>
      </c>
      <c r="N764" s="22" t="s">
        <v>3</v>
      </c>
      <c r="O764" s="87">
        <f>VLOOKUP($B764,BOM!$A$2:$K$94,10,0)</f>
        <v>0</v>
      </c>
      <c r="P764" s="87">
        <f t="shared" si="40"/>
        <v>0</v>
      </c>
      <c r="Q764" s="142" t="str">
        <f>VLOOKUP($B764,BOM!$A$2:$K$94,9,0)</f>
        <v>Cái</v>
      </c>
    </row>
    <row r="765" spans="1:17">
      <c r="A765" s="141"/>
      <c r="B765" s="81"/>
      <c r="C765" s="72" t="s">
        <v>1</v>
      </c>
      <c r="D765" s="72" t="s">
        <v>0</v>
      </c>
      <c r="E765" s="72">
        <v>1</v>
      </c>
      <c r="F765" s="72"/>
      <c r="G765" s="72">
        <f>ROUNDUP(G761/24,0)</f>
        <v>0</v>
      </c>
      <c r="H765" s="72">
        <f t="shared" ref="H765" si="43">ROUNDUP(H761/24,0)</f>
        <v>1</v>
      </c>
      <c r="I765" s="72"/>
      <c r="J765" s="72"/>
      <c r="K765" s="83"/>
      <c r="L765" s="83"/>
      <c r="M765" s="83"/>
      <c r="N765" s="83"/>
      <c r="O765" s="87">
        <f>VLOOKUP($B765,BOM!$A$2:$K$94,10,0)</f>
        <v>0</v>
      </c>
      <c r="P765" s="87">
        <f t="shared" si="40"/>
        <v>0</v>
      </c>
      <c r="Q765" s="84">
        <f>VLOOKUP($B765,BOM!$A$2:$K$94,9,0)</f>
        <v>0</v>
      </c>
    </row>
    <row r="766" spans="1:17" s="45" customFormat="1">
      <c r="A766" s="141"/>
      <c r="B766" s="62">
        <v>760249997</v>
      </c>
      <c r="C766" s="62" t="s">
        <v>2</v>
      </c>
      <c r="D766" s="85" t="s">
        <v>3</v>
      </c>
      <c r="E766" s="85">
        <f>ROUNDUP((E768+E772)/3,0)</f>
        <v>1</v>
      </c>
      <c r="F766" s="62"/>
      <c r="G766" s="62"/>
      <c r="H766" s="62"/>
      <c r="I766" s="62"/>
      <c r="J766" s="21">
        <f>E766</f>
        <v>1</v>
      </c>
      <c r="K766" s="62" t="s">
        <v>4</v>
      </c>
      <c r="L766" s="62" t="s">
        <v>5</v>
      </c>
      <c r="M766" s="86" t="s">
        <v>6</v>
      </c>
      <c r="N766" s="86" t="s">
        <v>3</v>
      </c>
      <c r="O766" s="87">
        <f>VLOOKUP($B766,BOM!$A$2:$K$94,10,0)</f>
        <v>0</v>
      </c>
      <c r="P766" s="87">
        <f t="shared" si="40"/>
        <v>0</v>
      </c>
      <c r="Q766" s="87" t="str">
        <f>VLOOKUP($B766,BOM!$A$2:$K$94,9,0)</f>
        <v>Cái</v>
      </c>
    </row>
    <row r="767" spans="1:17" s="45" customFormat="1">
      <c r="A767" s="141"/>
      <c r="B767" s="62">
        <v>760241378</v>
      </c>
      <c r="C767" s="62" t="s">
        <v>7</v>
      </c>
      <c r="D767" s="85" t="s">
        <v>3</v>
      </c>
      <c r="E767" s="85">
        <f>IF(E768&lt;=2,1,ROUNDUP(E766*1.5,0))</f>
        <v>1</v>
      </c>
      <c r="F767" s="62"/>
      <c r="G767" s="62"/>
      <c r="H767" s="62"/>
      <c r="I767" s="62"/>
      <c r="J767" s="62"/>
      <c r="K767" s="62" t="s">
        <v>4</v>
      </c>
      <c r="L767" s="62" t="s">
        <v>5</v>
      </c>
      <c r="M767" s="86" t="s">
        <v>6</v>
      </c>
      <c r="N767" s="86" t="s">
        <v>3</v>
      </c>
      <c r="O767" s="87">
        <f>VLOOKUP($B767,BOM!$A$2:$K$94,10,0)</f>
        <v>0</v>
      </c>
      <c r="P767" s="87">
        <f t="shared" si="40"/>
        <v>0</v>
      </c>
      <c r="Q767" s="87" t="str">
        <f>VLOOKUP($B767,BOM!$A$2:$K$94,9,0)</f>
        <v>Cái</v>
      </c>
    </row>
    <row r="768" spans="1:17" s="45" customFormat="1">
      <c r="A768" s="141"/>
      <c r="B768" s="62" t="s">
        <v>8</v>
      </c>
      <c r="C768" s="62" t="s">
        <v>9</v>
      </c>
      <c r="D768" s="85" t="s">
        <v>3</v>
      </c>
      <c r="E768" s="85">
        <f>G765</f>
        <v>0</v>
      </c>
      <c r="F768" s="62"/>
      <c r="G768" s="62"/>
      <c r="H768" s="62"/>
      <c r="I768" s="62"/>
      <c r="J768" s="62"/>
      <c r="K768" s="62" t="s">
        <v>4</v>
      </c>
      <c r="L768" s="62" t="s">
        <v>5</v>
      </c>
      <c r="M768" s="86" t="s">
        <v>6</v>
      </c>
      <c r="N768" s="86" t="s">
        <v>3</v>
      </c>
      <c r="O768" s="87">
        <f>VLOOKUP($B768,BOM!$A$2:$K$94,10,0)</f>
        <v>0</v>
      </c>
      <c r="P768" s="87">
        <f t="shared" si="40"/>
        <v>0</v>
      </c>
      <c r="Q768" s="87" t="str">
        <f>VLOOKUP($B768,BOM!$A$2:$K$94,9,0)</f>
        <v>Cái</v>
      </c>
    </row>
    <row r="769" spans="1:17" s="45" customFormat="1">
      <c r="A769" s="141"/>
      <c r="B769" s="62" t="s">
        <v>10</v>
      </c>
      <c r="C769" s="62" t="s">
        <v>11</v>
      </c>
      <c r="D769" s="85" t="s">
        <v>3</v>
      </c>
      <c r="E769" s="85">
        <f>E766*3-E768-E772</f>
        <v>2</v>
      </c>
      <c r="F769" s="62"/>
      <c r="G769" s="62"/>
      <c r="H769" s="62"/>
      <c r="I769" s="62"/>
      <c r="J769" s="62"/>
      <c r="K769" s="62" t="s">
        <v>4</v>
      </c>
      <c r="L769" s="62" t="s">
        <v>5</v>
      </c>
      <c r="M769" s="86" t="s">
        <v>6</v>
      </c>
      <c r="N769" s="86" t="s">
        <v>3</v>
      </c>
      <c r="O769" s="87">
        <f>VLOOKUP($B769,BOM!$A$2:$K$94,10,0)</f>
        <v>0</v>
      </c>
      <c r="P769" s="87">
        <f t="shared" si="40"/>
        <v>0</v>
      </c>
      <c r="Q769" s="87" t="str">
        <f>VLOOKUP($B769,BOM!$A$2:$K$94,9,0)</f>
        <v>Cái</v>
      </c>
    </row>
    <row r="770" spans="1:17" s="45" customFormat="1">
      <c r="A770" s="141"/>
      <c r="B770" s="62" t="s">
        <v>12</v>
      </c>
      <c r="C770" s="62" t="s">
        <v>13</v>
      </c>
      <c r="D770" s="85" t="s">
        <v>14</v>
      </c>
      <c r="E770" s="85">
        <f>G761/2</f>
        <v>0</v>
      </c>
      <c r="F770" s="62"/>
      <c r="G770" s="62"/>
      <c r="H770" s="62"/>
      <c r="I770" s="62"/>
      <c r="J770" s="62"/>
      <c r="K770" s="62" t="s">
        <v>4</v>
      </c>
      <c r="L770" s="62" t="s">
        <v>5</v>
      </c>
      <c r="M770" s="86" t="s">
        <v>6</v>
      </c>
      <c r="N770" s="86" t="s">
        <v>15</v>
      </c>
      <c r="O770" s="87">
        <f>VLOOKUP($B770,BOM!$A$2:$K$94,10,0)</f>
        <v>0</v>
      </c>
      <c r="P770" s="87">
        <f t="shared" si="40"/>
        <v>0</v>
      </c>
      <c r="Q770" s="87" t="str">
        <f>VLOOKUP($B770,BOM!$A$2:$K$94,9,0)</f>
        <v>Sợi</v>
      </c>
    </row>
    <row r="771" spans="1:17" s="45" customFormat="1">
      <c r="A771" s="141"/>
      <c r="B771" s="62" t="s">
        <v>16</v>
      </c>
      <c r="C771" s="62" t="s">
        <v>17</v>
      </c>
      <c r="D771" s="85" t="s">
        <v>14</v>
      </c>
      <c r="E771" s="85">
        <f>ROUNDUP((E778*1.3),0)</f>
        <v>0</v>
      </c>
      <c r="F771" s="62"/>
      <c r="G771" s="62"/>
      <c r="H771" s="62"/>
      <c r="I771" s="62"/>
      <c r="J771" s="62"/>
      <c r="K771" s="62" t="s">
        <v>4</v>
      </c>
      <c r="L771" s="62" t="s">
        <v>5</v>
      </c>
      <c r="M771" s="86" t="s">
        <v>6</v>
      </c>
      <c r="N771" s="86" t="s">
        <v>15</v>
      </c>
      <c r="O771" s="87">
        <f>VLOOKUP($B771,BOM!$A$2:$K$94,10,0)</f>
        <v>0</v>
      </c>
      <c r="P771" s="87">
        <f t="shared" si="40"/>
        <v>0</v>
      </c>
      <c r="Q771" s="87" t="str">
        <f>VLOOKUP($B771,BOM!$A$2:$K$94,9,0)</f>
        <v>Sợi</v>
      </c>
    </row>
    <row r="772" spans="1:17" s="110" customFormat="1">
      <c r="A772" s="141"/>
      <c r="B772" s="66" t="s">
        <v>198</v>
      </c>
      <c r="C772" s="66" t="s">
        <v>199</v>
      </c>
      <c r="D772" s="89" t="s">
        <v>3</v>
      </c>
      <c r="E772" s="89">
        <f>H765</f>
        <v>1</v>
      </c>
      <c r="F772" s="66"/>
      <c r="G772" s="66"/>
      <c r="H772" s="66"/>
      <c r="I772" s="66"/>
      <c r="J772" s="66"/>
      <c r="K772" s="108" t="s">
        <v>4</v>
      </c>
      <c r="L772" s="108" t="s">
        <v>5</v>
      </c>
      <c r="M772" s="109" t="s">
        <v>6</v>
      </c>
      <c r="N772" s="109" t="s">
        <v>15</v>
      </c>
      <c r="O772" s="87">
        <f>VLOOKUP($B772,BOM!$A$2:$K$94,10,0)</f>
        <v>0</v>
      </c>
      <c r="P772" s="87">
        <f t="shared" si="40"/>
        <v>0</v>
      </c>
      <c r="Q772" s="146" t="str">
        <f>VLOOKUP($B772,BOM!$A$2:$K$94,9,0)</f>
        <v>Cái</v>
      </c>
    </row>
    <row r="773" spans="1:17" s="111" customFormat="1">
      <c r="A773" s="141"/>
      <c r="B773" s="66" t="s">
        <v>194</v>
      </c>
      <c r="C773" s="66" t="s">
        <v>195</v>
      </c>
      <c r="D773" s="89" t="s">
        <v>14</v>
      </c>
      <c r="E773" s="89">
        <f>ROUNDUP((E777*1.3),0)</f>
        <v>3</v>
      </c>
      <c r="F773" s="108"/>
      <c r="G773" s="108"/>
      <c r="H773" s="108"/>
      <c r="I773" s="108"/>
      <c r="J773" s="108"/>
      <c r="K773" s="108" t="s">
        <v>4</v>
      </c>
      <c r="L773" s="108" t="s">
        <v>5</v>
      </c>
      <c r="M773" s="109" t="s">
        <v>6</v>
      </c>
      <c r="N773" s="109" t="s">
        <v>15</v>
      </c>
      <c r="O773" s="87">
        <f>VLOOKUP($B773,BOM!$A$2:$K$94,10,0)</f>
        <v>0</v>
      </c>
      <c r="P773" s="87">
        <f t="shared" si="40"/>
        <v>0</v>
      </c>
      <c r="Q773" s="146" t="str">
        <f>VLOOKUP($B773,BOM!$A$2:$K$94,9,0)</f>
        <v>Cái</v>
      </c>
    </row>
    <row r="774" spans="1:17" s="110" customFormat="1">
      <c r="A774" s="141"/>
      <c r="B774" s="66" t="s">
        <v>196</v>
      </c>
      <c r="C774" s="66" t="s">
        <v>197</v>
      </c>
      <c r="D774" s="89" t="s">
        <v>14</v>
      </c>
      <c r="E774" s="89">
        <f>H761/2</f>
        <v>6</v>
      </c>
      <c r="F774" s="66"/>
      <c r="G774" s="66"/>
      <c r="H774" s="66"/>
      <c r="I774" s="66"/>
      <c r="J774" s="66"/>
      <c r="K774" s="108" t="s">
        <v>4</v>
      </c>
      <c r="L774" s="108" t="s">
        <v>5</v>
      </c>
      <c r="M774" s="109" t="s">
        <v>6</v>
      </c>
      <c r="N774" s="109" t="s">
        <v>15</v>
      </c>
      <c r="O774" s="87">
        <f>VLOOKUP($B774,BOM!$A$2:$K$94,10,0)</f>
        <v>0</v>
      </c>
      <c r="P774" s="87">
        <f t="shared" si="40"/>
        <v>0</v>
      </c>
      <c r="Q774" s="146" t="str">
        <f>VLOOKUP($B774,BOM!$A$2:$K$94,9,0)</f>
        <v>Cái</v>
      </c>
    </row>
    <row r="775" spans="1:17">
      <c r="A775" s="141"/>
      <c r="B775" s="81"/>
      <c r="C775" s="72" t="s">
        <v>26</v>
      </c>
      <c r="D775" s="72" t="s">
        <v>0</v>
      </c>
      <c r="E775" s="72">
        <v>1</v>
      </c>
      <c r="F775" s="72"/>
      <c r="G775" s="72"/>
      <c r="H775" s="72"/>
      <c r="I775" s="72"/>
      <c r="J775" s="72"/>
      <c r="K775" s="83"/>
      <c r="L775" s="83"/>
      <c r="M775" s="83"/>
      <c r="N775" s="83"/>
      <c r="O775" s="87">
        <f>VLOOKUP($B775,BOM!$A$2:$K$94,10,0)</f>
        <v>0</v>
      </c>
      <c r="P775" s="87">
        <f t="shared" si="40"/>
        <v>0</v>
      </c>
      <c r="Q775" s="84">
        <f>VLOOKUP($B775,BOM!$A$2:$K$94,9,0)</f>
        <v>0</v>
      </c>
    </row>
    <row r="776" spans="1:17" ht="60">
      <c r="A776" s="147"/>
      <c r="B776" s="67" t="s">
        <v>228</v>
      </c>
      <c r="C776" s="187" t="s">
        <v>324</v>
      </c>
      <c r="D776" s="90" t="s">
        <v>51</v>
      </c>
      <c r="E776" s="90">
        <v>1</v>
      </c>
      <c r="F776" s="65"/>
      <c r="G776" s="65"/>
      <c r="H776" s="65"/>
      <c r="I776" s="65"/>
      <c r="J776" s="103">
        <f>E776</f>
        <v>1</v>
      </c>
      <c r="K776" s="65" t="s">
        <v>143</v>
      </c>
      <c r="L776" s="65" t="s">
        <v>151</v>
      </c>
      <c r="M776" s="90" t="s">
        <v>154</v>
      </c>
      <c r="N776" s="90" t="s">
        <v>51</v>
      </c>
      <c r="O776" s="87">
        <f>VLOOKUP($B776,BOM!$A$2:$K$94,10,0)</f>
        <v>0</v>
      </c>
      <c r="P776" s="87">
        <f t="shared" si="40"/>
        <v>0</v>
      </c>
      <c r="Q776" s="151" t="str">
        <f>VLOOKUP($B776,BOM!$A$2:$K$94,9,0)</f>
        <v>cái</v>
      </c>
    </row>
    <row r="777" spans="1:17" s="111" customFormat="1">
      <c r="A777" s="120"/>
      <c r="B777" s="68" t="s">
        <v>216</v>
      </c>
      <c r="C777" s="68" t="s">
        <v>217</v>
      </c>
      <c r="D777" s="89" t="s">
        <v>64</v>
      </c>
      <c r="E777" s="89">
        <v>2</v>
      </c>
      <c r="F777" s="124"/>
      <c r="G777" s="124"/>
      <c r="H777" s="124"/>
      <c r="I777" s="124"/>
      <c r="J777" s="124"/>
      <c r="K777" s="124" t="s">
        <v>143</v>
      </c>
      <c r="L777" s="124" t="s">
        <v>151</v>
      </c>
      <c r="M777" s="89" t="s">
        <v>154</v>
      </c>
      <c r="N777" s="89" t="s">
        <v>64</v>
      </c>
      <c r="O777" s="87">
        <f>VLOOKUP($B777,BOM!$A$2:$K$94,10,0)</f>
        <v>0</v>
      </c>
      <c r="P777" s="87">
        <f t="shared" si="40"/>
        <v>0</v>
      </c>
      <c r="Q777" s="152" t="str">
        <f>VLOOKUP($B777,BOM!$A$2:$K$94,9,0)</f>
        <v>cái</v>
      </c>
    </row>
    <row r="778" spans="1:17" s="45" customFormat="1">
      <c r="A778" s="141"/>
      <c r="B778" s="64" t="s">
        <v>212</v>
      </c>
      <c r="C778" s="64" t="s">
        <v>213</v>
      </c>
      <c r="D778" s="97" t="s">
        <v>64</v>
      </c>
      <c r="E778" s="98"/>
      <c r="F778" s="95"/>
      <c r="G778" s="95"/>
      <c r="H778" s="95"/>
      <c r="I778" s="95"/>
      <c r="J778" s="95"/>
      <c r="K778" s="95" t="s">
        <v>143</v>
      </c>
      <c r="L778" s="95" t="s">
        <v>151</v>
      </c>
      <c r="M778" s="97" t="s">
        <v>154</v>
      </c>
      <c r="N778" s="97" t="s">
        <v>64</v>
      </c>
      <c r="O778" s="87">
        <f>VLOOKUP($B778,BOM!$A$2:$K$94,10,0)</f>
        <v>0</v>
      </c>
      <c r="P778" s="87">
        <f t="shared" ref="P778:P841" si="44">O778*E778</f>
        <v>0</v>
      </c>
      <c r="Q778" s="153" t="str">
        <f>VLOOKUP($B778,BOM!$A$2:$K$94,9,0)</f>
        <v>cái</v>
      </c>
    </row>
    <row r="779" spans="1:17" s="45" customFormat="1">
      <c r="A779" s="141"/>
      <c r="B779" s="62"/>
      <c r="C779" s="62"/>
      <c r="D779" s="85"/>
      <c r="E779" s="90"/>
      <c r="F779" s="62"/>
      <c r="G779" s="62"/>
      <c r="H779" s="62"/>
      <c r="I779" s="62"/>
      <c r="J779" s="62"/>
      <c r="K779" s="62"/>
      <c r="L779" s="62"/>
      <c r="M779" s="86"/>
      <c r="N779" s="86"/>
      <c r="O779" s="87">
        <f>VLOOKUP($B779,BOM!$A$2:$K$94,10,0)</f>
        <v>0</v>
      </c>
      <c r="P779" s="87">
        <f t="shared" si="44"/>
        <v>0</v>
      </c>
      <c r="Q779" s="87">
        <f>VLOOKUP($B779,BOM!$A$2:$K$94,9,0)</f>
        <v>0</v>
      </c>
    </row>
    <row r="780" spans="1:17" s="45" customFormat="1">
      <c r="A780" s="141"/>
      <c r="B780" s="62"/>
      <c r="C780" s="62"/>
      <c r="D780" s="85"/>
      <c r="E780" s="90"/>
      <c r="F780" s="62"/>
      <c r="G780" s="62"/>
      <c r="H780" s="62"/>
      <c r="I780" s="62"/>
      <c r="J780" s="62"/>
      <c r="K780" s="62"/>
      <c r="L780" s="62"/>
      <c r="M780" s="86"/>
      <c r="N780" s="86"/>
      <c r="O780" s="87">
        <f>VLOOKUP($B780,BOM!$A$2:$K$94,10,0)</f>
        <v>0</v>
      </c>
      <c r="P780" s="87">
        <f t="shared" si="44"/>
        <v>0</v>
      </c>
      <c r="Q780" s="87">
        <f>VLOOKUP($B780,BOM!$A$2:$K$94,9,0)</f>
        <v>0</v>
      </c>
    </row>
    <row r="781" spans="1:17" outlineLevel="1">
      <c r="A781" s="141"/>
      <c r="B781" s="117"/>
      <c r="C781" s="61" t="s">
        <v>67</v>
      </c>
      <c r="D781" s="119" t="s">
        <v>0</v>
      </c>
      <c r="E781" s="120">
        <v>1</v>
      </c>
      <c r="F781" s="121"/>
      <c r="G781" s="121"/>
      <c r="H781" s="121" t="s">
        <v>69</v>
      </c>
      <c r="I781" s="122"/>
      <c r="J781" s="21">
        <f t="shared" ref="J781:J782" si="45">E781</f>
        <v>1</v>
      </c>
      <c r="K781" s="63"/>
      <c r="L781" s="63"/>
      <c r="M781" s="63"/>
      <c r="N781" s="63"/>
      <c r="O781" s="87">
        <f>VLOOKUP($B781,BOM!$A$2:$K$94,10,0)</f>
        <v>0</v>
      </c>
      <c r="P781" s="87">
        <f t="shared" si="44"/>
        <v>0</v>
      </c>
      <c r="Q781" s="80">
        <f>VLOOKUP($B781,BOM!$A$2:$K$94,9,0)</f>
        <v>0</v>
      </c>
    </row>
    <row r="782" spans="1:17" outlineLevel="1">
      <c r="A782" s="141"/>
      <c r="B782" s="117"/>
      <c r="C782" s="61" t="s">
        <v>70</v>
      </c>
      <c r="D782" s="119" t="s">
        <v>0</v>
      </c>
      <c r="E782" s="120">
        <v>1</v>
      </c>
      <c r="F782" s="121"/>
      <c r="G782" s="121"/>
      <c r="H782" s="121" t="s">
        <v>69</v>
      </c>
      <c r="I782" s="122"/>
      <c r="J782" s="21">
        <f t="shared" si="45"/>
        <v>1</v>
      </c>
      <c r="K782" s="63"/>
      <c r="L782" s="63"/>
      <c r="M782" s="63"/>
      <c r="N782" s="63"/>
      <c r="O782" s="87">
        <f>VLOOKUP($B782,BOM!$A$2:$K$94,10,0)</f>
        <v>0</v>
      </c>
      <c r="P782" s="87">
        <f t="shared" si="44"/>
        <v>0</v>
      </c>
      <c r="Q782" s="80">
        <f>VLOOKUP($B782,BOM!$A$2:$K$94,9,0)</f>
        <v>0</v>
      </c>
    </row>
    <row r="783" spans="1:17">
      <c r="A783" s="141"/>
      <c r="B783" s="81"/>
      <c r="C783" s="72" t="s">
        <v>18</v>
      </c>
      <c r="D783" s="72" t="s">
        <v>0</v>
      </c>
      <c r="E783" s="72">
        <v>1</v>
      </c>
      <c r="F783" s="72"/>
      <c r="G783" s="72"/>
      <c r="H783" s="72"/>
      <c r="I783" s="72"/>
      <c r="J783" s="72"/>
      <c r="K783" s="83"/>
      <c r="L783" s="83"/>
      <c r="M783" s="83"/>
      <c r="N783" s="83"/>
      <c r="O783" s="87">
        <f>VLOOKUP($B783,BOM!$A$2:$K$94,10,0)</f>
        <v>0</v>
      </c>
      <c r="P783" s="87">
        <f t="shared" si="44"/>
        <v>0</v>
      </c>
      <c r="Q783" s="84">
        <f>VLOOKUP($B783,BOM!$A$2:$K$94,9,0)</f>
        <v>0</v>
      </c>
    </row>
    <row r="784" spans="1:17" s="45" customFormat="1">
      <c r="A784" s="141"/>
      <c r="B784" s="62">
        <v>760237046</v>
      </c>
      <c r="C784" s="62" t="s">
        <v>19</v>
      </c>
      <c r="D784" s="85" t="s">
        <v>3</v>
      </c>
      <c r="E784" s="85">
        <f>E776+E779</f>
        <v>1</v>
      </c>
      <c r="F784" s="62"/>
      <c r="G784" s="62"/>
      <c r="H784" s="62"/>
      <c r="I784" s="62"/>
      <c r="J784" s="21">
        <f>E784</f>
        <v>1</v>
      </c>
      <c r="K784" s="62" t="s">
        <v>4</v>
      </c>
      <c r="L784" s="62" t="s">
        <v>5</v>
      </c>
      <c r="M784" s="86" t="s">
        <v>6</v>
      </c>
      <c r="N784" s="86" t="s">
        <v>3</v>
      </c>
      <c r="O784" s="87">
        <f>VLOOKUP($B784,BOM!$A$2:$K$94,10,0)</f>
        <v>0</v>
      </c>
      <c r="P784" s="87">
        <f t="shared" si="44"/>
        <v>0</v>
      </c>
      <c r="Q784" s="87" t="str">
        <f>VLOOKUP($B784,BOM!$A$2:$K$94,9,0)</f>
        <v>Cái</v>
      </c>
    </row>
    <row r="785" spans="1:17" s="45" customFormat="1">
      <c r="A785" s="141"/>
      <c r="B785" s="62" t="s">
        <v>23</v>
      </c>
      <c r="C785" s="62" t="s">
        <v>24</v>
      </c>
      <c r="D785" s="85" t="s">
        <v>3</v>
      </c>
      <c r="E785" s="85">
        <f>E784*24</f>
        <v>24</v>
      </c>
      <c r="F785" s="62"/>
      <c r="G785" s="62"/>
      <c r="H785" s="62"/>
      <c r="I785" s="62"/>
      <c r="J785" s="62"/>
      <c r="K785" s="62" t="s">
        <v>25</v>
      </c>
      <c r="L785" s="62" t="s">
        <v>5</v>
      </c>
      <c r="M785" s="86" t="s">
        <v>6</v>
      </c>
      <c r="N785" s="86" t="s">
        <v>3</v>
      </c>
      <c r="O785" s="87">
        <f>VLOOKUP($B785,BOM!$A$2:$K$94,10,0)</f>
        <v>0</v>
      </c>
      <c r="P785" s="87">
        <f t="shared" si="44"/>
        <v>0</v>
      </c>
      <c r="Q785" s="87" t="str">
        <f>VLOOKUP($B785,BOM!$A$2:$K$94,9,0)</f>
        <v>Cái</v>
      </c>
    </row>
    <row r="786" spans="1:17" s="45" customFormat="1">
      <c r="A786" s="141"/>
      <c r="B786" s="62" t="s">
        <v>20</v>
      </c>
      <c r="C786" s="62" t="s">
        <v>21</v>
      </c>
      <c r="D786" s="85" t="s">
        <v>3</v>
      </c>
      <c r="E786" s="85">
        <f>E784</f>
        <v>1</v>
      </c>
      <c r="F786" s="62"/>
      <c r="G786" s="62"/>
      <c r="H786" s="62"/>
      <c r="I786" s="62"/>
      <c r="J786" s="21">
        <f>E786</f>
        <v>1</v>
      </c>
      <c r="K786" s="62" t="s">
        <v>4</v>
      </c>
      <c r="L786" s="62" t="s">
        <v>5</v>
      </c>
      <c r="M786" s="86" t="s">
        <v>22</v>
      </c>
      <c r="N786" s="86" t="s">
        <v>3</v>
      </c>
      <c r="O786" s="87">
        <f>VLOOKUP($B786,BOM!$A$2:$K$94,10,0)</f>
        <v>0</v>
      </c>
      <c r="P786" s="87">
        <f t="shared" si="44"/>
        <v>0</v>
      </c>
      <c r="Q786" s="87" t="str">
        <f>VLOOKUP($B786,BOM!$A$2:$K$94,9,0)</f>
        <v>Cái</v>
      </c>
    </row>
    <row r="787" spans="1:17">
      <c r="A787" s="141"/>
      <c r="B787" s="81"/>
      <c r="C787" s="72" t="s">
        <v>71</v>
      </c>
      <c r="D787" s="72" t="s">
        <v>0</v>
      </c>
      <c r="E787" s="72">
        <v>1</v>
      </c>
      <c r="F787" s="72"/>
      <c r="G787" s="72"/>
      <c r="H787" s="72"/>
      <c r="I787" s="72"/>
      <c r="J787" s="72"/>
      <c r="K787" s="83"/>
      <c r="L787" s="83"/>
      <c r="M787" s="83"/>
      <c r="N787" s="83"/>
      <c r="O787" s="87">
        <f>VLOOKUP($B787,BOM!$A$2:$K$94,10,0)</f>
        <v>0</v>
      </c>
      <c r="P787" s="87">
        <f t="shared" si="44"/>
        <v>0</v>
      </c>
      <c r="Q787" s="84">
        <f>VLOOKUP($B787,BOM!$A$2:$K$94,9,0)</f>
        <v>0</v>
      </c>
    </row>
    <row r="788" spans="1:17" s="45" customFormat="1">
      <c r="A788" s="141"/>
      <c r="B788" s="62" t="s">
        <v>314</v>
      </c>
      <c r="C788" s="62" t="s">
        <v>316</v>
      </c>
      <c r="D788" s="116" t="s">
        <v>51</v>
      </c>
      <c r="E788" s="85">
        <v>1</v>
      </c>
      <c r="F788" s="62"/>
      <c r="G788" s="62"/>
      <c r="H788" s="62"/>
      <c r="I788" s="62"/>
      <c r="J788" s="86">
        <f>E788*8</f>
        <v>8</v>
      </c>
      <c r="K788" s="62"/>
      <c r="L788" s="62" t="s">
        <v>5</v>
      </c>
      <c r="M788" s="86" t="s">
        <v>28</v>
      </c>
      <c r="N788" s="86" t="s">
        <v>3</v>
      </c>
      <c r="O788" s="87">
        <f>VLOOKUP($B788,BOM!$A$2:$K$94,10,0)</f>
        <v>0</v>
      </c>
      <c r="P788" s="87">
        <f t="shared" si="44"/>
        <v>0</v>
      </c>
      <c r="Q788" s="87" t="str">
        <f>VLOOKUP($B788,BOM!$A$2:$K$94,9,0)</f>
        <v>Cái</v>
      </c>
    </row>
    <row r="789" spans="1:17" s="45" customFormat="1">
      <c r="A789" s="141"/>
      <c r="B789" s="62"/>
      <c r="C789" s="62"/>
      <c r="D789" s="116"/>
      <c r="E789" s="85"/>
      <c r="F789" s="62"/>
      <c r="G789" s="62"/>
      <c r="H789" s="62"/>
      <c r="I789" s="62"/>
      <c r="J789" s="62"/>
      <c r="K789" s="62"/>
      <c r="L789" s="62"/>
      <c r="M789" s="86"/>
      <c r="N789" s="86"/>
      <c r="O789" s="87">
        <f>VLOOKUP($B789,BOM!$A$2:$K$94,10,0)</f>
        <v>0</v>
      </c>
      <c r="P789" s="87">
        <f t="shared" si="44"/>
        <v>0</v>
      </c>
      <c r="Q789" s="87">
        <f>VLOOKUP($B789,BOM!$A$2:$K$94,9,0)</f>
        <v>0</v>
      </c>
    </row>
    <row r="790" spans="1:17" s="45" customFormat="1">
      <c r="A790" s="141"/>
      <c r="B790" s="62" t="s">
        <v>225</v>
      </c>
      <c r="C790" s="62" t="s">
        <v>72</v>
      </c>
      <c r="D790" s="116" t="s">
        <v>64</v>
      </c>
      <c r="E790" s="85">
        <v>0</v>
      </c>
      <c r="F790" s="62"/>
      <c r="G790" s="62"/>
      <c r="H790" s="62"/>
      <c r="I790" s="62"/>
      <c r="J790" s="62"/>
      <c r="K790" s="62"/>
      <c r="L790" s="62" t="s">
        <v>5</v>
      </c>
      <c r="M790" s="86" t="s">
        <v>28</v>
      </c>
      <c r="N790" s="86" t="s">
        <v>3</v>
      </c>
      <c r="O790" s="87">
        <f>VLOOKUP($B790,BOM!$A$2:$K$94,10,0)</f>
        <v>0</v>
      </c>
      <c r="P790" s="87">
        <f t="shared" si="44"/>
        <v>0</v>
      </c>
      <c r="Q790" s="87" t="str">
        <f>VLOOKUP($B790,BOM!$A$2:$K$94,9,0)</f>
        <v>Cái</v>
      </c>
    </row>
    <row r="791" spans="1:17">
      <c r="A791" s="141"/>
      <c r="B791" s="81"/>
      <c r="C791" s="72" t="s">
        <v>31</v>
      </c>
      <c r="D791" s="72" t="s">
        <v>0</v>
      </c>
      <c r="E791" s="72">
        <v>1</v>
      </c>
      <c r="F791" s="72"/>
      <c r="G791" s="72"/>
      <c r="H791" s="72"/>
      <c r="I791" s="72"/>
      <c r="J791" s="72"/>
      <c r="K791" s="83"/>
      <c r="L791" s="83"/>
      <c r="M791" s="83"/>
      <c r="N791" s="83"/>
      <c r="O791" s="87">
        <f>VLOOKUP($B791,BOM!$A$2:$K$94,10,0)</f>
        <v>0</v>
      </c>
      <c r="P791" s="87">
        <f t="shared" si="44"/>
        <v>0</v>
      </c>
      <c r="Q791" s="84">
        <f>VLOOKUP($B791,BOM!$A$2:$K$94,9,0)</f>
        <v>0</v>
      </c>
    </row>
    <row r="792" spans="1:17">
      <c r="A792" s="141"/>
      <c r="B792" s="81"/>
      <c r="C792" s="72" t="s">
        <v>32</v>
      </c>
      <c r="D792" s="72"/>
      <c r="E792" s="72"/>
      <c r="F792" s="72"/>
      <c r="G792" s="72">
        <v>2</v>
      </c>
      <c r="H792" s="72"/>
      <c r="I792" s="72"/>
      <c r="J792" s="72"/>
      <c r="K792" s="83"/>
      <c r="L792" s="83"/>
      <c r="M792" s="83"/>
      <c r="N792" s="83"/>
      <c r="O792" s="87">
        <f>VLOOKUP($B792,BOM!$A$2:$K$94,10,0)</f>
        <v>0</v>
      </c>
      <c r="P792" s="87">
        <f t="shared" si="44"/>
        <v>0</v>
      </c>
      <c r="Q792" s="84">
        <f>VLOOKUP($B792,BOM!$A$2:$K$94,9,0)</f>
        <v>0</v>
      </c>
    </row>
    <row r="793" spans="1:17" s="45" customFormat="1" ht="20.45" customHeight="1">
      <c r="A793" s="141"/>
      <c r="B793" s="62" t="s">
        <v>33</v>
      </c>
      <c r="C793" s="62" t="s">
        <v>34</v>
      </c>
      <c r="D793" s="85" t="s">
        <v>3</v>
      </c>
      <c r="E793" s="90">
        <f>E794</f>
        <v>2</v>
      </c>
      <c r="F793" s="62"/>
      <c r="G793" s="62"/>
      <c r="H793" s="62"/>
      <c r="I793" s="62"/>
      <c r="J793" s="62"/>
      <c r="K793" s="62" t="s">
        <v>35</v>
      </c>
      <c r="L793" s="62" t="s">
        <v>5</v>
      </c>
      <c r="M793" s="86" t="s">
        <v>6</v>
      </c>
      <c r="N793" s="86" t="s">
        <v>3</v>
      </c>
      <c r="O793" s="87">
        <f>VLOOKUP($B793,BOM!$A$2:$K$94,10,0)</f>
        <v>0</v>
      </c>
      <c r="P793" s="87">
        <f t="shared" si="44"/>
        <v>0</v>
      </c>
      <c r="Q793" s="87" t="str">
        <f>VLOOKUP($B793,BOM!$A$2:$K$94,9,0)</f>
        <v>Cái</v>
      </c>
    </row>
    <row r="794" spans="1:17" s="45" customFormat="1">
      <c r="A794" s="141"/>
      <c r="B794" s="62" t="s">
        <v>330</v>
      </c>
      <c r="C794" s="62" t="s">
        <v>36</v>
      </c>
      <c r="D794" s="85" t="s">
        <v>3</v>
      </c>
      <c r="E794" s="90">
        <f>G792+H792</f>
        <v>2</v>
      </c>
      <c r="F794" s="62"/>
      <c r="G794" s="62"/>
      <c r="H794" s="62"/>
      <c r="I794" s="62"/>
      <c r="J794" s="62"/>
      <c r="K794" s="62" t="s">
        <v>37</v>
      </c>
      <c r="L794" s="62" t="s">
        <v>5</v>
      </c>
      <c r="M794" s="86" t="s">
        <v>37</v>
      </c>
      <c r="N794" s="86" t="s">
        <v>3</v>
      </c>
      <c r="O794" s="87">
        <f>VLOOKUP($B794,BOM!$A$2:$K$94,10,0)</f>
        <v>0</v>
      </c>
      <c r="P794" s="87">
        <f t="shared" si="44"/>
        <v>0</v>
      </c>
      <c r="Q794" s="87" t="str">
        <f>VLOOKUP($B794,BOM!$A$2:$K$94,9,0)</f>
        <v>Cái</v>
      </c>
    </row>
    <row r="795" spans="1:17" s="45" customFormat="1">
      <c r="A795" s="141"/>
      <c r="B795" s="62" t="s">
        <v>38</v>
      </c>
      <c r="C795" s="62" t="s">
        <v>39</v>
      </c>
      <c r="D795" s="85" t="s">
        <v>3</v>
      </c>
      <c r="E795" s="90">
        <f>E794</f>
        <v>2</v>
      </c>
      <c r="F795" s="62"/>
      <c r="G795" s="62"/>
      <c r="H795" s="62"/>
      <c r="I795" s="62"/>
      <c r="J795" s="62"/>
      <c r="K795" s="62" t="s">
        <v>25</v>
      </c>
      <c r="L795" s="62" t="s">
        <v>5</v>
      </c>
      <c r="M795" s="86" t="s">
        <v>6</v>
      </c>
      <c r="N795" s="86" t="s">
        <v>3</v>
      </c>
      <c r="O795" s="87">
        <f>VLOOKUP($B795,BOM!$A$2:$K$94,10,0)</f>
        <v>0</v>
      </c>
      <c r="P795" s="87">
        <f t="shared" si="44"/>
        <v>0</v>
      </c>
      <c r="Q795" s="87" t="str">
        <f>VLOOKUP($B795,BOM!$A$2:$K$94,9,0)</f>
        <v>Cái</v>
      </c>
    </row>
    <row r="796" spans="1:17">
      <c r="A796" s="141"/>
      <c r="B796" s="81"/>
      <c r="C796" s="72" t="s">
        <v>40</v>
      </c>
      <c r="D796" s="72"/>
      <c r="E796" s="72"/>
      <c r="F796" s="72"/>
      <c r="G796" s="72">
        <v>5</v>
      </c>
      <c r="H796" s="72"/>
      <c r="I796" s="72"/>
      <c r="J796" s="72"/>
      <c r="K796" s="83"/>
      <c r="L796" s="83"/>
      <c r="M796" s="83"/>
      <c r="N796" s="83"/>
      <c r="O796" s="87">
        <f>VLOOKUP($B796,BOM!$A$2:$K$94,10,0)</f>
        <v>0</v>
      </c>
      <c r="P796" s="87">
        <f t="shared" si="44"/>
        <v>0</v>
      </c>
      <c r="Q796" s="84">
        <f>VLOOKUP($B796,BOM!$A$2:$K$94,9,0)</f>
        <v>0</v>
      </c>
    </row>
    <row r="797" spans="1:17" s="45" customFormat="1">
      <c r="A797" s="141"/>
      <c r="B797" s="62" t="s">
        <v>41</v>
      </c>
      <c r="C797" s="62" t="s">
        <v>42</v>
      </c>
      <c r="D797" s="85" t="s">
        <v>3</v>
      </c>
      <c r="E797" s="85">
        <f>G796+H796</f>
        <v>5</v>
      </c>
      <c r="F797" s="62"/>
      <c r="G797" s="62"/>
      <c r="H797" s="62"/>
      <c r="I797" s="62"/>
      <c r="J797" s="62"/>
      <c r="K797" s="62" t="s">
        <v>4</v>
      </c>
      <c r="L797" s="62" t="s">
        <v>5</v>
      </c>
      <c r="M797" s="86" t="s">
        <v>6</v>
      </c>
      <c r="N797" s="86" t="s">
        <v>3</v>
      </c>
      <c r="O797" s="87">
        <f>VLOOKUP($B797,BOM!$A$2:$K$94,10,0)</f>
        <v>0</v>
      </c>
      <c r="P797" s="87">
        <f t="shared" si="44"/>
        <v>0</v>
      </c>
      <c r="Q797" s="87" t="str">
        <f>VLOOKUP($B797,BOM!$A$2:$K$94,9,0)</f>
        <v>Cái</v>
      </c>
    </row>
    <row r="798" spans="1:17" s="45" customFormat="1">
      <c r="A798" s="141"/>
      <c r="B798" s="65" t="s">
        <v>43</v>
      </c>
      <c r="C798" s="65" t="s">
        <v>44</v>
      </c>
      <c r="D798" s="85" t="s">
        <v>3</v>
      </c>
      <c r="E798" s="85">
        <f>E797</f>
        <v>5</v>
      </c>
      <c r="F798" s="62"/>
      <c r="G798" s="62"/>
      <c r="H798" s="62"/>
      <c r="I798" s="62"/>
      <c r="J798" s="62"/>
      <c r="K798" s="62" t="s">
        <v>4</v>
      </c>
      <c r="L798" s="62" t="s">
        <v>5</v>
      </c>
      <c r="M798" s="86" t="s">
        <v>6</v>
      </c>
      <c r="N798" s="86" t="s">
        <v>3</v>
      </c>
      <c r="O798" s="87">
        <f>VLOOKUP($B798,BOM!$A$2:$K$94,10,0)</f>
        <v>0</v>
      </c>
      <c r="P798" s="87">
        <f t="shared" si="44"/>
        <v>0</v>
      </c>
      <c r="Q798" s="87" t="str">
        <f>VLOOKUP($B798,BOM!$A$2:$K$94,9,0)</f>
        <v>Cái</v>
      </c>
    </row>
    <row r="799" spans="1:17">
      <c r="A799" s="141"/>
      <c r="B799" s="81"/>
      <c r="C799" s="72" t="s">
        <v>45</v>
      </c>
      <c r="D799" s="72"/>
      <c r="E799" s="72"/>
      <c r="F799" s="72"/>
      <c r="G799" s="72"/>
      <c r="H799" s="72"/>
      <c r="I799" s="72"/>
      <c r="J799" s="72"/>
      <c r="K799" s="83"/>
      <c r="L799" s="83"/>
      <c r="M799" s="83"/>
      <c r="N799" s="83"/>
      <c r="O799" s="87">
        <f>VLOOKUP($B799,BOM!$A$2:$K$94,10,0)</f>
        <v>0</v>
      </c>
      <c r="P799" s="87">
        <f t="shared" si="44"/>
        <v>0</v>
      </c>
      <c r="Q799" s="84">
        <f>VLOOKUP($B799,BOM!$A$2:$K$94,9,0)</f>
        <v>0</v>
      </c>
    </row>
    <row r="800" spans="1:17" s="45" customFormat="1">
      <c r="A800" s="141"/>
      <c r="B800" s="62" t="s">
        <v>48</v>
      </c>
      <c r="C800" s="62" t="s">
        <v>49</v>
      </c>
      <c r="D800" s="85" t="s">
        <v>14</v>
      </c>
      <c r="E800" s="85">
        <f>E793+E797+1</f>
        <v>8</v>
      </c>
      <c r="F800" s="62"/>
      <c r="G800" s="62"/>
      <c r="H800" s="62"/>
      <c r="I800" s="62"/>
      <c r="J800" s="62"/>
      <c r="K800" s="62"/>
      <c r="L800" s="62" t="s">
        <v>5</v>
      </c>
      <c r="M800" s="86" t="s">
        <v>6</v>
      </c>
      <c r="N800" s="86" t="s">
        <v>15</v>
      </c>
      <c r="O800" s="87">
        <f>VLOOKUP($B800,BOM!$A$2:$K$94,10,0)</f>
        <v>0</v>
      </c>
      <c r="P800" s="87">
        <f t="shared" si="44"/>
        <v>0</v>
      </c>
      <c r="Q800" s="87" t="str">
        <f>VLOOKUP($B800,BOM!$A$2:$K$94,9,0)</f>
        <v>Sợi</v>
      </c>
    </row>
    <row r="801" spans="1:17" s="45" customFormat="1">
      <c r="A801" s="141"/>
      <c r="B801" s="62" t="s">
        <v>48</v>
      </c>
      <c r="C801" s="62" t="s">
        <v>49</v>
      </c>
      <c r="D801" s="85" t="s">
        <v>14</v>
      </c>
      <c r="E801" s="90">
        <f>ROUNDUP(E800*0.2,0)</f>
        <v>2</v>
      </c>
      <c r="F801" s="62"/>
      <c r="G801" s="62"/>
      <c r="H801" s="62"/>
      <c r="I801" s="62"/>
      <c r="J801" s="62"/>
      <c r="K801" s="62" t="s">
        <v>4</v>
      </c>
      <c r="L801" s="62" t="s">
        <v>5</v>
      </c>
      <c r="M801" s="86" t="s">
        <v>6</v>
      </c>
      <c r="N801" s="86" t="s">
        <v>15</v>
      </c>
      <c r="O801" s="87">
        <f>VLOOKUP($B801,BOM!$A$2:$K$94,10,0)</f>
        <v>0</v>
      </c>
      <c r="P801" s="87">
        <f t="shared" si="44"/>
        <v>0</v>
      </c>
      <c r="Q801" s="87" t="str">
        <f>VLOOKUP($B801,BOM!$A$2:$K$94,9,0)</f>
        <v>Sợi</v>
      </c>
    </row>
    <row r="802" spans="1:17">
      <c r="A802" s="141"/>
      <c r="B802" s="81"/>
      <c r="C802" s="72" t="s">
        <v>50</v>
      </c>
      <c r="D802" s="72"/>
      <c r="E802" s="72"/>
      <c r="F802" s="72"/>
      <c r="G802" s="72"/>
      <c r="H802" s="72"/>
      <c r="I802" s="72"/>
      <c r="J802" s="72"/>
      <c r="K802" s="83"/>
      <c r="L802" s="83"/>
      <c r="M802" s="83"/>
      <c r="N802" s="83"/>
      <c r="O802" s="87">
        <f>VLOOKUP($B802,BOM!$A$2:$K$94,10,0)</f>
        <v>0</v>
      </c>
      <c r="P802" s="87">
        <f t="shared" si="44"/>
        <v>0</v>
      </c>
      <c r="Q802" s="84">
        <f>VLOOKUP($B802,BOM!$A$2:$K$94,9,0)</f>
        <v>0</v>
      </c>
    </row>
    <row r="803" spans="1:17" s="45" customFormat="1">
      <c r="A803" s="141"/>
      <c r="B803" s="62" t="s">
        <v>332</v>
      </c>
      <c r="C803" s="62" t="s">
        <v>332</v>
      </c>
      <c r="D803" s="85" t="s">
        <v>51</v>
      </c>
      <c r="E803" s="85">
        <f>E788</f>
        <v>1</v>
      </c>
      <c r="F803" s="62"/>
      <c r="G803" s="62"/>
      <c r="H803" s="62"/>
      <c r="I803" s="62"/>
      <c r="J803" s="62"/>
      <c r="K803" s="62"/>
      <c r="L803" s="62"/>
      <c r="M803" s="86"/>
      <c r="N803" s="86" t="s">
        <v>51</v>
      </c>
      <c r="O803" s="87">
        <f>VLOOKUP($B803,BOM!$A$2:$K$94,10,0)</f>
        <v>0</v>
      </c>
      <c r="P803" s="87">
        <f t="shared" si="44"/>
        <v>0</v>
      </c>
      <c r="Q803" s="87" t="str">
        <f>VLOOKUP($B803,BOM!$A$2:$K$94,9,0)</f>
        <v>bộ</v>
      </c>
    </row>
    <row r="804" spans="1:17" s="45" customFormat="1">
      <c r="A804" s="141"/>
      <c r="B804" s="62" t="s">
        <v>52</v>
      </c>
      <c r="C804" s="62" t="s">
        <v>53</v>
      </c>
      <c r="D804" s="86" t="s">
        <v>54</v>
      </c>
      <c r="E804" s="105">
        <f>E801+E800</f>
        <v>10</v>
      </c>
      <c r="F804" s="62"/>
      <c r="G804" s="62"/>
      <c r="H804" s="62"/>
      <c r="I804" s="62"/>
      <c r="J804" s="62"/>
      <c r="K804" s="62"/>
      <c r="L804" s="62"/>
      <c r="M804" s="86" t="s">
        <v>55</v>
      </c>
      <c r="N804" s="86" t="s">
        <v>54</v>
      </c>
      <c r="O804" s="87">
        <f>VLOOKUP($B804,BOM!$A$2:$K$94,10,0)</f>
        <v>0</v>
      </c>
      <c r="P804" s="87">
        <f t="shared" si="44"/>
        <v>0</v>
      </c>
      <c r="Q804" s="87" t="str">
        <f>VLOOKUP($B804,BOM!$A$2:$K$94,9,0)</f>
        <v>node</v>
      </c>
    </row>
    <row r="805" spans="1:17" s="45" customFormat="1">
      <c r="A805" s="141"/>
      <c r="B805" s="62" t="s">
        <v>56</v>
      </c>
      <c r="C805" s="62" t="s">
        <v>57</v>
      </c>
      <c r="D805" s="86" t="s">
        <v>14</v>
      </c>
      <c r="E805" s="105">
        <f>E774+E770</f>
        <v>6</v>
      </c>
      <c r="F805" s="62"/>
      <c r="G805" s="62"/>
      <c r="H805" s="62"/>
      <c r="I805" s="62"/>
      <c r="J805" s="62"/>
      <c r="K805" s="62"/>
      <c r="L805" s="62"/>
      <c r="M805" s="86" t="s">
        <v>55</v>
      </c>
      <c r="N805" s="86" t="s">
        <v>14</v>
      </c>
      <c r="O805" s="87">
        <f>VLOOKUP($B805,BOM!$A$2:$K$94,10,0)</f>
        <v>0</v>
      </c>
      <c r="P805" s="87">
        <f t="shared" si="44"/>
        <v>0</v>
      </c>
      <c r="Q805" s="87" t="str">
        <f>VLOOKUP($B805,BOM!$A$2:$K$94,9,0)</f>
        <v>sợi</v>
      </c>
    </row>
    <row r="806" spans="1:17" s="45" customFormat="1">
      <c r="A806" s="141"/>
      <c r="B806" s="62" t="s">
        <v>58</v>
      </c>
      <c r="C806" s="62" t="s">
        <v>59</v>
      </c>
      <c r="D806" s="86" t="s">
        <v>60</v>
      </c>
      <c r="E806" s="105">
        <f>E805*2</f>
        <v>12</v>
      </c>
      <c r="F806" s="62"/>
      <c r="G806" s="62"/>
      <c r="H806" s="62"/>
      <c r="I806" s="62"/>
      <c r="J806" s="62"/>
      <c r="K806" s="62"/>
      <c r="L806" s="62"/>
      <c r="M806" s="86" t="s">
        <v>61</v>
      </c>
      <c r="N806" s="86" t="s">
        <v>60</v>
      </c>
      <c r="O806" s="87">
        <f>VLOOKUP($B806,BOM!$A$2:$K$94,10,0)</f>
        <v>0</v>
      </c>
      <c r="P806" s="87">
        <f t="shared" si="44"/>
        <v>0</v>
      </c>
      <c r="Q806" s="87" t="str">
        <f>VLOOKUP($B806,BOM!$A$2:$K$94,9,0)</f>
        <v>đầu</v>
      </c>
    </row>
    <row r="807" spans="1:17" s="45" customFormat="1">
      <c r="A807" s="141"/>
      <c r="B807" s="62" t="s">
        <v>62</v>
      </c>
      <c r="C807" s="62" t="s">
        <v>63</v>
      </c>
      <c r="D807" s="86" t="s">
        <v>64</v>
      </c>
      <c r="E807" s="105">
        <f>E784</f>
        <v>1</v>
      </c>
      <c r="F807" s="62"/>
      <c r="G807" s="62"/>
      <c r="H807" s="62"/>
      <c r="I807" s="62"/>
      <c r="J807" s="62"/>
      <c r="K807" s="62"/>
      <c r="L807" s="62"/>
      <c r="M807" s="86" t="s">
        <v>61</v>
      </c>
      <c r="N807" s="86" t="s">
        <v>64</v>
      </c>
      <c r="O807" s="87">
        <f>VLOOKUP($B807,BOM!$A$2:$K$94,10,0)</f>
        <v>0</v>
      </c>
      <c r="P807" s="87">
        <f t="shared" si="44"/>
        <v>0</v>
      </c>
      <c r="Q807" s="87" t="str">
        <f>VLOOKUP($B807,BOM!$A$2:$K$94,9,0)</f>
        <v>cái</v>
      </c>
    </row>
    <row r="808" spans="1:17" s="140" customFormat="1">
      <c r="A808" s="134">
        <v>17</v>
      </c>
      <c r="B808" s="135"/>
      <c r="C808" s="71" t="s">
        <v>87</v>
      </c>
      <c r="D808" s="136" t="s">
        <v>0</v>
      </c>
      <c r="E808" s="134">
        <v>1</v>
      </c>
      <c r="F808" s="134"/>
      <c r="G808" s="134">
        <v>12</v>
      </c>
      <c r="H808" s="134"/>
      <c r="I808" s="134"/>
      <c r="J808" s="137">
        <f>SUBTOTAL(9,J811:J835)</f>
        <v>15</v>
      </c>
      <c r="K808" s="137"/>
      <c r="L808" s="137"/>
      <c r="M808" s="137"/>
      <c r="N808" s="137"/>
      <c r="O808" s="87">
        <f>VLOOKUP($B808,BOM!$A$2:$K$94,10,0)</f>
        <v>0</v>
      </c>
      <c r="P808" s="87">
        <f t="shared" si="44"/>
        <v>0</v>
      </c>
      <c r="Q808" s="139">
        <f>VLOOKUP($B808,BOM!$A$2:$K$94,9,0)</f>
        <v>0</v>
      </c>
    </row>
    <row r="809" spans="1:17">
      <c r="A809" s="141"/>
      <c r="B809" s="81"/>
      <c r="C809" s="72" t="s">
        <v>124</v>
      </c>
      <c r="D809" s="72" t="s">
        <v>0</v>
      </c>
      <c r="E809" s="72">
        <v>1</v>
      </c>
      <c r="F809" s="72"/>
      <c r="G809" s="72"/>
      <c r="H809" s="72"/>
      <c r="I809" s="72"/>
      <c r="J809" s="72"/>
      <c r="K809" s="83"/>
      <c r="L809" s="83"/>
      <c r="M809" s="83"/>
      <c r="N809" s="83"/>
      <c r="O809" s="87">
        <f>VLOOKUP($B809,BOM!$A$2:$K$94,10,0)</f>
        <v>0</v>
      </c>
      <c r="P809" s="87">
        <f t="shared" si="44"/>
        <v>0</v>
      </c>
      <c r="Q809" s="84">
        <f>VLOOKUP($B809,BOM!$A$2:$K$94,9,0)</f>
        <v>0</v>
      </c>
    </row>
    <row r="810" spans="1:17" s="19" customFormat="1">
      <c r="A810" s="141"/>
      <c r="B810" s="192" t="s">
        <v>343</v>
      </c>
      <c r="C810" s="21" t="s">
        <v>227</v>
      </c>
      <c r="D810" s="21"/>
      <c r="E810" s="22">
        <v>1</v>
      </c>
      <c r="F810" s="21"/>
      <c r="G810" s="21"/>
      <c r="H810" s="21"/>
      <c r="I810" s="21"/>
      <c r="J810" s="21"/>
      <c r="K810" s="21" t="s">
        <v>4</v>
      </c>
      <c r="L810" s="21" t="s">
        <v>5</v>
      </c>
      <c r="M810" s="22" t="s">
        <v>22</v>
      </c>
      <c r="N810" s="22" t="s">
        <v>3</v>
      </c>
      <c r="O810" s="87" t="e">
        <f>VLOOKUP($B810,BOM!$A$2:$K$94,10,0)</f>
        <v>#N/A</v>
      </c>
      <c r="P810" s="87" t="e">
        <f t="shared" si="44"/>
        <v>#N/A</v>
      </c>
      <c r="Q810" s="142" t="e">
        <f>VLOOKUP($B810,BOM!$A$2:$K$94,9,0)</f>
        <v>#N/A</v>
      </c>
    </row>
    <row r="811" spans="1:17" s="19" customFormat="1">
      <c r="A811" s="141"/>
      <c r="B811" s="21" t="s">
        <v>122</v>
      </c>
      <c r="C811" s="21" t="s">
        <v>123</v>
      </c>
      <c r="D811" s="21"/>
      <c r="E811" s="22">
        <v>1</v>
      </c>
      <c r="F811" s="21"/>
      <c r="G811" s="21"/>
      <c r="H811" s="21"/>
      <c r="I811" s="21"/>
      <c r="J811" s="21">
        <f>E811</f>
        <v>1</v>
      </c>
      <c r="K811" s="21" t="s">
        <v>4</v>
      </c>
      <c r="L811" s="21" t="s">
        <v>5</v>
      </c>
      <c r="M811" s="22" t="s">
        <v>22</v>
      </c>
      <c r="N811" s="22" t="s">
        <v>3</v>
      </c>
      <c r="O811" s="87">
        <f>VLOOKUP($B811,BOM!$A$2:$K$94,10,0)</f>
        <v>0</v>
      </c>
      <c r="P811" s="87">
        <f t="shared" si="44"/>
        <v>0</v>
      </c>
      <c r="Q811" s="142" t="str">
        <f>VLOOKUP($B811,BOM!$A$2:$K$94,9,0)</f>
        <v>Cái</v>
      </c>
    </row>
    <row r="812" spans="1:17">
      <c r="A812" s="141"/>
      <c r="B812" s="81"/>
      <c r="C812" s="72" t="s">
        <v>1</v>
      </c>
      <c r="D812" s="72" t="s">
        <v>0</v>
      </c>
      <c r="E812" s="72">
        <v>1</v>
      </c>
      <c r="F812" s="72"/>
      <c r="G812" s="72">
        <f>ROUNDUP(G808/24,0)</f>
        <v>1</v>
      </c>
      <c r="H812" s="72">
        <f t="shared" ref="H812" si="46">ROUNDUP(H808/24,0)</f>
        <v>0</v>
      </c>
      <c r="I812" s="72"/>
      <c r="J812" s="72"/>
      <c r="K812" s="83"/>
      <c r="L812" s="83"/>
      <c r="M812" s="83"/>
      <c r="N812" s="83"/>
      <c r="O812" s="87">
        <f>VLOOKUP($B812,BOM!$A$2:$K$94,10,0)</f>
        <v>0</v>
      </c>
      <c r="P812" s="87">
        <f t="shared" si="44"/>
        <v>0</v>
      </c>
      <c r="Q812" s="84">
        <f>VLOOKUP($B812,BOM!$A$2:$K$94,9,0)</f>
        <v>0</v>
      </c>
    </row>
    <row r="813" spans="1:17" s="45" customFormat="1">
      <c r="A813" s="141"/>
      <c r="B813" s="62">
        <v>760249997</v>
      </c>
      <c r="C813" s="62" t="s">
        <v>2</v>
      </c>
      <c r="D813" s="85" t="s">
        <v>3</v>
      </c>
      <c r="E813" s="85">
        <f>ROUNDUP((E815+E819)/3,0)</f>
        <v>1</v>
      </c>
      <c r="F813" s="62"/>
      <c r="G813" s="62"/>
      <c r="H813" s="62"/>
      <c r="I813" s="62"/>
      <c r="J813" s="21">
        <f>E813</f>
        <v>1</v>
      </c>
      <c r="K813" s="62" t="s">
        <v>4</v>
      </c>
      <c r="L813" s="62" t="s">
        <v>5</v>
      </c>
      <c r="M813" s="86" t="s">
        <v>6</v>
      </c>
      <c r="N813" s="86" t="s">
        <v>3</v>
      </c>
      <c r="O813" s="87">
        <f>VLOOKUP($B813,BOM!$A$2:$K$94,10,0)</f>
        <v>0</v>
      </c>
      <c r="P813" s="87">
        <f t="shared" si="44"/>
        <v>0</v>
      </c>
      <c r="Q813" s="87" t="str">
        <f>VLOOKUP($B813,BOM!$A$2:$K$94,9,0)</f>
        <v>Cái</v>
      </c>
    </row>
    <row r="814" spans="1:17" s="45" customFormat="1">
      <c r="A814" s="141"/>
      <c r="B814" s="62">
        <v>760241378</v>
      </c>
      <c r="C814" s="62" t="s">
        <v>7</v>
      </c>
      <c r="D814" s="85" t="s">
        <v>3</v>
      </c>
      <c r="E814" s="85">
        <f>IF(E815&lt;=2,1,ROUNDUP(E813*1.5,0))</f>
        <v>1</v>
      </c>
      <c r="F814" s="62"/>
      <c r="G814" s="62"/>
      <c r="H814" s="62"/>
      <c r="I814" s="62"/>
      <c r="J814" s="62"/>
      <c r="K814" s="62" t="s">
        <v>4</v>
      </c>
      <c r="L814" s="62" t="s">
        <v>5</v>
      </c>
      <c r="M814" s="86" t="s">
        <v>6</v>
      </c>
      <c r="N814" s="86" t="s">
        <v>3</v>
      </c>
      <c r="O814" s="87">
        <f>VLOOKUP($B814,BOM!$A$2:$K$94,10,0)</f>
        <v>0</v>
      </c>
      <c r="P814" s="87">
        <f t="shared" si="44"/>
        <v>0</v>
      </c>
      <c r="Q814" s="87" t="str">
        <f>VLOOKUP($B814,BOM!$A$2:$K$94,9,0)</f>
        <v>Cái</v>
      </c>
    </row>
    <row r="815" spans="1:17" s="45" customFormat="1">
      <c r="A815" s="141"/>
      <c r="B815" s="62" t="s">
        <v>8</v>
      </c>
      <c r="C815" s="62" t="s">
        <v>9</v>
      </c>
      <c r="D815" s="85" t="s">
        <v>3</v>
      </c>
      <c r="E815" s="85">
        <f>G812</f>
        <v>1</v>
      </c>
      <c r="F815" s="62"/>
      <c r="G815" s="62"/>
      <c r="H815" s="62"/>
      <c r="I815" s="62"/>
      <c r="J815" s="62"/>
      <c r="K815" s="62" t="s">
        <v>4</v>
      </c>
      <c r="L815" s="62" t="s">
        <v>5</v>
      </c>
      <c r="M815" s="86" t="s">
        <v>6</v>
      </c>
      <c r="N815" s="86" t="s">
        <v>3</v>
      </c>
      <c r="O815" s="87">
        <f>VLOOKUP($B815,BOM!$A$2:$K$94,10,0)</f>
        <v>0</v>
      </c>
      <c r="P815" s="87">
        <f t="shared" si="44"/>
        <v>0</v>
      </c>
      <c r="Q815" s="87" t="str">
        <f>VLOOKUP($B815,BOM!$A$2:$K$94,9,0)</f>
        <v>Cái</v>
      </c>
    </row>
    <row r="816" spans="1:17" s="45" customFormat="1">
      <c r="A816" s="141"/>
      <c r="B816" s="62" t="s">
        <v>10</v>
      </c>
      <c r="C816" s="62" t="s">
        <v>11</v>
      </c>
      <c r="D816" s="85" t="s">
        <v>3</v>
      </c>
      <c r="E816" s="85">
        <f>E813*3-E815-E819</f>
        <v>2</v>
      </c>
      <c r="F816" s="62"/>
      <c r="G816" s="62"/>
      <c r="H816" s="62"/>
      <c r="I816" s="62"/>
      <c r="J816" s="62"/>
      <c r="K816" s="62" t="s">
        <v>4</v>
      </c>
      <c r="L816" s="62" t="s">
        <v>5</v>
      </c>
      <c r="M816" s="86" t="s">
        <v>6</v>
      </c>
      <c r="N816" s="86" t="s">
        <v>3</v>
      </c>
      <c r="O816" s="87">
        <f>VLOOKUP($B816,BOM!$A$2:$K$94,10,0)</f>
        <v>0</v>
      </c>
      <c r="P816" s="87">
        <f t="shared" si="44"/>
        <v>0</v>
      </c>
      <c r="Q816" s="87" t="str">
        <f>VLOOKUP($B816,BOM!$A$2:$K$94,9,0)</f>
        <v>Cái</v>
      </c>
    </row>
    <row r="817" spans="1:17" s="45" customFormat="1">
      <c r="A817" s="141"/>
      <c r="B817" s="62" t="s">
        <v>12</v>
      </c>
      <c r="C817" s="62" t="s">
        <v>13</v>
      </c>
      <c r="D817" s="85" t="s">
        <v>14</v>
      </c>
      <c r="E817" s="85">
        <f>G808/2</f>
        <v>6</v>
      </c>
      <c r="F817" s="62"/>
      <c r="G817" s="62"/>
      <c r="H817" s="62"/>
      <c r="I817" s="62"/>
      <c r="J817" s="62"/>
      <c r="K817" s="62" t="s">
        <v>4</v>
      </c>
      <c r="L817" s="62" t="s">
        <v>5</v>
      </c>
      <c r="M817" s="86" t="s">
        <v>6</v>
      </c>
      <c r="N817" s="86" t="s">
        <v>15</v>
      </c>
      <c r="O817" s="87">
        <f>VLOOKUP($B817,BOM!$A$2:$K$94,10,0)</f>
        <v>0</v>
      </c>
      <c r="P817" s="87">
        <f t="shared" si="44"/>
        <v>0</v>
      </c>
      <c r="Q817" s="87" t="str">
        <f>VLOOKUP($B817,BOM!$A$2:$K$94,9,0)</f>
        <v>Sợi</v>
      </c>
    </row>
    <row r="818" spans="1:17" s="45" customFormat="1">
      <c r="A818" s="141"/>
      <c r="B818" s="62" t="s">
        <v>16</v>
      </c>
      <c r="C818" s="62" t="s">
        <v>17</v>
      </c>
      <c r="D818" s="85" t="s">
        <v>14</v>
      </c>
      <c r="E818" s="85">
        <f>ROUNDUP((E825*1.3),0)</f>
        <v>3</v>
      </c>
      <c r="F818" s="62"/>
      <c r="G818" s="62"/>
      <c r="H818" s="62"/>
      <c r="I818" s="62"/>
      <c r="J818" s="62"/>
      <c r="K818" s="62" t="s">
        <v>4</v>
      </c>
      <c r="L818" s="62" t="s">
        <v>5</v>
      </c>
      <c r="M818" s="86" t="s">
        <v>6</v>
      </c>
      <c r="N818" s="86" t="s">
        <v>15</v>
      </c>
      <c r="O818" s="87">
        <f>VLOOKUP($B818,BOM!$A$2:$K$94,10,0)</f>
        <v>0</v>
      </c>
      <c r="P818" s="87">
        <f t="shared" si="44"/>
        <v>0</v>
      </c>
      <c r="Q818" s="87" t="str">
        <f>VLOOKUP($B818,BOM!$A$2:$K$94,9,0)</f>
        <v>Sợi</v>
      </c>
    </row>
    <row r="819" spans="1:17" s="110" customFormat="1">
      <c r="A819" s="141"/>
      <c r="B819" s="66" t="s">
        <v>198</v>
      </c>
      <c r="C819" s="66" t="s">
        <v>199</v>
      </c>
      <c r="D819" s="89" t="s">
        <v>3</v>
      </c>
      <c r="E819" s="89">
        <f>H812</f>
        <v>0</v>
      </c>
      <c r="F819" s="66"/>
      <c r="G819" s="66"/>
      <c r="H819" s="66"/>
      <c r="I819" s="66"/>
      <c r="J819" s="66"/>
      <c r="K819" s="108" t="s">
        <v>4</v>
      </c>
      <c r="L819" s="108" t="s">
        <v>5</v>
      </c>
      <c r="M819" s="109" t="s">
        <v>6</v>
      </c>
      <c r="N819" s="109" t="s">
        <v>15</v>
      </c>
      <c r="O819" s="87">
        <f>VLOOKUP($B819,BOM!$A$2:$K$94,10,0)</f>
        <v>0</v>
      </c>
      <c r="P819" s="87">
        <f t="shared" si="44"/>
        <v>0</v>
      </c>
      <c r="Q819" s="146" t="str">
        <f>VLOOKUP($B819,BOM!$A$2:$K$94,9,0)</f>
        <v>Cái</v>
      </c>
    </row>
    <row r="820" spans="1:17" s="111" customFormat="1">
      <c r="A820" s="141"/>
      <c r="B820" s="66" t="s">
        <v>194</v>
      </c>
      <c r="C820" s="66" t="s">
        <v>195</v>
      </c>
      <c r="D820" s="89" t="s">
        <v>14</v>
      </c>
      <c r="E820" s="89">
        <f>ROUNDUP((E824*1.3),0)</f>
        <v>0</v>
      </c>
      <c r="F820" s="108"/>
      <c r="G820" s="108"/>
      <c r="H820" s="108"/>
      <c r="I820" s="108"/>
      <c r="J820" s="108"/>
      <c r="K820" s="108" t="s">
        <v>4</v>
      </c>
      <c r="L820" s="108" t="s">
        <v>5</v>
      </c>
      <c r="M820" s="109" t="s">
        <v>6</v>
      </c>
      <c r="N820" s="109" t="s">
        <v>15</v>
      </c>
      <c r="O820" s="87">
        <f>VLOOKUP($B820,BOM!$A$2:$K$94,10,0)</f>
        <v>0</v>
      </c>
      <c r="P820" s="87">
        <f t="shared" si="44"/>
        <v>0</v>
      </c>
      <c r="Q820" s="146" t="str">
        <f>VLOOKUP($B820,BOM!$A$2:$K$94,9,0)</f>
        <v>Cái</v>
      </c>
    </row>
    <row r="821" spans="1:17" s="110" customFormat="1">
      <c r="A821" s="141"/>
      <c r="B821" s="66" t="s">
        <v>196</v>
      </c>
      <c r="C821" s="66" t="s">
        <v>197</v>
      </c>
      <c r="D821" s="89" t="s">
        <v>14</v>
      </c>
      <c r="E821" s="89">
        <f>H808/2</f>
        <v>0</v>
      </c>
      <c r="F821" s="66"/>
      <c r="G821" s="66"/>
      <c r="H821" s="66"/>
      <c r="I821" s="66"/>
      <c r="J821" s="66"/>
      <c r="K821" s="108" t="s">
        <v>4</v>
      </c>
      <c r="L821" s="108" t="s">
        <v>5</v>
      </c>
      <c r="M821" s="109" t="s">
        <v>6</v>
      </c>
      <c r="N821" s="109" t="s">
        <v>15</v>
      </c>
      <c r="O821" s="87">
        <f>VLOOKUP($B821,BOM!$A$2:$K$94,10,0)</f>
        <v>0</v>
      </c>
      <c r="P821" s="87">
        <f t="shared" si="44"/>
        <v>0</v>
      </c>
      <c r="Q821" s="146" t="str">
        <f>VLOOKUP($B821,BOM!$A$2:$K$94,9,0)</f>
        <v>Cái</v>
      </c>
    </row>
    <row r="822" spans="1:17">
      <c r="A822" s="141"/>
      <c r="B822" s="81"/>
      <c r="C822" s="72" t="s">
        <v>26</v>
      </c>
      <c r="D822" s="72" t="s">
        <v>0</v>
      </c>
      <c r="E822" s="72">
        <v>1</v>
      </c>
      <c r="F822" s="72"/>
      <c r="G822" s="72"/>
      <c r="H822" s="72"/>
      <c r="I822" s="72"/>
      <c r="J822" s="72"/>
      <c r="K822" s="83"/>
      <c r="L822" s="83"/>
      <c r="M822" s="83"/>
      <c r="N822" s="83"/>
      <c r="O822" s="87">
        <f>VLOOKUP($B822,BOM!$A$2:$K$94,10,0)</f>
        <v>0</v>
      </c>
      <c r="P822" s="87">
        <f t="shared" si="44"/>
        <v>0</v>
      </c>
      <c r="Q822" s="84">
        <f>VLOOKUP($B822,BOM!$A$2:$K$94,9,0)</f>
        <v>0</v>
      </c>
    </row>
    <row r="823" spans="1:17" ht="60">
      <c r="A823" s="147"/>
      <c r="B823" s="67" t="s">
        <v>228</v>
      </c>
      <c r="C823" s="187" t="s">
        <v>324</v>
      </c>
      <c r="D823" s="90" t="s">
        <v>51</v>
      </c>
      <c r="E823" s="90">
        <v>1</v>
      </c>
      <c r="F823" s="65"/>
      <c r="G823" s="65"/>
      <c r="H823" s="65"/>
      <c r="I823" s="65"/>
      <c r="J823" s="103">
        <f>E823</f>
        <v>1</v>
      </c>
      <c r="K823" s="65" t="s">
        <v>143</v>
      </c>
      <c r="L823" s="65" t="s">
        <v>151</v>
      </c>
      <c r="M823" s="90" t="s">
        <v>154</v>
      </c>
      <c r="N823" s="90" t="s">
        <v>51</v>
      </c>
      <c r="O823" s="87">
        <f>VLOOKUP($B823,BOM!$A$2:$K$94,10,0)</f>
        <v>0</v>
      </c>
      <c r="P823" s="87">
        <f t="shared" si="44"/>
        <v>0</v>
      </c>
      <c r="Q823" s="151" t="str">
        <f>VLOOKUP($B823,BOM!$A$2:$K$94,9,0)</f>
        <v>cái</v>
      </c>
    </row>
    <row r="824" spans="1:17" s="111" customFormat="1">
      <c r="A824" s="120"/>
      <c r="B824" s="68" t="s">
        <v>216</v>
      </c>
      <c r="C824" s="68" t="s">
        <v>217</v>
      </c>
      <c r="D824" s="89" t="s">
        <v>64</v>
      </c>
      <c r="E824" s="89">
        <v>0</v>
      </c>
      <c r="F824" s="124"/>
      <c r="G824" s="124"/>
      <c r="H824" s="124"/>
      <c r="I824" s="124"/>
      <c r="J824" s="124"/>
      <c r="K824" s="124" t="s">
        <v>143</v>
      </c>
      <c r="L824" s="124" t="s">
        <v>151</v>
      </c>
      <c r="M824" s="89" t="s">
        <v>154</v>
      </c>
      <c r="N824" s="89" t="s">
        <v>64</v>
      </c>
      <c r="O824" s="87">
        <f>VLOOKUP($B824,BOM!$A$2:$K$94,10,0)</f>
        <v>0</v>
      </c>
      <c r="P824" s="87">
        <f t="shared" si="44"/>
        <v>0</v>
      </c>
      <c r="Q824" s="152" t="str">
        <f>VLOOKUP($B824,BOM!$A$2:$K$94,9,0)</f>
        <v>cái</v>
      </c>
    </row>
    <row r="825" spans="1:17" s="45" customFormat="1">
      <c r="A825" s="141"/>
      <c r="B825" s="64" t="s">
        <v>212</v>
      </c>
      <c r="C825" s="64" t="s">
        <v>213</v>
      </c>
      <c r="D825" s="97" t="s">
        <v>64</v>
      </c>
      <c r="E825" s="98">
        <v>2</v>
      </c>
      <c r="F825" s="95"/>
      <c r="G825" s="95"/>
      <c r="H825" s="95"/>
      <c r="I825" s="95"/>
      <c r="J825" s="95"/>
      <c r="K825" s="95" t="s">
        <v>143</v>
      </c>
      <c r="L825" s="95" t="s">
        <v>151</v>
      </c>
      <c r="M825" s="97" t="s">
        <v>154</v>
      </c>
      <c r="N825" s="97" t="s">
        <v>64</v>
      </c>
      <c r="O825" s="87">
        <f>VLOOKUP($B825,BOM!$A$2:$K$94,10,0)</f>
        <v>0</v>
      </c>
      <c r="P825" s="87">
        <f t="shared" si="44"/>
        <v>0</v>
      </c>
      <c r="Q825" s="153" t="str">
        <f>VLOOKUP($B825,BOM!$A$2:$K$94,9,0)</f>
        <v>cái</v>
      </c>
    </row>
    <row r="826" spans="1:17" s="45" customFormat="1">
      <c r="A826" s="141"/>
      <c r="B826" s="62"/>
      <c r="C826" s="62"/>
      <c r="D826" s="85"/>
      <c r="E826" s="90"/>
      <c r="F826" s="62"/>
      <c r="G826" s="62"/>
      <c r="H826" s="62"/>
      <c r="I826" s="62"/>
      <c r="J826" s="62"/>
      <c r="K826" s="62"/>
      <c r="L826" s="62"/>
      <c r="M826" s="86"/>
      <c r="N826" s="86"/>
      <c r="O826" s="87">
        <f>VLOOKUP($B826,BOM!$A$2:$K$94,10,0)</f>
        <v>0</v>
      </c>
      <c r="P826" s="87">
        <f t="shared" si="44"/>
        <v>0</v>
      </c>
      <c r="Q826" s="87">
        <f>VLOOKUP($B826,BOM!$A$2:$K$94,9,0)</f>
        <v>0</v>
      </c>
    </row>
    <row r="827" spans="1:17" s="45" customFormat="1">
      <c r="A827" s="141"/>
      <c r="B827" s="62"/>
      <c r="C827" s="62"/>
      <c r="D827" s="85"/>
      <c r="E827" s="90"/>
      <c r="F827" s="62"/>
      <c r="G827" s="62"/>
      <c r="H827" s="62"/>
      <c r="I827" s="62"/>
      <c r="J827" s="62"/>
      <c r="K827" s="62"/>
      <c r="L827" s="62"/>
      <c r="M827" s="86"/>
      <c r="N827" s="86"/>
      <c r="O827" s="87">
        <f>VLOOKUP($B827,BOM!$A$2:$K$94,10,0)</f>
        <v>0</v>
      </c>
      <c r="P827" s="87">
        <f t="shared" si="44"/>
        <v>0</v>
      </c>
      <c r="Q827" s="87">
        <f>VLOOKUP($B827,BOM!$A$2:$K$94,9,0)</f>
        <v>0</v>
      </c>
    </row>
    <row r="828" spans="1:17" outlineLevel="1">
      <c r="A828" s="141"/>
      <c r="B828" s="117"/>
      <c r="C828" s="61" t="s">
        <v>67</v>
      </c>
      <c r="D828" s="119" t="s">
        <v>0</v>
      </c>
      <c r="E828" s="120">
        <v>1</v>
      </c>
      <c r="F828" s="121"/>
      <c r="G828" s="121"/>
      <c r="H828" s="121" t="s">
        <v>69</v>
      </c>
      <c r="I828" s="122"/>
      <c r="J828" s="21">
        <f t="shared" ref="J828:J829" si="47">E828</f>
        <v>1</v>
      </c>
      <c r="K828" s="63"/>
      <c r="L828" s="63"/>
      <c r="M828" s="63"/>
      <c r="N828" s="63"/>
      <c r="O828" s="87">
        <f>VLOOKUP($B828,BOM!$A$2:$K$94,10,0)</f>
        <v>0</v>
      </c>
      <c r="P828" s="87">
        <f t="shared" si="44"/>
        <v>0</v>
      </c>
      <c r="Q828" s="80">
        <f>VLOOKUP($B828,BOM!$A$2:$K$94,9,0)</f>
        <v>0</v>
      </c>
    </row>
    <row r="829" spans="1:17" outlineLevel="1">
      <c r="A829" s="141"/>
      <c r="B829" s="117"/>
      <c r="C829" s="61" t="s">
        <v>70</v>
      </c>
      <c r="D829" s="119" t="s">
        <v>0</v>
      </c>
      <c r="E829" s="120">
        <v>1</v>
      </c>
      <c r="F829" s="121"/>
      <c r="G829" s="121"/>
      <c r="H829" s="121" t="s">
        <v>69</v>
      </c>
      <c r="I829" s="122"/>
      <c r="J829" s="21">
        <f t="shared" si="47"/>
        <v>1</v>
      </c>
      <c r="K829" s="63"/>
      <c r="L829" s="63"/>
      <c r="M829" s="63"/>
      <c r="N829" s="63"/>
      <c r="O829" s="87">
        <f>VLOOKUP($B829,BOM!$A$2:$K$94,10,0)</f>
        <v>0</v>
      </c>
      <c r="P829" s="87">
        <f t="shared" si="44"/>
        <v>0</v>
      </c>
      <c r="Q829" s="80">
        <f>VLOOKUP($B829,BOM!$A$2:$K$94,9,0)</f>
        <v>0</v>
      </c>
    </row>
    <row r="830" spans="1:17">
      <c r="A830" s="141"/>
      <c r="B830" s="81"/>
      <c r="C830" s="72" t="s">
        <v>18</v>
      </c>
      <c r="D830" s="72" t="s">
        <v>0</v>
      </c>
      <c r="E830" s="72">
        <v>1</v>
      </c>
      <c r="F830" s="72"/>
      <c r="G830" s="72"/>
      <c r="H830" s="72"/>
      <c r="I830" s="72"/>
      <c r="J830" s="72"/>
      <c r="K830" s="83"/>
      <c r="L830" s="83"/>
      <c r="M830" s="83"/>
      <c r="N830" s="83"/>
      <c r="O830" s="87">
        <f>VLOOKUP($B830,BOM!$A$2:$K$94,10,0)</f>
        <v>0</v>
      </c>
      <c r="P830" s="87">
        <f t="shared" si="44"/>
        <v>0</v>
      </c>
      <c r="Q830" s="84">
        <f>VLOOKUP($B830,BOM!$A$2:$K$94,9,0)</f>
        <v>0</v>
      </c>
    </row>
    <row r="831" spans="1:17" s="45" customFormat="1">
      <c r="A831" s="141"/>
      <c r="B831" s="62">
        <v>760237046</v>
      </c>
      <c r="C831" s="62" t="s">
        <v>19</v>
      </c>
      <c r="D831" s="85" t="s">
        <v>3</v>
      </c>
      <c r="E831" s="85">
        <f>E823+E826</f>
        <v>1</v>
      </c>
      <c r="F831" s="62"/>
      <c r="G831" s="62"/>
      <c r="H831" s="62"/>
      <c r="I831" s="62"/>
      <c r="J831" s="21">
        <f>E831</f>
        <v>1</v>
      </c>
      <c r="K831" s="62" t="s">
        <v>4</v>
      </c>
      <c r="L831" s="62" t="s">
        <v>5</v>
      </c>
      <c r="M831" s="86" t="s">
        <v>6</v>
      </c>
      <c r="N831" s="86" t="s">
        <v>3</v>
      </c>
      <c r="O831" s="87">
        <f>VLOOKUP($B831,BOM!$A$2:$K$94,10,0)</f>
        <v>0</v>
      </c>
      <c r="P831" s="87">
        <f t="shared" si="44"/>
        <v>0</v>
      </c>
      <c r="Q831" s="87" t="str">
        <f>VLOOKUP($B831,BOM!$A$2:$K$94,9,0)</f>
        <v>Cái</v>
      </c>
    </row>
    <row r="832" spans="1:17" s="45" customFormat="1">
      <c r="A832" s="141"/>
      <c r="B832" s="62" t="s">
        <v>23</v>
      </c>
      <c r="C832" s="62" t="s">
        <v>24</v>
      </c>
      <c r="D832" s="85" t="s">
        <v>3</v>
      </c>
      <c r="E832" s="85">
        <f>E831*24</f>
        <v>24</v>
      </c>
      <c r="F832" s="62"/>
      <c r="G832" s="62"/>
      <c r="H832" s="62"/>
      <c r="I832" s="62"/>
      <c r="J832" s="62"/>
      <c r="K832" s="62" t="s">
        <v>25</v>
      </c>
      <c r="L832" s="62" t="s">
        <v>5</v>
      </c>
      <c r="M832" s="86" t="s">
        <v>6</v>
      </c>
      <c r="N832" s="86" t="s">
        <v>3</v>
      </c>
      <c r="O832" s="87">
        <f>VLOOKUP($B832,BOM!$A$2:$K$94,10,0)</f>
        <v>0</v>
      </c>
      <c r="P832" s="87">
        <f t="shared" si="44"/>
        <v>0</v>
      </c>
      <c r="Q832" s="87" t="str">
        <f>VLOOKUP($B832,BOM!$A$2:$K$94,9,0)</f>
        <v>Cái</v>
      </c>
    </row>
    <row r="833" spans="1:17" s="45" customFormat="1">
      <c r="A833" s="141"/>
      <c r="B833" s="62" t="s">
        <v>20</v>
      </c>
      <c r="C833" s="62" t="s">
        <v>21</v>
      </c>
      <c r="D833" s="85" t="s">
        <v>3</v>
      </c>
      <c r="E833" s="85">
        <f>E831</f>
        <v>1</v>
      </c>
      <c r="F833" s="62"/>
      <c r="G833" s="62"/>
      <c r="H833" s="62"/>
      <c r="I833" s="62"/>
      <c r="J833" s="21">
        <f>E833</f>
        <v>1</v>
      </c>
      <c r="K833" s="62" t="s">
        <v>4</v>
      </c>
      <c r="L833" s="62" t="s">
        <v>5</v>
      </c>
      <c r="M833" s="86" t="s">
        <v>22</v>
      </c>
      <c r="N833" s="86" t="s">
        <v>3</v>
      </c>
      <c r="O833" s="87">
        <f>VLOOKUP($B833,BOM!$A$2:$K$94,10,0)</f>
        <v>0</v>
      </c>
      <c r="P833" s="87">
        <f t="shared" si="44"/>
        <v>0</v>
      </c>
      <c r="Q833" s="87" t="str">
        <f>VLOOKUP($B833,BOM!$A$2:$K$94,9,0)</f>
        <v>Cái</v>
      </c>
    </row>
    <row r="834" spans="1:17">
      <c r="A834" s="141"/>
      <c r="B834" s="81"/>
      <c r="C834" s="72" t="s">
        <v>71</v>
      </c>
      <c r="D834" s="72" t="s">
        <v>0</v>
      </c>
      <c r="E834" s="72">
        <v>1</v>
      </c>
      <c r="F834" s="72"/>
      <c r="G834" s="72"/>
      <c r="H834" s="72"/>
      <c r="I834" s="72"/>
      <c r="J834" s="72"/>
      <c r="K834" s="83"/>
      <c r="L834" s="83"/>
      <c r="M834" s="83"/>
      <c r="N834" s="83"/>
      <c r="O834" s="87">
        <f>VLOOKUP($B834,BOM!$A$2:$K$94,10,0)</f>
        <v>0</v>
      </c>
      <c r="P834" s="87">
        <f t="shared" si="44"/>
        <v>0</v>
      </c>
      <c r="Q834" s="84">
        <f>VLOOKUP($B834,BOM!$A$2:$K$94,9,0)</f>
        <v>0</v>
      </c>
    </row>
    <row r="835" spans="1:17" s="45" customFormat="1">
      <c r="A835" s="141"/>
      <c r="B835" s="62" t="s">
        <v>314</v>
      </c>
      <c r="C835" s="62" t="s">
        <v>316</v>
      </c>
      <c r="D835" s="116" t="s">
        <v>51</v>
      </c>
      <c r="E835" s="85">
        <v>1</v>
      </c>
      <c r="F835" s="62"/>
      <c r="G835" s="62"/>
      <c r="H835" s="62"/>
      <c r="I835" s="62"/>
      <c r="J835" s="86">
        <f>E835*8</f>
        <v>8</v>
      </c>
      <c r="K835" s="62"/>
      <c r="L835" s="62" t="s">
        <v>5</v>
      </c>
      <c r="M835" s="86" t="s">
        <v>28</v>
      </c>
      <c r="N835" s="86" t="s">
        <v>3</v>
      </c>
      <c r="O835" s="87">
        <f>VLOOKUP($B835,BOM!$A$2:$K$94,10,0)</f>
        <v>0</v>
      </c>
      <c r="P835" s="87">
        <f t="shared" si="44"/>
        <v>0</v>
      </c>
      <c r="Q835" s="87" t="str">
        <f>VLOOKUP($B835,BOM!$A$2:$K$94,9,0)</f>
        <v>Cái</v>
      </c>
    </row>
    <row r="836" spans="1:17" s="45" customFormat="1">
      <c r="A836" s="141"/>
      <c r="B836" s="62"/>
      <c r="C836" s="62"/>
      <c r="D836" s="116"/>
      <c r="E836" s="85"/>
      <c r="F836" s="62"/>
      <c r="G836" s="62"/>
      <c r="H836" s="62"/>
      <c r="I836" s="62"/>
      <c r="J836" s="62"/>
      <c r="K836" s="62"/>
      <c r="L836" s="62"/>
      <c r="M836" s="86"/>
      <c r="N836" s="86"/>
      <c r="O836" s="87">
        <f>VLOOKUP($B836,BOM!$A$2:$K$94,10,0)</f>
        <v>0</v>
      </c>
      <c r="P836" s="87">
        <f t="shared" si="44"/>
        <v>0</v>
      </c>
      <c r="Q836" s="87">
        <f>VLOOKUP($B836,BOM!$A$2:$K$94,9,0)</f>
        <v>0</v>
      </c>
    </row>
    <row r="837" spans="1:17" s="45" customFormat="1">
      <c r="A837" s="141"/>
      <c r="B837" s="62" t="s">
        <v>225</v>
      </c>
      <c r="C837" s="62" t="s">
        <v>72</v>
      </c>
      <c r="D837" s="116" t="s">
        <v>64</v>
      </c>
      <c r="E837" s="85">
        <v>0</v>
      </c>
      <c r="F837" s="62"/>
      <c r="G837" s="62"/>
      <c r="H837" s="62"/>
      <c r="I837" s="62"/>
      <c r="J837" s="62"/>
      <c r="K837" s="62"/>
      <c r="L837" s="62" t="s">
        <v>5</v>
      </c>
      <c r="M837" s="86" t="s">
        <v>28</v>
      </c>
      <c r="N837" s="86" t="s">
        <v>3</v>
      </c>
      <c r="O837" s="87">
        <f>VLOOKUP($B837,BOM!$A$2:$K$94,10,0)</f>
        <v>0</v>
      </c>
      <c r="P837" s="87">
        <f t="shared" si="44"/>
        <v>0</v>
      </c>
      <c r="Q837" s="87" t="str">
        <f>VLOOKUP($B837,BOM!$A$2:$K$94,9,0)</f>
        <v>Cái</v>
      </c>
    </row>
    <row r="838" spans="1:17">
      <c r="A838" s="141"/>
      <c r="B838" s="81"/>
      <c r="C838" s="72" t="s">
        <v>31</v>
      </c>
      <c r="D838" s="72" t="s">
        <v>0</v>
      </c>
      <c r="E838" s="72">
        <v>1</v>
      </c>
      <c r="F838" s="72"/>
      <c r="G838" s="72"/>
      <c r="H838" s="72"/>
      <c r="I838" s="72"/>
      <c r="J838" s="72"/>
      <c r="K838" s="83"/>
      <c r="L838" s="83"/>
      <c r="M838" s="83"/>
      <c r="N838" s="83"/>
      <c r="O838" s="87">
        <f>VLOOKUP($B838,BOM!$A$2:$K$94,10,0)</f>
        <v>0</v>
      </c>
      <c r="P838" s="87">
        <f t="shared" si="44"/>
        <v>0</v>
      </c>
      <c r="Q838" s="84">
        <f>VLOOKUP($B838,BOM!$A$2:$K$94,9,0)</f>
        <v>0</v>
      </c>
    </row>
    <row r="839" spans="1:17">
      <c r="A839" s="141"/>
      <c r="B839" s="81"/>
      <c r="C839" s="72" t="s">
        <v>32</v>
      </c>
      <c r="D839" s="72"/>
      <c r="E839" s="72"/>
      <c r="F839" s="72"/>
      <c r="G839" s="72">
        <v>2</v>
      </c>
      <c r="H839" s="72"/>
      <c r="I839" s="72"/>
      <c r="J839" s="72"/>
      <c r="K839" s="83"/>
      <c r="L839" s="83"/>
      <c r="M839" s="83"/>
      <c r="N839" s="83"/>
      <c r="O839" s="87">
        <f>VLOOKUP($B839,BOM!$A$2:$K$94,10,0)</f>
        <v>0</v>
      </c>
      <c r="P839" s="87">
        <f t="shared" si="44"/>
        <v>0</v>
      </c>
      <c r="Q839" s="84">
        <f>VLOOKUP($B839,BOM!$A$2:$K$94,9,0)</f>
        <v>0</v>
      </c>
    </row>
    <row r="840" spans="1:17" s="45" customFormat="1" ht="20.45" customHeight="1">
      <c r="A840" s="141"/>
      <c r="B840" s="62" t="s">
        <v>33</v>
      </c>
      <c r="C840" s="62" t="s">
        <v>34</v>
      </c>
      <c r="D840" s="85" t="s">
        <v>3</v>
      </c>
      <c r="E840" s="90">
        <f>E841</f>
        <v>2</v>
      </c>
      <c r="F840" s="62"/>
      <c r="G840" s="62"/>
      <c r="H840" s="62"/>
      <c r="I840" s="62"/>
      <c r="J840" s="62"/>
      <c r="K840" s="62" t="s">
        <v>35</v>
      </c>
      <c r="L840" s="62" t="s">
        <v>5</v>
      </c>
      <c r="M840" s="86" t="s">
        <v>6</v>
      </c>
      <c r="N840" s="86" t="s">
        <v>3</v>
      </c>
      <c r="O840" s="87">
        <f>VLOOKUP($B840,BOM!$A$2:$K$94,10,0)</f>
        <v>0</v>
      </c>
      <c r="P840" s="87">
        <f t="shared" si="44"/>
        <v>0</v>
      </c>
      <c r="Q840" s="87" t="str">
        <f>VLOOKUP($B840,BOM!$A$2:$K$94,9,0)</f>
        <v>Cái</v>
      </c>
    </row>
    <row r="841" spans="1:17" s="45" customFormat="1">
      <c r="A841" s="141"/>
      <c r="B841" s="62" t="s">
        <v>330</v>
      </c>
      <c r="C841" s="62" t="s">
        <v>36</v>
      </c>
      <c r="D841" s="85" t="s">
        <v>3</v>
      </c>
      <c r="E841" s="90">
        <f>G839+H839</f>
        <v>2</v>
      </c>
      <c r="F841" s="62"/>
      <c r="G841" s="62"/>
      <c r="H841" s="62"/>
      <c r="I841" s="62"/>
      <c r="J841" s="62"/>
      <c r="K841" s="62" t="s">
        <v>37</v>
      </c>
      <c r="L841" s="62" t="s">
        <v>5</v>
      </c>
      <c r="M841" s="86" t="s">
        <v>37</v>
      </c>
      <c r="N841" s="86" t="s">
        <v>3</v>
      </c>
      <c r="O841" s="87">
        <f>VLOOKUP($B841,BOM!$A$2:$K$94,10,0)</f>
        <v>0</v>
      </c>
      <c r="P841" s="87">
        <f t="shared" si="44"/>
        <v>0</v>
      </c>
      <c r="Q841" s="87" t="str">
        <f>VLOOKUP($B841,BOM!$A$2:$K$94,9,0)</f>
        <v>Cái</v>
      </c>
    </row>
    <row r="842" spans="1:17" s="45" customFormat="1">
      <c r="A842" s="141"/>
      <c r="B842" s="62" t="s">
        <v>38</v>
      </c>
      <c r="C842" s="62" t="s">
        <v>39</v>
      </c>
      <c r="D842" s="85" t="s">
        <v>3</v>
      </c>
      <c r="E842" s="90">
        <f>E841</f>
        <v>2</v>
      </c>
      <c r="F842" s="62"/>
      <c r="G842" s="62"/>
      <c r="H842" s="62"/>
      <c r="I842" s="62"/>
      <c r="J842" s="62"/>
      <c r="K842" s="62" t="s">
        <v>25</v>
      </c>
      <c r="L842" s="62" t="s">
        <v>5</v>
      </c>
      <c r="M842" s="86" t="s">
        <v>6</v>
      </c>
      <c r="N842" s="86" t="s">
        <v>3</v>
      </c>
      <c r="O842" s="87">
        <f>VLOOKUP($B842,BOM!$A$2:$K$94,10,0)</f>
        <v>0</v>
      </c>
      <c r="P842" s="87">
        <f t="shared" ref="P842:P905" si="48">O842*E842</f>
        <v>0</v>
      </c>
      <c r="Q842" s="87" t="str">
        <f>VLOOKUP($B842,BOM!$A$2:$K$94,9,0)</f>
        <v>Cái</v>
      </c>
    </row>
    <row r="843" spans="1:17">
      <c r="A843" s="141"/>
      <c r="B843" s="81"/>
      <c r="C843" s="72" t="s">
        <v>40</v>
      </c>
      <c r="D843" s="72"/>
      <c r="E843" s="72"/>
      <c r="F843" s="72"/>
      <c r="G843" s="72">
        <v>5</v>
      </c>
      <c r="H843" s="72"/>
      <c r="I843" s="72"/>
      <c r="J843" s="72"/>
      <c r="K843" s="83"/>
      <c r="L843" s="83"/>
      <c r="M843" s="83"/>
      <c r="N843" s="83"/>
      <c r="O843" s="87">
        <f>VLOOKUP($B843,BOM!$A$2:$K$94,10,0)</f>
        <v>0</v>
      </c>
      <c r="P843" s="87">
        <f t="shared" si="48"/>
        <v>0</v>
      </c>
      <c r="Q843" s="84">
        <f>VLOOKUP($B843,BOM!$A$2:$K$94,9,0)</f>
        <v>0</v>
      </c>
    </row>
    <row r="844" spans="1:17" s="45" customFormat="1">
      <c r="A844" s="141"/>
      <c r="B844" s="62" t="s">
        <v>41</v>
      </c>
      <c r="C844" s="62" t="s">
        <v>42</v>
      </c>
      <c r="D844" s="85" t="s">
        <v>3</v>
      </c>
      <c r="E844" s="85">
        <f>G843+H843</f>
        <v>5</v>
      </c>
      <c r="F844" s="62"/>
      <c r="G844" s="62"/>
      <c r="H844" s="62"/>
      <c r="I844" s="62"/>
      <c r="J844" s="62"/>
      <c r="K844" s="62" t="s">
        <v>4</v>
      </c>
      <c r="L844" s="62" t="s">
        <v>5</v>
      </c>
      <c r="M844" s="86" t="s">
        <v>6</v>
      </c>
      <c r="N844" s="86" t="s">
        <v>3</v>
      </c>
      <c r="O844" s="87">
        <f>VLOOKUP($B844,BOM!$A$2:$K$94,10,0)</f>
        <v>0</v>
      </c>
      <c r="P844" s="87">
        <f t="shared" si="48"/>
        <v>0</v>
      </c>
      <c r="Q844" s="87" t="str">
        <f>VLOOKUP($B844,BOM!$A$2:$K$94,9,0)</f>
        <v>Cái</v>
      </c>
    </row>
    <row r="845" spans="1:17" s="45" customFormat="1">
      <c r="A845" s="141"/>
      <c r="B845" s="65" t="s">
        <v>43</v>
      </c>
      <c r="C845" s="65" t="s">
        <v>44</v>
      </c>
      <c r="D845" s="85" t="s">
        <v>3</v>
      </c>
      <c r="E845" s="85">
        <f>E844</f>
        <v>5</v>
      </c>
      <c r="F845" s="62"/>
      <c r="G845" s="62"/>
      <c r="H845" s="62"/>
      <c r="I845" s="62"/>
      <c r="J845" s="62"/>
      <c r="K845" s="62" t="s">
        <v>4</v>
      </c>
      <c r="L845" s="62" t="s">
        <v>5</v>
      </c>
      <c r="M845" s="86" t="s">
        <v>6</v>
      </c>
      <c r="N845" s="86" t="s">
        <v>3</v>
      </c>
      <c r="O845" s="87">
        <f>VLOOKUP($B845,BOM!$A$2:$K$94,10,0)</f>
        <v>0</v>
      </c>
      <c r="P845" s="87">
        <f t="shared" si="48"/>
        <v>0</v>
      </c>
      <c r="Q845" s="87" t="str">
        <f>VLOOKUP($B845,BOM!$A$2:$K$94,9,0)</f>
        <v>Cái</v>
      </c>
    </row>
    <row r="846" spans="1:17">
      <c r="A846" s="141"/>
      <c r="B846" s="81"/>
      <c r="C846" s="72" t="s">
        <v>45</v>
      </c>
      <c r="D846" s="72"/>
      <c r="E846" s="72"/>
      <c r="F846" s="72"/>
      <c r="G846" s="72"/>
      <c r="H846" s="72"/>
      <c r="I846" s="72"/>
      <c r="J846" s="72"/>
      <c r="K846" s="83"/>
      <c r="L846" s="83"/>
      <c r="M846" s="83"/>
      <c r="N846" s="83"/>
      <c r="O846" s="87">
        <f>VLOOKUP($B846,BOM!$A$2:$K$94,10,0)</f>
        <v>0</v>
      </c>
      <c r="P846" s="87">
        <f t="shared" si="48"/>
        <v>0</v>
      </c>
      <c r="Q846" s="84">
        <f>VLOOKUP($B846,BOM!$A$2:$K$94,9,0)</f>
        <v>0</v>
      </c>
    </row>
    <row r="847" spans="1:17" s="45" customFormat="1">
      <c r="A847" s="141"/>
      <c r="B847" s="62" t="s">
        <v>48</v>
      </c>
      <c r="C847" s="62" t="s">
        <v>49</v>
      </c>
      <c r="D847" s="85" t="s">
        <v>14</v>
      </c>
      <c r="E847" s="85">
        <f>E840+E844+1</f>
        <v>8</v>
      </c>
      <c r="F847" s="62"/>
      <c r="G847" s="62"/>
      <c r="H847" s="62"/>
      <c r="I847" s="62"/>
      <c r="J847" s="62"/>
      <c r="K847" s="62"/>
      <c r="L847" s="62" t="s">
        <v>5</v>
      </c>
      <c r="M847" s="86" t="s">
        <v>6</v>
      </c>
      <c r="N847" s="86" t="s">
        <v>15</v>
      </c>
      <c r="O847" s="87">
        <f>VLOOKUP($B847,BOM!$A$2:$K$94,10,0)</f>
        <v>0</v>
      </c>
      <c r="P847" s="87">
        <f t="shared" si="48"/>
        <v>0</v>
      </c>
      <c r="Q847" s="87" t="str">
        <f>VLOOKUP($B847,BOM!$A$2:$K$94,9,0)</f>
        <v>Sợi</v>
      </c>
    </row>
    <row r="848" spans="1:17" s="45" customFormat="1">
      <c r="A848" s="141"/>
      <c r="B848" s="62" t="s">
        <v>48</v>
      </c>
      <c r="C848" s="62" t="s">
        <v>49</v>
      </c>
      <c r="D848" s="85" t="s">
        <v>14</v>
      </c>
      <c r="E848" s="90">
        <f>ROUNDUP(E847*0.2,0)</f>
        <v>2</v>
      </c>
      <c r="F848" s="62"/>
      <c r="G848" s="62"/>
      <c r="H848" s="62"/>
      <c r="I848" s="62"/>
      <c r="J848" s="62"/>
      <c r="K848" s="62" t="s">
        <v>4</v>
      </c>
      <c r="L848" s="62" t="s">
        <v>5</v>
      </c>
      <c r="M848" s="86" t="s">
        <v>6</v>
      </c>
      <c r="N848" s="86" t="s">
        <v>15</v>
      </c>
      <c r="O848" s="87">
        <f>VLOOKUP($B848,BOM!$A$2:$K$94,10,0)</f>
        <v>0</v>
      </c>
      <c r="P848" s="87">
        <f t="shared" si="48"/>
        <v>0</v>
      </c>
      <c r="Q848" s="87" t="str">
        <f>VLOOKUP($B848,BOM!$A$2:$K$94,9,0)</f>
        <v>Sợi</v>
      </c>
    </row>
    <row r="849" spans="1:17">
      <c r="A849" s="141"/>
      <c r="B849" s="81"/>
      <c r="C849" s="72" t="s">
        <v>50</v>
      </c>
      <c r="D849" s="72"/>
      <c r="E849" s="72"/>
      <c r="F849" s="72"/>
      <c r="G849" s="72"/>
      <c r="H849" s="72"/>
      <c r="I849" s="72"/>
      <c r="J849" s="72"/>
      <c r="K849" s="83"/>
      <c r="L849" s="83"/>
      <c r="M849" s="83"/>
      <c r="N849" s="83"/>
      <c r="O849" s="87">
        <f>VLOOKUP($B849,BOM!$A$2:$K$94,10,0)</f>
        <v>0</v>
      </c>
      <c r="P849" s="87">
        <f t="shared" si="48"/>
        <v>0</v>
      </c>
      <c r="Q849" s="84">
        <f>VLOOKUP($B849,BOM!$A$2:$K$94,9,0)</f>
        <v>0</v>
      </c>
    </row>
    <row r="850" spans="1:17" s="45" customFormat="1">
      <c r="A850" s="141"/>
      <c r="B850" s="62" t="s">
        <v>332</v>
      </c>
      <c r="C850" s="62" t="s">
        <v>332</v>
      </c>
      <c r="D850" s="85" t="s">
        <v>51</v>
      </c>
      <c r="E850" s="85">
        <f>E835</f>
        <v>1</v>
      </c>
      <c r="F850" s="62"/>
      <c r="G850" s="62"/>
      <c r="H850" s="62"/>
      <c r="I850" s="62"/>
      <c r="J850" s="62"/>
      <c r="K850" s="62"/>
      <c r="L850" s="62"/>
      <c r="M850" s="86"/>
      <c r="N850" s="86" t="s">
        <v>51</v>
      </c>
      <c r="O850" s="87">
        <f>VLOOKUP($B850,BOM!$A$2:$K$94,10,0)</f>
        <v>0</v>
      </c>
      <c r="P850" s="87">
        <f t="shared" si="48"/>
        <v>0</v>
      </c>
      <c r="Q850" s="87" t="str">
        <f>VLOOKUP($B850,BOM!$A$2:$K$94,9,0)</f>
        <v>bộ</v>
      </c>
    </row>
    <row r="851" spans="1:17" s="45" customFormat="1">
      <c r="A851" s="141"/>
      <c r="B851" s="62" t="s">
        <v>52</v>
      </c>
      <c r="C851" s="62" t="s">
        <v>53</v>
      </c>
      <c r="D851" s="86" t="s">
        <v>54</v>
      </c>
      <c r="E851" s="105">
        <f>E848+E847</f>
        <v>10</v>
      </c>
      <c r="F851" s="62"/>
      <c r="G851" s="62"/>
      <c r="H851" s="62"/>
      <c r="I851" s="62"/>
      <c r="J851" s="62"/>
      <c r="K851" s="62"/>
      <c r="L851" s="62"/>
      <c r="M851" s="86" t="s">
        <v>55</v>
      </c>
      <c r="N851" s="86" t="s">
        <v>54</v>
      </c>
      <c r="O851" s="87">
        <f>VLOOKUP($B851,BOM!$A$2:$K$94,10,0)</f>
        <v>0</v>
      </c>
      <c r="P851" s="87">
        <f t="shared" si="48"/>
        <v>0</v>
      </c>
      <c r="Q851" s="87" t="str">
        <f>VLOOKUP($B851,BOM!$A$2:$K$94,9,0)</f>
        <v>node</v>
      </c>
    </row>
    <row r="852" spans="1:17" s="45" customFormat="1">
      <c r="A852" s="141"/>
      <c r="B852" s="62" t="s">
        <v>56</v>
      </c>
      <c r="C852" s="62" t="s">
        <v>57</v>
      </c>
      <c r="D852" s="86" t="s">
        <v>14</v>
      </c>
      <c r="E852" s="105">
        <f>E821+E817</f>
        <v>6</v>
      </c>
      <c r="F852" s="62"/>
      <c r="G852" s="62"/>
      <c r="H852" s="62"/>
      <c r="I852" s="62"/>
      <c r="J852" s="62"/>
      <c r="K852" s="62"/>
      <c r="L852" s="62"/>
      <c r="M852" s="86" t="s">
        <v>55</v>
      </c>
      <c r="N852" s="86" t="s">
        <v>14</v>
      </c>
      <c r="O852" s="87">
        <f>VLOOKUP($B852,BOM!$A$2:$K$94,10,0)</f>
        <v>0</v>
      </c>
      <c r="P852" s="87">
        <f t="shared" si="48"/>
        <v>0</v>
      </c>
      <c r="Q852" s="87" t="str">
        <f>VLOOKUP($B852,BOM!$A$2:$K$94,9,0)</f>
        <v>sợi</v>
      </c>
    </row>
    <row r="853" spans="1:17" s="45" customFormat="1">
      <c r="A853" s="141"/>
      <c r="B853" s="62" t="s">
        <v>58</v>
      </c>
      <c r="C853" s="62" t="s">
        <v>59</v>
      </c>
      <c r="D853" s="86" t="s">
        <v>60</v>
      </c>
      <c r="E853" s="105">
        <f>E852*2</f>
        <v>12</v>
      </c>
      <c r="F853" s="62"/>
      <c r="G853" s="62"/>
      <c r="H853" s="62"/>
      <c r="I853" s="62"/>
      <c r="J853" s="62"/>
      <c r="K853" s="62"/>
      <c r="L853" s="62"/>
      <c r="M853" s="86" t="s">
        <v>61</v>
      </c>
      <c r="N853" s="86" t="s">
        <v>60</v>
      </c>
      <c r="O853" s="87">
        <f>VLOOKUP($B853,BOM!$A$2:$K$94,10,0)</f>
        <v>0</v>
      </c>
      <c r="P853" s="87">
        <f t="shared" si="48"/>
        <v>0</v>
      </c>
      <c r="Q853" s="87" t="str">
        <f>VLOOKUP($B853,BOM!$A$2:$K$94,9,0)</f>
        <v>đầu</v>
      </c>
    </row>
    <row r="854" spans="1:17" s="45" customFormat="1">
      <c r="A854" s="141"/>
      <c r="B854" s="62" t="s">
        <v>62</v>
      </c>
      <c r="C854" s="62" t="s">
        <v>63</v>
      </c>
      <c r="D854" s="86" t="s">
        <v>64</v>
      </c>
      <c r="E854" s="105">
        <f>E831</f>
        <v>1</v>
      </c>
      <c r="F854" s="62"/>
      <c r="G854" s="62"/>
      <c r="H854" s="62"/>
      <c r="I854" s="62"/>
      <c r="J854" s="62"/>
      <c r="K854" s="62"/>
      <c r="L854" s="62"/>
      <c r="M854" s="86" t="s">
        <v>61</v>
      </c>
      <c r="N854" s="86" t="s">
        <v>64</v>
      </c>
      <c r="O854" s="87">
        <f>VLOOKUP($B854,BOM!$A$2:$K$94,10,0)</f>
        <v>0</v>
      </c>
      <c r="P854" s="87">
        <f t="shared" si="48"/>
        <v>0</v>
      </c>
      <c r="Q854" s="87" t="str">
        <f>VLOOKUP($B854,BOM!$A$2:$K$94,9,0)</f>
        <v>cái</v>
      </c>
    </row>
    <row r="855" spans="1:17" s="140" customFormat="1">
      <c r="A855" s="134">
        <v>18</v>
      </c>
      <c r="B855" s="135"/>
      <c r="C855" s="71" t="s">
        <v>88</v>
      </c>
      <c r="D855" s="136" t="s">
        <v>0</v>
      </c>
      <c r="E855" s="134">
        <v>1</v>
      </c>
      <c r="F855" s="134"/>
      <c r="G855" s="134">
        <v>12</v>
      </c>
      <c r="H855" s="134"/>
      <c r="I855" s="134"/>
      <c r="J855" s="137">
        <f>SUBTOTAL(9,J858:J882)</f>
        <v>15</v>
      </c>
      <c r="K855" s="137"/>
      <c r="L855" s="137"/>
      <c r="M855" s="137"/>
      <c r="N855" s="137"/>
      <c r="O855" s="87">
        <f>VLOOKUP($B855,BOM!$A$2:$K$94,10,0)</f>
        <v>0</v>
      </c>
      <c r="P855" s="87">
        <f t="shared" si="48"/>
        <v>0</v>
      </c>
      <c r="Q855" s="139">
        <f>VLOOKUP($B855,BOM!$A$2:$K$94,9,0)</f>
        <v>0</v>
      </c>
    </row>
    <row r="856" spans="1:17">
      <c r="A856" s="141"/>
      <c r="B856" s="81"/>
      <c r="C856" s="72" t="s">
        <v>124</v>
      </c>
      <c r="D856" s="72" t="s">
        <v>0</v>
      </c>
      <c r="E856" s="72">
        <v>1</v>
      </c>
      <c r="F856" s="72"/>
      <c r="G856" s="72"/>
      <c r="H856" s="72"/>
      <c r="I856" s="72"/>
      <c r="J856" s="72"/>
      <c r="K856" s="83"/>
      <c r="L856" s="83"/>
      <c r="M856" s="83"/>
      <c r="N856" s="83"/>
      <c r="O856" s="87">
        <f>VLOOKUP($B856,BOM!$A$2:$K$94,10,0)</f>
        <v>0</v>
      </c>
      <c r="P856" s="87">
        <f t="shared" si="48"/>
        <v>0</v>
      </c>
      <c r="Q856" s="84">
        <f>VLOOKUP($B856,BOM!$A$2:$K$94,9,0)</f>
        <v>0</v>
      </c>
    </row>
    <row r="857" spans="1:17" s="19" customFormat="1">
      <c r="A857" s="141"/>
      <c r="B857" s="192" t="s">
        <v>343</v>
      </c>
      <c r="C857" s="21" t="s">
        <v>227</v>
      </c>
      <c r="D857" s="21"/>
      <c r="E857" s="22">
        <v>1</v>
      </c>
      <c r="F857" s="21"/>
      <c r="G857" s="21"/>
      <c r="H857" s="21"/>
      <c r="I857" s="21"/>
      <c r="J857" s="21"/>
      <c r="K857" s="21" t="s">
        <v>4</v>
      </c>
      <c r="L857" s="21" t="s">
        <v>5</v>
      </c>
      <c r="M857" s="22" t="s">
        <v>22</v>
      </c>
      <c r="N857" s="22" t="s">
        <v>3</v>
      </c>
      <c r="O857" s="87" t="e">
        <f>VLOOKUP($B857,BOM!$A$2:$K$94,10,0)</f>
        <v>#N/A</v>
      </c>
      <c r="P857" s="87" t="e">
        <f t="shared" si="48"/>
        <v>#N/A</v>
      </c>
      <c r="Q857" s="142" t="e">
        <f>VLOOKUP($B857,BOM!$A$2:$K$94,9,0)</f>
        <v>#N/A</v>
      </c>
    </row>
    <row r="858" spans="1:17" s="19" customFormat="1">
      <c r="A858" s="141"/>
      <c r="B858" s="21" t="s">
        <v>122</v>
      </c>
      <c r="C858" s="21" t="s">
        <v>123</v>
      </c>
      <c r="D858" s="21"/>
      <c r="E858" s="22">
        <v>1</v>
      </c>
      <c r="F858" s="21"/>
      <c r="G858" s="21"/>
      <c r="H858" s="21"/>
      <c r="I858" s="21"/>
      <c r="J858" s="21">
        <f>E858</f>
        <v>1</v>
      </c>
      <c r="K858" s="21" t="s">
        <v>4</v>
      </c>
      <c r="L858" s="21" t="s">
        <v>5</v>
      </c>
      <c r="M858" s="22" t="s">
        <v>22</v>
      </c>
      <c r="N858" s="22" t="s">
        <v>3</v>
      </c>
      <c r="O858" s="87">
        <f>VLOOKUP($B858,BOM!$A$2:$K$94,10,0)</f>
        <v>0</v>
      </c>
      <c r="P858" s="87">
        <f t="shared" si="48"/>
        <v>0</v>
      </c>
      <c r="Q858" s="142" t="str">
        <f>VLOOKUP($B858,BOM!$A$2:$K$94,9,0)</f>
        <v>Cái</v>
      </c>
    </row>
    <row r="859" spans="1:17">
      <c r="A859" s="141"/>
      <c r="B859" s="81"/>
      <c r="C859" s="72" t="s">
        <v>1</v>
      </c>
      <c r="D859" s="72" t="s">
        <v>0</v>
      </c>
      <c r="E859" s="72">
        <v>1</v>
      </c>
      <c r="F859" s="72"/>
      <c r="G859" s="72">
        <f>ROUNDUP(G855/24,0)</f>
        <v>1</v>
      </c>
      <c r="H859" s="72">
        <f t="shared" ref="H859" si="49">ROUNDUP(H855/24,0)</f>
        <v>0</v>
      </c>
      <c r="I859" s="72"/>
      <c r="J859" s="72"/>
      <c r="K859" s="83"/>
      <c r="L859" s="83"/>
      <c r="M859" s="83"/>
      <c r="N859" s="83"/>
      <c r="O859" s="87">
        <f>VLOOKUP($B859,BOM!$A$2:$K$94,10,0)</f>
        <v>0</v>
      </c>
      <c r="P859" s="87">
        <f t="shared" si="48"/>
        <v>0</v>
      </c>
      <c r="Q859" s="84">
        <f>VLOOKUP($B859,BOM!$A$2:$K$94,9,0)</f>
        <v>0</v>
      </c>
    </row>
    <row r="860" spans="1:17" s="45" customFormat="1">
      <c r="A860" s="141"/>
      <c r="B860" s="62">
        <v>760249997</v>
      </c>
      <c r="C860" s="62" t="s">
        <v>2</v>
      </c>
      <c r="D860" s="85" t="s">
        <v>3</v>
      </c>
      <c r="E860" s="85">
        <f>ROUNDUP((E862+E866)/3,0)</f>
        <v>1</v>
      </c>
      <c r="F860" s="62"/>
      <c r="G860" s="62"/>
      <c r="H860" s="62"/>
      <c r="I860" s="62"/>
      <c r="J860" s="21">
        <f>E860</f>
        <v>1</v>
      </c>
      <c r="K860" s="62" t="s">
        <v>4</v>
      </c>
      <c r="L860" s="62" t="s">
        <v>5</v>
      </c>
      <c r="M860" s="86" t="s">
        <v>6</v>
      </c>
      <c r="N860" s="86" t="s">
        <v>3</v>
      </c>
      <c r="O860" s="87">
        <f>VLOOKUP($B860,BOM!$A$2:$K$94,10,0)</f>
        <v>0</v>
      </c>
      <c r="P860" s="87">
        <f t="shared" si="48"/>
        <v>0</v>
      </c>
      <c r="Q860" s="87" t="str">
        <f>VLOOKUP($B860,BOM!$A$2:$K$94,9,0)</f>
        <v>Cái</v>
      </c>
    </row>
    <row r="861" spans="1:17" s="45" customFormat="1">
      <c r="A861" s="141"/>
      <c r="B861" s="62">
        <v>760241378</v>
      </c>
      <c r="C861" s="62" t="s">
        <v>7</v>
      </c>
      <c r="D861" s="85" t="s">
        <v>3</v>
      </c>
      <c r="E861" s="85">
        <f>IF(E862&lt;=2,1,ROUNDUP(E860*1.5,0))</f>
        <v>1</v>
      </c>
      <c r="F861" s="62"/>
      <c r="G861" s="62"/>
      <c r="H861" s="62"/>
      <c r="I861" s="62"/>
      <c r="J861" s="62"/>
      <c r="K861" s="62" t="s">
        <v>4</v>
      </c>
      <c r="L861" s="62" t="s">
        <v>5</v>
      </c>
      <c r="M861" s="86" t="s">
        <v>6</v>
      </c>
      <c r="N861" s="86" t="s">
        <v>3</v>
      </c>
      <c r="O861" s="87">
        <f>VLOOKUP($B861,BOM!$A$2:$K$94,10,0)</f>
        <v>0</v>
      </c>
      <c r="P861" s="87">
        <f t="shared" si="48"/>
        <v>0</v>
      </c>
      <c r="Q861" s="87" t="str">
        <f>VLOOKUP($B861,BOM!$A$2:$K$94,9,0)</f>
        <v>Cái</v>
      </c>
    </row>
    <row r="862" spans="1:17" s="45" customFormat="1">
      <c r="A862" s="141"/>
      <c r="B862" s="62" t="s">
        <v>8</v>
      </c>
      <c r="C862" s="62" t="s">
        <v>9</v>
      </c>
      <c r="D862" s="85" t="s">
        <v>3</v>
      </c>
      <c r="E862" s="85">
        <f>G859</f>
        <v>1</v>
      </c>
      <c r="F862" s="62"/>
      <c r="G862" s="62"/>
      <c r="H862" s="62"/>
      <c r="I862" s="62"/>
      <c r="J862" s="62"/>
      <c r="K862" s="62" t="s">
        <v>4</v>
      </c>
      <c r="L862" s="62" t="s">
        <v>5</v>
      </c>
      <c r="M862" s="86" t="s">
        <v>6</v>
      </c>
      <c r="N862" s="86" t="s">
        <v>3</v>
      </c>
      <c r="O862" s="87">
        <f>VLOOKUP($B862,BOM!$A$2:$K$94,10,0)</f>
        <v>0</v>
      </c>
      <c r="P862" s="87">
        <f t="shared" si="48"/>
        <v>0</v>
      </c>
      <c r="Q862" s="87" t="str">
        <f>VLOOKUP($B862,BOM!$A$2:$K$94,9,0)</f>
        <v>Cái</v>
      </c>
    </row>
    <row r="863" spans="1:17" s="45" customFormat="1">
      <c r="A863" s="141"/>
      <c r="B863" s="62" t="s">
        <v>10</v>
      </c>
      <c r="C863" s="62" t="s">
        <v>11</v>
      </c>
      <c r="D863" s="85" t="s">
        <v>3</v>
      </c>
      <c r="E863" s="85">
        <f>E860*3-E862-E866</f>
        <v>2</v>
      </c>
      <c r="F863" s="62"/>
      <c r="G863" s="62"/>
      <c r="H863" s="62"/>
      <c r="I863" s="62"/>
      <c r="J863" s="62"/>
      <c r="K863" s="62" t="s">
        <v>4</v>
      </c>
      <c r="L863" s="62" t="s">
        <v>5</v>
      </c>
      <c r="M863" s="86" t="s">
        <v>6</v>
      </c>
      <c r="N863" s="86" t="s">
        <v>3</v>
      </c>
      <c r="O863" s="87">
        <f>VLOOKUP($B863,BOM!$A$2:$K$94,10,0)</f>
        <v>0</v>
      </c>
      <c r="P863" s="87">
        <f t="shared" si="48"/>
        <v>0</v>
      </c>
      <c r="Q863" s="87" t="str">
        <f>VLOOKUP($B863,BOM!$A$2:$K$94,9,0)</f>
        <v>Cái</v>
      </c>
    </row>
    <row r="864" spans="1:17" s="45" customFormat="1">
      <c r="A864" s="141"/>
      <c r="B864" s="62" t="s">
        <v>12</v>
      </c>
      <c r="C864" s="62" t="s">
        <v>13</v>
      </c>
      <c r="D864" s="85" t="s">
        <v>14</v>
      </c>
      <c r="E864" s="85">
        <f>G855/2</f>
        <v>6</v>
      </c>
      <c r="F864" s="62"/>
      <c r="G864" s="62"/>
      <c r="H864" s="62"/>
      <c r="I864" s="62"/>
      <c r="J864" s="62"/>
      <c r="K864" s="62" t="s">
        <v>4</v>
      </c>
      <c r="L864" s="62" t="s">
        <v>5</v>
      </c>
      <c r="M864" s="86" t="s">
        <v>6</v>
      </c>
      <c r="N864" s="86" t="s">
        <v>15</v>
      </c>
      <c r="O864" s="87">
        <f>VLOOKUP($B864,BOM!$A$2:$K$94,10,0)</f>
        <v>0</v>
      </c>
      <c r="P864" s="87">
        <f t="shared" si="48"/>
        <v>0</v>
      </c>
      <c r="Q864" s="87" t="str">
        <f>VLOOKUP($B864,BOM!$A$2:$K$94,9,0)</f>
        <v>Sợi</v>
      </c>
    </row>
    <row r="865" spans="1:17" s="45" customFormat="1">
      <c r="A865" s="141"/>
      <c r="B865" s="62" t="s">
        <v>16</v>
      </c>
      <c r="C865" s="62" t="s">
        <v>17</v>
      </c>
      <c r="D865" s="85" t="s">
        <v>14</v>
      </c>
      <c r="E865" s="85">
        <f>ROUNDUP((E872*1.3),0)</f>
        <v>3</v>
      </c>
      <c r="F865" s="62"/>
      <c r="G865" s="62"/>
      <c r="H865" s="62"/>
      <c r="I865" s="62"/>
      <c r="J865" s="62"/>
      <c r="K865" s="62" t="s">
        <v>4</v>
      </c>
      <c r="L865" s="62" t="s">
        <v>5</v>
      </c>
      <c r="M865" s="86" t="s">
        <v>6</v>
      </c>
      <c r="N865" s="86" t="s">
        <v>15</v>
      </c>
      <c r="O865" s="87">
        <f>VLOOKUP($B865,BOM!$A$2:$K$94,10,0)</f>
        <v>0</v>
      </c>
      <c r="P865" s="87">
        <f t="shared" si="48"/>
        <v>0</v>
      </c>
      <c r="Q865" s="87" t="str">
        <f>VLOOKUP($B865,BOM!$A$2:$K$94,9,0)</f>
        <v>Sợi</v>
      </c>
    </row>
    <row r="866" spans="1:17" s="110" customFormat="1">
      <c r="A866" s="141"/>
      <c r="B866" s="66" t="s">
        <v>198</v>
      </c>
      <c r="C866" s="66" t="s">
        <v>199</v>
      </c>
      <c r="D866" s="89" t="s">
        <v>3</v>
      </c>
      <c r="E866" s="89">
        <f>H859</f>
        <v>0</v>
      </c>
      <c r="F866" s="66"/>
      <c r="G866" s="66"/>
      <c r="H866" s="66"/>
      <c r="I866" s="66"/>
      <c r="J866" s="66"/>
      <c r="K866" s="108" t="s">
        <v>4</v>
      </c>
      <c r="L866" s="108" t="s">
        <v>5</v>
      </c>
      <c r="M866" s="109" t="s">
        <v>6</v>
      </c>
      <c r="N866" s="109" t="s">
        <v>15</v>
      </c>
      <c r="O866" s="87">
        <f>VLOOKUP($B866,BOM!$A$2:$K$94,10,0)</f>
        <v>0</v>
      </c>
      <c r="P866" s="87">
        <f t="shared" si="48"/>
        <v>0</v>
      </c>
      <c r="Q866" s="146" t="str">
        <f>VLOOKUP($B866,BOM!$A$2:$K$94,9,0)</f>
        <v>Cái</v>
      </c>
    </row>
    <row r="867" spans="1:17" s="111" customFormat="1">
      <c r="A867" s="141"/>
      <c r="B867" s="66" t="s">
        <v>194</v>
      </c>
      <c r="C867" s="66" t="s">
        <v>195</v>
      </c>
      <c r="D867" s="89" t="s">
        <v>14</v>
      </c>
      <c r="E867" s="89">
        <f>ROUNDUP((E871*1.3),0)</f>
        <v>0</v>
      </c>
      <c r="F867" s="108"/>
      <c r="G867" s="108"/>
      <c r="H867" s="108"/>
      <c r="I867" s="108"/>
      <c r="J867" s="108"/>
      <c r="K867" s="108" t="s">
        <v>4</v>
      </c>
      <c r="L867" s="108" t="s">
        <v>5</v>
      </c>
      <c r="M867" s="109" t="s">
        <v>6</v>
      </c>
      <c r="N867" s="109" t="s">
        <v>15</v>
      </c>
      <c r="O867" s="87">
        <f>VLOOKUP($B867,BOM!$A$2:$K$94,10,0)</f>
        <v>0</v>
      </c>
      <c r="P867" s="87">
        <f t="shared" si="48"/>
        <v>0</v>
      </c>
      <c r="Q867" s="146" t="str">
        <f>VLOOKUP($B867,BOM!$A$2:$K$94,9,0)</f>
        <v>Cái</v>
      </c>
    </row>
    <row r="868" spans="1:17" s="110" customFormat="1">
      <c r="A868" s="141"/>
      <c r="B868" s="66" t="s">
        <v>196</v>
      </c>
      <c r="C868" s="66" t="s">
        <v>197</v>
      </c>
      <c r="D868" s="89" t="s">
        <v>14</v>
      </c>
      <c r="E868" s="89">
        <f>H855/2</f>
        <v>0</v>
      </c>
      <c r="F868" s="66"/>
      <c r="G868" s="66"/>
      <c r="H868" s="66"/>
      <c r="I868" s="66"/>
      <c r="J868" s="66"/>
      <c r="K868" s="108" t="s">
        <v>4</v>
      </c>
      <c r="L868" s="108" t="s">
        <v>5</v>
      </c>
      <c r="M868" s="109" t="s">
        <v>6</v>
      </c>
      <c r="N868" s="109" t="s">
        <v>15</v>
      </c>
      <c r="O868" s="87">
        <f>VLOOKUP($B868,BOM!$A$2:$K$94,10,0)</f>
        <v>0</v>
      </c>
      <c r="P868" s="87">
        <f t="shared" si="48"/>
        <v>0</v>
      </c>
      <c r="Q868" s="146" t="str">
        <f>VLOOKUP($B868,BOM!$A$2:$K$94,9,0)</f>
        <v>Cái</v>
      </c>
    </row>
    <row r="869" spans="1:17">
      <c r="A869" s="141"/>
      <c r="B869" s="81"/>
      <c r="C869" s="72" t="s">
        <v>26</v>
      </c>
      <c r="D869" s="72" t="s">
        <v>0</v>
      </c>
      <c r="E869" s="72">
        <v>1</v>
      </c>
      <c r="F869" s="72"/>
      <c r="G869" s="72"/>
      <c r="H869" s="72"/>
      <c r="I869" s="72"/>
      <c r="J869" s="72"/>
      <c r="K869" s="83"/>
      <c r="L869" s="83"/>
      <c r="M869" s="83"/>
      <c r="N869" s="83"/>
      <c r="O869" s="87">
        <f>VLOOKUP($B869,BOM!$A$2:$K$94,10,0)</f>
        <v>0</v>
      </c>
      <c r="P869" s="87">
        <f t="shared" si="48"/>
        <v>0</v>
      </c>
      <c r="Q869" s="84">
        <f>VLOOKUP($B869,BOM!$A$2:$K$94,9,0)</f>
        <v>0</v>
      </c>
    </row>
    <row r="870" spans="1:17" ht="60">
      <c r="A870" s="147"/>
      <c r="B870" s="67" t="s">
        <v>228</v>
      </c>
      <c r="C870" s="187" t="s">
        <v>324</v>
      </c>
      <c r="D870" s="90" t="s">
        <v>51</v>
      </c>
      <c r="E870" s="90">
        <v>1</v>
      </c>
      <c r="F870" s="65"/>
      <c r="G870" s="65"/>
      <c r="H870" s="65"/>
      <c r="I870" s="65"/>
      <c r="J870" s="103">
        <f>E870</f>
        <v>1</v>
      </c>
      <c r="K870" s="65" t="s">
        <v>143</v>
      </c>
      <c r="L870" s="65" t="s">
        <v>151</v>
      </c>
      <c r="M870" s="90" t="s">
        <v>154</v>
      </c>
      <c r="N870" s="90" t="s">
        <v>51</v>
      </c>
      <c r="O870" s="87">
        <f>VLOOKUP($B870,BOM!$A$2:$K$94,10,0)</f>
        <v>0</v>
      </c>
      <c r="P870" s="87">
        <f t="shared" si="48"/>
        <v>0</v>
      </c>
      <c r="Q870" s="151" t="str">
        <f>VLOOKUP($B870,BOM!$A$2:$K$94,9,0)</f>
        <v>cái</v>
      </c>
    </row>
    <row r="871" spans="1:17" s="111" customFormat="1">
      <c r="A871" s="120"/>
      <c r="B871" s="68" t="s">
        <v>216</v>
      </c>
      <c r="C871" s="68" t="s">
        <v>217</v>
      </c>
      <c r="D871" s="89" t="s">
        <v>64</v>
      </c>
      <c r="E871" s="89">
        <v>0</v>
      </c>
      <c r="F871" s="124"/>
      <c r="G871" s="124"/>
      <c r="H871" s="124"/>
      <c r="I871" s="124"/>
      <c r="J871" s="124"/>
      <c r="K871" s="124" t="s">
        <v>143</v>
      </c>
      <c r="L871" s="124" t="s">
        <v>151</v>
      </c>
      <c r="M871" s="89" t="s">
        <v>154</v>
      </c>
      <c r="N871" s="89" t="s">
        <v>64</v>
      </c>
      <c r="O871" s="87">
        <f>VLOOKUP($B871,BOM!$A$2:$K$94,10,0)</f>
        <v>0</v>
      </c>
      <c r="P871" s="87">
        <f t="shared" si="48"/>
        <v>0</v>
      </c>
      <c r="Q871" s="152" t="str">
        <f>VLOOKUP($B871,BOM!$A$2:$K$94,9,0)</f>
        <v>cái</v>
      </c>
    </row>
    <row r="872" spans="1:17" s="45" customFormat="1">
      <c r="A872" s="141"/>
      <c r="B872" s="64" t="s">
        <v>212</v>
      </c>
      <c r="C872" s="64" t="s">
        <v>213</v>
      </c>
      <c r="D872" s="97" t="s">
        <v>64</v>
      </c>
      <c r="E872" s="98">
        <v>2</v>
      </c>
      <c r="F872" s="95"/>
      <c r="G872" s="95"/>
      <c r="H872" s="95"/>
      <c r="I872" s="95"/>
      <c r="J872" s="95"/>
      <c r="K872" s="95" t="s">
        <v>143</v>
      </c>
      <c r="L872" s="95" t="s">
        <v>151</v>
      </c>
      <c r="M872" s="97" t="s">
        <v>154</v>
      </c>
      <c r="N872" s="97" t="s">
        <v>64</v>
      </c>
      <c r="O872" s="87">
        <f>VLOOKUP($B872,BOM!$A$2:$K$94,10,0)</f>
        <v>0</v>
      </c>
      <c r="P872" s="87">
        <f t="shared" si="48"/>
        <v>0</v>
      </c>
      <c r="Q872" s="153" t="str">
        <f>VLOOKUP($B872,BOM!$A$2:$K$94,9,0)</f>
        <v>cái</v>
      </c>
    </row>
    <row r="873" spans="1:17" s="45" customFormat="1">
      <c r="A873" s="141"/>
      <c r="B873" s="62"/>
      <c r="C873" s="62"/>
      <c r="D873" s="85"/>
      <c r="E873" s="90"/>
      <c r="F873" s="62"/>
      <c r="G873" s="62"/>
      <c r="H873" s="62"/>
      <c r="I873" s="62"/>
      <c r="J873" s="62"/>
      <c r="K873" s="62"/>
      <c r="L873" s="62"/>
      <c r="M873" s="86"/>
      <c r="N873" s="86"/>
      <c r="O873" s="87">
        <f>VLOOKUP($B873,BOM!$A$2:$K$94,10,0)</f>
        <v>0</v>
      </c>
      <c r="P873" s="87">
        <f t="shared" si="48"/>
        <v>0</v>
      </c>
      <c r="Q873" s="87">
        <f>VLOOKUP($B873,BOM!$A$2:$K$94,9,0)</f>
        <v>0</v>
      </c>
    </row>
    <row r="874" spans="1:17" s="45" customFormat="1">
      <c r="A874" s="141"/>
      <c r="B874" s="62"/>
      <c r="C874" s="62"/>
      <c r="D874" s="85"/>
      <c r="E874" s="90"/>
      <c r="F874" s="62"/>
      <c r="G874" s="62"/>
      <c r="H874" s="62"/>
      <c r="I874" s="62"/>
      <c r="J874" s="62"/>
      <c r="K874" s="62"/>
      <c r="L874" s="62"/>
      <c r="M874" s="86"/>
      <c r="N874" s="86"/>
      <c r="O874" s="87">
        <f>VLOOKUP($B874,BOM!$A$2:$K$94,10,0)</f>
        <v>0</v>
      </c>
      <c r="P874" s="87">
        <f t="shared" si="48"/>
        <v>0</v>
      </c>
      <c r="Q874" s="87">
        <f>VLOOKUP($B874,BOM!$A$2:$K$94,9,0)</f>
        <v>0</v>
      </c>
    </row>
    <row r="875" spans="1:17">
      <c r="A875" s="141"/>
      <c r="B875" s="81"/>
      <c r="C875" s="72" t="s">
        <v>67</v>
      </c>
      <c r="D875" s="72" t="s">
        <v>0</v>
      </c>
      <c r="E875" s="120">
        <v>1</v>
      </c>
      <c r="F875" s="72"/>
      <c r="G875" s="72"/>
      <c r="H875" s="72" t="s">
        <v>69</v>
      </c>
      <c r="I875" s="72"/>
      <c r="J875" s="21">
        <f t="shared" ref="J875:J876" si="50">E875</f>
        <v>1</v>
      </c>
      <c r="K875" s="83"/>
      <c r="L875" s="83"/>
      <c r="M875" s="83"/>
      <c r="N875" s="83"/>
      <c r="O875" s="87">
        <f>VLOOKUP($B875,BOM!$A$2:$K$94,10,0)</f>
        <v>0</v>
      </c>
      <c r="P875" s="87">
        <f t="shared" si="48"/>
        <v>0</v>
      </c>
      <c r="Q875" s="84">
        <f>VLOOKUP($B875,BOM!$A$2:$K$94,9,0)</f>
        <v>0</v>
      </c>
    </row>
    <row r="876" spans="1:17" outlineLevel="1">
      <c r="A876" s="141"/>
      <c r="B876" s="117"/>
      <c r="C876" s="61" t="s">
        <v>70</v>
      </c>
      <c r="D876" s="119" t="s">
        <v>0</v>
      </c>
      <c r="E876" s="120">
        <v>1</v>
      </c>
      <c r="F876" s="121"/>
      <c r="G876" s="121"/>
      <c r="H876" s="121" t="s">
        <v>69</v>
      </c>
      <c r="I876" s="122"/>
      <c r="J876" s="21">
        <f t="shared" si="50"/>
        <v>1</v>
      </c>
      <c r="K876" s="63"/>
      <c r="L876" s="63"/>
      <c r="M876" s="63"/>
      <c r="N876" s="63"/>
      <c r="O876" s="87">
        <f>VLOOKUP($B876,BOM!$A$2:$K$94,10,0)</f>
        <v>0</v>
      </c>
      <c r="P876" s="87">
        <f t="shared" si="48"/>
        <v>0</v>
      </c>
      <c r="Q876" s="80">
        <f>VLOOKUP($B876,BOM!$A$2:$K$94,9,0)</f>
        <v>0</v>
      </c>
    </row>
    <row r="877" spans="1:17">
      <c r="A877" s="141"/>
      <c r="B877" s="81"/>
      <c r="C877" s="72" t="s">
        <v>18</v>
      </c>
      <c r="D877" s="72" t="s">
        <v>0</v>
      </c>
      <c r="E877" s="72">
        <v>1</v>
      </c>
      <c r="F877" s="72"/>
      <c r="G877" s="72"/>
      <c r="H877" s="72"/>
      <c r="I877" s="72"/>
      <c r="J877" s="72"/>
      <c r="K877" s="83"/>
      <c r="L877" s="83"/>
      <c r="M877" s="83"/>
      <c r="N877" s="83"/>
      <c r="O877" s="87">
        <f>VLOOKUP($B877,BOM!$A$2:$K$94,10,0)</f>
        <v>0</v>
      </c>
      <c r="P877" s="87">
        <f t="shared" si="48"/>
        <v>0</v>
      </c>
      <c r="Q877" s="84">
        <f>VLOOKUP($B877,BOM!$A$2:$K$94,9,0)</f>
        <v>0</v>
      </c>
    </row>
    <row r="878" spans="1:17" s="45" customFormat="1">
      <c r="A878" s="141"/>
      <c r="B878" s="62">
        <v>760237046</v>
      </c>
      <c r="C878" s="62" t="s">
        <v>19</v>
      </c>
      <c r="D878" s="85" t="s">
        <v>3</v>
      </c>
      <c r="E878" s="85">
        <f>E870+E873</f>
        <v>1</v>
      </c>
      <c r="F878" s="62"/>
      <c r="G878" s="62"/>
      <c r="H878" s="62"/>
      <c r="I878" s="62"/>
      <c r="J878" s="21">
        <f>E878</f>
        <v>1</v>
      </c>
      <c r="K878" s="62" t="s">
        <v>4</v>
      </c>
      <c r="L878" s="62" t="s">
        <v>5</v>
      </c>
      <c r="M878" s="86" t="s">
        <v>6</v>
      </c>
      <c r="N878" s="86" t="s">
        <v>3</v>
      </c>
      <c r="O878" s="87">
        <f>VLOOKUP($B878,BOM!$A$2:$K$94,10,0)</f>
        <v>0</v>
      </c>
      <c r="P878" s="87">
        <f t="shared" si="48"/>
        <v>0</v>
      </c>
      <c r="Q878" s="87" t="str">
        <f>VLOOKUP($B878,BOM!$A$2:$K$94,9,0)</f>
        <v>Cái</v>
      </c>
    </row>
    <row r="879" spans="1:17" s="45" customFormat="1">
      <c r="A879" s="141"/>
      <c r="B879" s="62" t="s">
        <v>23</v>
      </c>
      <c r="C879" s="62" t="s">
        <v>24</v>
      </c>
      <c r="D879" s="85" t="s">
        <v>3</v>
      </c>
      <c r="E879" s="85">
        <f>E878*24</f>
        <v>24</v>
      </c>
      <c r="F879" s="62"/>
      <c r="G879" s="62"/>
      <c r="H879" s="62"/>
      <c r="I879" s="62"/>
      <c r="J879" s="62"/>
      <c r="K879" s="62" t="s">
        <v>25</v>
      </c>
      <c r="L879" s="62" t="s">
        <v>5</v>
      </c>
      <c r="M879" s="86" t="s">
        <v>6</v>
      </c>
      <c r="N879" s="86" t="s">
        <v>3</v>
      </c>
      <c r="O879" s="87">
        <f>VLOOKUP($B879,BOM!$A$2:$K$94,10,0)</f>
        <v>0</v>
      </c>
      <c r="P879" s="87">
        <f t="shared" si="48"/>
        <v>0</v>
      </c>
      <c r="Q879" s="87" t="str">
        <f>VLOOKUP($B879,BOM!$A$2:$K$94,9,0)</f>
        <v>Cái</v>
      </c>
    </row>
    <row r="880" spans="1:17" s="45" customFormat="1">
      <c r="A880" s="141"/>
      <c r="B880" s="62" t="s">
        <v>20</v>
      </c>
      <c r="C880" s="62" t="s">
        <v>21</v>
      </c>
      <c r="D880" s="85" t="s">
        <v>3</v>
      </c>
      <c r="E880" s="85">
        <f>E878</f>
        <v>1</v>
      </c>
      <c r="F880" s="62"/>
      <c r="G880" s="62"/>
      <c r="H880" s="62"/>
      <c r="I880" s="62"/>
      <c r="J880" s="21">
        <f>E880</f>
        <v>1</v>
      </c>
      <c r="K880" s="62" t="s">
        <v>4</v>
      </c>
      <c r="L880" s="62" t="s">
        <v>5</v>
      </c>
      <c r="M880" s="86" t="s">
        <v>22</v>
      </c>
      <c r="N880" s="86" t="s">
        <v>3</v>
      </c>
      <c r="O880" s="87">
        <f>VLOOKUP($B880,BOM!$A$2:$K$94,10,0)</f>
        <v>0</v>
      </c>
      <c r="P880" s="87">
        <f t="shared" si="48"/>
        <v>0</v>
      </c>
      <c r="Q880" s="87" t="str">
        <f>VLOOKUP($B880,BOM!$A$2:$K$94,9,0)</f>
        <v>Cái</v>
      </c>
    </row>
    <row r="881" spans="1:17">
      <c r="A881" s="141"/>
      <c r="B881" s="81"/>
      <c r="C881" s="72" t="s">
        <v>71</v>
      </c>
      <c r="D881" s="72" t="s">
        <v>0</v>
      </c>
      <c r="E881" s="72">
        <v>1</v>
      </c>
      <c r="F881" s="72"/>
      <c r="G881" s="72"/>
      <c r="H881" s="72"/>
      <c r="I881" s="72"/>
      <c r="J881" s="72"/>
      <c r="K881" s="83"/>
      <c r="L881" s="83"/>
      <c r="M881" s="83"/>
      <c r="N881" s="83"/>
      <c r="O881" s="87">
        <f>VLOOKUP($B881,BOM!$A$2:$K$94,10,0)</f>
        <v>0</v>
      </c>
      <c r="P881" s="87">
        <f t="shared" si="48"/>
        <v>0</v>
      </c>
      <c r="Q881" s="84">
        <f>VLOOKUP($B881,BOM!$A$2:$K$94,9,0)</f>
        <v>0</v>
      </c>
    </row>
    <row r="882" spans="1:17" s="45" customFormat="1">
      <c r="A882" s="141"/>
      <c r="B882" s="62" t="s">
        <v>314</v>
      </c>
      <c r="C882" s="62" t="s">
        <v>316</v>
      </c>
      <c r="D882" s="116" t="s">
        <v>51</v>
      </c>
      <c r="E882" s="85">
        <v>1</v>
      </c>
      <c r="F882" s="62"/>
      <c r="G882" s="62"/>
      <c r="H882" s="62"/>
      <c r="I882" s="62"/>
      <c r="J882" s="86">
        <f>E882*8</f>
        <v>8</v>
      </c>
      <c r="K882" s="62"/>
      <c r="L882" s="62" t="s">
        <v>5</v>
      </c>
      <c r="M882" s="86" t="s">
        <v>28</v>
      </c>
      <c r="N882" s="86" t="s">
        <v>3</v>
      </c>
      <c r="O882" s="87">
        <f>VLOOKUP($B882,BOM!$A$2:$K$94,10,0)</f>
        <v>0</v>
      </c>
      <c r="P882" s="87">
        <f t="shared" si="48"/>
        <v>0</v>
      </c>
      <c r="Q882" s="87" t="str">
        <f>VLOOKUP($B882,BOM!$A$2:$K$94,9,0)</f>
        <v>Cái</v>
      </c>
    </row>
    <row r="883" spans="1:17" s="45" customFormat="1">
      <c r="A883" s="141"/>
      <c r="B883" s="62"/>
      <c r="C883" s="62"/>
      <c r="D883" s="116"/>
      <c r="E883" s="85"/>
      <c r="F883" s="62"/>
      <c r="G883" s="62"/>
      <c r="H883" s="62"/>
      <c r="I883" s="62"/>
      <c r="J883" s="62"/>
      <c r="K883" s="62"/>
      <c r="L883" s="62"/>
      <c r="M883" s="86"/>
      <c r="N883" s="86"/>
      <c r="O883" s="87">
        <f>VLOOKUP($B883,BOM!$A$2:$K$94,10,0)</f>
        <v>0</v>
      </c>
      <c r="P883" s="87">
        <f t="shared" si="48"/>
        <v>0</v>
      </c>
      <c r="Q883" s="87">
        <f>VLOOKUP($B883,BOM!$A$2:$K$94,9,0)</f>
        <v>0</v>
      </c>
    </row>
    <row r="884" spans="1:17" s="45" customFormat="1">
      <c r="A884" s="141"/>
      <c r="B884" s="62" t="s">
        <v>225</v>
      </c>
      <c r="C884" s="62" t="s">
        <v>72</v>
      </c>
      <c r="D884" s="116" t="s">
        <v>64</v>
      </c>
      <c r="E884" s="85">
        <v>0</v>
      </c>
      <c r="F884" s="62"/>
      <c r="G884" s="62"/>
      <c r="H884" s="62"/>
      <c r="I884" s="62"/>
      <c r="J884" s="62"/>
      <c r="K884" s="62"/>
      <c r="L884" s="62" t="s">
        <v>5</v>
      </c>
      <c r="M884" s="86" t="s">
        <v>28</v>
      </c>
      <c r="N884" s="86" t="s">
        <v>3</v>
      </c>
      <c r="O884" s="87">
        <f>VLOOKUP($B884,BOM!$A$2:$K$94,10,0)</f>
        <v>0</v>
      </c>
      <c r="P884" s="87">
        <f t="shared" si="48"/>
        <v>0</v>
      </c>
      <c r="Q884" s="87" t="str">
        <f>VLOOKUP($B884,BOM!$A$2:$K$94,9,0)</f>
        <v>Cái</v>
      </c>
    </row>
    <row r="885" spans="1:17">
      <c r="A885" s="141"/>
      <c r="B885" s="81"/>
      <c r="C885" s="72" t="s">
        <v>31</v>
      </c>
      <c r="D885" s="72" t="s">
        <v>0</v>
      </c>
      <c r="E885" s="72">
        <v>1</v>
      </c>
      <c r="F885" s="72"/>
      <c r="G885" s="72"/>
      <c r="H885" s="72"/>
      <c r="I885" s="72"/>
      <c r="J885" s="72"/>
      <c r="K885" s="83"/>
      <c r="L885" s="83"/>
      <c r="M885" s="83"/>
      <c r="N885" s="83"/>
      <c r="O885" s="87">
        <f>VLOOKUP($B885,BOM!$A$2:$K$94,10,0)</f>
        <v>0</v>
      </c>
      <c r="P885" s="87">
        <f t="shared" si="48"/>
        <v>0</v>
      </c>
      <c r="Q885" s="84">
        <f>VLOOKUP($B885,BOM!$A$2:$K$94,9,0)</f>
        <v>0</v>
      </c>
    </row>
    <row r="886" spans="1:17">
      <c r="A886" s="141"/>
      <c r="B886" s="81"/>
      <c r="C886" s="72" t="s">
        <v>32</v>
      </c>
      <c r="D886" s="72"/>
      <c r="E886" s="72"/>
      <c r="F886" s="72"/>
      <c r="G886" s="72">
        <v>2</v>
      </c>
      <c r="H886" s="72"/>
      <c r="I886" s="72"/>
      <c r="J886" s="72"/>
      <c r="K886" s="83"/>
      <c r="L886" s="83"/>
      <c r="M886" s="83"/>
      <c r="N886" s="83"/>
      <c r="O886" s="87">
        <f>VLOOKUP($B886,BOM!$A$2:$K$94,10,0)</f>
        <v>0</v>
      </c>
      <c r="P886" s="87">
        <f t="shared" si="48"/>
        <v>0</v>
      </c>
      <c r="Q886" s="84">
        <f>VLOOKUP($B886,BOM!$A$2:$K$94,9,0)</f>
        <v>0</v>
      </c>
    </row>
    <row r="887" spans="1:17" s="45" customFormat="1" ht="20.45" customHeight="1">
      <c r="A887" s="141"/>
      <c r="B887" s="62" t="s">
        <v>33</v>
      </c>
      <c r="C887" s="62" t="s">
        <v>34</v>
      </c>
      <c r="D887" s="85" t="s">
        <v>3</v>
      </c>
      <c r="E887" s="90">
        <f>E888</f>
        <v>2</v>
      </c>
      <c r="F887" s="62"/>
      <c r="G887" s="62"/>
      <c r="H887" s="62"/>
      <c r="I887" s="62"/>
      <c r="J887" s="62"/>
      <c r="K887" s="62" t="s">
        <v>35</v>
      </c>
      <c r="L887" s="62" t="s">
        <v>5</v>
      </c>
      <c r="M887" s="86" t="s">
        <v>6</v>
      </c>
      <c r="N887" s="86" t="s">
        <v>3</v>
      </c>
      <c r="O887" s="87">
        <f>VLOOKUP($B887,BOM!$A$2:$K$94,10,0)</f>
        <v>0</v>
      </c>
      <c r="P887" s="87">
        <f t="shared" si="48"/>
        <v>0</v>
      </c>
      <c r="Q887" s="87" t="str">
        <f>VLOOKUP($B887,BOM!$A$2:$K$94,9,0)</f>
        <v>Cái</v>
      </c>
    </row>
    <row r="888" spans="1:17" s="45" customFormat="1">
      <c r="A888" s="141"/>
      <c r="B888" s="62" t="s">
        <v>330</v>
      </c>
      <c r="C888" s="62" t="s">
        <v>36</v>
      </c>
      <c r="D888" s="85" t="s">
        <v>3</v>
      </c>
      <c r="E888" s="90">
        <f>G886+H886</f>
        <v>2</v>
      </c>
      <c r="F888" s="62"/>
      <c r="G888" s="62"/>
      <c r="H888" s="62"/>
      <c r="I888" s="62"/>
      <c r="J888" s="62"/>
      <c r="K888" s="62" t="s">
        <v>37</v>
      </c>
      <c r="L888" s="62" t="s">
        <v>5</v>
      </c>
      <c r="M888" s="86" t="s">
        <v>37</v>
      </c>
      <c r="N888" s="86" t="s">
        <v>3</v>
      </c>
      <c r="O888" s="87">
        <f>VLOOKUP($B888,BOM!$A$2:$K$94,10,0)</f>
        <v>0</v>
      </c>
      <c r="P888" s="87">
        <f t="shared" si="48"/>
        <v>0</v>
      </c>
      <c r="Q888" s="87" t="str">
        <f>VLOOKUP($B888,BOM!$A$2:$K$94,9,0)</f>
        <v>Cái</v>
      </c>
    </row>
    <row r="889" spans="1:17" s="45" customFormat="1">
      <c r="A889" s="141"/>
      <c r="B889" s="62" t="s">
        <v>38</v>
      </c>
      <c r="C889" s="62" t="s">
        <v>39</v>
      </c>
      <c r="D889" s="85" t="s">
        <v>3</v>
      </c>
      <c r="E889" s="90">
        <f>E888</f>
        <v>2</v>
      </c>
      <c r="F889" s="62"/>
      <c r="G889" s="62"/>
      <c r="H889" s="62"/>
      <c r="I889" s="62"/>
      <c r="J889" s="62"/>
      <c r="K889" s="62" t="s">
        <v>25</v>
      </c>
      <c r="L889" s="62" t="s">
        <v>5</v>
      </c>
      <c r="M889" s="86" t="s">
        <v>6</v>
      </c>
      <c r="N889" s="86" t="s">
        <v>3</v>
      </c>
      <c r="O889" s="87">
        <f>VLOOKUP($B889,BOM!$A$2:$K$94,10,0)</f>
        <v>0</v>
      </c>
      <c r="P889" s="87">
        <f t="shared" si="48"/>
        <v>0</v>
      </c>
      <c r="Q889" s="87" t="str">
        <f>VLOOKUP($B889,BOM!$A$2:$K$94,9,0)</f>
        <v>Cái</v>
      </c>
    </row>
    <row r="890" spans="1:17">
      <c r="A890" s="141"/>
      <c r="B890" s="81"/>
      <c r="C890" s="72" t="s">
        <v>40</v>
      </c>
      <c r="D890" s="72"/>
      <c r="E890" s="72"/>
      <c r="F890" s="72"/>
      <c r="G890" s="72">
        <v>5</v>
      </c>
      <c r="H890" s="72"/>
      <c r="I890" s="72"/>
      <c r="J890" s="72"/>
      <c r="K890" s="83"/>
      <c r="L890" s="83"/>
      <c r="M890" s="83"/>
      <c r="N890" s="83"/>
      <c r="O890" s="87">
        <f>VLOOKUP($B890,BOM!$A$2:$K$94,10,0)</f>
        <v>0</v>
      </c>
      <c r="P890" s="87">
        <f t="shared" si="48"/>
        <v>0</v>
      </c>
      <c r="Q890" s="84">
        <f>VLOOKUP($B890,BOM!$A$2:$K$94,9,0)</f>
        <v>0</v>
      </c>
    </row>
    <row r="891" spans="1:17" s="45" customFormat="1">
      <c r="A891" s="141"/>
      <c r="B891" s="62" t="s">
        <v>41</v>
      </c>
      <c r="C891" s="62" t="s">
        <v>42</v>
      </c>
      <c r="D891" s="85" t="s">
        <v>3</v>
      </c>
      <c r="E891" s="85">
        <f>G890+H890</f>
        <v>5</v>
      </c>
      <c r="F891" s="62"/>
      <c r="G891" s="62"/>
      <c r="H891" s="62"/>
      <c r="I891" s="62"/>
      <c r="J891" s="62"/>
      <c r="K891" s="62" t="s">
        <v>4</v>
      </c>
      <c r="L891" s="62" t="s">
        <v>5</v>
      </c>
      <c r="M891" s="86" t="s">
        <v>6</v>
      </c>
      <c r="N891" s="86" t="s">
        <v>3</v>
      </c>
      <c r="O891" s="87">
        <f>VLOOKUP($B891,BOM!$A$2:$K$94,10,0)</f>
        <v>0</v>
      </c>
      <c r="P891" s="87">
        <f t="shared" si="48"/>
        <v>0</v>
      </c>
      <c r="Q891" s="87" t="str">
        <f>VLOOKUP($B891,BOM!$A$2:$K$94,9,0)</f>
        <v>Cái</v>
      </c>
    </row>
    <row r="892" spans="1:17" s="45" customFormat="1">
      <c r="A892" s="141"/>
      <c r="B892" s="65" t="s">
        <v>43</v>
      </c>
      <c r="C892" s="65" t="s">
        <v>44</v>
      </c>
      <c r="D892" s="85" t="s">
        <v>3</v>
      </c>
      <c r="E892" s="85">
        <f>E891</f>
        <v>5</v>
      </c>
      <c r="F892" s="62"/>
      <c r="G892" s="62"/>
      <c r="H892" s="62"/>
      <c r="I892" s="62"/>
      <c r="J892" s="62"/>
      <c r="K892" s="62" t="s">
        <v>4</v>
      </c>
      <c r="L892" s="62" t="s">
        <v>5</v>
      </c>
      <c r="M892" s="86" t="s">
        <v>6</v>
      </c>
      <c r="N892" s="86" t="s">
        <v>3</v>
      </c>
      <c r="O892" s="87">
        <f>VLOOKUP($B892,BOM!$A$2:$K$94,10,0)</f>
        <v>0</v>
      </c>
      <c r="P892" s="87">
        <f t="shared" si="48"/>
        <v>0</v>
      </c>
      <c r="Q892" s="87" t="str">
        <f>VLOOKUP($B892,BOM!$A$2:$K$94,9,0)</f>
        <v>Cái</v>
      </c>
    </row>
    <row r="893" spans="1:17">
      <c r="A893" s="141"/>
      <c r="B893" s="81"/>
      <c r="C893" s="72" t="s">
        <v>45</v>
      </c>
      <c r="D893" s="72"/>
      <c r="E893" s="72"/>
      <c r="F893" s="72"/>
      <c r="G893" s="72"/>
      <c r="H893" s="72"/>
      <c r="I893" s="72"/>
      <c r="J893" s="72"/>
      <c r="K893" s="83"/>
      <c r="L893" s="83"/>
      <c r="M893" s="83"/>
      <c r="N893" s="83"/>
      <c r="O893" s="87">
        <f>VLOOKUP($B893,BOM!$A$2:$K$94,10,0)</f>
        <v>0</v>
      </c>
      <c r="P893" s="87">
        <f t="shared" si="48"/>
        <v>0</v>
      </c>
      <c r="Q893" s="84">
        <f>VLOOKUP($B893,BOM!$A$2:$K$94,9,0)</f>
        <v>0</v>
      </c>
    </row>
    <row r="894" spans="1:17" s="45" customFormat="1">
      <c r="A894" s="141"/>
      <c r="B894" s="62" t="s">
        <v>48</v>
      </c>
      <c r="C894" s="62" t="s">
        <v>49</v>
      </c>
      <c r="D894" s="85" t="s">
        <v>14</v>
      </c>
      <c r="E894" s="85">
        <f>E887+E891+1</f>
        <v>8</v>
      </c>
      <c r="F894" s="62"/>
      <c r="G894" s="62"/>
      <c r="H894" s="62"/>
      <c r="I894" s="62"/>
      <c r="J894" s="62"/>
      <c r="K894" s="62"/>
      <c r="L894" s="62" t="s">
        <v>5</v>
      </c>
      <c r="M894" s="86" t="s">
        <v>6</v>
      </c>
      <c r="N894" s="86" t="s">
        <v>15</v>
      </c>
      <c r="O894" s="87">
        <f>VLOOKUP($B894,BOM!$A$2:$K$94,10,0)</f>
        <v>0</v>
      </c>
      <c r="P894" s="87">
        <f t="shared" si="48"/>
        <v>0</v>
      </c>
      <c r="Q894" s="87" t="str">
        <f>VLOOKUP($B894,BOM!$A$2:$K$94,9,0)</f>
        <v>Sợi</v>
      </c>
    </row>
    <row r="895" spans="1:17" s="45" customFormat="1">
      <c r="A895" s="141"/>
      <c r="B895" s="62" t="s">
        <v>48</v>
      </c>
      <c r="C895" s="62" t="s">
        <v>49</v>
      </c>
      <c r="D895" s="85" t="s">
        <v>14</v>
      </c>
      <c r="E895" s="90">
        <f>ROUNDUP(E894*0.2,0)</f>
        <v>2</v>
      </c>
      <c r="F895" s="62"/>
      <c r="G895" s="62"/>
      <c r="H895" s="62"/>
      <c r="I895" s="62"/>
      <c r="J895" s="62"/>
      <c r="K895" s="62" t="s">
        <v>4</v>
      </c>
      <c r="L895" s="62" t="s">
        <v>5</v>
      </c>
      <c r="M895" s="86" t="s">
        <v>6</v>
      </c>
      <c r="N895" s="86" t="s">
        <v>15</v>
      </c>
      <c r="O895" s="87">
        <f>VLOOKUP($B895,BOM!$A$2:$K$94,10,0)</f>
        <v>0</v>
      </c>
      <c r="P895" s="87">
        <f t="shared" si="48"/>
        <v>0</v>
      </c>
      <c r="Q895" s="87" t="str">
        <f>VLOOKUP($B895,BOM!$A$2:$K$94,9,0)</f>
        <v>Sợi</v>
      </c>
    </row>
    <row r="896" spans="1:17">
      <c r="A896" s="141"/>
      <c r="B896" s="81"/>
      <c r="C896" s="72" t="s">
        <v>50</v>
      </c>
      <c r="D896" s="72"/>
      <c r="E896" s="72"/>
      <c r="F896" s="72"/>
      <c r="G896" s="72"/>
      <c r="H896" s="72"/>
      <c r="I896" s="72"/>
      <c r="J896" s="72"/>
      <c r="K896" s="83"/>
      <c r="L896" s="83"/>
      <c r="M896" s="83"/>
      <c r="N896" s="83"/>
      <c r="O896" s="87">
        <f>VLOOKUP($B896,BOM!$A$2:$K$94,10,0)</f>
        <v>0</v>
      </c>
      <c r="P896" s="87">
        <f t="shared" si="48"/>
        <v>0</v>
      </c>
      <c r="Q896" s="84">
        <f>VLOOKUP($B896,BOM!$A$2:$K$94,9,0)</f>
        <v>0</v>
      </c>
    </row>
    <row r="897" spans="1:17" s="45" customFormat="1">
      <c r="A897" s="141"/>
      <c r="B897" s="62" t="s">
        <v>332</v>
      </c>
      <c r="C897" s="62" t="s">
        <v>332</v>
      </c>
      <c r="D897" s="85" t="s">
        <v>51</v>
      </c>
      <c r="E897" s="85">
        <f>E882</f>
        <v>1</v>
      </c>
      <c r="F897" s="62"/>
      <c r="G897" s="62"/>
      <c r="H897" s="62"/>
      <c r="I897" s="62"/>
      <c r="J897" s="62"/>
      <c r="K897" s="62"/>
      <c r="L897" s="62"/>
      <c r="M897" s="86"/>
      <c r="N897" s="86" t="s">
        <v>51</v>
      </c>
      <c r="O897" s="87">
        <f>VLOOKUP($B897,BOM!$A$2:$K$94,10,0)</f>
        <v>0</v>
      </c>
      <c r="P897" s="87">
        <f t="shared" si="48"/>
        <v>0</v>
      </c>
      <c r="Q897" s="87" t="str">
        <f>VLOOKUP($B897,BOM!$A$2:$K$94,9,0)</f>
        <v>bộ</v>
      </c>
    </row>
    <row r="898" spans="1:17" s="45" customFormat="1">
      <c r="A898" s="141"/>
      <c r="B898" s="62" t="s">
        <v>52</v>
      </c>
      <c r="C898" s="62" t="s">
        <v>53</v>
      </c>
      <c r="D898" s="86" t="s">
        <v>54</v>
      </c>
      <c r="E898" s="105">
        <f>E895+E894</f>
        <v>10</v>
      </c>
      <c r="F898" s="62"/>
      <c r="G898" s="62"/>
      <c r="H898" s="62"/>
      <c r="I898" s="62"/>
      <c r="J898" s="62"/>
      <c r="K898" s="62"/>
      <c r="L898" s="62"/>
      <c r="M898" s="86" t="s">
        <v>55</v>
      </c>
      <c r="N898" s="86" t="s">
        <v>54</v>
      </c>
      <c r="O898" s="87">
        <f>VLOOKUP($B898,BOM!$A$2:$K$94,10,0)</f>
        <v>0</v>
      </c>
      <c r="P898" s="87">
        <f t="shared" si="48"/>
        <v>0</v>
      </c>
      <c r="Q898" s="87" t="str">
        <f>VLOOKUP($B898,BOM!$A$2:$K$94,9,0)</f>
        <v>node</v>
      </c>
    </row>
    <row r="899" spans="1:17" s="45" customFormat="1">
      <c r="A899" s="141"/>
      <c r="B899" s="62" t="s">
        <v>56</v>
      </c>
      <c r="C899" s="62" t="s">
        <v>57</v>
      </c>
      <c r="D899" s="86" t="s">
        <v>14</v>
      </c>
      <c r="E899" s="105">
        <f>E868+E864</f>
        <v>6</v>
      </c>
      <c r="F899" s="62"/>
      <c r="G899" s="62"/>
      <c r="H899" s="62"/>
      <c r="I899" s="62"/>
      <c r="J899" s="62"/>
      <c r="K899" s="62"/>
      <c r="L899" s="62"/>
      <c r="M899" s="86" t="s">
        <v>55</v>
      </c>
      <c r="N899" s="86" t="s">
        <v>14</v>
      </c>
      <c r="O899" s="87">
        <f>VLOOKUP($B899,BOM!$A$2:$K$94,10,0)</f>
        <v>0</v>
      </c>
      <c r="P899" s="87">
        <f t="shared" si="48"/>
        <v>0</v>
      </c>
      <c r="Q899" s="87" t="str">
        <f>VLOOKUP($B899,BOM!$A$2:$K$94,9,0)</f>
        <v>sợi</v>
      </c>
    </row>
    <row r="900" spans="1:17" s="45" customFormat="1">
      <c r="A900" s="141"/>
      <c r="B900" s="62" t="s">
        <v>58</v>
      </c>
      <c r="C900" s="62" t="s">
        <v>59</v>
      </c>
      <c r="D900" s="86" t="s">
        <v>60</v>
      </c>
      <c r="E900" s="105">
        <f>E899*2</f>
        <v>12</v>
      </c>
      <c r="F900" s="62"/>
      <c r="G900" s="62"/>
      <c r="H900" s="62"/>
      <c r="I900" s="62"/>
      <c r="J900" s="62"/>
      <c r="K900" s="62"/>
      <c r="L900" s="62"/>
      <c r="M900" s="86" t="s">
        <v>61</v>
      </c>
      <c r="N900" s="86" t="s">
        <v>60</v>
      </c>
      <c r="O900" s="87">
        <f>VLOOKUP($B900,BOM!$A$2:$K$94,10,0)</f>
        <v>0</v>
      </c>
      <c r="P900" s="87">
        <f t="shared" si="48"/>
        <v>0</v>
      </c>
      <c r="Q900" s="87" t="str">
        <f>VLOOKUP($B900,BOM!$A$2:$K$94,9,0)</f>
        <v>đầu</v>
      </c>
    </row>
    <row r="901" spans="1:17" s="45" customFormat="1">
      <c r="A901" s="141"/>
      <c r="B901" s="62" t="s">
        <v>62</v>
      </c>
      <c r="C901" s="62" t="s">
        <v>63</v>
      </c>
      <c r="D901" s="86" t="s">
        <v>64</v>
      </c>
      <c r="E901" s="105">
        <f>E878</f>
        <v>1</v>
      </c>
      <c r="F901" s="62"/>
      <c r="G901" s="62"/>
      <c r="H901" s="62"/>
      <c r="I901" s="62"/>
      <c r="J901" s="62"/>
      <c r="K901" s="62"/>
      <c r="L901" s="62"/>
      <c r="M901" s="86" t="s">
        <v>61</v>
      </c>
      <c r="N901" s="86" t="s">
        <v>64</v>
      </c>
      <c r="O901" s="87">
        <f>VLOOKUP($B901,BOM!$A$2:$K$94,10,0)</f>
        <v>0</v>
      </c>
      <c r="P901" s="87">
        <f t="shared" si="48"/>
        <v>0</v>
      </c>
      <c r="Q901" s="87" t="str">
        <f>VLOOKUP($B901,BOM!$A$2:$K$94,9,0)</f>
        <v>cái</v>
      </c>
    </row>
    <row r="902" spans="1:17" s="140" customFormat="1">
      <c r="A902" s="134">
        <v>19</v>
      </c>
      <c r="B902" s="135"/>
      <c r="C902" s="71" t="s">
        <v>89</v>
      </c>
      <c r="D902" s="136" t="s">
        <v>0</v>
      </c>
      <c r="E902" s="134">
        <v>1</v>
      </c>
      <c r="F902" s="134"/>
      <c r="G902" s="134"/>
      <c r="H902" s="134">
        <v>24</v>
      </c>
      <c r="I902" s="134"/>
      <c r="J902" s="137">
        <f>SUBTOTAL(9,J905:J929)</f>
        <v>18</v>
      </c>
      <c r="K902" s="137"/>
      <c r="L902" s="137"/>
      <c r="M902" s="137"/>
      <c r="N902" s="137"/>
      <c r="O902" s="87">
        <f>VLOOKUP($B902,BOM!$A$2:$K$94,10,0)</f>
        <v>0</v>
      </c>
      <c r="P902" s="87">
        <f t="shared" si="48"/>
        <v>0</v>
      </c>
      <c r="Q902" s="139">
        <f>VLOOKUP($B902,BOM!$A$2:$K$94,9,0)</f>
        <v>0</v>
      </c>
    </row>
    <row r="903" spans="1:17">
      <c r="A903" s="141"/>
      <c r="B903" s="81"/>
      <c r="C903" s="72" t="s">
        <v>124</v>
      </c>
      <c r="D903" s="72" t="s">
        <v>0</v>
      </c>
      <c r="E903" s="72">
        <v>1</v>
      </c>
      <c r="F903" s="72"/>
      <c r="G903" s="72"/>
      <c r="H903" s="72"/>
      <c r="I903" s="72"/>
      <c r="J903" s="72"/>
      <c r="K903" s="83"/>
      <c r="L903" s="83"/>
      <c r="M903" s="83"/>
      <c r="N903" s="83"/>
      <c r="O903" s="87">
        <f>VLOOKUP($B903,BOM!$A$2:$K$94,10,0)</f>
        <v>0</v>
      </c>
      <c r="P903" s="87">
        <f t="shared" si="48"/>
        <v>0</v>
      </c>
      <c r="Q903" s="84">
        <f>VLOOKUP($B903,BOM!$A$2:$K$94,9,0)</f>
        <v>0</v>
      </c>
    </row>
    <row r="904" spans="1:17" s="158" customFormat="1">
      <c r="A904" s="120"/>
      <c r="B904" s="76" t="s">
        <v>201</v>
      </c>
      <c r="C904" s="76" t="s">
        <v>202</v>
      </c>
      <c r="D904" s="76"/>
      <c r="E904" s="156">
        <v>1</v>
      </c>
      <c r="F904" s="76"/>
      <c r="G904" s="76"/>
      <c r="H904" s="76"/>
      <c r="I904" s="76"/>
      <c r="J904" s="76"/>
      <c r="K904" s="76" t="s">
        <v>4</v>
      </c>
      <c r="L904" s="76" t="s">
        <v>5</v>
      </c>
      <c r="M904" s="156" t="s">
        <v>22</v>
      </c>
      <c r="N904" s="156" t="s">
        <v>3</v>
      </c>
      <c r="O904" s="87">
        <f>VLOOKUP($B904,BOM!$A$2:$K$94,10,0)</f>
        <v>0</v>
      </c>
      <c r="P904" s="87">
        <f t="shared" si="48"/>
        <v>0</v>
      </c>
      <c r="Q904" s="157">
        <f>VLOOKUP($B904,BOM!$A$2:$K$94,9,0)</f>
        <v>0</v>
      </c>
    </row>
    <row r="905" spans="1:17" s="19" customFormat="1">
      <c r="A905" s="141"/>
      <c r="B905" s="21" t="s">
        <v>122</v>
      </c>
      <c r="C905" s="21" t="s">
        <v>123</v>
      </c>
      <c r="D905" s="21"/>
      <c r="E905" s="22">
        <v>1</v>
      </c>
      <c r="F905" s="21"/>
      <c r="G905" s="21"/>
      <c r="H905" s="21"/>
      <c r="I905" s="21"/>
      <c r="J905" s="21">
        <f>E905</f>
        <v>1</v>
      </c>
      <c r="K905" s="21" t="s">
        <v>4</v>
      </c>
      <c r="L905" s="21" t="s">
        <v>5</v>
      </c>
      <c r="M905" s="22" t="s">
        <v>22</v>
      </c>
      <c r="N905" s="22" t="s">
        <v>3</v>
      </c>
      <c r="O905" s="87">
        <f>VLOOKUP($B905,BOM!$A$2:$K$94,10,0)</f>
        <v>0</v>
      </c>
      <c r="P905" s="87">
        <f t="shared" si="48"/>
        <v>0</v>
      </c>
      <c r="Q905" s="142" t="str">
        <f>VLOOKUP($B905,BOM!$A$2:$K$94,9,0)</f>
        <v>Cái</v>
      </c>
    </row>
    <row r="906" spans="1:17">
      <c r="A906" s="141"/>
      <c r="B906" s="81"/>
      <c r="C906" s="72" t="s">
        <v>1</v>
      </c>
      <c r="D906" s="72" t="s">
        <v>0</v>
      </c>
      <c r="E906" s="72">
        <v>1</v>
      </c>
      <c r="F906" s="72"/>
      <c r="G906" s="72">
        <f>ROUNDUP(G902/24,0)</f>
        <v>0</v>
      </c>
      <c r="H906" s="72">
        <f t="shared" ref="H906" si="51">ROUNDUP(H902/24,0)</f>
        <v>1</v>
      </c>
      <c r="I906" s="72"/>
      <c r="J906" s="72"/>
      <c r="K906" s="83"/>
      <c r="L906" s="83"/>
      <c r="M906" s="83"/>
      <c r="N906" s="83"/>
      <c r="O906" s="87">
        <f>VLOOKUP($B906,BOM!$A$2:$K$94,10,0)</f>
        <v>0</v>
      </c>
      <c r="P906" s="87">
        <f t="shared" ref="P906:P969" si="52">O906*E906</f>
        <v>0</v>
      </c>
      <c r="Q906" s="84">
        <f>VLOOKUP($B906,BOM!$A$2:$K$94,9,0)</f>
        <v>0</v>
      </c>
    </row>
    <row r="907" spans="1:17" s="45" customFormat="1">
      <c r="A907" s="141"/>
      <c r="B907" s="62">
        <v>760249997</v>
      </c>
      <c r="C907" s="62" t="s">
        <v>2</v>
      </c>
      <c r="D907" s="85" t="s">
        <v>3</v>
      </c>
      <c r="E907" s="85">
        <f>ROUNDUP((E909+E913)/3,0)</f>
        <v>1</v>
      </c>
      <c r="F907" s="62"/>
      <c r="G907" s="62"/>
      <c r="H907" s="62"/>
      <c r="I907" s="62"/>
      <c r="J907" s="21">
        <f>E907</f>
        <v>1</v>
      </c>
      <c r="K907" s="62" t="s">
        <v>4</v>
      </c>
      <c r="L907" s="62" t="s">
        <v>5</v>
      </c>
      <c r="M907" s="86" t="s">
        <v>6</v>
      </c>
      <c r="N907" s="86" t="s">
        <v>3</v>
      </c>
      <c r="O907" s="87">
        <f>VLOOKUP($B907,BOM!$A$2:$K$94,10,0)</f>
        <v>0</v>
      </c>
      <c r="P907" s="87">
        <f t="shared" si="52"/>
        <v>0</v>
      </c>
      <c r="Q907" s="87" t="str">
        <f>VLOOKUP($B907,BOM!$A$2:$K$94,9,0)</f>
        <v>Cái</v>
      </c>
    </row>
    <row r="908" spans="1:17" s="45" customFormat="1">
      <c r="A908" s="141"/>
      <c r="B908" s="62">
        <v>760241378</v>
      </c>
      <c r="C908" s="62" t="s">
        <v>7</v>
      </c>
      <c r="D908" s="85" t="s">
        <v>3</v>
      </c>
      <c r="E908" s="85">
        <f>IF(E909&lt;=2,1,ROUNDUP(E907*1.5,0))</f>
        <v>1</v>
      </c>
      <c r="F908" s="62"/>
      <c r="G908" s="62"/>
      <c r="H908" s="62"/>
      <c r="I908" s="62"/>
      <c r="J908" s="62"/>
      <c r="K908" s="62" t="s">
        <v>4</v>
      </c>
      <c r="L908" s="62" t="s">
        <v>5</v>
      </c>
      <c r="M908" s="86" t="s">
        <v>6</v>
      </c>
      <c r="N908" s="86" t="s">
        <v>3</v>
      </c>
      <c r="O908" s="87">
        <f>VLOOKUP($B908,BOM!$A$2:$K$94,10,0)</f>
        <v>0</v>
      </c>
      <c r="P908" s="87">
        <f t="shared" si="52"/>
        <v>0</v>
      </c>
      <c r="Q908" s="87" t="str">
        <f>VLOOKUP($B908,BOM!$A$2:$K$94,9,0)</f>
        <v>Cái</v>
      </c>
    </row>
    <row r="909" spans="1:17" s="45" customFormat="1">
      <c r="A909" s="141"/>
      <c r="B909" s="62" t="s">
        <v>8</v>
      </c>
      <c r="C909" s="62" t="s">
        <v>9</v>
      </c>
      <c r="D909" s="85" t="s">
        <v>3</v>
      </c>
      <c r="E909" s="85">
        <f>G906</f>
        <v>0</v>
      </c>
      <c r="F909" s="62"/>
      <c r="G909" s="62"/>
      <c r="H909" s="62"/>
      <c r="I909" s="62"/>
      <c r="J909" s="62"/>
      <c r="K909" s="62" t="s">
        <v>4</v>
      </c>
      <c r="L909" s="62" t="s">
        <v>5</v>
      </c>
      <c r="M909" s="86" t="s">
        <v>6</v>
      </c>
      <c r="N909" s="86" t="s">
        <v>3</v>
      </c>
      <c r="O909" s="87">
        <f>VLOOKUP($B909,BOM!$A$2:$K$94,10,0)</f>
        <v>0</v>
      </c>
      <c r="P909" s="87">
        <f t="shared" si="52"/>
        <v>0</v>
      </c>
      <c r="Q909" s="87" t="str">
        <f>VLOOKUP($B909,BOM!$A$2:$K$94,9,0)</f>
        <v>Cái</v>
      </c>
    </row>
    <row r="910" spans="1:17" s="45" customFormat="1">
      <c r="A910" s="141"/>
      <c r="B910" s="62" t="s">
        <v>10</v>
      </c>
      <c r="C910" s="62" t="s">
        <v>11</v>
      </c>
      <c r="D910" s="85" t="s">
        <v>3</v>
      </c>
      <c r="E910" s="85">
        <f>E907*3-E909-E913</f>
        <v>2</v>
      </c>
      <c r="F910" s="62"/>
      <c r="G910" s="62"/>
      <c r="H910" s="62"/>
      <c r="I910" s="62"/>
      <c r="J910" s="62"/>
      <c r="K910" s="62" t="s">
        <v>4</v>
      </c>
      <c r="L910" s="62" t="s">
        <v>5</v>
      </c>
      <c r="M910" s="86" t="s">
        <v>6</v>
      </c>
      <c r="N910" s="86" t="s">
        <v>3</v>
      </c>
      <c r="O910" s="87">
        <f>VLOOKUP($B910,BOM!$A$2:$K$94,10,0)</f>
        <v>0</v>
      </c>
      <c r="P910" s="87">
        <f t="shared" si="52"/>
        <v>0</v>
      </c>
      <c r="Q910" s="87" t="str">
        <f>VLOOKUP($B910,BOM!$A$2:$K$94,9,0)</f>
        <v>Cái</v>
      </c>
    </row>
    <row r="911" spans="1:17" s="45" customFormat="1">
      <c r="A911" s="141"/>
      <c r="B911" s="62" t="s">
        <v>12</v>
      </c>
      <c r="C911" s="62" t="s">
        <v>13</v>
      </c>
      <c r="D911" s="85" t="s">
        <v>14</v>
      </c>
      <c r="E911" s="85">
        <f>G902/2</f>
        <v>0</v>
      </c>
      <c r="F911" s="62"/>
      <c r="G911" s="62"/>
      <c r="H911" s="62"/>
      <c r="I911" s="62"/>
      <c r="J911" s="62"/>
      <c r="K911" s="62" t="s">
        <v>4</v>
      </c>
      <c r="L911" s="62" t="s">
        <v>5</v>
      </c>
      <c r="M911" s="86" t="s">
        <v>6</v>
      </c>
      <c r="N911" s="86" t="s">
        <v>15</v>
      </c>
      <c r="O911" s="87">
        <f>VLOOKUP($B911,BOM!$A$2:$K$94,10,0)</f>
        <v>0</v>
      </c>
      <c r="P911" s="87">
        <f t="shared" si="52"/>
        <v>0</v>
      </c>
      <c r="Q911" s="87" t="str">
        <f>VLOOKUP($B911,BOM!$A$2:$K$94,9,0)</f>
        <v>Sợi</v>
      </c>
    </row>
    <row r="912" spans="1:17" s="45" customFormat="1">
      <c r="A912" s="141"/>
      <c r="B912" s="62" t="s">
        <v>16</v>
      </c>
      <c r="C912" s="62" t="s">
        <v>17</v>
      </c>
      <c r="D912" s="85" t="s">
        <v>14</v>
      </c>
      <c r="E912" s="85">
        <f>ROUNDUP((E919*1.3),0)</f>
        <v>0</v>
      </c>
      <c r="F912" s="62"/>
      <c r="G912" s="62"/>
      <c r="H912" s="62"/>
      <c r="I912" s="62"/>
      <c r="J912" s="62"/>
      <c r="K912" s="62" t="s">
        <v>4</v>
      </c>
      <c r="L912" s="62" t="s">
        <v>5</v>
      </c>
      <c r="M912" s="86" t="s">
        <v>6</v>
      </c>
      <c r="N912" s="86" t="s">
        <v>15</v>
      </c>
      <c r="O912" s="87">
        <f>VLOOKUP($B912,BOM!$A$2:$K$94,10,0)</f>
        <v>0</v>
      </c>
      <c r="P912" s="87">
        <f t="shared" si="52"/>
        <v>0</v>
      </c>
      <c r="Q912" s="87" t="str">
        <f>VLOOKUP($B912,BOM!$A$2:$K$94,9,0)</f>
        <v>Sợi</v>
      </c>
    </row>
    <row r="913" spans="1:17" s="110" customFormat="1">
      <c r="A913" s="141"/>
      <c r="B913" s="66" t="s">
        <v>198</v>
      </c>
      <c r="C913" s="66" t="s">
        <v>199</v>
      </c>
      <c r="D913" s="89" t="s">
        <v>3</v>
      </c>
      <c r="E913" s="89">
        <f>H906</f>
        <v>1</v>
      </c>
      <c r="F913" s="66"/>
      <c r="G913" s="66"/>
      <c r="H913" s="66"/>
      <c r="I913" s="66"/>
      <c r="J913" s="66"/>
      <c r="K913" s="108" t="s">
        <v>4</v>
      </c>
      <c r="L913" s="108" t="s">
        <v>5</v>
      </c>
      <c r="M913" s="109" t="s">
        <v>6</v>
      </c>
      <c r="N913" s="109" t="s">
        <v>15</v>
      </c>
      <c r="O913" s="87">
        <f>VLOOKUP($B913,BOM!$A$2:$K$94,10,0)</f>
        <v>0</v>
      </c>
      <c r="P913" s="87">
        <f t="shared" si="52"/>
        <v>0</v>
      </c>
      <c r="Q913" s="146" t="str">
        <f>VLOOKUP($B913,BOM!$A$2:$K$94,9,0)</f>
        <v>Cái</v>
      </c>
    </row>
    <row r="914" spans="1:17" s="111" customFormat="1">
      <c r="A914" s="141"/>
      <c r="B914" s="66" t="s">
        <v>194</v>
      </c>
      <c r="C914" s="66" t="s">
        <v>195</v>
      </c>
      <c r="D914" s="89" t="s">
        <v>14</v>
      </c>
      <c r="E914" s="89">
        <f>ROUNDUP((E918*1.3),0)</f>
        <v>6</v>
      </c>
      <c r="F914" s="108"/>
      <c r="G914" s="108"/>
      <c r="H914" s="108"/>
      <c r="I914" s="108"/>
      <c r="J914" s="108"/>
      <c r="K914" s="108" t="s">
        <v>4</v>
      </c>
      <c r="L914" s="108" t="s">
        <v>5</v>
      </c>
      <c r="M914" s="109" t="s">
        <v>6</v>
      </c>
      <c r="N914" s="109" t="s">
        <v>15</v>
      </c>
      <c r="O914" s="87">
        <f>VLOOKUP($B914,BOM!$A$2:$K$94,10,0)</f>
        <v>0</v>
      </c>
      <c r="P914" s="87">
        <f t="shared" si="52"/>
        <v>0</v>
      </c>
      <c r="Q914" s="146" t="str">
        <f>VLOOKUP($B914,BOM!$A$2:$K$94,9,0)</f>
        <v>Cái</v>
      </c>
    </row>
    <row r="915" spans="1:17" s="110" customFormat="1">
      <c r="A915" s="141"/>
      <c r="B915" s="66" t="s">
        <v>196</v>
      </c>
      <c r="C915" s="66" t="s">
        <v>197</v>
      </c>
      <c r="D915" s="89" t="s">
        <v>14</v>
      </c>
      <c r="E915" s="89">
        <f>H902/2</f>
        <v>12</v>
      </c>
      <c r="F915" s="66"/>
      <c r="G915" s="66"/>
      <c r="H915" s="66"/>
      <c r="I915" s="66"/>
      <c r="J915" s="66"/>
      <c r="K915" s="108" t="s">
        <v>4</v>
      </c>
      <c r="L915" s="108" t="s">
        <v>5</v>
      </c>
      <c r="M915" s="109" t="s">
        <v>6</v>
      </c>
      <c r="N915" s="109" t="s">
        <v>15</v>
      </c>
      <c r="O915" s="87">
        <f>VLOOKUP($B915,BOM!$A$2:$K$94,10,0)</f>
        <v>0</v>
      </c>
      <c r="P915" s="87">
        <f t="shared" si="52"/>
        <v>0</v>
      </c>
      <c r="Q915" s="146" t="str">
        <f>VLOOKUP($B915,BOM!$A$2:$K$94,9,0)</f>
        <v>Cái</v>
      </c>
    </row>
    <row r="916" spans="1:17">
      <c r="A916" s="141"/>
      <c r="B916" s="81"/>
      <c r="C916" s="72" t="s">
        <v>26</v>
      </c>
      <c r="D916" s="72" t="s">
        <v>0</v>
      </c>
      <c r="E916" s="72">
        <v>1</v>
      </c>
      <c r="F916" s="72"/>
      <c r="G916" s="72"/>
      <c r="H916" s="72"/>
      <c r="I916" s="72"/>
      <c r="J916" s="72"/>
      <c r="K916" s="83"/>
      <c r="L916" s="83"/>
      <c r="M916" s="83"/>
      <c r="N916" s="83"/>
      <c r="O916" s="87">
        <f>VLOOKUP($B916,BOM!$A$2:$K$94,10,0)</f>
        <v>0</v>
      </c>
      <c r="P916" s="87">
        <f t="shared" si="52"/>
        <v>0</v>
      </c>
      <c r="Q916" s="84">
        <f>VLOOKUP($B916,BOM!$A$2:$K$94,9,0)</f>
        <v>0</v>
      </c>
    </row>
    <row r="917" spans="1:17" ht="90">
      <c r="A917" s="147"/>
      <c r="B917" s="67" t="s">
        <v>155</v>
      </c>
      <c r="C917" s="187" t="s">
        <v>325</v>
      </c>
      <c r="D917" s="90" t="s">
        <v>51</v>
      </c>
      <c r="E917" s="90">
        <v>2</v>
      </c>
      <c r="F917" s="65"/>
      <c r="G917" s="65"/>
      <c r="H917" s="65"/>
      <c r="I917" s="65"/>
      <c r="J917" s="103">
        <f>E917</f>
        <v>2</v>
      </c>
      <c r="K917" s="65" t="s">
        <v>143</v>
      </c>
      <c r="L917" s="65" t="s">
        <v>151</v>
      </c>
      <c r="M917" s="90" t="s">
        <v>154</v>
      </c>
      <c r="N917" s="90" t="s">
        <v>51</v>
      </c>
      <c r="O917" s="87">
        <f>VLOOKUP($B917,BOM!$A$2:$K$94,10,0)</f>
        <v>0</v>
      </c>
      <c r="P917" s="87">
        <f t="shared" si="52"/>
        <v>0</v>
      </c>
      <c r="Q917" s="151" t="str">
        <f>VLOOKUP($B917,BOM!$A$2:$K$94,9,0)</f>
        <v>cái</v>
      </c>
    </row>
    <row r="918" spans="1:17" s="111" customFormat="1">
      <c r="A918" s="120"/>
      <c r="B918" s="68" t="s">
        <v>216</v>
      </c>
      <c r="C918" s="68" t="s">
        <v>217</v>
      </c>
      <c r="D918" s="89" t="s">
        <v>64</v>
      </c>
      <c r="E918" s="89">
        <v>4</v>
      </c>
      <c r="F918" s="124"/>
      <c r="G918" s="124"/>
      <c r="H918" s="124"/>
      <c r="I918" s="124"/>
      <c r="J918" s="124"/>
      <c r="K918" s="124" t="s">
        <v>143</v>
      </c>
      <c r="L918" s="124" t="s">
        <v>151</v>
      </c>
      <c r="M918" s="89" t="s">
        <v>154</v>
      </c>
      <c r="N918" s="89" t="s">
        <v>64</v>
      </c>
      <c r="O918" s="87">
        <f>VLOOKUP($B918,BOM!$A$2:$K$94,10,0)</f>
        <v>0</v>
      </c>
      <c r="P918" s="87">
        <f t="shared" si="52"/>
        <v>0</v>
      </c>
      <c r="Q918" s="152" t="str">
        <f>VLOOKUP($B918,BOM!$A$2:$K$94,9,0)</f>
        <v>cái</v>
      </c>
    </row>
    <row r="919" spans="1:17" s="45" customFormat="1">
      <c r="A919" s="141"/>
      <c r="B919" s="64" t="s">
        <v>212</v>
      </c>
      <c r="C919" s="64" t="s">
        <v>213</v>
      </c>
      <c r="D919" s="97" t="s">
        <v>64</v>
      </c>
      <c r="E919" s="98"/>
      <c r="F919" s="95"/>
      <c r="G919" s="95"/>
      <c r="H919" s="95"/>
      <c r="I919" s="95"/>
      <c r="J919" s="95"/>
      <c r="K919" s="95" t="s">
        <v>143</v>
      </c>
      <c r="L919" s="95" t="s">
        <v>151</v>
      </c>
      <c r="M919" s="97" t="s">
        <v>154</v>
      </c>
      <c r="N919" s="97" t="s">
        <v>64</v>
      </c>
      <c r="O919" s="87">
        <f>VLOOKUP($B919,BOM!$A$2:$K$94,10,0)</f>
        <v>0</v>
      </c>
      <c r="P919" s="87">
        <f t="shared" si="52"/>
        <v>0</v>
      </c>
      <c r="Q919" s="153" t="str">
        <f>VLOOKUP($B919,BOM!$A$2:$K$94,9,0)</f>
        <v>cái</v>
      </c>
    </row>
    <row r="920" spans="1:17" s="45" customFormat="1">
      <c r="A920" s="141"/>
      <c r="B920" s="62"/>
      <c r="C920" s="62"/>
      <c r="D920" s="85"/>
      <c r="E920" s="90"/>
      <c r="F920" s="62"/>
      <c r="G920" s="62"/>
      <c r="H920" s="62"/>
      <c r="I920" s="62"/>
      <c r="J920" s="62"/>
      <c r="K920" s="62"/>
      <c r="L920" s="62"/>
      <c r="M920" s="86"/>
      <c r="N920" s="86"/>
      <c r="O920" s="87">
        <f>VLOOKUP($B920,BOM!$A$2:$K$94,10,0)</f>
        <v>0</v>
      </c>
      <c r="P920" s="87">
        <f t="shared" si="52"/>
        <v>0</v>
      </c>
      <c r="Q920" s="87">
        <f>VLOOKUP($B920,BOM!$A$2:$K$94,9,0)</f>
        <v>0</v>
      </c>
    </row>
    <row r="921" spans="1:17" s="111" customFormat="1">
      <c r="A921" s="124"/>
      <c r="B921" s="124" t="s">
        <v>218</v>
      </c>
      <c r="C921" s="75" t="s">
        <v>219</v>
      </c>
      <c r="D921" s="75" t="s">
        <v>159</v>
      </c>
      <c r="E921" s="154">
        <v>1</v>
      </c>
      <c r="F921" s="75"/>
      <c r="G921" s="75"/>
      <c r="H921" s="75"/>
      <c r="I921" s="75"/>
      <c r="J921" s="75"/>
      <c r="K921" s="75" t="s">
        <v>143</v>
      </c>
      <c r="L921" s="75" t="s">
        <v>151</v>
      </c>
      <c r="M921" s="75" t="s">
        <v>154</v>
      </c>
      <c r="N921" s="75" t="s">
        <v>159</v>
      </c>
      <c r="O921" s="87">
        <f>VLOOKUP($B921,BOM!$A$2:$K$94,10,0)</f>
        <v>0</v>
      </c>
      <c r="P921" s="87">
        <f t="shared" si="52"/>
        <v>0</v>
      </c>
      <c r="Q921" s="155" t="str">
        <f>VLOOKUP($B921,BOM!$A$2:$K$94,9,0)</f>
        <v>cái</v>
      </c>
    </row>
    <row r="922" spans="1:17" outlineLevel="1">
      <c r="A922" s="141"/>
      <c r="B922" s="117"/>
      <c r="C922" s="61" t="s">
        <v>67</v>
      </c>
      <c r="D922" s="119" t="s">
        <v>0</v>
      </c>
      <c r="E922" s="120">
        <v>1</v>
      </c>
      <c r="F922" s="121"/>
      <c r="G922" s="121"/>
      <c r="H922" s="121" t="s">
        <v>69</v>
      </c>
      <c r="I922" s="122"/>
      <c r="J922" s="21">
        <f t="shared" ref="J922:J923" si="53">E922</f>
        <v>1</v>
      </c>
      <c r="K922" s="63"/>
      <c r="L922" s="63"/>
      <c r="M922" s="63"/>
      <c r="N922" s="63"/>
      <c r="O922" s="87">
        <f>VLOOKUP($B922,BOM!$A$2:$K$94,10,0)</f>
        <v>0</v>
      </c>
      <c r="P922" s="87">
        <f t="shared" si="52"/>
        <v>0</v>
      </c>
      <c r="Q922" s="80">
        <f>VLOOKUP($B922,BOM!$A$2:$K$94,9,0)</f>
        <v>0</v>
      </c>
    </row>
    <row r="923" spans="1:17" outlineLevel="1">
      <c r="A923" s="141"/>
      <c r="B923" s="117"/>
      <c r="C923" s="61" t="s">
        <v>70</v>
      </c>
      <c r="D923" s="119" t="s">
        <v>0</v>
      </c>
      <c r="E923" s="120">
        <v>1</v>
      </c>
      <c r="F923" s="121"/>
      <c r="G923" s="121"/>
      <c r="H923" s="121" t="s">
        <v>69</v>
      </c>
      <c r="I923" s="122"/>
      <c r="J923" s="21">
        <f t="shared" si="53"/>
        <v>1</v>
      </c>
      <c r="K923" s="63"/>
      <c r="L923" s="63"/>
      <c r="M923" s="63"/>
      <c r="N923" s="63"/>
      <c r="O923" s="87">
        <f>VLOOKUP($B923,BOM!$A$2:$K$94,10,0)</f>
        <v>0</v>
      </c>
      <c r="P923" s="87">
        <f t="shared" si="52"/>
        <v>0</v>
      </c>
      <c r="Q923" s="80">
        <f>VLOOKUP($B923,BOM!$A$2:$K$94,9,0)</f>
        <v>0</v>
      </c>
    </row>
    <row r="924" spans="1:17">
      <c r="A924" s="141"/>
      <c r="B924" s="81"/>
      <c r="C924" s="72" t="s">
        <v>18</v>
      </c>
      <c r="D924" s="72" t="s">
        <v>0</v>
      </c>
      <c r="E924" s="72">
        <v>1</v>
      </c>
      <c r="F924" s="72"/>
      <c r="G924" s="72"/>
      <c r="H924" s="72"/>
      <c r="I924" s="72"/>
      <c r="J924" s="72"/>
      <c r="K924" s="83"/>
      <c r="L924" s="83"/>
      <c r="M924" s="83"/>
      <c r="N924" s="83"/>
      <c r="O924" s="87">
        <f>VLOOKUP($B924,BOM!$A$2:$K$94,10,0)</f>
        <v>0</v>
      </c>
      <c r="P924" s="87">
        <f t="shared" si="52"/>
        <v>0</v>
      </c>
      <c r="Q924" s="84">
        <f>VLOOKUP($B924,BOM!$A$2:$K$94,9,0)</f>
        <v>0</v>
      </c>
    </row>
    <row r="925" spans="1:17" s="45" customFormat="1">
      <c r="A925" s="141"/>
      <c r="B925" s="62">
        <v>760237046</v>
      </c>
      <c r="C925" s="62" t="s">
        <v>19</v>
      </c>
      <c r="D925" s="85" t="s">
        <v>3</v>
      </c>
      <c r="E925" s="85">
        <v>2</v>
      </c>
      <c r="F925" s="62"/>
      <c r="G925" s="62"/>
      <c r="H925" s="62"/>
      <c r="I925" s="62"/>
      <c r="J925" s="21">
        <f>E925</f>
        <v>2</v>
      </c>
      <c r="K925" s="62" t="s">
        <v>4</v>
      </c>
      <c r="L925" s="62" t="s">
        <v>5</v>
      </c>
      <c r="M925" s="86" t="s">
        <v>6</v>
      </c>
      <c r="N925" s="86" t="s">
        <v>3</v>
      </c>
      <c r="O925" s="87">
        <f>VLOOKUP($B925,BOM!$A$2:$K$94,10,0)</f>
        <v>0</v>
      </c>
      <c r="P925" s="87">
        <f t="shared" si="52"/>
        <v>0</v>
      </c>
      <c r="Q925" s="87" t="str">
        <f>VLOOKUP($B925,BOM!$A$2:$K$94,9,0)</f>
        <v>Cái</v>
      </c>
    </row>
    <row r="926" spans="1:17" s="45" customFormat="1">
      <c r="A926" s="141"/>
      <c r="B926" s="62" t="s">
        <v>23</v>
      </c>
      <c r="C926" s="62" t="s">
        <v>24</v>
      </c>
      <c r="D926" s="85" t="s">
        <v>3</v>
      </c>
      <c r="E926" s="85">
        <f>E925*24</f>
        <v>48</v>
      </c>
      <c r="F926" s="62"/>
      <c r="G926" s="62"/>
      <c r="H926" s="62"/>
      <c r="I926" s="62"/>
      <c r="J926" s="62"/>
      <c r="K926" s="62" t="s">
        <v>25</v>
      </c>
      <c r="L926" s="62" t="s">
        <v>5</v>
      </c>
      <c r="M926" s="86" t="s">
        <v>6</v>
      </c>
      <c r="N926" s="86" t="s">
        <v>3</v>
      </c>
      <c r="O926" s="87">
        <f>VLOOKUP($B926,BOM!$A$2:$K$94,10,0)</f>
        <v>0</v>
      </c>
      <c r="P926" s="87">
        <f t="shared" si="52"/>
        <v>0</v>
      </c>
      <c r="Q926" s="87" t="str">
        <f>VLOOKUP($B926,BOM!$A$2:$K$94,9,0)</f>
        <v>Cái</v>
      </c>
    </row>
    <row r="927" spans="1:17" s="45" customFormat="1">
      <c r="A927" s="141"/>
      <c r="B927" s="62" t="s">
        <v>20</v>
      </c>
      <c r="C927" s="62" t="s">
        <v>21</v>
      </c>
      <c r="D927" s="85" t="s">
        <v>3</v>
      </c>
      <c r="E927" s="85">
        <f>E925</f>
        <v>2</v>
      </c>
      <c r="F927" s="62"/>
      <c r="G927" s="62"/>
      <c r="H927" s="62"/>
      <c r="I927" s="62"/>
      <c r="J927" s="21">
        <f>E927</f>
        <v>2</v>
      </c>
      <c r="K927" s="62" t="s">
        <v>4</v>
      </c>
      <c r="L927" s="62" t="s">
        <v>5</v>
      </c>
      <c r="M927" s="86" t="s">
        <v>22</v>
      </c>
      <c r="N927" s="86" t="s">
        <v>3</v>
      </c>
      <c r="O927" s="87">
        <f>VLOOKUP($B927,BOM!$A$2:$K$94,10,0)</f>
        <v>0</v>
      </c>
      <c r="P927" s="87">
        <f t="shared" si="52"/>
        <v>0</v>
      </c>
      <c r="Q927" s="87" t="str">
        <f>VLOOKUP($B927,BOM!$A$2:$K$94,9,0)</f>
        <v>Cái</v>
      </c>
    </row>
    <row r="928" spans="1:17">
      <c r="A928" s="141"/>
      <c r="B928" s="81"/>
      <c r="C928" s="72" t="s">
        <v>71</v>
      </c>
      <c r="D928" s="72" t="s">
        <v>0</v>
      </c>
      <c r="E928" s="72">
        <v>1</v>
      </c>
      <c r="F928" s="72"/>
      <c r="G928" s="72"/>
      <c r="H928" s="72"/>
      <c r="I928" s="72"/>
      <c r="J928" s="72"/>
      <c r="K928" s="83"/>
      <c r="L928" s="83"/>
      <c r="M928" s="83"/>
      <c r="N928" s="83"/>
      <c r="O928" s="87">
        <f>VLOOKUP($B928,BOM!$A$2:$K$94,10,0)</f>
        <v>0</v>
      </c>
      <c r="P928" s="87">
        <f t="shared" si="52"/>
        <v>0</v>
      </c>
      <c r="Q928" s="84">
        <f>VLOOKUP($B928,BOM!$A$2:$K$94,9,0)</f>
        <v>0</v>
      </c>
    </row>
    <row r="929" spans="1:17" s="45" customFormat="1">
      <c r="A929" s="141"/>
      <c r="B929" s="41" t="s">
        <v>235</v>
      </c>
      <c r="C929" s="41" t="s">
        <v>236</v>
      </c>
      <c r="D929" s="116" t="s">
        <v>51</v>
      </c>
      <c r="E929" s="85">
        <v>1</v>
      </c>
      <c r="F929" s="62"/>
      <c r="G929" s="62"/>
      <c r="H929" s="62"/>
      <c r="I929" s="62"/>
      <c r="J929" s="86">
        <f>E929*8</f>
        <v>8</v>
      </c>
      <c r="K929" s="62"/>
      <c r="L929" s="62" t="s">
        <v>5</v>
      </c>
      <c r="M929" s="86" t="s">
        <v>28</v>
      </c>
      <c r="N929" s="86" t="s">
        <v>3</v>
      </c>
      <c r="O929" s="87">
        <f>VLOOKUP($B929,BOM!$A$2:$K$94,10,0)</f>
        <v>0</v>
      </c>
      <c r="P929" s="87">
        <f t="shared" si="52"/>
        <v>0</v>
      </c>
      <c r="Q929" s="87" t="str">
        <f>VLOOKUP($B929,BOM!$A$2:$K$94,9,0)</f>
        <v>Cái</v>
      </c>
    </row>
    <row r="930" spans="1:17" s="45" customFormat="1">
      <c r="A930" s="141"/>
      <c r="B930" s="62"/>
      <c r="C930" s="62"/>
      <c r="D930" s="116"/>
      <c r="E930" s="85"/>
      <c r="F930" s="62"/>
      <c r="G930" s="62"/>
      <c r="H930" s="62"/>
      <c r="I930" s="62"/>
      <c r="J930" s="62"/>
      <c r="K930" s="62"/>
      <c r="L930" s="62"/>
      <c r="M930" s="86"/>
      <c r="N930" s="86"/>
      <c r="O930" s="87">
        <f>VLOOKUP($B930,BOM!$A$2:$K$94,10,0)</f>
        <v>0</v>
      </c>
      <c r="P930" s="87">
        <f t="shared" si="52"/>
        <v>0</v>
      </c>
      <c r="Q930" s="87">
        <f>VLOOKUP($B930,BOM!$A$2:$K$94,9,0)</f>
        <v>0</v>
      </c>
    </row>
    <row r="931" spans="1:17" s="45" customFormat="1">
      <c r="A931" s="141"/>
      <c r="B931" s="62" t="s">
        <v>225</v>
      </c>
      <c r="C931" s="62" t="s">
        <v>72</v>
      </c>
      <c r="D931" s="116" t="s">
        <v>64</v>
      </c>
      <c r="E931" s="85">
        <v>0</v>
      </c>
      <c r="F931" s="62"/>
      <c r="G931" s="62"/>
      <c r="H931" s="62"/>
      <c r="I931" s="62"/>
      <c r="J931" s="62"/>
      <c r="K931" s="62"/>
      <c r="L931" s="62" t="s">
        <v>5</v>
      </c>
      <c r="M931" s="86" t="s">
        <v>28</v>
      </c>
      <c r="N931" s="86" t="s">
        <v>3</v>
      </c>
      <c r="O931" s="87">
        <f>VLOOKUP($B931,BOM!$A$2:$K$94,10,0)</f>
        <v>0</v>
      </c>
      <c r="P931" s="87">
        <f t="shared" si="52"/>
        <v>0</v>
      </c>
      <c r="Q931" s="87" t="str">
        <f>VLOOKUP($B931,BOM!$A$2:$K$94,9,0)</f>
        <v>Cái</v>
      </c>
    </row>
    <row r="932" spans="1:17">
      <c r="A932" s="141"/>
      <c r="B932" s="81"/>
      <c r="C932" s="72" t="s">
        <v>31</v>
      </c>
      <c r="D932" s="72" t="s">
        <v>0</v>
      </c>
      <c r="E932" s="72">
        <v>1</v>
      </c>
      <c r="F932" s="72"/>
      <c r="G932" s="72"/>
      <c r="H932" s="72"/>
      <c r="I932" s="72"/>
      <c r="J932" s="72"/>
      <c r="K932" s="83"/>
      <c r="L932" s="83"/>
      <c r="M932" s="83"/>
      <c r="N932" s="83"/>
      <c r="O932" s="87">
        <f>VLOOKUP($B932,BOM!$A$2:$K$94,10,0)</f>
        <v>0</v>
      </c>
      <c r="P932" s="87">
        <f t="shared" si="52"/>
        <v>0</v>
      </c>
      <c r="Q932" s="84">
        <f>VLOOKUP($B932,BOM!$A$2:$K$94,9,0)</f>
        <v>0</v>
      </c>
    </row>
    <row r="933" spans="1:17">
      <c r="A933" s="141"/>
      <c r="B933" s="81"/>
      <c r="C933" s="72" t="s">
        <v>32</v>
      </c>
      <c r="D933" s="72"/>
      <c r="E933" s="72"/>
      <c r="F933" s="72"/>
      <c r="G933" s="72">
        <v>32</v>
      </c>
      <c r="H933" s="72"/>
      <c r="I933" s="72"/>
      <c r="J933" s="72"/>
      <c r="K933" s="83"/>
      <c r="L933" s="83"/>
      <c r="M933" s="83"/>
      <c r="N933" s="83"/>
      <c r="O933" s="87">
        <f>VLOOKUP($B933,BOM!$A$2:$K$94,10,0)</f>
        <v>0</v>
      </c>
      <c r="P933" s="87">
        <f t="shared" si="52"/>
        <v>0</v>
      </c>
      <c r="Q933" s="84">
        <f>VLOOKUP($B933,BOM!$A$2:$K$94,9,0)</f>
        <v>0</v>
      </c>
    </row>
    <row r="934" spans="1:17" s="45" customFormat="1" ht="20.45" customHeight="1">
      <c r="A934" s="141"/>
      <c r="B934" s="62" t="s">
        <v>33</v>
      </c>
      <c r="C934" s="62" t="s">
        <v>34</v>
      </c>
      <c r="D934" s="85" t="s">
        <v>3</v>
      </c>
      <c r="E934" s="90">
        <f>E935</f>
        <v>32</v>
      </c>
      <c r="F934" s="62"/>
      <c r="G934" s="62"/>
      <c r="H934" s="62"/>
      <c r="I934" s="62"/>
      <c r="J934" s="62"/>
      <c r="K934" s="62" t="s">
        <v>35</v>
      </c>
      <c r="L934" s="62" t="s">
        <v>5</v>
      </c>
      <c r="M934" s="86" t="s">
        <v>6</v>
      </c>
      <c r="N934" s="86" t="s">
        <v>3</v>
      </c>
      <c r="O934" s="87">
        <f>VLOOKUP($B934,BOM!$A$2:$K$94,10,0)</f>
        <v>0</v>
      </c>
      <c r="P934" s="87">
        <f t="shared" si="52"/>
        <v>0</v>
      </c>
      <c r="Q934" s="87" t="str">
        <f>VLOOKUP($B934,BOM!$A$2:$K$94,9,0)</f>
        <v>Cái</v>
      </c>
    </row>
    <row r="935" spans="1:17" s="45" customFormat="1">
      <c r="A935" s="141"/>
      <c r="B935" s="62" t="s">
        <v>330</v>
      </c>
      <c r="C935" s="62" t="s">
        <v>36</v>
      </c>
      <c r="D935" s="85" t="s">
        <v>3</v>
      </c>
      <c r="E935" s="90">
        <f>G933+H933</f>
        <v>32</v>
      </c>
      <c r="F935" s="62"/>
      <c r="G935" s="62"/>
      <c r="H935" s="62"/>
      <c r="I935" s="62"/>
      <c r="J935" s="62"/>
      <c r="K935" s="62" t="s">
        <v>37</v>
      </c>
      <c r="L935" s="62" t="s">
        <v>5</v>
      </c>
      <c r="M935" s="86" t="s">
        <v>37</v>
      </c>
      <c r="N935" s="86" t="s">
        <v>3</v>
      </c>
      <c r="O935" s="87">
        <f>VLOOKUP($B935,BOM!$A$2:$K$94,10,0)</f>
        <v>0</v>
      </c>
      <c r="P935" s="87">
        <f t="shared" si="52"/>
        <v>0</v>
      </c>
      <c r="Q935" s="87" t="str">
        <f>VLOOKUP($B935,BOM!$A$2:$K$94,9,0)</f>
        <v>Cái</v>
      </c>
    </row>
    <row r="936" spans="1:17" s="45" customFormat="1">
      <c r="A936" s="141"/>
      <c r="B936" s="62" t="s">
        <v>38</v>
      </c>
      <c r="C936" s="62" t="s">
        <v>39</v>
      </c>
      <c r="D936" s="85" t="s">
        <v>3</v>
      </c>
      <c r="E936" s="90">
        <f>E935</f>
        <v>32</v>
      </c>
      <c r="F936" s="62"/>
      <c r="G936" s="62"/>
      <c r="H936" s="62"/>
      <c r="I936" s="62"/>
      <c r="J936" s="62"/>
      <c r="K936" s="62" t="s">
        <v>25</v>
      </c>
      <c r="L936" s="62" t="s">
        <v>5</v>
      </c>
      <c r="M936" s="86" t="s">
        <v>6</v>
      </c>
      <c r="N936" s="86" t="s">
        <v>3</v>
      </c>
      <c r="O936" s="87">
        <f>VLOOKUP($B936,BOM!$A$2:$K$94,10,0)</f>
        <v>0</v>
      </c>
      <c r="P936" s="87">
        <f t="shared" si="52"/>
        <v>0</v>
      </c>
      <c r="Q936" s="87" t="str">
        <f>VLOOKUP($B936,BOM!$A$2:$K$94,9,0)</f>
        <v>Cái</v>
      </c>
    </row>
    <row r="937" spans="1:17">
      <c r="A937" s="141"/>
      <c r="B937" s="81"/>
      <c r="C937" s="72" t="s">
        <v>40</v>
      </c>
      <c r="D937" s="72"/>
      <c r="E937" s="72"/>
      <c r="F937" s="72"/>
      <c r="G937" s="72">
        <v>5</v>
      </c>
      <c r="H937" s="72"/>
      <c r="I937" s="72"/>
      <c r="J937" s="72"/>
      <c r="K937" s="83"/>
      <c r="L937" s="83"/>
      <c r="M937" s="83"/>
      <c r="N937" s="83"/>
      <c r="O937" s="87">
        <f>VLOOKUP($B937,BOM!$A$2:$K$94,10,0)</f>
        <v>0</v>
      </c>
      <c r="P937" s="87">
        <f t="shared" si="52"/>
        <v>0</v>
      </c>
      <c r="Q937" s="84">
        <f>VLOOKUP($B937,BOM!$A$2:$K$94,9,0)</f>
        <v>0</v>
      </c>
    </row>
    <row r="938" spans="1:17" s="45" customFormat="1">
      <c r="A938" s="141"/>
      <c r="B938" s="62" t="s">
        <v>41</v>
      </c>
      <c r="C938" s="62" t="s">
        <v>42</v>
      </c>
      <c r="D938" s="85" t="s">
        <v>3</v>
      </c>
      <c r="E938" s="85">
        <f>G937+H937</f>
        <v>5</v>
      </c>
      <c r="F938" s="62"/>
      <c r="G938" s="62"/>
      <c r="H938" s="62"/>
      <c r="I938" s="62"/>
      <c r="J938" s="62"/>
      <c r="K938" s="62" t="s">
        <v>4</v>
      </c>
      <c r="L938" s="62" t="s">
        <v>5</v>
      </c>
      <c r="M938" s="86" t="s">
        <v>6</v>
      </c>
      <c r="N938" s="86" t="s">
        <v>3</v>
      </c>
      <c r="O938" s="87">
        <f>VLOOKUP($B938,BOM!$A$2:$K$94,10,0)</f>
        <v>0</v>
      </c>
      <c r="P938" s="87">
        <f t="shared" si="52"/>
        <v>0</v>
      </c>
      <c r="Q938" s="87" t="str">
        <f>VLOOKUP($B938,BOM!$A$2:$K$94,9,0)</f>
        <v>Cái</v>
      </c>
    </row>
    <row r="939" spans="1:17" s="45" customFormat="1">
      <c r="A939" s="141"/>
      <c r="B939" s="65" t="s">
        <v>43</v>
      </c>
      <c r="C939" s="65" t="s">
        <v>44</v>
      </c>
      <c r="D939" s="85" t="s">
        <v>3</v>
      </c>
      <c r="E939" s="85">
        <f>E938</f>
        <v>5</v>
      </c>
      <c r="F939" s="62"/>
      <c r="G939" s="62"/>
      <c r="H939" s="62"/>
      <c r="I939" s="62"/>
      <c r="J939" s="62"/>
      <c r="K939" s="62" t="s">
        <v>4</v>
      </c>
      <c r="L939" s="62" t="s">
        <v>5</v>
      </c>
      <c r="M939" s="86" t="s">
        <v>6</v>
      </c>
      <c r="N939" s="86" t="s">
        <v>3</v>
      </c>
      <c r="O939" s="87">
        <f>VLOOKUP($B939,BOM!$A$2:$K$94,10,0)</f>
        <v>0</v>
      </c>
      <c r="P939" s="87">
        <f t="shared" si="52"/>
        <v>0</v>
      </c>
      <c r="Q939" s="87" t="str">
        <f>VLOOKUP($B939,BOM!$A$2:$K$94,9,0)</f>
        <v>Cái</v>
      </c>
    </row>
    <row r="940" spans="1:17">
      <c r="A940" s="141"/>
      <c r="B940" s="81"/>
      <c r="C940" s="72" t="s">
        <v>45</v>
      </c>
      <c r="D940" s="72"/>
      <c r="E940" s="72"/>
      <c r="F940" s="72"/>
      <c r="G940" s="72"/>
      <c r="H940" s="72"/>
      <c r="I940" s="72"/>
      <c r="J940" s="72"/>
      <c r="K940" s="83"/>
      <c r="L940" s="83"/>
      <c r="M940" s="83"/>
      <c r="N940" s="83"/>
      <c r="O940" s="87">
        <f>VLOOKUP($B940,BOM!$A$2:$K$94,10,0)</f>
        <v>0</v>
      </c>
      <c r="P940" s="87">
        <f t="shared" si="52"/>
        <v>0</v>
      </c>
      <c r="Q940" s="84">
        <f>VLOOKUP($B940,BOM!$A$2:$K$94,9,0)</f>
        <v>0</v>
      </c>
    </row>
    <row r="941" spans="1:17" s="45" customFormat="1">
      <c r="A941" s="141"/>
      <c r="B941" s="62" t="s">
        <v>48</v>
      </c>
      <c r="C941" s="62" t="s">
        <v>49</v>
      </c>
      <c r="D941" s="85" t="s">
        <v>14</v>
      </c>
      <c r="E941" s="85">
        <f>E934+E938+1</f>
        <v>38</v>
      </c>
      <c r="F941" s="62"/>
      <c r="G941" s="62"/>
      <c r="H941" s="62"/>
      <c r="I941" s="62"/>
      <c r="J941" s="62"/>
      <c r="K941" s="62"/>
      <c r="L941" s="62" t="s">
        <v>5</v>
      </c>
      <c r="M941" s="86" t="s">
        <v>6</v>
      </c>
      <c r="N941" s="86" t="s">
        <v>15</v>
      </c>
      <c r="O941" s="87">
        <f>VLOOKUP($B941,BOM!$A$2:$K$94,10,0)</f>
        <v>0</v>
      </c>
      <c r="P941" s="87">
        <f t="shared" si="52"/>
        <v>0</v>
      </c>
      <c r="Q941" s="87" t="str">
        <f>VLOOKUP($B941,BOM!$A$2:$K$94,9,0)</f>
        <v>Sợi</v>
      </c>
    </row>
    <row r="942" spans="1:17" s="45" customFormat="1">
      <c r="A942" s="141"/>
      <c r="B942" s="62" t="s">
        <v>48</v>
      </c>
      <c r="C942" s="62" t="s">
        <v>49</v>
      </c>
      <c r="D942" s="85" t="s">
        <v>14</v>
      </c>
      <c r="E942" s="90">
        <f>ROUNDUP(E941*0.2,0)</f>
        <v>8</v>
      </c>
      <c r="F942" s="62"/>
      <c r="G942" s="62"/>
      <c r="H942" s="62"/>
      <c r="I942" s="62"/>
      <c r="J942" s="62"/>
      <c r="K942" s="62" t="s">
        <v>4</v>
      </c>
      <c r="L942" s="62" t="s">
        <v>5</v>
      </c>
      <c r="M942" s="86" t="s">
        <v>6</v>
      </c>
      <c r="N942" s="86" t="s">
        <v>15</v>
      </c>
      <c r="O942" s="87">
        <f>VLOOKUP($B942,BOM!$A$2:$K$94,10,0)</f>
        <v>0</v>
      </c>
      <c r="P942" s="87">
        <f t="shared" si="52"/>
        <v>0</v>
      </c>
      <c r="Q942" s="87" t="str">
        <f>VLOOKUP($B942,BOM!$A$2:$K$94,9,0)</f>
        <v>Sợi</v>
      </c>
    </row>
    <row r="943" spans="1:17">
      <c r="A943" s="141"/>
      <c r="B943" s="81"/>
      <c r="C943" s="72" t="s">
        <v>50</v>
      </c>
      <c r="D943" s="72"/>
      <c r="E943" s="72"/>
      <c r="F943" s="72"/>
      <c r="G943" s="72"/>
      <c r="H943" s="72"/>
      <c r="I943" s="72"/>
      <c r="J943" s="72"/>
      <c r="K943" s="83"/>
      <c r="L943" s="83"/>
      <c r="M943" s="83"/>
      <c r="N943" s="83"/>
      <c r="O943" s="87">
        <f>VLOOKUP($B943,BOM!$A$2:$K$94,10,0)</f>
        <v>0</v>
      </c>
      <c r="P943" s="87">
        <f t="shared" si="52"/>
        <v>0</v>
      </c>
      <c r="Q943" s="84">
        <f>VLOOKUP($B943,BOM!$A$2:$K$94,9,0)</f>
        <v>0</v>
      </c>
    </row>
    <row r="944" spans="1:17" s="45" customFormat="1">
      <c r="A944" s="141"/>
      <c r="B944" s="62" t="s">
        <v>332</v>
      </c>
      <c r="C944" s="62" t="s">
        <v>332</v>
      </c>
      <c r="D944" s="85" t="s">
        <v>51</v>
      </c>
      <c r="E944" s="85">
        <f>E929</f>
        <v>1</v>
      </c>
      <c r="F944" s="62"/>
      <c r="G944" s="62"/>
      <c r="H944" s="62"/>
      <c r="I944" s="62"/>
      <c r="J944" s="62"/>
      <c r="K944" s="62"/>
      <c r="L944" s="62"/>
      <c r="M944" s="86"/>
      <c r="N944" s="86" t="s">
        <v>51</v>
      </c>
      <c r="O944" s="87">
        <f>VLOOKUP($B944,BOM!$A$2:$K$94,10,0)</f>
        <v>0</v>
      </c>
      <c r="P944" s="87">
        <f t="shared" si="52"/>
        <v>0</v>
      </c>
      <c r="Q944" s="87" t="str">
        <f>VLOOKUP($B944,BOM!$A$2:$K$94,9,0)</f>
        <v>bộ</v>
      </c>
    </row>
    <row r="945" spans="1:17" s="45" customFormat="1">
      <c r="A945" s="141"/>
      <c r="B945" s="62" t="s">
        <v>52</v>
      </c>
      <c r="C945" s="62" t="s">
        <v>53</v>
      </c>
      <c r="D945" s="86" t="s">
        <v>54</v>
      </c>
      <c r="E945" s="105">
        <f>E942+E941</f>
        <v>46</v>
      </c>
      <c r="F945" s="62"/>
      <c r="G945" s="62"/>
      <c r="H945" s="62"/>
      <c r="I945" s="62"/>
      <c r="J945" s="62"/>
      <c r="K945" s="62"/>
      <c r="L945" s="62"/>
      <c r="M945" s="86" t="s">
        <v>55</v>
      </c>
      <c r="N945" s="86" t="s">
        <v>54</v>
      </c>
      <c r="O945" s="87">
        <f>VLOOKUP($B945,BOM!$A$2:$K$94,10,0)</f>
        <v>0</v>
      </c>
      <c r="P945" s="87">
        <f t="shared" si="52"/>
        <v>0</v>
      </c>
      <c r="Q945" s="87" t="str">
        <f>VLOOKUP($B945,BOM!$A$2:$K$94,9,0)</f>
        <v>node</v>
      </c>
    </row>
    <row r="946" spans="1:17" s="45" customFormat="1">
      <c r="A946" s="141"/>
      <c r="B946" s="62" t="s">
        <v>56</v>
      </c>
      <c r="C946" s="62" t="s">
        <v>57</v>
      </c>
      <c r="D946" s="86" t="s">
        <v>14</v>
      </c>
      <c r="E946" s="105">
        <f>E915+E911</f>
        <v>12</v>
      </c>
      <c r="F946" s="62"/>
      <c r="G946" s="62"/>
      <c r="H946" s="62"/>
      <c r="I946" s="62"/>
      <c r="J946" s="62"/>
      <c r="K946" s="62"/>
      <c r="L946" s="62"/>
      <c r="M946" s="86" t="s">
        <v>55</v>
      </c>
      <c r="N946" s="86" t="s">
        <v>14</v>
      </c>
      <c r="O946" s="87">
        <f>VLOOKUP($B946,BOM!$A$2:$K$94,10,0)</f>
        <v>0</v>
      </c>
      <c r="P946" s="87">
        <f t="shared" si="52"/>
        <v>0</v>
      </c>
      <c r="Q946" s="87" t="str">
        <f>VLOOKUP($B946,BOM!$A$2:$K$94,9,0)</f>
        <v>sợi</v>
      </c>
    </row>
    <row r="947" spans="1:17" s="45" customFormat="1">
      <c r="A947" s="141"/>
      <c r="B947" s="62" t="s">
        <v>58</v>
      </c>
      <c r="C947" s="62" t="s">
        <v>59</v>
      </c>
      <c r="D947" s="86" t="s">
        <v>60</v>
      </c>
      <c r="E947" s="105">
        <f>E946*2</f>
        <v>24</v>
      </c>
      <c r="F947" s="62"/>
      <c r="G947" s="62"/>
      <c r="H947" s="62"/>
      <c r="I947" s="62"/>
      <c r="J947" s="62"/>
      <c r="K947" s="62"/>
      <c r="L947" s="62"/>
      <c r="M947" s="86" t="s">
        <v>61</v>
      </c>
      <c r="N947" s="86" t="s">
        <v>60</v>
      </c>
      <c r="O947" s="87">
        <f>VLOOKUP($B947,BOM!$A$2:$K$94,10,0)</f>
        <v>0</v>
      </c>
      <c r="P947" s="87">
        <f t="shared" si="52"/>
        <v>0</v>
      </c>
      <c r="Q947" s="87" t="str">
        <f>VLOOKUP($B947,BOM!$A$2:$K$94,9,0)</f>
        <v>đầu</v>
      </c>
    </row>
    <row r="948" spans="1:17" s="45" customFormat="1">
      <c r="A948" s="141"/>
      <c r="B948" s="62" t="s">
        <v>62</v>
      </c>
      <c r="C948" s="62" t="s">
        <v>63</v>
      </c>
      <c r="D948" s="86" t="s">
        <v>64</v>
      </c>
      <c r="E948" s="105">
        <f>E925</f>
        <v>2</v>
      </c>
      <c r="F948" s="62"/>
      <c r="G948" s="62"/>
      <c r="H948" s="62"/>
      <c r="I948" s="62"/>
      <c r="J948" s="62"/>
      <c r="K948" s="62"/>
      <c r="L948" s="62"/>
      <c r="M948" s="86" t="s">
        <v>61</v>
      </c>
      <c r="N948" s="86" t="s">
        <v>64</v>
      </c>
      <c r="O948" s="87">
        <f>VLOOKUP($B948,BOM!$A$2:$K$94,10,0)</f>
        <v>0</v>
      </c>
      <c r="P948" s="87">
        <f t="shared" si="52"/>
        <v>0</v>
      </c>
      <c r="Q948" s="87" t="str">
        <f>VLOOKUP($B948,BOM!$A$2:$K$94,9,0)</f>
        <v>cái</v>
      </c>
    </row>
    <row r="949" spans="1:17" s="140" customFormat="1">
      <c r="A949" s="134">
        <v>20</v>
      </c>
      <c r="B949" s="135"/>
      <c r="C949" s="71" t="s">
        <v>90</v>
      </c>
      <c r="D949" s="136" t="s">
        <v>0</v>
      </c>
      <c r="E949" s="134">
        <v>1</v>
      </c>
      <c r="F949" s="134"/>
      <c r="G949" s="134">
        <v>12</v>
      </c>
      <c r="H949" s="134"/>
      <c r="I949" s="134"/>
      <c r="J949" s="137">
        <f>SUBTOTAL(9,J952:J976)</f>
        <v>15</v>
      </c>
      <c r="K949" s="137"/>
      <c r="L949" s="137"/>
      <c r="M949" s="137"/>
      <c r="N949" s="137"/>
      <c r="O949" s="87">
        <f>VLOOKUP($B949,BOM!$A$2:$K$94,10,0)</f>
        <v>0</v>
      </c>
      <c r="P949" s="87">
        <f t="shared" si="52"/>
        <v>0</v>
      </c>
      <c r="Q949" s="139">
        <f>VLOOKUP($B949,BOM!$A$2:$K$94,9,0)</f>
        <v>0</v>
      </c>
    </row>
    <row r="950" spans="1:17">
      <c r="A950" s="141"/>
      <c r="B950" s="81"/>
      <c r="C950" s="72" t="s">
        <v>124</v>
      </c>
      <c r="D950" s="72" t="s">
        <v>0</v>
      </c>
      <c r="E950" s="72">
        <v>1</v>
      </c>
      <c r="F950" s="72"/>
      <c r="G950" s="72"/>
      <c r="H950" s="72"/>
      <c r="I950" s="72"/>
      <c r="J950" s="72"/>
      <c r="K950" s="83"/>
      <c r="L950" s="83"/>
      <c r="M950" s="83"/>
      <c r="N950" s="83"/>
      <c r="O950" s="87">
        <f>VLOOKUP($B950,BOM!$A$2:$K$94,10,0)</f>
        <v>0</v>
      </c>
      <c r="P950" s="87">
        <f t="shared" si="52"/>
        <v>0</v>
      </c>
      <c r="Q950" s="84">
        <f>VLOOKUP($B950,BOM!$A$2:$K$94,9,0)</f>
        <v>0</v>
      </c>
    </row>
    <row r="951" spans="1:17" s="19" customFormat="1">
      <c r="A951" s="141"/>
      <c r="B951" s="21" t="s">
        <v>226</v>
      </c>
      <c r="C951" s="21" t="s">
        <v>227</v>
      </c>
      <c r="D951" s="21"/>
      <c r="E951" s="22">
        <v>1</v>
      </c>
      <c r="F951" s="21"/>
      <c r="G951" s="21"/>
      <c r="H951" s="21"/>
      <c r="I951" s="21"/>
      <c r="J951" s="21"/>
      <c r="K951" s="21" t="s">
        <v>4</v>
      </c>
      <c r="L951" s="21" t="s">
        <v>5</v>
      </c>
      <c r="M951" s="22" t="s">
        <v>22</v>
      </c>
      <c r="N951" s="22" t="s">
        <v>3</v>
      </c>
      <c r="O951" s="87">
        <f>VLOOKUP($B951,BOM!$A$2:$K$94,10,0)</f>
        <v>0</v>
      </c>
      <c r="P951" s="87">
        <f t="shared" si="52"/>
        <v>0</v>
      </c>
      <c r="Q951" s="142">
        <f>VLOOKUP($B951,BOM!$A$2:$K$94,9,0)</f>
        <v>0</v>
      </c>
    </row>
    <row r="952" spans="1:17" s="19" customFormat="1">
      <c r="A952" s="141"/>
      <c r="B952" s="21" t="s">
        <v>122</v>
      </c>
      <c r="C952" s="21" t="s">
        <v>123</v>
      </c>
      <c r="D952" s="21"/>
      <c r="E952" s="22">
        <v>1</v>
      </c>
      <c r="F952" s="21"/>
      <c r="G952" s="21"/>
      <c r="H952" s="21"/>
      <c r="I952" s="21"/>
      <c r="J952" s="21">
        <f>E952</f>
        <v>1</v>
      </c>
      <c r="K952" s="21" t="s">
        <v>4</v>
      </c>
      <c r="L952" s="21" t="s">
        <v>5</v>
      </c>
      <c r="M952" s="22" t="s">
        <v>22</v>
      </c>
      <c r="N952" s="22" t="s">
        <v>3</v>
      </c>
      <c r="O952" s="87">
        <f>VLOOKUP($B952,BOM!$A$2:$K$94,10,0)</f>
        <v>0</v>
      </c>
      <c r="P952" s="87">
        <f t="shared" si="52"/>
        <v>0</v>
      </c>
      <c r="Q952" s="142" t="str">
        <f>VLOOKUP($B952,BOM!$A$2:$K$94,9,0)</f>
        <v>Cái</v>
      </c>
    </row>
    <row r="953" spans="1:17">
      <c r="A953" s="141"/>
      <c r="B953" s="81"/>
      <c r="C953" s="72" t="s">
        <v>1</v>
      </c>
      <c r="D953" s="72" t="s">
        <v>0</v>
      </c>
      <c r="E953" s="72">
        <v>1</v>
      </c>
      <c r="F953" s="72"/>
      <c r="G953" s="72">
        <f>ROUNDUP(G949/24,0)</f>
        <v>1</v>
      </c>
      <c r="H953" s="72">
        <f t="shared" ref="H953" si="54">ROUNDUP(H949/24,0)</f>
        <v>0</v>
      </c>
      <c r="I953" s="72"/>
      <c r="J953" s="72"/>
      <c r="K953" s="83"/>
      <c r="L953" s="83"/>
      <c r="M953" s="83"/>
      <c r="N953" s="83"/>
      <c r="O953" s="87">
        <f>VLOOKUP($B953,BOM!$A$2:$K$94,10,0)</f>
        <v>0</v>
      </c>
      <c r="P953" s="87">
        <f t="shared" si="52"/>
        <v>0</v>
      </c>
      <c r="Q953" s="84">
        <f>VLOOKUP($B953,BOM!$A$2:$K$94,9,0)</f>
        <v>0</v>
      </c>
    </row>
    <row r="954" spans="1:17" s="45" customFormat="1">
      <c r="A954" s="141"/>
      <c r="B954" s="62">
        <v>760249997</v>
      </c>
      <c r="C954" s="62" t="s">
        <v>2</v>
      </c>
      <c r="D954" s="85" t="s">
        <v>3</v>
      </c>
      <c r="E954" s="85">
        <f>ROUNDUP((E956+E960)/3,0)</f>
        <v>1</v>
      </c>
      <c r="F954" s="62"/>
      <c r="G954" s="62"/>
      <c r="H954" s="62"/>
      <c r="I954" s="62"/>
      <c r="J954" s="21">
        <f>E954</f>
        <v>1</v>
      </c>
      <c r="K954" s="62" t="s">
        <v>4</v>
      </c>
      <c r="L954" s="62" t="s">
        <v>5</v>
      </c>
      <c r="M954" s="86" t="s">
        <v>6</v>
      </c>
      <c r="N954" s="86" t="s">
        <v>3</v>
      </c>
      <c r="O954" s="87">
        <f>VLOOKUP($B954,BOM!$A$2:$K$94,10,0)</f>
        <v>0</v>
      </c>
      <c r="P954" s="87">
        <f t="shared" si="52"/>
        <v>0</v>
      </c>
      <c r="Q954" s="87" t="str">
        <f>VLOOKUP($B954,BOM!$A$2:$K$94,9,0)</f>
        <v>Cái</v>
      </c>
    </row>
    <row r="955" spans="1:17" s="45" customFormat="1">
      <c r="A955" s="141"/>
      <c r="B955" s="62">
        <v>760241378</v>
      </c>
      <c r="C955" s="62" t="s">
        <v>7</v>
      </c>
      <c r="D955" s="85" t="s">
        <v>3</v>
      </c>
      <c r="E955" s="85">
        <f>IF(E956&lt;=2,1,ROUNDUP(E954*1.5,0))</f>
        <v>1</v>
      </c>
      <c r="F955" s="62"/>
      <c r="G955" s="62"/>
      <c r="H955" s="62"/>
      <c r="I955" s="62"/>
      <c r="J955" s="62"/>
      <c r="K955" s="62" t="s">
        <v>4</v>
      </c>
      <c r="L955" s="62" t="s">
        <v>5</v>
      </c>
      <c r="M955" s="86" t="s">
        <v>6</v>
      </c>
      <c r="N955" s="86" t="s">
        <v>3</v>
      </c>
      <c r="O955" s="87">
        <f>VLOOKUP($B955,BOM!$A$2:$K$94,10,0)</f>
        <v>0</v>
      </c>
      <c r="P955" s="87">
        <f t="shared" si="52"/>
        <v>0</v>
      </c>
      <c r="Q955" s="87" t="str">
        <f>VLOOKUP($B955,BOM!$A$2:$K$94,9,0)</f>
        <v>Cái</v>
      </c>
    </row>
    <row r="956" spans="1:17" s="45" customFormat="1">
      <c r="A956" s="141"/>
      <c r="B956" s="62" t="s">
        <v>8</v>
      </c>
      <c r="C956" s="62" t="s">
        <v>9</v>
      </c>
      <c r="D956" s="85" t="s">
        <v>3</v>
      </c>
      <c r="E956" s="85">
        <f>G953</f>
        <v>1</v>
      </c>
      <c r="F956" s="62"/>
      <c r="G956" s="62"/>
      <c r="H956" s="62"/>
      <c r="I956" s="62"/>
      <c r="J956" s="62"/>
      <c r="K956" s="62" t="s">
        <v>4</v>
      </c>
      <c r="L956" s="62" t="s">
        <v>5</v>
      </c>
      <c r="M956" s="86" t="s">
        <v>6</v>
      </c>
      <c r="N956" s="86" t="s">
        <v>3</v>
      </c>
      <c r="O956" s="87">
        <f>VLOOKUP($B956,BOM!$A$2:$K$94,10,0)</f>
        <v>0</v>
      </c>
      <c r="P956" s="87">
        <f t="shared" si="52"/>
        <v>0</v>
      </c>
      <c r="Q956" s="87" t="str">
        <f>VLOOKUP($B956,BOM!$A$2:$K$94,9,0)</f>
        <v>Cái</v>
      </c>
    </row>
    <row r="957" spans="1:17" s="45" customFormat="1">
      <c r="A957" s="141"/>
      <c r="B957" s="62" t="s">
        <v>10</v>
      </c>
      <c r="C957" s="62" t="s">
        <v>11</v>
      </c>
      <c r="D957" s="85" t="s">
        <v>3</v>
      </c>
      <c r="E957" s="85">
        <f>E954*3-E956-E960</f>
        <v>2</v>
      </c>
      <c r="F957" s="62"/>
      <c r="G957" s="62"/>
      <c r="H957" s="62"/>
      <c r="I957" s="62"/>
      <c r="J957" s="62"/>
      <c r="K957" s="62" t="s">
        <v>4</v>
      </c>
      <c r="L957" s="62" t="s">
        <v>5</v>
      </c>
      <c r="M957" s="86" t="s">
        <v>6</v>
      </c>
      <c r="N957" s="86" t="s">
        <v>3</v>
      </c>
      <c r="O957" s="87">
        <f>VLOOKUP($B957,BOM!$A$2:$K$94,10,0)</f>
        <v>0</v>
      </c>
      <c r="P957" s="87">
        <f t="shared" si="52"/>
        <v>0</v>
      </c>
      <c r="Q957" s="87" t="str">
        <f>VLOOKUP($B957,BOM!$A$2:$K$94,9,0)</f>
        <v>Cái</v>
      </c>
    </row>
    <row r="958" spans="1:17" s="45" customFormat="1">
      <c r="A958" s="141"/>
      <c r="B958" s="62" t="s">
        <v>12</v>
      </c>
      <c r="C958" s="62" t="s">
        <v>13</v>
      </c>
      <c r="D958" s="85" t="s">
        <v>14</v>
      </c>
      <c r="E958" s="85">
        <f>G949/2</f>
        <v>6</v>
      </c>
      <c r="F958" s="62"/>
      <c r="G958" s="62"/>
      <c r="H958" s="62"/>
      <c r="I958" s="62"/>
      <c r="J958" s="62"/>
      <c r="K958" s="62" t="s">
        <v>4</v>
      </c>
      <c r="L958" s="62" t="s">
        <v>5</v>
      </c>
      <c r="M958" s="86" t="s">
        <v>6</v>
      </c>
      <c r="N958" s="86" t="s">
        <v>15</v>
      </c>
      <c r="O958" s="87">
        <f>VLOOKUP($B958,BOM!$A$2:$K$94,10,0)</f>
        <v>0</v>
      </c>
      <c r="P958" s="87">
        <f t="shared" si="52"/>
        <v>0</v>
      </c>
      <c r="Q958" s="87" t="str">
        <f>VLOOKUP($B958,BOM!$A$2:$K$94,9,0)</f>
        <v>Sợi</v>
      </c>
    </row>
    <row r="959" spans="1:17" s="45" customFormat="1">
      <c r="A959" s="141"/>
      <c r="B959" s="62" t="s">
        <v>16</v>
      </c>
      <c r="C959" s="62" t="s">
        <v>17</v>
      </c>
      <c r="D959" s="85" t="s">
        <v>14</v>
      </c>
      <c r="E959" s="85">
        <f>ROUNDUP((E966*1.3),0)</f>
        <v>3</v>
      </c>
      <c r="F959" s="62"/>
      <c r="G959" s="62"/>
      <c r="H959" s="62"/>
      <c r="I959" s="62"/>
      <c r="J959" s="62"/>
      <c r="K959" s="62" t="s">
        <v>4</v>
      </c>
      <c r="L959" s="62" t="s">
        <v>5</v>
      </c>
      <c r="M959" s="86" t="s">
        <v>6</v>
      </c>
      <c r="N959" s="86" t="s">
        <v>15</v>
      </c>
      <c r="O959" s="87">
        <f>VLOOKUP($B959,BOM!$A$2:$K$94,10,0)</f>
        <v>0</v>
      </c>
      <c r="P959" s="87">
        <f t="shared" si="52"/>
        <v>0</v>
      </c>
      <c r="Q959" s="87" t="str">
        <f>VLOOKUP($B959,BOM!$A$2:$K$94,9,0)</f>
        <v>Sợi</v>
      </c>
    </row>
    <row r="960" spans="1:17" s="110" customFormat="1">
      <c r="A960" s="141"/>
      <c r="B960" s="66" t="s">
        <v>198</v>
      </c>
      <c r="C960" s="66" t="s">
        <v>199</v>
      </c>
      <c r="D960" s="89" t="s">
        <v>3</v>
      </c>
      <c r="E960" s="89">
        <f>H953</f>
        <v>0</v>
      </c>
      <c r="F960" s="66"/>
      <c r="G960" s="66"/>
      <c r="H960" s="66"/>
      <c r="I960" s="66"/>
      <c r="J960" s="66"/>
      <c r="K960" s="108" t="s">
        <v>4</v>
      </c>
      <c r="L960" s="108" t="s">
        <v>5</v>
      </c>
      <c r="M960" s="109" t="s">
        <v>6</v>
      </c>
      <c r="N960" s="109" t="s">
        <v>15</v>
      </c>
      <c r="O960" s="87">
        <f>VLOOKUP($B960,BOM!$A$2:$K$94,10,0)</f>
        <v>0</v>
      </c>
      <c r="P960" s="87">
        <f t="shared" si="52"/>
        <v>0</v>
      </c>
      <c r="Q960" s="146" t="str">
        <f>VLOOKUP($B960,BOM!$A$2:$K$94,9,0)</f>
        <v>Cái</v>
      </c>
    </row>
    <row r="961" spans="1:17" s="111" customFormat="1">
      <c r="A961" s="141"/>
      <c r="B961" s="66" t="s">
        <v>194</v>
      </c>
      <c r="C961" s="66" t="s">
        <v>195</v>
      </c>
      <c r="D961" s="89" t="s">
        <v>14</v>
      </c>
      <c r="E961" s="89">
        <f>ROUNDUP((E965*1.3),0)</f>
        <v>0</v>
      </c>
      <c r="F961" s="108"/>
      <c r="G961" s="108"/>
      <c r="H961" s="108"/>
      <c r="I961" s="108"/>
      <c r="J961" s="108"/>
      <c r="K961" s="108" t="s">
        <v>4</v>
      </c>
      <c r="L961" s="108" t="s">
        <v>5</v>
      </c>
      <c r="M961" s="109" t="s">
        <v>6</v>
      </c>
      <c r="N961" s="109" t="s">
        <v>15</v>
      </c>
      <c r="O961" s="87">
        <f>VLOOKUP($B961,BOM!$A$2:$K$94,10,0)</f>
        <v>0</v>
      </c>
      <c r="P961" s="87">
        <f t="shared" si="52"/>
        <v>0</v>
      </c>
      <c r="Q961" s="146" t="str">
        <f>VLOOKUP($B961,BOM!$A$2:$K$94,9,0)</f>
        <v>Cái</v>
      </c>
    </row>
    <row r="962" spans="1:17" s="110" customFormat="1">
      <c r="A962" s="141"/>
      <c r="B962" s="66" t="s">
        <v>196</v>
      </c>
      <c r="C962" s="66" t="s">
        <v>197</v>
      </c>
      <c r="D962" s="89" t="s">
        <v>14</v>
      </c>
      <c r="E962" s="89">
        <f>H949/2</f>
        <v>0</v>
      </c>
      <c r="F962" s="66"/>
      <c r="G962" s="66"/>
      <c r="H962" s="66"/>
      <c r="I962" s="66"/>
      <c r="J962" s="66"/>
      <c r="K962" s="108" t="s">
        <v>4</v>
      </c>
      <c r="L962" s="108" t="s">
        <v>5</v>
      </c>
      <c r="M962" s="109" t="s">
        <v>6</v>
      </c>
      <c r="N962" s="109" t="s">
        <v>15</v>
      </c>
      <c r="O962" s="87">
        <f>VLOOKUP($B962,BOM!$A$2:$K$94,10,0)</f>
        <v>0</v>
      </c>
      <c r="P962" s="87">
        <f t="shared" si="52"/>
        <v>0</v>
      </c>
      <c r="Q962" s="146" t="str">
        <f>VLOOKUP($B962,BOM!$A$2:$K$94,9,0)</f>
        <v>Cái</v>
      </c>
    </row>
    <row r="963" spans="1:17">
      <c r="A963" s="141"/>
      <c r="B963" s="81"/>
      <c r="C963" s="72" t="s">
        <v>26</v>
      </c>
      <c r="D963" s="72" t="s">
        <v>0</v>
      </c>
      <c r="E963" s="72">
        <v>1</v>
      </c>
      <c r="F963" s="72"/>
      <c r="G963" s="72"/>
      <c r="H963" s="72"/>
      <c r="I963" s="72"/>
      <c r="J963" s="72"/>
      <c r="K963" s="83"/>
      <c r="L963" s="83"/>
      <c r="M963" s="83"/>
      <c r="N963" s="83"/>
      <c r="O963" s="87">
        <f>VLOOKUP($B963,BOM!$A$2:$K$94,10,0)</f>
        <v>0</v>
      </c>
      <c r="P963" s="87">
        <f t="shared" si="52"/>
        <v>0</v>
      </c>
      <c r="Q963" s="84">
        <f>VLOOKUP($B963,BOM!$A$2:$K$94,9,0)</f>
        <v>0</v>
      </c>
    </row>
    <row r="964" spans="1:17" ht="60">
      <c r="A964" s="147"/>
      <c r="B964" s="67" t="s">
        <v>228</v>
      </c>
      <c r="C964" s="187" t="s">
        <v>324</v>
      </c>
      <c r="D964" s="90" t="s">
        <v>51</v>
      </c>
      <c r="E964" s="90">
        <v>1</v>
      </c>
      <c r="F964" s="65"/>
      <c r="G964" s="65"/>
      <c r="H964" s="65"/>
      <c r="I964" s="65"/>
      <c r="J964" s="103">
        <f>E964</f>
        <v>1</v>
      </c>
      <c r="K964" s="65" t="s">
        <v>143</v>
      </c>
      <c r="L964" s="65" t="s">
        <v>151</v>
      </c>
      <c r="M964" s="90" t="s">
        <v>154</v>
      </c>
      <c r="N964" s="90" t="s">
        <v>51</v>
      </c>
      <c r="O964" s="87">
        <f>VLOOKUP($B964,BOM!$A$2:$K$94,10,0)</f>
        <v>0</v>
      </c>
      <c r="P964" s="87">
        <f t="shared" si="52"/>
        <v>0</v>
      </c>
      <c r="Q964" s="151" t="str">
        <f>VLOOKUP($B964,BOM!$A$2:$K$94,9,0)</f>
        <v>cái</v>
      </c>
    </row>
    <row r="965" spans="1:17" s="111" customFormat="1">
      <c r="A965" s="120"/>
      <c r="B965" s="68" t="s">
        <v>216</v>
      </c>
      <c r="C965" s="68" t="s">
        <v>217</v>
      </c>
      <c r="D965" s="89" t="s">
        <v>64</v>
      </c>
      <c r="E965" s="89">
        <v>0</v>
      </c>
      <c r="F965" s="124"/>
      <c r="G965" s="124"/>
      <c r="H965" s="124"/>
      <c r="I965" s="124"/>
      <c r="J965" s="124"/>
      <c r="K965" s="124" t="s">
        <v>143</v>
      </c>
      <c r="L965" s="124" t="s">
        <v>151</v>
      </c>
      <c r="M965" s="89" t="s">
        <v>154</v>
      </c>
      <c r="N965" s="89" t="s">
        <v>64</v>
      </c>
      <c r="O965" s="87">
        <f>VLOOKUP($B965,BOM!$A$2:$K$94,10,0)</f>
        <v>0</v>
      </c>
      <c r="P965" s="87">
        <f t="shared" si="52"/>
        <v>0</v>
      </c>
      <c r="Q965" s="152" t="str">
        <f>VLOOKUP($B965,BOM!$A$2:$K$94,9,0)</f>
        <v>cái</v>
      </c>
    </row>
    <row r="966" spans="1:17" s="45" customFormat="1">
      <c r="A966" s="141"/>
      <c r="B966" s="64" t="s">
        <v>212</v>
      </c>
      <c r="C966" s="64" t="s">
        <v>213</v>
      </c>
      <c r="D966" s="97" t="s">
        <v>64</v>
      </c>
      <c r="E966" s="98">
        <v>2</v>
      </c>
      <c r="F966" s="95"/>
      <c r="G966" s="95"/>
      <c r="H966" s="95"/>
      <c r="I966" s="95"/>
      <c r="J966" s="95"/>
      <c r="K966" s="95" t="s">
        <v>143</v>
      </c>
      <c r="L966" s="95" t="s">
        <v>151</v>
      </c>
      <c r="M966" s="97" t="s">
        <v>154</v>
      </c>
      <c r="N966" s="97" t="s">
        <v>64</v>
      </c>
      <c r="O966" s="87">
        <f>VLOOKUP($B966,BOM!$A$2:$K$94,10,0)</f>
        <v>0</v>
      </c>
      <c r="P966" s="87">
        <f t="shared" si="52"/>
        <v>0</v>
      </c>
      <c r="Q966" s="153" t="str">
        <f>VLOOKUP($B966,BOM!$A$2:$K$94,9,0)</f>
        <v>cái</v>
      </c>
    </row>
    <row r="967" spans="1:17" s="45" customFormat="1" ht="20.100000000000001" customHeight="1">
      <c r="A967" s="141"/>
      <c r="B967" s="62"/>
      <c r="C967" s="62"/>
      <c r="D967" s="85"/>
      <c r="E967" s="90"/>
      <c r="F967" s="62"/>
      <c r="G967" s="62"/>
      <c r="H967" s="62"/>
      <c r="I967" s="62"/>
      <c r="J967" s="62"/>
      <c r="K967" s="62"/>
      <c r="L967" s="62"/>
      <c r="M967" s="86"/>
      <c r="N967" s="86"/>
      <c r="O967" s="87">
        <f>VLOOKUP($B967,BOM!$A$2:$K$94,10,0)</f>
        <v>0</v>
      </c>
      <c r="P967" s="87">
        <f t="shared" si="52"/>
        <v>0</v>
      </c>
      <c r="Q967" s="87">
        <f>VLOOKUP($B967,BOM!$A$2:$K$94,9,0)</f>
        <v>0</v>
      </c>
    </row>
    <row r="968" spans="1:17" s="45" customFormat="1">
      <c r="A968" s="141"/>
      <c r="B968" s="62"/>
      <c r="C968" s="62"/>
      <c r="D968" s="85"/>
      <c r="E968" s="90"/>
      <c r="F968" s="62"/>
      <c r="G968" s="62"/>
      <c r="H968" s="62"/>
      <c r="I968" s="62"/>
      <c r="J968" s="62"/>
      <c r="K968" s="62"/>
      <c r="L968" s="62"/>
      <c r="M968" s="86"/>
      <c r="N968" s="86"/>
      <c r="O968" s="87">
        <f>VLOOKUP($B968,BOM!$A$2:$K$94,10,0)</f>
        <v>0</v>
      </c>
      <c r="P968" s="87">
        <f t="shared" si="52"/>
        <v>0</v>
      </c>
      <c r="Q968" s="87">
        <f>VLOOKUP($B968,BOM!$A$2:$K$94,9,0)</f>
        <v>0</v>
      </c>
    </row>
    <row r="969" spans="1:17" outlineLevel="1">
      <c r="A969" s="141"/>
      <c r="B969" s="117"/>
      <c r="C969" s="61" t="s">
        <v>67</v>
      </c>
      <c r="D969" s="119" t="s">
        <v>0</v>
      </c>
      <c r="E969" s="120">
        <v>1</v>
      </c>
      <c r="F969" s="121"/>
      <c r="G969" s="121"/>
      <c r="H969" s="121" t="s">
        <v>69</v>
      </c>
      <c r="I969" s="122"/>
      <c r="J969" s="21">
        <f t="shared" ref="J969:J970" si="55">E969</f>
        <v>1</v>
      </c>
      <c r="K969" s="63"/>
      <c r="L969" s="63"/>
      <c r="M969" s="63"/>
      <c r="N969" s="63"/>
      <c r="O969" s="87">
        <f>VLOOKUP($B969,BOM!$A$2:$K$94,10,0)</f>
        <v>0</v>
      </c>
      <c r="P969" s="87">
        <f t="shared" si="52"/>
        <v>0</v>
      </c>
      <c r="Q969" s="80">
        <f>VLOOKUP($B969,BOM!$A$2:$K$94,9,0)</f>
        <v>0</v>
      </c>
    </row>
    <row r="970" spans="1:17" outlineLevel="1">
      <c r="A970" s="141"/>
      <c r="B970" s="117"/>
      <c r="C970" s="61" t="s">
        <v>70</v>
      </c>
      <c r="D970" s="119" t="s">
        <v>0</v>
      </c>
      <c r="E970" s="120">
        <v>1</v>
      </c>
      <c r="F970" s="121"/>
      <c r="G970" s="121"/>
      <c r="H970" s="121" t="s">
        <v>69</v>
      </c>
      <c r="I970" s="122"/>
      <c r="J970" s="21">
        <f t="shared" si="55"/>
        <v>1</v>
      </c>
      <c r="K970" s="63"/>
      <c r="L970" s="63"/>
      <c r="M970" s="63"/>
      <c r="N970" s="63"/>
      <c r="O970" s="87">
        <f>VLOOKUP($B970,BOM!$A$2:$K$94,10,0)</f>
        <v>0</v>
      </c>
      <c r="P970" s="87">
        <f t="shared" ref="P970:P1033" si="56">O970*E970</f>
        <v>0</v>
      </c>
      <c r="Q970" s="80">
        <f>VLOOKUP($B970,BOM!$A$2:$K$94,9,0)</f>
        <v>0</v>
      </c>
    </row>
    <row r="971" spans="1:17">
      <c r="A971" s="141"/>
      <c r="B971" s="81"/>
      <c r="C971" s="72" t="s">
        <v>18</v>
      </c>
      <c r="D971" s="72" t="s">
        <v>0</v>
      </c>
      <c r="E971" s="72">
        <v>1</v>
      </c>
      <c r="F971" s="72"/>
      <c r="G971" s="72"/>
      <c r="H971" s="72"/>
      <c r="I971" s="72"/>
      <c r="J971" s="72"/>
      <c r="K971" s="83"/>
      <c r="L971" s="83"/>
      <c r="M971" s="83"/>
      <c r="N971" s="83"/>
      <c r="O971" s="87">
        <f>VLOOKUP($B971,BOM!$A$2:$K$94,10,0)</f>
        <v>0</v>
      </c>
      <c r="P971" s="87">
        <f t="shared" si="56"/>
        <v>0</v>
      </c>
      <c r="Q971" s="84">
        <f>VLOOKUP($B971,BOM!$A$2:$K$94,9,0)</f>
        <v>0</v>
      </c>
    </row>
    <row r="972" spans="1:17" s="45" customFormat="1">
      <c r="A972" s="141"/>
      <c r="B972" s="62">
        <v>760237046</v>
      </c>
      <c r="C972" s="62" t="s">
        <v>19</v>
      </c>
      <c r="D972" s="85" t="s">
        <v>3</v>
      </c>
      <c r="E972" s="85">
        <f>E964+E967</f>
        <v>1</v>
      </c>
      <c r="F972" s="62"/>
      <c r="G972" s="62"/>
      <c r="H972" s="62"/>
      <c r="I972" s="62"/>
      <c r="J972" s="21">
        <f>E972</f>
        <v>1</v>
      </c>
      <c r="K972" s="62" t="s">
        <v>4</v>
      </c>
      <c r="L972" s="62" t="s">
        <v>5</v>
      </c>
      <c r="M972" s="86" t="s">
        <v>6</v>
      </c>
      <c r="N972" s="86" t="s">
        <v>3</v>
      </c>
      <c r="O972" s="87">
        <f>VLOOKUP($B972,BOM!$A$2:$K$94,10,0)</f>
        <v>0</v>
      </c>
      <c r="P972" s="87">
        <f t="shared" si="56"/>
        <v>0</v>
      </c>
      <c r="Q972" s="87" t="str">
        <f>VLOOKUP($B972,BOM!$A$2:$K$94,9,0)</f>
        <v>Cái</v>
      </c>
    </row>
    <row r="973" spans="1:17" s="45" customFormat="1">
      <c r="A973" s="141"/>
      <c r="B973" s="62" t="s">
        <v>23</v>
      </c>
      <c r="C973" s="62" t="s">
        <v>24</v>
      </c>
      <c r="D973" s="85" t="s">
        <v>3</v>
      </c>
      <c r="E973" s="85">
        <f>E972*24</f>
        <v>24</v>
      </c>
      <c r="F973" s="62"/>
      <c r="G973" s="62"/>
      <c r="H973" s="62"/>
      <c r="I973" s="62"/>
      <c r="J973" s="62"/>
      <c r="K973" s="62" t="s">
        <v>25</v>
      </c>
      <c r="L973" s="62" t="s">
        <v>5</v>
      </c>
      <c r="M973" s="86" t="s">
        <v>6</v>
      </c>
      <c r="N973" s="86" t="s">
        <v>3</v>
      </c>
      <c r="O973" s="87">
        <f>VLOOKUP($B973,BOM!$A$2:$K$94,10,0)</f>
        <v>0</v>
      </c>
      <c r="P973" s="87">
        <f t="shared" si="56"/>
        <v>0</v>
      </c>
      <c r="Q973" s="87" t="str">
        <f>VLOOKUP($B973,BOM!$A$2:$K$94,9,0)</f>
        <v>Cái</v>
      </c>
    </row>
    <row r="974" spans="1:17" s="45" customFormat="1">
      <c r="A974" s="141"/>
      <c r="B974" s="62" t="s">
        <v>20</v>
      </c>
      <c r="C974" s="62" t="s">
        <v>21</v>
      </c>
      <c r="D974" s="85" t="s">
        <v>3</v>
      </c>
      <c r="E974" s="85">
        <f>E972</f>
        <v>1</v>
      </c>
      <c r="F974" s="62"/>
      <c r="G974" s="62"/>
      <c r="H974" s="62"/>
      <c r="I974" s="62"/>
      <c r="J974" s="21">
        <f>E974</f>
        <v>1</v>
      </c>
      <c r="K974" s="62" t="s">
        <v>4</v>
      </c>
      <c r="L974" s="62" t="s">
        <v>5</v>
      </c>
      <c r="M974" s="86" t="s">
        <v>22</v>
      </c>
      <c r="N974" s="86" t="s">
        <v>3</v>
      </c>
      <c r="O974" s="87">
        <f>VLOOKUP($B974,BOM!$A$2:$K$94,10,0)</f>
        <v>0</v>
      </c>
      <c r="P974" s="87">
        <f t="shared" si="56"/>
        <v>0</v>
      </c>
      <c r="Q974" s="87" t="str">
        <f>VLOOKUP($B974,BOM!$A$2:$K$94,9,0)</f>
        <v>Cái</v>
      </c>
    </row>
    <row r="975" spans="1:17">
      <c r="A975" s="141"/>
      <c r="B975" s="81"/>
      <c r="C975" s="72" t="s">
        <v>71</v>
      </c>
      <c r="D975" s="72" t="s">
        <v>0</v>
      </c>
      <c r="E975" s="72">
        <v>1</v>
      </c>
      <c r="F975" s="72"/>
      <c r="G975" s="72"/>
      <c r="H975" s="72"/>
      <c r="I975" s="72"/>
      <c r="J975" s="72"/>
      <c r="K975" s="83"/>
      <c r="L975" s="83"/>
      <c r="M975" s="83"/>
      <c r="N975" s="83"/>
      <c r="O975" s="87">
        <f>VLOOKUP($B975,BOM!$A$2:$K$94,10,0)</f>
        <v>0</v>
      </c>
      <c r="P975" s="87">
        <f t="shared" si="56"/>
        <v>0</v>
      </c>
      <c r="Q975" s="84">
        <f>VLOOKUP($B975,BOM!$A$2:$K$94,9,0)</f>
        <v>0</v>
      </c>
    </row>
    <row r="976" spans="1:17" s="45" customFormat="1">
      <c r="A976" s="141"/>
      <c r="B976" s="62" t="s">
        <v>314</v>
      </c>
      <c r="C976" s="62" t="s">
        <v>316</v>
      </c>
      <c r="D976" s="116" t="s">
        <v>51</v>
      </c>
      <c r="E976" s="85">
        <v>1</v>
      </c>
      <c r="F976" s="62"/>
      <c r="G976" s="62"/>
      <c r="H976" s="62"/>
      <c r="I976" s="62"/>
      <c r="J976" s="86">
        <f>E976*8</f>
        <v>8</v>
      </c>
      <c r="K976" s="62"/>
      <c r="L976" s="62" t="s">
        <v>5</v>
      </c>
      <c r="M976" s="86" t="s">
        <v>28</v>
      </c>
      <c r="N976" s="86" t="s">
        <v>3</v>
      </c>
      <c r="O976" s="87">
        <f>VLOOKUP($B976,BOM!$A$2:$K$94,10,0)</f>
        <v>0</v>
      </c>
      <c r="P976" s="87">
        <f t="shared" si="56"/>
        <v>0</v>
      </c>
      <c r="Q976" s="87" t="str">
        <f>VLOOKUP($B976,BOM!$A$2:$K$94,9,0)</f>
        <v>Cái</v>
      </c>
    </row>
    <row r="977" spans="1:17" s="45" customFormat="1">
      <c r="A977" s="141"/>
      <c r="B977" s="62"/>
      <c r="C977" s="62"/>
      <c r="D977" s="116"/>
      <c r="E977" s="85"/>
      <c r="F977" s="62"/>
      <c r="G977" s="62"/>
      <c r="H977" s="62"/>
      <c r="I977" s="62"/>
      <c r="J977" s="62"/>
      <c r="K977" s="62"/>
      <c r="L977" s="62"/>
      <c r="M977" s="86"/>
      <c r="N977" s="86"/>
      <c r="O977" s="87">
        <f>VLOOKUP($B977,BOM!$A$2:$K$94,10,0)</f>
        <v>0</v>
      </c>
      <c r="P977" s="87">
        <f t="shared" si="56"/>
        <v>0</v>
      </c>
      <c r="Q977" s="87">
        <f>VLOOKUP($B977,BOM!$A$2:$K$94,9,0)</f>
        <v>0</v>
      </c>
    </row>
    <row r="978" spans="1:17" s="45" customFormat="1">
      <c r="A978" s="141"/>
      <c r="B978" s="62" t="s">
        <v>225</v>
      </c>
      <c r="C978" s="62" t="s">
        <v>72</v>
      </c>
      <c r="D978" s="116" t="s">
        <v>64</v>
      </c>
      <c r="E978" s="85">
        <v>0</v>
      </c>
      <c r="F978" s="62"/>
      <c r="G978" s="62"/>
      <c r="H978" s="62"/>
      <c r="I978" s="62"/>
      <c r="J978" s="62"/>
      <c r="K978" s="62"/>
      <c r="L978" s="62" t="s">
        <v>5</v>
      </c>
      <c r="M978" s="86" t="s">
        <v>28</v>
      </c>
      <c r="N978" s="86" t="s">
        <v>3</v>
      </c>
      <c r="O978" s="87">
        <f>VLOOKUP($B978,BOM!$A$2:$K$94,10,0)</f>
        <v>0</v>
      </c>
      <c r="P978" s="87">
        <f t="shared" si="56"/>
        <v>0</v>
      </c>
      <c r="Q978" s="87" t="str">
        <f>VLOOKUP($B978,BOM!$A$2:$K$94,9,0)</f>
        <v>Cái</v>
      </c>
    </row>
    <row r="979" spans="1:17">
      <c r="A979" s="141"/>
      <c r="B979" s="81"/>
      <c r="C979" s="72" t="s">
        <v>31</v>
      </c>
      <c r="D979" s="72" t="s">
        <v>0</v>
      </c>
      <c r="E979" s="72">
        <v>1</v>
      </c>
      <c r="F979" s="72"/>
      <c r="G979" s="72"/>
      <c r="H979" s="72"/>
      <c r="I979" s="72"/>
      <c r="J979" s="72"/>
      <c r="K979" s="83"/>
      <c r="L979" s="83"/>
      <c r="M979" s="83"/>
      <c r="N979" s="83"/>
      <c r="O979" s="87">
        <f>VLOOKUP($B979,BOM!$A$2:$K$94,10,0)</f>
        <v>0</v>
      </c>
      <c r="P979" s="87">
        <f t="shared" si="56"/>
        <v>0</v>
      </c>
      <c r="Q979" s="84">
        <f>VLOOKUP($B979,BOM!$A$2:$K$94,9,0)</f>
        <v>0</v>
      </c>
    </row>
    <row r="980" spans="1:17">
      <c r="A980" s="141"/>
      <c r="B980" s="81"/>
      <c r="C980" s="72" t="s">
        <v>32</v>
      </c>
      <c r="D980" s="72"/>
      <c r="E980" s="72"/>
      <c r="F980" s="72"/>
      <c r="G980" s="72">
        <v>5</v>
      </c>
      <c r="H980" s="72"/>
      <c r="I980" s="72"/>
      <c r="J980" s="72"/>
      <c r="K980" s="83"/>
      <c r="L980" s="83"/>
      <c r="M980" s="83"/>
      <c r="N980" s="83"/>
      <c r="O980" s="87">
        <f>VLOOKUP($B980,BOM!$A$2:$K$94,10,0)</f>
        <v>0</v>
      </c>
      <c r="P980" s="87">
        <f t="shared" si="56"/>
        <v>0</v>
      </c>
      <c r="Q980" s="84">
        <f>VLOOKUP($B980,BOM!$A$2:$K$94,9,0)</f>
        <v>0</v>
      </c>
    </row>
    <row r="981" spans="1:17" s="45" customFormat="1" ht="20.45" customHeight="1">
      <c r="A981" s="141"/>
      <c r="B981" s="62" t="s">
        <v>33</v>
      </c>
      <c r="C981" s="62" t="s">
        <v>34</v>
      </c>
      <c r="D981" s="85" t="s">
        <v>3</v>
      </c>
      <c r="E981" s="90">
        <f>E982</f>
        <v>5</v>
      </c>
      <c r="F981" s="62"/>
      <c r="G981" s="62"/>
      <c r="H981" s="62"/>
      <c r="I981" s="62"/>
      <c r="J981" s="62"/>
      <c r="K981" s="62" t="s">
        <v>35</v>
      </c>
      <c r="L981" s="62" t="s">
        <v>5</v>
      </c>
      <c r="M981" s="86" t="s">
        <v>6</v>
      </c>
      <c r="N981" s="86" t="s">
        <v>3</v>
      </c>
      <c r="O981" s="87">
        <f>VLOOKUP($B981,BOM!$A$2:$K$94,10,0)</f>
        <v>0</v>
      </c>
      <c r="P981" s="87">
        <f t="shared" si="56"/>
        <v>0</v>
      </c>
      <c r="Q981" s="87" t="str">
        <f>VLOOKUP($B981,BOM!$A$2:$K$94,9,0)</f>
        <v>Cái</v>
      </c>
    </row>
    <row r="982" spans="1:17" s="45" customFormat="1">
      <c r="A982" s="141"/>
      <c r="B982" s="62" t="s">
        <v>330</v>
      </c>
      <c r="C982" s="62" t="s">
        <v>36</v>
      </c>
      <c r="D982" s="85" t="s">
        <v>3</v>
      </c>
      <c r="E982" s="90">
        <f>G980+H980</f>
        <v>5</v>
      </c>
      <c r="F982" s="62"/>
      <c r="G982" s="62"/>
      <c r="H982" s="62"/>
      <c r="I982" s="62"/>
      <c r="J982" s="62"/>
      <c r="K982" s="62" t="s">
        <v>37</v>
      </c>
      <c r="L982" s="62" t="s">
        <v>5</v>
      </c>
      <c r="M982" s="86" t="s">
        <v>37</v>
      </c>
      <c r="N982" s="86" t="s">
        <v>3</v>
      </c>
      <c r="O982" s="87">
        <f>VLOOKUP($B982,BOM!$A$2:$K$94,10,0)</f>
        <v>0</v>
      </c>
      <c r="P982" s="87">
        <f t="shared" si="56"/>
        <v>0</v>
      </c>
      <c r="Q982" s="87" t="str">
        <f>VLOOKUP($B982,BOM!$A$2:$K$94,9,0)</f>
        <v>Cái</v>
      </c>
    </row>
    <row r="983" spans="1:17" s="45" customFormat="1">
      <c r="A983" s="141"/>
      <c r="B983" s="62" t="s">
        <v>38</v>
      </c>
      <c r="C983" s="62" t="s">
        <v>39</v>
      </c>
      <c r="D983" s="85" t="s">
        <v>3</v>
      </c>
      <c r="E983" s="90">
        <f>E982</f>
        <v>5</v>
      </c>
      <c r="F983" s="62"/>
      <c r="G983" s="62"/>
      <c r="H983" s="62"/>
      <c r="I983" s="62"/>
      <c r="J983" s="62"/>
      <c r="K983" s="62" t="s">
        <v>25</v>
      </c>
      <c r="L983" s="62" t="s">
        <v>5</v>
      </c>
      <c r="M983" s="86" t="s">
        <v>6</v>
      </c>
      <c r="N983" s="86" t="s">
        <v>3</v>
      </c>
      <c r="O983" s="87">
        <f>VLOOKUP($B983,BOM!$A$2:$K$94,10,0)</f>
        <v>0</v>
      </c>
      <c r="P983" s="87">
        <f t="shared" si="56"/>
        <v>0</v>
      </c>
      <c r="Q983" s="87" t="str">
        <f>VLOOKUP($B983,BOM!$A$2:$K$94,9,0)</f>
        <v>Cái</v>
      </c>
    </row>
    <row r="984" spans="1:17">
      <c r="A984" s="141"/>
      <c r="B984" s="81"/>
      <c r="C984" s="72" t="s">
        <v>40</v>
      </c>
      <c r="D984" s="72"/>
      <c r="E984" s="72"/>
      <c r="F984" s="72"/>
      <c r="G984" s="72">
        <v>5</v>
      </c>
      <c r="H984" s="72"/>
      <c r="I984" s="72"/>
      <c r="J984" s="72"/>
      <c r="K984" s="83"/>
      <c r="L984" s="83"/>
      <c r="M984" s="83"/>
      <c r="N984" s="83"/>
      <c r="O984" s="87">
        <f>VLOOKUP($B984,BOM!$A$2:$K$94,10,0)</f>
        <v>0</v>
      </c>
      <c r="P984" s="87">
        <f t="shared" si="56"/>
        <v>0</v>
      </c>
      <c r="Q984" s="84">
        <f>VLOOKUP($B984,BOM!$A$2:$K$94,9,0)</f>
        <v>0</v>
      </c>
    </row>
    <row r="985" spans="1:17" s="45" customFormat="1">
      <c r="A985" s="141"/>
      <c r="B985" s="62" t="s">
        <v>41</v>
      </c>
      <c r="C985" s="62" t="s">
        <v>42</v>
      </c>
      <c r="D985" s="85" t="s">
        <v>3</v>
      </c>
      <c r="E985" s="85">
        <f>G984+H984</f>
        <v>5</v>
      </c>
      <c r="F985" s="62"/>
      <c r="G985" s="62"/>
      <c r="H985" s="62"/>
      <c r="I985" s="62"/>
      <c r="J985" s="62"/>
      <c r="K985" s="62" t="s">
        <v>4</v>
      </c>
      <c r="L985" s="62" t="s">
        <v>5</v>
      </c>
      <c r="M985" s="86" t="s">
        <v>6</v>
      </c>
      <c r="N985" s="86" t="s">
        <v>3</v>
      </c>
      <c r="O985" s="87">
        <f>VLOOKUP($B985,BOM!$A$2:$K$94,10,0)</f>
        <v>0</v>
      </c>
      <c r="P985" s="87">
        <f t="shared" si="56"/>
        <v>0</v>
      </c>
      <c r="Q985" s="87" t="str">
        <f>VLOOKUP($B985,BOM!$A$2:$K$94,9,0)</f>
        <v>Cái</v>
      </c>
    </row>
    <row r="986" spans="1:17" s="45" customFormat="1">
      <c r="A986" s="141"/>
      <c r="B986" s="65" t="s">
        <v>43</v>
      </c>
      <c r="C986" s="65" t="s">
        <v>44</v>
      </c>
      <c r="D986" s="85" t="s">
        <v>3</v>
      </c>
      <c r="E986" s="85">
        <f>E985</f>
        <v>5</v>
      </c>
      <c r="F986" s="62"/>
      <c r="G986" s="62"/>
      <c r="H986" s="62"/>
      <c r="I986" s="62"/>
      <c r="J986" s="62"/>
      <c r="K986" s="62" t="s">
        <v>4</v>
      </c>
      <c r="L986" s="62" t="s">
        <v>5</v>
      </c>
      <c r="M986" s="86" t="s">
        <v>6</v>
      </c>
      <c r="N986" s="86" t="s">
        <v>3</v>
      </c>
      <c r="O986" s="87">
        <f>VLOOKUP($B986,BOM!$A$2:$K$94,10,0)</f>
        <v>0</v>
      </c>
      <c r="P986" s="87">
        <f t="shared" si="56"/>
        <v>0</v>
      </c>
      <c r="Q986" s="87" t="str">
        <f>VLOOKUP($B986,BOM!$A$2:$K$94,9,0)</f>
        <v>Cái</v>
      </c>
    </row>
    <row r="987" spans="1:17">
      <c r="A987" s="141"/>
      <c r="B987" s="81"/>
      <c r="C987" s="72" t="s">
        <v>45</v>
      </c>
      <c r="D987" s="72"/>
      <c r="E987" s="72"/>
      <c r="F987" s="72"/>
      <c r="G987" s="72"/>
      <c r="H987" s="72"/>
      <c r="I987" s="72"/>
      <c r="J987" s="72"/>
      <c r="K987" s="83"/>
      <c r="L987" s="83"/>
      <c r="M987" s="83"/>
      <c r="N987" s="83"/>
      <c r="O987" s="87">
        <f>VLOOKUP($B987,BOM!$A$2:$K$94,10,0)</f>
        <v>0</v>
      </c>
      <c r="P987" s="87">
        <f t="shared" si="56"/>
        <v>0</v>
      </c>
      <c r="Q987" s="84">
        <f>VLOOKUP($B987,BOM!$A$2:$K$94,9,0)</f>
        <v>0</v>
      </c>
    </row>
    <row r="988" spans="1:17" s="45" customFormat="1">
      <c r="A988" s="141"/>
      <c r="B988" s="62" t="s">
        <v>48</v>
      </c>
      <c r="C988" s="62" t="s">
        <v>49</v>
      </c>
      <c r="D988" s="85" t="s">
        <v>14</v>
      </c>
      <c r="E988" s="85">
        <f>E981+E985+1</f>
        <v>11</v>
      </c>
      <c r="F988" s="62"/>
      <c r="G988" s="62"/>
      <c r="H988" s="62"/>
      <c r="I988" s="62"/>
      <c r="J988" s="62"/>
      <c r="K988" s="62"/>
      <c r="L988" s="62" t="s">
        <v>5</v>
      </c>
      <c r="M988" s="86" t="s">
        <v>6</v>
      </c>
      <c r="N988" s="86" t="s">
        <v>15</v>
      </c>
      <c r="O988" s="87">
        <f>VLOOKUP($B988,BOM!$A$2:$K$94,10,0)</f>
        <v>0</v>
      </c>
      <c r="P988" s="87">
        <f t="shared" si="56"/>
        <v>0</v>
      </c>
      <c r="Q988" s="87" t="str">
        <f>VLOOKUP($B988,BOM!$A$2:$K$94,9,0)</f>
        <v>Sợi</v>
      </c>
    </row>
    <row r="989" spans="1:17" s="45" customFormat="1">
      <c r="A989" s="141"/>
      <c r="B989" s="62" t="s">
        <v>48</v>
      </c>
      <c r="C989" s="62" t="s">
        <v>49</v>
      </c>
      <c r="D989" s="85" t="s">
        <v>14</v>
      </c>
      <c r="E989" s="90">
        <f>ROUNDUP(E988*0.2,0)</f>
        <v>3</v>
      </c>
      <c r="F989" s="62"/>
      <c r="G989" s="62"/>
      <c r="H989" s="62"/>
      <c r="I989" s="62"/>
      <c r="J989" s="62"/>
      <c r="K989" s="62" t="s">
        <v>4</v>
      </c>
      <c r="L989" s="62" t="s">
        <v>5</v>
      </c>
      <c r="M989" s="86" t="s">
        <v>6</v>
      </c>
      <c r="N989" s="86" t="s">
        <v>15</v>
      </c>
      <c r="O989" s="87">
        <f>VLOOKUP($B989,BOM!$A$2:$K$94,10,0)</f>
        <v>0</v>
      </c>
      <c r="P989" s="87">
        <f t="shared" si="56"/>
        <v>0</v>
      </c>
      <c r="Q989" s="87" t="str">
        <f>VLOOKUP($B989,BOM!$A$2:$K$94,9,0)</f>
        <v>Sợi</v>
      </c>
    </row>
    <row r="990" spans="1:17">
      <c r="A990" s="141"/>
      <c r="B990" s="81"/>
      <c r="C990" s="72" t="s">
        <v>50</v>
      </c>
      <c r="D990" s="72"/>
      <c r="E990" s="72"/>
      <c r="F990" s="72"/>
      <c r="G990" s="72"/>
      <c r="H990" s="72"/>
      <c r="I990" s="72"/>
      <c r="J990" s="72"/>
      <c r="K990" s="83"/>
      <c r="L990" s="83"/>
      <c r="M990" s="83"/>
      <c r="N990" s="83"/>
      <c r="O990" s="87">
        <f>VLOOKUP($B990,BOM!$A$2:$K$94,10,0)</f>
        <v>0</v>
      </c>
      <c r="P990" s="87">
        <f t="shared" si="56"/>
        <v>0</v>
      </c>
      <c r="Q990" s="84">
        <f>VLOOKUP($B990,BOM!$A$2:$K$94,9,0)</f>
        <v>0</v>
      </c>
    </row>
    <row r="991" spans="1:17" s="45" customFormat="1">
      <c r="A991" s="141"/>
      <c r="B991" s="62" t="s">
        <v>332</v>
      </c>
      <c r="C991" s="62" t="s">
        <v>332</v>
      </c>
      <c r="D991" s="85" t="s">
        <v>51</v>
      </c>
      <c r="E991" s="85">
        <f>E976</f>
        <v>1</v>
      </c>
      <c r="F991" s="62"/>
      <c r="G991" s="62"/>
      <c r="H991" s="62"/>
      <c r="I991" s="62"/>
      <c r="J991" s="62"/>
      <c r="K991" s="62"/>
      <c r="L991" s="62"/>
      <c r="M991" s="86"/>
      <c r="N991" s="86" t="s">
        <v>51</v>
      </c>
      <c r="O991" s="87">
        <f>VLOOKUP($B991,BOM!$A$2:$K$94,10,0)</f>
        <v>0</v>
      </c>
      <c r="P991" s="87">
        <f t="shared" si="56"/>
        <v>0</v>
      </c>
      <c r="Q991" s="87" t="str">
        <f>VLOOKUP($B991,BOM!$A$2:$K$94,9,0)</f>
        <v>bộ</v>
      </c>
    </row>
    <row r="992" spans="1:17" s="45" customFormat="1">
      <c r="A992" s="141"/>
      <c r="B992" s="62" t="s">
        <v>52</v>
      </c>
      <c r="C992" s="62" t="s">
        <v>53</v>
      </c>
      <c r="D992" s="86" t="s">
        <v>54</v>
      </c>
      <c r="E992" s="105">
        <f>E989+E988</f>
        <v>14</v>
      </c>
      <c r="F992" s="62"/>
      <c r="G992" s="62"/>
      <c r="H992" s="62"/>
      <c r="I992" s="62"/>
      <c r="J992" s="62"/>
      <c r="K992" s="62"/>
      <c r="L992" s="62"/>
      <c r="M992" s="86" t="s">
        <v>55</v>
      </c>
      <c r="N992" s="86" t="s">
        <v>54</v>
      </c>
      <c r="O992" s="87">
        <f>VLOOKUP($B992,BOM!$A$2:$K$94,10,0)</f>
        <v>0</v>
      </c>
      <c r="P992" s="87">
        <f t="shared" si="56"/>
        <v>0</v>
      </c>
      <c r="Q992" s="87" t="str">
        <f>VLOOKUP($B992,BOM!$A$2:$K$94,9,0)</f>
        <v>node</v>
      </c>
    </row>
    <row r="993" spans="1:17" s="45" customFormat="1">
      <c r="A993" s="141"/>
      <c r="B993" s="62" t="s">
        <v>56</v>
      </c>
      <c r="C993" s="62" t="s">
        <v>57</v>
      </c>
      <c r="D993" s="86" t="s">
        <v>14</v>
      </c>
      <c r="E993" s="105">
        <f>E962+E958</f>
        <v>6</v>
      </c>
      <c r="F993" s="62"/>
      <c r="G993" s="62"/>
      <c r="H993" s="62"/>
      <c r="I993" s="62"/>
      <c r="J993" s="62"/>
      <c r="K993" s="62"/>
      <c r="L993" s="62"/>
      <c r="M993" s="86" t="s">
        <v>55</v>
      </c>
      <c r="N993" s="86" t="s">
        <v>14</v>
      </c>
      <c r="O993" s="87">
        <f>VLOOKUP($B993,BOM!$A$2:$K$94,10,0)</f>
        <v>0</v>
      </c>
      <c r="P993" s="87">
        <f t="shared" si="56"/>
        <v>0</v>
      </c>
      <c r="Q993" s="87" t="str">
        <f>VLOOKUP($B993,BOM!$A$2:$K$94,9,0)</f>
        <v>sợi</v>
      </c>
    </row>
    <row r="994" spans="1:17" s="45" customFormat="1">
      <c r="A994" s="141"/>
      <c r="B994" s="62" t="s">
        <v>58</v>
      </c>
      <c r="C994" s="62" t="s">
        <v>59</v>
      </c>
      <c r="D994" s="86" t="s">
        <v>60</v>
      </c>
      <c r="E994" s="105">
        <f>E993*2</f>
        <v>12</v>
      </c>
      <c r="F994" s="62"/>
      <c r="G994" s="62"/>
      <c r="H994" s="62"/>
      <c r="I994" s="62"/>
      <c r="J994" s="62"/>
      <c r="K994" s="62"/>
      <c r="L994" s="62"/>
      <c r="M994" s="86" t="s">
        <v>61</v>
      </c>
      <c r="N994" s="86" t="s">
        <v>60</v>
      </c>
      <c r="O994" s="87">
        <f>VLOOKUP($B994,BOM!$A$2:$K$94,10,0)</f>
        <v>0</v>
      </c>
      <c r="P994" s="87">
        <f t="shared" si="56"/>
        <v>0</v>
      </c>
      <c r="Q994" s="87" t="str">
        <f>VLOOKUP($B994,BOM!$A$2:$K$94,9,0)</f>
        <v>đầu</v>
      </c>
    </row>
    <row r="995" spans="1:17" s="45" customFormat="1">
      <c r="A995" s="141"/>
      <c r="B995" s="62" t="s">
        <v>62</v>
      </c>
      <c r="C995" s="62" t="s">
        <v>63</v>
      </c>
      <c r="D995" s="86" t="s">
        <v>64</v>
      </c>
      <c r="E995" s="105">
        <f>E972</f>
        <v>1</v>
      </c>
      <c r="F995" s="62"/>
      <c r="G995" s="62"/>
      <c r="H995" s="62"/>
      <c r="I995" s="62"/>
      <c r="J995" s="62"/>
      <c r="K995" s="62"/>
      <c r="L995" s="62"/>
      <c r="M995" s="86" t="s">
        <v>61</v>
      </c>
      <c r="N995" s="86" t="s">
        <v>64</v>
      </c>
      <c r="O995" s="87">
        <f>VLOOKUP($B995,BOM!$A$2:$K$94,10,0)</f>
        <v>0</v>
      </c>
      <c r="P995" s="87">
        <f t="shared" si="56"/>
        <v>0</v>
      </c>
      <c r="Q995" s="87" t="str">
        <f>VLOOKUP($B995,BOM!$A$2:$K$94,9,0)</f>
        <v>cái</v>
      </c>
    </row>
    <row r="996" spans="1:17" s="140" customFormat="1">
      <c r="A996" s="134">
        <v>21</v>
      </c>
      <c r="B996" s="135"/>
      <c r="C996" s="71" t="s">
        <v>91</v>
      </c>
      <c r="D996" s="136" t="s">
        <v>0</v>
      </c>
      <c r="E996" s="134">
        <v>1</v>
      </c>
      <c r="F996" s="134"/>
      <c r="G996" s="134">
        <v>24</v>
      </c>
      <c r="H996" s="134"/>
      <c r="I996" s="134"/>
      <c r="J996" s="137">
        <f>SUBTOTAL(9,J999:J1023)</f>
        <v>15</v>
      </c>
      <c r="K996" s="137"/>
      <c r="L996" s="137"/>
      <c r="M996" s="137"/>
      <c r="N996" s="137"/>
      <c r="O996" s="87">
        <f>VLOOKUP($B996,BOM!$A$2:$K$94,10,0)</f>
        <v>0</v>
      </c>
      <c r="P996" s="87">
        <f t="shared" si="56"/>
        <v>0</v>
      </c>
      <c r="Q996" s="139">
        <f>VLOOKUP($B996,BOM!$A$2:$K$94,9,0)</f>
        <v>0</v>
      </c>
    </row>
    <row r="997" spans="1:17">
      <c r="B997" s="81"/>
      <c r="C997" s="72" t="s">
        <v>124</v>
      </c>
      <c r="D997" s="72" t="s">
        <v>0</v>
      </c>
      <c r="E997" s="72">
        <v>1</v>
      </c>
      <c r="F997" s="72"/>
      <c r="G997" s="72"/>
      <c r="H997" s="72"/>
      <c r="I997" s="72"/>
      <c r="J997" s="72"/>
      <c r="K997" s="83"/>
      <c r="L997" s="83"/>
      <c r="M997" s="83"/>
      <c r="N997" s="83"/>
      <c r="O997" s="87">
        <f>VLOOKUP($B997,BOM!$A$2:$K$94,10,0)</f>
        <v>0</v>
      </c>
      <c r="P997" s="87">
        <f t="shared" si="56"/>
        <v>0</v>
      </c>
      <c r="Q997" s="84">
        <f>VLOOKUP($B997,BOM!$A$2:$K$94,9,0)</f>
        <v>0</v>
      </c>
    </row>
    <row r="998" spans="1:17" s="19" customFormat="1">
      <c r="A998" s="159"/>
      <c r="B998" s="21" t="s">
        <v>226</v>
      </c>
      <c r="C998" s="21" t="s">
        <v>227</v>
      </c>
      <c r="D998" s="21"/>
      <c r="E998" s="22">
        <v>1</v>
      </c>
      <c r="F998" s="21"/>
      <c r="G998" s="21"/>
      <c r="H998" s="21"/>
      <c r="I998" s="21"/>
      <c r="J998" s="21"/>
      <c r="K998" s="21" t="s">
        <v>4</v>
      </c>
      <c r="L998" s="21" t="s">
        <v>5</v>
      </c>
      <c r="M998" s="22" t="s">
        <v>22</v>
      </c>
      <c r="N998" s="22" t="s">
        <v>3</v>
      </c>
      <c r="O998" s="87">
        <f>VLOOKUP($B998,BOM!$A$2:$K$94,10,0)</f>
        <v>0</v>
      </c>
      <c r="P998" s="87">
        <f t="shared" si="56"/>
        <v>0</v>
      </c>
      <c r="Q998" s="142">
        <f>VLOOKUP($B998,BOM!$A$2:$K$94,9,0)</f>
        <v>0</v>
      </c>
    </row>
    <row r="999" spans="1:17" s="19" customFormat="1">
      <c r="A999" s="159"/>
      <c r="B999" s="21" t="s">
        <v>122</v>
      </c>
      <c r="C999" s="21" t="s">
        <v>123</v>
      </c>
      <c r="D999" s="21"/>
      <c r="E999" s="22">
        <v>1</v>
      </c>
      <c r="F999" s="21"/>
      <c r="G999" s="21"/>
      <c r="H999" s="21"/>
      <c r="I999" s="21"/>
      <c r="J999" s="21">
        <f>E999</f>
        <v>1</v>
      </c>
      <c r="K999" s="21" t="s">
        <v>4</v>
      </c>
      <c r="L999" s="21" t="s">
        <v>5</v>
      </c>
      <c r="M999" s="22" t="s">
        <v>22</v>
      </c>
      <c r="N999" s="22" t="s">
        <v>3</v>
      </c>
      <c r="O999" s="87">
        <f>VLOOKUP($B999,BOM!$A$2:$K$94,10,0)</f>
        <v>0</v>
      </c>
      <c r="P999" s="87">
        <f t="shared" si="56"/>
        <v>0</v>
      </c>
      <c r="Q999" s="142" t="str">
        <f>VLOOKUP($B999,BOM!$A$2:$K$94,9,0)</f>
        <v>Cái</v>
      </c>
    </row>
    <row r="1000" spans="1:17">
      <c r="B1000" s="81"/>
      <c r="C1000" s="72" t="s">
        <v>1</v>
      </c>
      <c r="D1000" s="72" t="s">
        <v>0</v>
      </c>
      <c r="E1000" s="72">
        <v>1</v>
      </c>
      <c r="F1000" s="72"/>
      <c r="G1000" s="72">
        <f>ROUNDUP(G996/24,0)</f>
        <v>1</v>
      </c>
      <c r="H1000" s="72">
        <f t="shared" ref="H1000" si="57">ROUNDUP(H996/24,0)</f>
        <v>0</v>
      </c>
      <c r="I1000" s="72"/>
      <c r="J1000" s="72"/>
      <c r="K1000" s="83"/>
      <c r="L1000" s="83"/>
      <c r="M1000" s="83"/>
      <c r="N1000" s="83"/>
      <c r="O1000" s="87">
        <f>VLOOKUP($B1000,BOM!$A$2:$K$94,10,0)</f>
        <v>0</v>
      </c>
      <c r="P1000" s="87">
        <f t="shared" si="56"/>
        <v>0</v>
      </c>
      <c r="Q1000" s="84">
        <f>VLOOKUP($B1000,BOM!$A$2:$K$94,9,0)</f>
        <v>0</v>
      </c>
    </row>
    <row r="1001" spans="1:17" s="45" customFormat="1">
      <c r="A1001" s="160"/>
      <c r="B1001" s="62">
        <v>760249997</v>
      </c>
      <c r="C1001" s="62" t="s">
        <v>2</v>
      </c>
      <c r="D1001" s="85" t="s">
        <v>3</v>
      </c>
      <c r="E1001" s="85">
        <f>ROUNDUP((E1003+E1007)/3,0)</f>
        <v>1</v>
      </c>
      <c r="F1001" s="62"/>
      <c r="G1001" s="62"/>
      <c r="H1001" s="62"/>
      <c r="I1001" s="62"/>
      <c r="J1001" s="21">
        <f>E1001</f>
        <v>1</v>
      </c>
      <c r="K1001" s="62" t="s">
        <v>4</v>
      </c>
      <c r="L1001" s="62" t="s">
        <v>5</v>
      </c>
      <c r="M1001" s="86" t="s">
        <v>6</v>
      </c>
      <c r="N1001" s="86" t="s">
        <v>3</v>
      </c>
      <c r="O1001" s="87">
        <f>VLOOKUP($B1001,BOM!$A$2:$K$94,10,0)</f>
        <v>0</v>
      </c>
      <c r="P1001" s="87">
        <f t="shared" si="56"/>
        <v>0</v>
      </c>
      <c r="Q1001" s="87" t="str">
        <f>VLOOKUP($B1001,BOM!$A$2:$K$94,9,0)</f>
        <v>Cái</v>
      </c>
    </row>
    <row r="1002" spans="1:17" s="45" customFormat="1">
      <c r="A1002" s="160"/>
      <c r="B1002" s="62">
        <v>760241378</v>
      </c>
      <c r="C1002" s="62" t="s">
        <v>7</v>
      </c>
      <c r="D1002" s="85" t="s">
        <v>3</v>
      </c>
      <c r="E1002" s="85">
        <f>IF(E1003&lt;=2,1,ROUNDUP(E1001*1.5,0))</f>
        <v>1</v>
      </c>
      <c r="F1002" s="62"/>
      <c r="G1002" s="62"/>
      <c r="H1002" s="62"/>
      <c r="I1002" s="62"/>
      <c r="J1002" s="62"/>
      <c r="K1002" s="62" t="s">
        <v>4</v>
      </c>
      <c r="L1002" s="62" t="s">
        <v>5</v>
      </c>
      <c r="M1002" s="86" t="s">
        <v>6</v>
      </c>
      <c r="N1002" s="86" t="s">
        <v>3</v>
      </c>
      <c r="O1002" s="87">
        <f>VLOOKUP($B1002,BOM!$A$2:$K$94,10,0)</f>
        <v>0</v>
      </c>
      <c r="P1002" s="87">
        <f t="shared" si="56"/>
        <v>0</v>
      </c>
      <c r="Q1002" s="87" t="str">
        <f>VLOOKUP($B1002,BOM!$A$2:$K$94,9,0)</f>
        <v>Cái</v>
      </c>
    </row>
    <row r="1003" spans="1:17" s="45" customFormat="1">
      <c r="A1003" s="160"/>
      <c r="B1003" s="62" t="s">
        <v>8</v>
      </c>
      <c r="C1003" s="62" t="s">
        <v>9</v>
      </c>
      <c r="D1003" s="85" t="s">
        <v>3</v>
      </c>
      <c r="E1003" s="85">
        <f>G1000</f>
        <v>1</v>
      </c>
      <c r="F1003" s="62"/>
      <c r="G1003" s="62"/>
      <c r="H1003" s="62"/>
      <c r="I1003" s="62"/>
      <c r="J1003" s="62"/>
      <c r="K1003" s="62" t="s">
        <v>4</v>
      </c>
      <c r="L1003" s="62" t="s">
        <v>5</v>
      </c>
      <c r="M1003" s="86" t="s">
        <v>6</v>
      </c>
      <c r="N1003" s="86" t="s">
        <v>3</v>
      </c>
      <c r="O1003" s="87">
        <f>VLOOKUP($B1003,BOM!$A$2:$K$94,10,0)</f>
        <v>0</v>
      </c>
      <c r="P1003" s="87">
        <f t="shared" si="56"/>
        <v>0</v>
      </c>
      <c r="Q1003" s="87" t="str">
        <f>VLOOKUP($B1003,BOM!$A$2:$K$94,9,0)</f>
        <v>Cái</v>
      </c>
    </row>
    <row r="1004" spans="1:17" s="45" customFormat="1">
      <c r="A1004" s="160"/>
      <c r="B1004" s="62" t="s">
        <v>10</v>
      </c>
      <c r="C1004" s="62" t="s">
        <v>11</v>
      </c>
      <c r="D1004" s="85" t="s">
        <v>3</v>
      </c>
      <c r="E1004" s="85">
        <f>E1001*3-E1003-E1007</f>
        <v>2</v>
      </c>
      <c r="F1004" s="62"/>
      <c r="G1004" s="62"/>
      <c r="H1004" s="62"/>
      <c r="I1004" s="62"/>
      <c r="J1004" s="62"/>
      <c r="K1004" s="62" t="s">
        <v>4</v>
      </c>
      <c r="L1004" s="62" t="s">
        <v>5</v>
      </c>
      <c r="M1004" s="86" t="s">
        <v>6</v>
      </c>
      <c r="N1004" s="86" t="s">
        <v>3</v>
      </c>
      <c r="O1004" s="87">
        <f>VLOOKUP($B1004,BOM!$A$2:$K$94,10,0)</f>
        <v>0</v>
      </c>
      <c r="P1004" s="87">
        <f t="shared" si="56"/>
        <v>0</v>
      </c>
      <c r="Q1004" s="87" t="str">
        <f>VLOOKUP($B1004,BOM!$A$2:$K$94,9,0)</f>
        <v>Cái</v>
      </c>
    </row>
    <row r="1005" spans="1:17" s="45" customFormat="1">
      <c r="A1005" s="160"/>
      <c r="B1005" s="62" t="s">
        <v>12</v>
      </c>
      <c r="C1005" s="62" t="s">
        <v>13</v>
      </c>
      <c r="D1005" s="85" t="s">
        <v>14</v>
      </c>
      <c r="E1005" s="85">
        <f>G996/2</f>
        <v>12</v>
      </c>
      <c r="F1005" s="62"/>
      <c r="G1005" s="62"/>
      <c r="H1005" s="62"/>
      <c r="I1005" s="62"/>
      <c r="J1005" s="62"/>
      <c r="K1005" s="62" t="s">
        <v>4</v>
      </c>
      <c r="L1005" s="62" t="s">
        <v>5</v>
      </c>
      <c r="M1005" s="86" t="s">
        <v>6</v>
      </c>
      <c r="N1005" s="86" t="s">
        <v>15</v>
      </c>
      <c r="O1005" s="87">
        <f>VLOOKUP($B1005,BOM!$A$2:$K$94,10,0)</f>
        <v>0</v>
      </c>
      <c r="P1005" s="87">
        <f t="shared" si="56"/>
        <v>0</v>
      </c>
      <c r="Q1005" s="87" t="str">
        <f>VLOOKUP($B1005,BOM!$A$2:$K$94,9,0)</f>
        <v>Sợi</v>
      </c>
    </row>
    <row r="1006" spans="1:17" s="45" customFormat="1">
      <c r="A1006" s="160"/>
      <c r="B1006" s="62" t="s">
        <v>16</v>
      </c>
      <c r="C1006" s="62" t="s">
        <v>17</v>
      </c>
      <c r="D1006" s="85" t="s">
        <v>14</v>
      </c>
      <c r="E1006" s="85">
        <f>ROUNDUP((E1013*1.3),0)</f>
        <v>3</v>
      </c>
      <c r="F1006" s="62"/>
      <c r="G1006" s="62"/>
      <c r="H1006" s="62"/>
      <c r="I1006" s="62"/>
      <c r="J1006" s="62"/>
      <c r="K1006" s="62" t="s">
        <v>4</v>
      </c>
      <c r="L1006" s="62" t="s">
        <v>5</v>
      </c>
      <c r="M1006" s="86" t="s">
        <v>6</v>
      </c>
      <c r="N1006" s="86" t="s">
        <v>15</v>
      </c>
      <c r="O1006" s="87">
        <f>VLOOKUP($B1006,BOM!$A$2:$K$94,10,0)</f>
        <v>0</v>
      </c>
      <c r="P1006" s="87">
        <f t="shared" si="56"/>
        <v>0</v>
      </c>
      <c r="Q1006" s="87" t="str">
        <f>VLOOKUP($B1006,BOM!$A$2:$K$94,9,0)</f>
        <v>Sợi</v>
      </c>
    </row>
    <row r="1007" spans="1:17" s="110" customFormat="1">
      <c r="A1007" s="111"/>
      <c r="B1007" s="66" t="s">
        <v>198</v>
      </c>
      <c r="C1007" s="66" t="s">
        <v>199</v>
      </c>
      <c r="D1007" s="89" t="s">
        <v>3</v>
      </c>
      <c r="E1007" s="89">
        <f>H1000</f>
        <v>0</v>
      </c>
      <c r="F1007" s="66"/>
      <c r="G1007" s="66"/>
      <c r="H1007" s="66"/>
      <c r="I1007" s="66"/>
      <c r="J1007" s="66"/>
      <c r="K1007" s="108" t="s">
        <v>4</v>
      </c>
      <c r="L1007" s="108" t="s">
        <v>5</v>
      </c>
      <c r="M1007" s="109" t="s">
        <v>6</v>
      </c>
      <c r="N1007" s="109" t="s">
        <v>15</v>
      </c>
      <c r="O1007" s="87">
        <f>VLOOKUP($B1007,BOM!$A$2:$K$94,10,0)</f>
        <v>0</v>
      </c>
      <c r="P1007" s="87">
        <f t="shared" si="56"/>
        <v>0</v>
      </c>
      <c r="Q1007" s="146" t="str">
        <f>VLOOKUP($B1007,BOM!$A$2:$K$94,9,0)</f>
        <v>Cái</v>
      </c>
    </row>
    <row r="1008" spans="1:17" s="111" customFormat="1">
      <c r="B1008" s="66" t="s">
        <v>194</v>
      </c>
      <c r="C1008" s="66" t="s">
        <v>195</v>
      </c>
      <c r="D1008" s="89" t="s">
        <v>14</v>
      </c>
      <c r="E1008" s="89">
        <f>ROUNDUP((E1012*1.3),0)</f>
        <v>0</v>
      </c>
      <c r="F1008" s="108"/>
      <c r="G1008" s="108"/>
      <c r="H1008" s="108"/>
      <c r="I1008" s="108"/>
      <c r="J1008" s="108"/>
      <c r="K1008" s="108" t="s">
        <v>4</v>
      </c>
      <c r="L1008" s="108" t="s">
        <v>5</v>
      </c>
      <c r="M1008" s="109" t="s">
        <v>6</v>
      </c>
      <c r="N1008" s="109" t="s">
        <v>15</v>
      </c>
      <c r="O1008" s="87">
        <f>VLOOKUP($B1008,BOM!$A$2:$K$94,10,0)</f>
        <v>0</v>
      </c>
      <c r="P1008" s="87">
        <f t="shared" si="56"/>
        <v>0</v>
      </c>
      <c r="Q1008" s="146" t="str">
        <f>VLOOKUP($B1008,BOM!$A$2:$K$94,9,0)</f>
        <v>Cái</v>
      </c>
    </row>
    <row r="1009" spans="1:17" s="110" customFormat="1">
      <c r="A1009" s="111"/>
      <c r="B1009" s="66" t="s">
        <v>196</v>
      </c>
      <c r="C1009" s="66" t="s">
        <v>197</v>
      </c>
      <c r="D1009" s="89" t="s">
        <v>14</v>
      </c>
      <c r="E1009" s="89">
        <f>H996/2</f>
        <v>0</v>
      </c>
      <c r="F1009" s="66"/>
      <c r="G1009" s="66"/>
      <c r="H1009" s="66"/>
      <c r="I1009" s="66"/>
      <c r="J1009" s="66"/>
      <c r="K1009" s="108" t="s">
        <v>4</v>
      </c>
      <c r="L1009" s="108" t="s">
        <v>5</v>
      </c>
      <c r="M1009" s="109" t="s">
        <v>6</v>
      </c>
      <c r="N1009" s="109" t="s">
        <v>15</v>
      </c>
      <c r="O1009" s="87">
        <f>VLOOKUP($B1009,BOM!$A$2:$K$94,10,0)</f>
        <v>0</v>
      </c>
      <c r="P1009" s="87">
        <f t="shared" si="56"/>
        <v>0</v>
      </c>
      <c r="Q1009" s="146" t="str">
        <f>VLOOKUP($B1009,BOM!$A$2:$K$94,9,0)</f>
        <v>Cái</v>
      </c>
    </row>
    <row r="1010" spans="1:17">
      <c r="B1010" s="81"/>
      <c r="C1010" s="72" t="s">
        <v>26</v>
      </c>
      <c r="D1010" s="72" t="s">
        <v>0</v>
      </c>
      <c r="E1010" s="72">
        <v>1</v>
      </c>
      <c r="F1010" s="72"/>
      <c r="G1010" s="72"/>
      <c r="H1010" s="72"/>
      <c r="I1010" s="72"/>
      <c r="J1010" s="72"/>
      <c r="K1010" s="83"/>
      <c r="L1010" s="83"/>
      <c r="M1010" s="83"/>
      <c r="N1010" s="83"/>
      <c r="O1010" s="87">
        <f>VLOOKUP($B1010,BOM!$A$2:$K$94,10,0)</f>
        <v>0</v>
      </c>
      <c r="P1010" s="87">
        <f t="shared" si="56"/>
        <v>0</v>
      </c>
      <c r="Q1010" s="84">
        <f>VLOOKUP($B1010,BOM!$A$2:$K$94,9,0)</f>
        <v>0</v>
      </c>
    </row>
    <row r="1011" spans="1:17" ht="90">
      <c r="B1011" s="161" t="s">
        <v>155</v>
      </c>
      <c r="C1011" s="187" t="s">
        <v>325</v>
      </c>
      <c r="D1011" s="90" t="s">
        <v>51</v>
      </c>
      <c r="E1011" s="90">
        <v>1</v>
      </c>
      <c r="F1011" s="65"/>
      <c r="G1011" s="65"/>
      <c r="H1011" s="65"/>
      <c r="I1011" s="65"/>
      <c r="J1011" s="103">
        <f>E1011</f>
        <v>1</v>
      </c>
      <c r="K1011" s="65" t="s">
        <v>143</v>
      </c>
      <c r="L1011" s="65" t="s">
        <v>151</v>
      </c>
      <c r="M1011" s="90" t="s">
        <v>154</v>
      </c>
      <c r="N1011" s="90" t="s">
        <v>51</v>
      </c>
      <c r="O1011" s="87">
        <f>VLOOKUP($B1011,BOM!$A$2:$K$94,10,0)</f>
        <v>0</v>
      </c>
      <c r="P1011" s="87">
        <f t="shared" si="56"/>
        <v>0</v>
      </c>
      <c r="Q1011" s="151" t="str">
        <f>VLOOKUP($B1011,BOM!$A$2:$K$94,9,0)</f>
        <v>cái</v>
      </c>
    </row>
    <row r="1012" spans="1:17" s="111" customFormat="1">
      <c r="A1012" s="120"/>
      <c r="B1012" s="68" t="s">
        <v>216</v>
      </c>
      <c r="C1012" s="68" t="s">
        <v>217</v>
      </c>
      <c r="D1012" s="89" t="s">
        <v>64</v>
      </c>
      <c r="E1012" s="89">
        <v>0</v>
      </c>
      <c r="F1012" s="124"/>
      <c r="G1012" s="124"/>
      <c r="H1012" s="124"/>
      <c r="I1012" s="124"/>
      <c r="J1012" s="124"/>
      <c r="K1012" s="124" t="s">
        <v>143</v>
      </c>
      <c r="L1012" s="124" t="s">
        <v>151</v>
      </c>
      <c r="M1012" s="89" t="s">
        <v>154</v>
      </c>
      <c r="N1012" s="89" t="s">
        <v>64</v>
      </c>
      <c r="O1012" s="87">
        <f>VLOOKUP($B1012,BOM!$A$2:$K$94,10,0)</f>
        <v>0</v>
      </c>
      <c r="P1012" s="87">
        <f t="shared" si="56"/>
        <v>0</v>
      </c>
      <c r="Q1012" s="152" t="str">
        <f>VLOOKUP($B1012,BOM!$A$2:$K$94,9,0)</f>
        <v>cái</v>
      </c>
    </row>
    <row r="1013" spans="1:17" s="45" customFormat="1">
      <c r="A1013" s="141"/>
      <c r="B1013" s="64" t="s">
        <v>212</v>
      </c>
      <c r="C1013" s="64" t="s">
        <v>213</v>
      </c>
      <c r="D1013" s="97" t="s">
        <v>64</v>
      </c>
      <c r="E1013" s="98">
        <v>2</v>
      </c>
      <c r="F1013" s="95"/>
      <c r="G1013" s="95"/>
      <c r="H1013" s="95"/>
      <c r="I1013" s="95"/>
      <c r="J1013" s="95"/>
      <c r="K1013" s="95" t="s">
        <v>143</v>
      </c>
      <c r="L1013" s="95" t="s">
        <v>151</v>
      </c>
      <c r="M1013" s="97" t="s">
        <v>154</v>
      </c>
      <c r="N1013" s="97" t="s">
        <v>64</v>
      </c>
      <c r="O1013" s="87">
        <f>VLOOKUP($B1013,BOM!$A$2:$K$94,10,0)</f>
        <v>0</v>
      </c>
      <c r="P1013" s="87">
        <f t="shared" si="56"/>
        <v>0</v>
      </c>
      <c r="Q1013" s="153" t="str">
        <f>VLOOKUP($B1013,BOM!$A$2:$K$94,9,0)</f>
        <v>cái</v>
      </c>
    </row>
    <row r="1014" spans="1:17" s="45" customFormat="1">
      <c r="A1014" s="160"/>
      <c r="B1014" s="62"/>
      <c r="C1014" s="62"/>
      <c r="D1014" s="85"/>
      <c r="E1014" s="90"/>
      <c r="F1014" s="62"/>
      <c r="G1014" s="62"/>
      <c r="H1014" s="62"/>
      <c r="I1014" s="62"/>
      <c r="J1014" s="62"/>
      <c r="K1014" s="62"/>
      <c r="L1014" s="62"/>
      <c r="M1014" s="86"/>
      <c r="N1014" s="86"/>
      <c r="O1014" s="87">
        <f>VLOOKUP($B1014,BOM!$A$2:$K$94,10,0)</f>
        <v>0</v>
      </c>
      <c r="P1014" s="87">
        <f t="shared" si="56"/>
        <v>0</v>
      </c>
      <c r="Q1014" s="87">
        <f>VLOOKUP($B1014,BOM!$A$2:$K$94,9,0)</f>
        <v>0</v>
      </c>
    </row>
    <row r="1015" spans="1:17" s="45" customFormat="1">
      <c r="A1015" s="160"/>
      <c r="B1015" s="62"/>
      <c r="C1015" s="62"/>
      <c r="D1015" s="85"/>
      <c r="E1015" s="90"/>
      <c r="F1015" s="62"/>
      <c r="G1015" s="62"/>
      <c r="H1015" s="62"/>
      <c r="I1015" s="62"/>
      <c r="J1015" s="62"/>
      <c r="K1015" s="62"/>
      <c r="L1015" s="62"/>
      <c r="M1015" s="86"/>
      <c r="N1015" s="86"/>
      <c r="O1015" s="87">
        <f>VLOOKUP($B1015,BOM!$A$2:$K$94,10,0)</f>
        <v>0</v>
      </c>
      <c r="P1015" s="87">
        <f t="shared" si="56"/>
        <v>0</v>
      </c>
      <c r="Q1015" s="87">
        <f>VLOOKUP($B1015,BOM!$A$2:$K$94,9,0)</f>
        <v>0</v>
      </c>
    </row>
    <row r="1016" spans="1:17" outlineLevel="1">
      <c r="B1016" s="117"/>
      <c r="C1016" s="61" t="s">
        <v>67</v>
      </c>
      <c r="D1016" s="119" t="s">
        <v>0</v>
      </c>
      <c r="E1016" s="120">
        <v>1</v>
      </c>
      <c r="F1016" s="121"/>
      <c r="G1016" s="121"/>
      <c r="H1016" s="121" t="s">
        <v>69</v>
      </c>
      <c r="I1016" s="122"/>
      <c r="J1016" s="21">
        <f t="shared" ref="J1016:J1017" si="58">E1016</f>
        <v>1</v>
      </c>
      <c r="K1016" s="63"/>
      <c r="L1016" s="63"/>
      <c r="M1016" s="63"/>
      <c r="N1016" s="63"/>
      <c r="O1016" s="87">
        <f>VLOOKUP($B1016,BOM!$A$2:$K$94,10,0)</f>
        <v>0</v>
      </c>
      <c r="P1016" s="87">
        <f t="shared" si="56"/>
        <v>0</v>
      </c>
      <c r="Q1016" s="80">
        <f>VLOOKUP($B1016,BOM!$A$2:$K$94,9,0)</f>
        <v>0</v>
      </c>
    </row>
    <row r="1017" spans="1:17" outlineLevel="1">
      <c r="B1017" s="117"/>
      <c r="C1017" s="61" t="s">
        <v>70</v>
      </c>
      <c r="D1017" s="119" t="s">
        <v>0</v>
      </c>
      <c r="E1017" s="120">
        <v>1</v>
      </c>
      <c r="F1017" s="121"/>
      <c r="G1017" s="121"/>
      <c r="H1017" s="121" t="s">
        <v>69</v>
      </c>
      <c r="I1017" s="122"/>
      <c r="J1017" s="21">
        <f t="shared" si="58"/>
        <v>1</v>
      </c>
      <c r="K1017" s="63"/>
      <c r="L1017" s="63"/>
      <c r="M1017" s="63"/>
      <c r="N1017" s="63"/>
      <c r="O1017" s="87">
        <f>VLOOKUP($B1017,BOM!$A$2:$K$94,10,0)</f>
        <v>0</v>
      </c>
      <c r="P1017" s="87">
        <f t="shared" si="56"/>
        <v>0</v>
      </c>
      <c r="Q1017" s="80">
        <f>VLOOKUP($B1017,BOM!$A$2:$K$94,9,0)</f>
        <v>0</v>
      </c>
    </row>
    <row r="1018" spans="1:17">
      <c r="B1018" s="81"/>
      <c r="C1018" s="72" t="s">
        <v>18</v>
      </c>
      <c r="D1018" s="72" t="s">
        <v>0</v>
      </c>
      <c r="E1018" s="72">
        <v>1</v>
      </c>
      <c r="F1018" s="72"/>
      <c r="G1018" s="72"/>
      <c r="H1018" s="72"/>
      <c r="I1018" s="72"/>
      <c r="J1018" s="72"/>
      <c r="K1018" s="83"/>
      <c r="L1018" s="83"/>
      <c r="M1018" s="83"/>
      <c r="N1018" s="83"/>
      <c r="O1018" s="87">
        <f>VLOOKUP($B1018,BOM!$A$2:$K$94,10,0)</f>
        <v>0</v>
      </c>
      <c r="P1018" s="87">
        <f t="shared" si="56"/>
        <v>0</v>
      </c>
      <c r="Q1018" s="84">
        <f>VLOOKUP($B1018,BOM!$A$2:$K$94,9,0)</f>
        <v>0</v>
      </c>
    </row>
    <row r="1019" spans="1:17" s="45" customFormat="1">
      <c r="A1019" s="160"/>
      <c r="B1019" s="62">
        <v>760237046</v>
      </c>
      <c r="C1019" s="62" t="s">
        <v>19</v>
      </c>
      <c r="D1019" s="85" t="s">
        <v>3</v>
      </c>
      <c r="E1019" s="85">
        <f>E1011+E1014</f>
        <v>1</v>
      </c>
      <c r="F1019" s="62"/>
      <c r="G1019" s="62"/>
      <c r="H1019" s="62"/>
      <c r="I1019" s="62"/>
      <c r="J1019" s="21">
        <f>E1019</f>
        <v>1</v>
      </c>
      <c r="K1019" s="62" t="s">
        <v>4</v>
      </c>
      <c r="L1019" s="62" t="s">
        <v>5</v>
      </c>
      <c r="M1019" s="86" t="s">
        <v>6</v>
      </c>
      <c r="N1019" s="86" t="s">
        <v>3</v>
      </c>
      <c r="O1019" s="87">
        <f>VLOOKUP($B1019,BOM!$A$2:$K$94,10,0)</f>
        <v>0</v>
      </c>
      <c r="P1019" s="87">
        <f t="shared" si="56"/>
        <v>0</v>
      </c>
      <c r="Q1019" s="87" t="str">
        <f>VLOOKUP($B1019,BOM!$A$2:$K$94,9,0)</f>
        <v>Cái</v>
      </c>
    </row>
    <row r="1020" spans="1:17" s="45" customFormat="1">
      <c r="A1020" s="160"/>
      <c r="B1020" s="62" t="s">
        <v>23</v>
      </c>
      <c r="C1020" s="62" t="s">
        <v>24</v>
      </c>
      <c r="D1020" s="85" t="s">
        <v>3</v>
      </c>
      <c r="E1020" s="85">
        <f>E1019*24</f>
        <v>24</v>
      </c>
      <c r="F1020" s="62"/>
      <c r="G1020" s="62"/>
      <c r="H1020" s="62"/>
      <c r="I1020" s="62"/>
      <c r="J1020" s="62"/>
      <c r="K1020" s="62" t="s">
        <v>25</v>
      </c>
      <c r="L1020" s="62" t="s">
        <v>5</v>
      </c>
      <c r="M1020" s="86" t="s">
        <v>6</v>
      </c>
      <c r="N1020" s="86" t="s">
        <v>3</v>
      </c>
      <c r="O1020" s="87">
        <f>VLOOKUP($B1020,BOM!$A$2:$K$94,10,0)</f>
        <v>0</v>
      </c>
      <c r="P1020" s="87">
        <f t="shared" si="56"/>
        <v>0</v>
      </c>
      <c r="Q1020" s="87" t="str">
        <f>VLOOKUP($B1020,BOM!$A$2:$K$94,9,0)</f>
        <v>Cái</v>
      </c>
    </row>
    <row r="1021" spans="1:17" s="45" customFormat="1">
      <c r="A1021" s="160"/>
      <c r="B1021" s="62" t="s">
        <v>20</v>
      </c>
      <c r="C1021" s="62" t="s">
        <v>21</v>
      </c>
      <c r="D1021" s="85" t="s">
        <v>3</v>
      </c>
      <c r="E1021" s="85">
        <f>E1019</f>
        <v>1</v>
      </c>
      <c r="F1021" s="62"/>
      <c r="G1021" s="62"/>
      <c r="H1021" s="62"/>
      <c r="I1021" s="62"/>
      <c r="J1021" s="21">
        <f>E1021</f>
        <v>1</v>
      </c>
      <c r="K1021" s="62" t="s">
        <v>4</v>
      </c>
      <c r="L1021" s="62" t="s">
        <v>5</v>
      </c>
      <c r="M1021" s="86" t="s">
        <v>22</v>
      </c>
      <c r="N1021" s="86" t="s">
        <v>3</v>
      </c>
      <c r="O1021" s="87">
        <f>VLOOKUP($B1021,BOM!$A$2:$K$94,10,0)</f>
        <v>0</v>
      </c>
      <c r="P1021" s="87">
        <f t="shared" si="56"/>
        <v>0</v>
      </c>
      <c r="Q1021" s="87" t="str">
        <f>VLOOKUP($B1021,BOM!$A$2:$K$94,9,0)</f>
        <v>Cái</v>
      </c>
    </row>
    <row r="1022" spans="1:17">
      <c r="B1022" s="81"/>
      <c r="C1022" s="72" t="s">
        <v>71</v>
      </c>
      <c r="D1022" s="72" t="s">
        <v>0</v>
      </c>
      <c r="E1022" s="72">
        <v>1</v>
      </c>
      <c r="F1022" s="72"/>
      <c r="G1022" s="72"/>
      <c r="H1022" s="72"/>
      <c r="I1022" s="72"/>
      <c r="J1022" s="72"/>
      <c r="K1022" s="83"/>
      <c r="L1022" s="83"/>
      <c r="M1022" s="83"/>
      <c r="N1022" s="83"/>
      <c r="O1022" s="87">
        <f>VLOOKUP($B1022,BOM!$A$2:$K$94,10,0)</f>
        <v>0</v>
      </c>
      <c r="P1022" s="87">
        <f t="shared" si="56"/>
        <v>0</v>
      </c>
      <c r="Q1022" s="84">
        <f>VLOOKUP($B1022,BOM!$A$2:$K$94,9,0)</f>
        <v>0</v>
      </c>
    </row>
    <row r="1023" spans="1:17" s="45" customFormat="1">
      <c r="A1023" s="160"/>
      <c r="B1023" s="62" t="s">
        <v>313</v>
      </c>
      <c r="C1023" s="62" t="s">
        <v>317</v>
      </c>
      <c r="D1023" s="116" t="s">
        <v>51</v>
      </c>
      <c r="E1023" s="85">
        <v>1</v>
      </c>
      <c r="F1023" s="62"/>
      <c r="G1023" s="62"/>
      <c r="H1023" s="62"/>
      <c r="I1023" s="62"/>
      <c r="J1023" s="86">
        <f>E1023*8</f>
        <v>8</v>
      </c>
      <c r="K1023" s="62"/>
      <c r="L1023" s="62" t="s">
        <v>5</v>
      </c>
      <c r="M1023" s="86" t="s">
        <v>28</v>
      </c>
      <c r="N1023" s="86" t="s">
        <v>3</v>
      </c>
      <c r="O1023" s="87">
        <f>VLOOKUP($B1023,BOM!$A$2:$K$94,10,0)</f>
        <v>0</v>
      </c>
      <c r="P1023" s="87">
        <f t="shared" si="56"/>
        <v>0</v>
      </c>
      <c r="Q1023" s="87" t="str">
        <f>VLOOKUP($B1023,BOM!$A$2:$K$94,9,0)</f>
        <v>Cái</v>
      </c>
    </row>
    <row r="1024" spans="1:17" s="45" customFormat="1">
      <c r="A1024" s="160"/>
      <c r="B1024" s="62"/>
      <c r="C1024" s="62"/>
      <c r="D1024" s="116"/>
      <c r="E1024" s="85"/>
      <c r="F1024" s="62"/>
      <c r="G1024" s="62"/>
      <c r="H1024" s="62"/>
      <c r="I1024" s="62"/>
      <c r="J1024" s="62"/>
      <c r="K1024" s="62"/>
      <c r="L1024" s="62"/>
      <c r="M1024" s="86"/>
      <c r="N1024" s="86"/>
      <c r="O1024" s="87">
        <f>VLOOKUP($B1024,BOM!$A$2:$K$94,10,0)</f>
        <v>0</v>
      </c>
      <c r="P1024" s="87">
        <f t="shared" si="56"/>
        <v>0</v>
      </c>
      <c r="Q1024" s="87">
        <f>VLOOKUP($B1024,BOM!$A$2:$K$94,9,0)</f>
        <v>0</v>
      </c>
    </row>
    <row r="1025" spans="1:17" s="45" customFormat="1">
      <c r="A1025" s="160"/>
      <c r="B1025" s="62" t="s">
        <v>225</v>
      </c>
      <c r="C1025" s="62" t="s">
        <v>72</v>
      </c>
      <c r="D1025" s="116" t="s">
        <v>64</v>
      </c>
      <c r="E1025" s="85">
        <v>0</v>
      </c>
      <c r="F1025" s="62"/>
      <c r="G1025" s="62"/>
      <c r="H1025" s="62"/>
      <c r="I1025" s="62"/>
      <c r="J1025" s="62"/>
      <c r="K1025" s="62"/>
      <c r="L1025" s="62" t="s">
        <v>5</v>
      </c>
      <c r="M1025" s="86" t="s">
        <v>28</v>
      </c>
      <c r="N1025" s="86" t="s">
        <v>3</v>
      </c>
      <c r="O1025" s="87">
        <f>VLOOKUP($B1025,BOM!$A$2:$K$94,10,0)</f>
        <v>0</v>
      </c>
      <c r="P1025" s="87">
        <f t="shared" si="56"/>
        <v>0</v>
      </c>
      <c r="Q1025" s="87" t="str">
        <f>VLOOKUP($B1025,BOM!$A$2:$K$94,9,0)</f>
        <v>Cái</v>
      </c>
    </row>
    <row r="1026" spans="1:17">
      <c r="B1026" s="81"/>
      <c r="C1026" s="72" t="s">
        <v>31</v>
      </c>
      <c r="D1026" s="72" t="s">
        <v>0</v>
      </c>
      <c r="E1026" s="72">
        <v>1</v>
      </c>
      <c r="F1026" s="72"/>
      <c r="G1026" s="72"/>
      <c r="H1026" s="72"/>
      <c r="I1026" s="72"/>
      <c r="J1026" s="72"/>
      <c r="K1026" s="83"/>
      <c r="L1026" s="83"/>
      <c r="M1026" s="83"/>
      <c r="N1026" s="83"/>
      <c r="O1026" s="87">
        <f>VLOOKUP($B1026,BOM!$A$2:$K$94,10,0)</f>
        <v>0</v>
      </c>
      <c r="P1026" s="87">
        <f t="shared" si="56"/>
        <v>0</v>
      </c>
      <c r="Q1026" s="84">
        <f>VLOOKUP($B1026,BOM!$A$2:$K$94,9,0)</f>
        <v>0</v>
      </c>
    </row>
    <row r="1027" spans="1:17">
      <c r="B1027" s="81"/>
      <c r="C1027" s="72" t="s">
        <v>32</v>
      </c>
      <c r="D1027" s="72"/>
      <c r="E1027" s="72"/>
      <c r="F1027" s="72"/>
      <c r="G1027" s="72">
        <v>13</v>
      </c>
      <c r="H1027" s="72"/>
      <c r="I1027" s="72"/>
      <c r="J1027" s="72"/>
      <c r="K1027" s="83"/>
      <c r="L1027" s="83"/>
      <c r="M1027" s="83"/>
      <c r="N1027" s="83"/>
      <c r="O1027" s="87">
        <f>VLOOKUP($B1027,BOM!$A$2:$K$94,10,0)</f>
        <v>0</v>
      </c>
      <c r="P1027" s="87">
        <f t="shared" si="56"/>
        <v>0</v>
      </c>
      <c r="Q1027" s="84">
        <f>VLOOKUP($B1027,BOM!$A$2:$K$94,9,0)</f>
        <v>0</v>
      </c>
    </row>
    <row r="1028" spans="1:17" s="45" customFormat="1" ht="20.45" customHeight="1">
      <c r="A1028" s="160"/>
      <c r="B1028" s="62" t="s">
        <v>33</v>
      </c>
      <c r="C1028" s="62" t="s">
        <v>34</v>
      </c>
      <c r="D1028" s="85" t="s">
        <v>3</v>
      </c>
      <c r="E1028" s="90">
        <f>E1029</f>
        <v>13</v>
      </c>
      <c r="F1028" s="62"/>
      <c r="G1028" s="62"/>
      <c r="H1028" s="62"/>
      <c r="I1028" s="62"/>
      <c r="J1028" s="62"/>
      <c r="K1028" s="62" t="s">
        <v>35</v>
      </c>
      <c r="L1028" s="62" t="s">
        <v>5</v>
      </c>
      <c r="M1028" s="86" t="s">
        <v>6</v>
      </c>
      <c r="N1028" s="86" t="s">
        <v>3</v>
      </c>
      <c r="O1028" s="87">
        <f>VLOOKUP($B1028,BOM!$A$2:$K$94,10,0)</f>
        <v>0</v>
      </c>
      <c r="P1028" s="87">
        <f t="shared" si="56"/>
        <v>0</v>
      </c>
      <c r="Q1028" s="87" t="str">
        <f>VLOOKUP($B1028,BOM!$A$2:$K$94,9,0)</f>
        <v>Cái</v>
      </c>
    </row>
    <row r="1029" spans="1:17" s="45" customFormat="1">
      <c r="A1029" s="160"/>
      <c r="B1029" s="62" t="s">
        <v>330</v>
      </c>
      <c r="C1029" s="62" t="s">
        <v>36</v>
      </c>
      <c r="D1029" s="85" t="s">
        <v>3</v>
      </c>
      <c r="E1029" s="90">
        <f>G1027+H1027</f>
        <v>13</v>
      </c>
      <c r="F1029" s="62"/>
      <c r="G1029" s="62"/>
      <c r="H1029" s="62"/>
      <c r="I1029" s="62"/>
      <c r="J1029" s="62"/>
      <c r="K1029" s="62" t="s">
        <v>37</v>
      </c>
      <c r="L1029" s="62" t="s">
        <v>5</v>
      </c>
      <c r="M1029" s="86" t="s">
        <v>37</v>
      </c>
      <c r="N1029" s="86" t="s">
        <v>3</v>
      </c>
      <c r="O1029" s="87">
        <f>VLOOKUP($B1029,BOM!$A$2:$K$94,10,0)</f>
        <v>0</v>
      </c>
      <c r="P1029" s="87">
        <f t="shared" si="56"/>
        <v>0</v>
      </c>
      <c r="Q1029" s="87" t="str">
        <f>VLOOKUP($B1029,BOM!$A$2:$K$94,9,0)</f>
        <v>Cái</v>
      </c>
    </row>
    <row r="1030" spans="1:17" s="45" customFormat="1">
      <c r="A1030" s="160"/>
      <c r="B1030" s="62" t="s">
        <v>38</v>
      </c>
      <c r="C1030" s="62" t="s">
        <v>39</v>
      </c>
      <c r="D1030" s="85" t="s">
        <v>3</v>
      </c>
      <c r="E1030" s="90">
        <f>E1029</f>
        <v>13</v>
      </c>
      <c r="F1030" s="62"/>
      <c r="G1030" s="62"/>
      <c r="H1030" s="62"/>
      <c r="I1030" s="62"/>
      <c r="J1030" s="62"/>
      <c r="K1030" s="62" t="s">
        <v>25</v>
      </c>
      <c r="L1030" s="62" t="s">
        <v>5</v>
      </c>
      <c r="M1030" s="86" t="s">
        <v>6</v>
      </c>
      <c r="N1030" s="86" t="s">
        <v>3</v>
      </c>
      <c r="O1030" s="87">
        <f>VLOOKUP($B1030,BOM!$A$2:$K$94,10,0)</f>
        <v>0</v>
      </c>
      <c r="P1030" s="87">
        <f t="shared" si="56"/>
        <v>0</v>
      </c>
      <c r="Q1030" s="87" t="str">
        <f>VLOOKUP($B1030,BOM!$A$2:$K$94,9,0)</f>
        <v>Cái</v>
      </c>
    </row>
    <row r="1031" spans="1:17">
      <c r="B1031" s="81"/>
      <c r="C1031" s="72" t="s">
        <v>40</v>
      </c>
      <c r="D1031" s="72"/>
      <c r="E1031" s="72"/>
      <c r="F1031" s="72"/>
      <c r="G1031" s="72">
        <v>0</v>
      </c>
      <c r="H1031" s="72"/>
      <c r="I1031" s="72"/>
      <c r="J1031" s="72"/>
      <c r="K1031" s="83"/>
      <c r="L1031" s="83"/>
      <c r="M1031" s="83"/>
      <c r="N1031" s="83"/>
      <c r="O1031" s="87">
        <f>VLOOKUP($B1031,BOM!$A$2:$K$94,10,0)</f>
        <v>0</v>
      </c>
      <c r="P1031" s="87">
        <f t="shared" si="56"/>
        <v>0</v>
      </c>
      <c r="Q1031" s="84">
        <f>VLOOKUP($B1031,BOM!$A$2:$K$94,9,0)</f>
        <v>0</v>
      </c>
    </row>
    <row r="1032" spans="1:17" s="45" customFormat="1">
      <c r="A1032" s="160"/>
      <c r="B1032" s="62" t="s">
        <v>41</v>
      </c>
      <c r="C1032" s="62" t="s">
        <v>42</v>
      </c>
      <c r="D1032" s="85" t="s">
        <v>3</v>
      </c>
      <c r="E1032" s="85">
        <f>G1031+H1031</f>
        <v>0</v>
      </c>
      <c r="F1032" s="62"/>
      <c r="G1032" s="62"/>
      <c r="H1032" s="62"/>
      <c r="I1032" s="62"/>
      <c r="J1032" s="62"/>
      <c r="K1032" s="62" t="s">
        <v>4</v>
      </c>
      <c r="L1032" s="62" t="s">
        <v>5</v>
      </c>
      <c r="M1032" s="86" t="s">
        <v>6</v>
      </c>
      <c r="N1032" s="86" t="s">
        <v>3</v>
      </c>
      <c r="O1032" s="87">
        <f>VLOOKUP($B1032,BOM!$A$2:$K$94,10,0)</f>
        <v>0</v>
      </c>
      <c r="P1032" s="87">
        <f t="shared" si="56"/>
        <v>0</v>
      </c>
      <c r="Q1032" s="87" t="str">
        <f>VLOOKUP($B1032,BOM!$A$2:$K$94,9,0)</f>
        <v>Cái</v>
      </c>
    </row>
    <row r="1033" spans="1:17" s="45" customFormat="1">
      <c r="A1033" s="160"/>
      <c r="B1033" s="65" t="s">
        <v>43</v>
      </c>
      <c r="C1033" s="65" t="s">
        <v>44</v>
      </c>
      <c r="D1033" s="85" t="s">
        <v>3</v>
      </c>
      <c r="E1033" s="85">
        <f>E1032</f>
        <v>0</v>
      </c>
      <c r="F1033" s="62"/>
      <c r="G1033" s="62"/>
      <c r="H1033" s="62"/>
      <c r="I1033" s="62"/>
      <c r="J1033" s="62"/>
      <c r="K1033" s="62" t="s">
        <v>4</v>
      </c>
      <c r="L1033" s="62" t="s">
        <v>5</v>
      </c>
      <c r="M1033" s="86" t="s">
        <v>6</v>
      </c>
      <c r="N1033" s="86" t="s">
        <v>3</v>
      </c>
      <c r="O1033" s="87">
        <f>VLOOKUP($B1033,BOM!$A$2:$K$94,10,0)</f>
        <v>0</v>
      </c>
      <c r="P1033" s="87">
        <f t="shared" si="56"/>
        <v>0</v>
      </c>
      <c r="Q1033" s="87" t="str">
        <f>VLOOKUP($B1033,BOM!$A$2:$K$94,9,0)</f>
        <v>Cái</v>
      </c>
    </row>
    <row r="1034" spans="1:17">
      <c r="B1034" s="81"/>
      <c r="C1034" s="72" t="s">
        <v>45</v>
      </c>
      <c r="D1034" s="72"/>
      <c r="E1034" s="72"/>
      <c r="F1034" s="72"/>
      <c r="G1034" s="72"/>
      <c r="H1034" s="72"/>
      <c r="I1034" s="72"/>
      <c r="J1034" s="72"/>
      <c r="K1034" s="83"/>
      <c r="L1034" s="83"/>
      <c r="M1034" s="83"/>
      <c r="N1034" s="83"/>
      <c r="O1034" s="87">
        <f>VLOOKUP($B1034,BOM!$A$2:$K$94,10,0)</f>
        <v>0</v>
      </c>
      <c r="P1034" s="87">
        <f t="shared" ref="P1034:P1097" si="59">O1034*E1034</f>
        <v>0</v>
      </c>
      <c r="Q1034" s="84">
        <f>VLOOKUP($B1034,BOM!$A$2:$K$94,9,0)</f>
        <v>0</v>
      </c>
    </row>
    <row r="1035" spans="1:17" s="45" customFormat="1">
      <c r="A1035" s="160"/>
      <c r="B1035" s="62" t="s">
        <v>48</v>
      </c>
      <c r="C1035" s="62" t="s">
        <v>49</v>
      </c>
      <c r="D1035" s="85" t="s">
        <v>14</v>
      </c>
      <c r="E1035" s="85">
        <f>E1028+E1032+1</f>
        <v>14</v>
      </c>
      <c r="F1035" s="62"/>
      <c r="G1035" s="62"/>
      <c r="H1035" s="62"/>
      <c r="I1035" s="62"/>
      <c r="J1035" s="62"/>
      <c r="K1035" s="62"/>
      <c r="L1035" s="62" t="s">
        <v>5</v>
      </c>
      <c r="M1035" s="86" t="s">
        <v>6</v>
      </c>
      <c r="N1035" s="86" t="s">
        <v>15</v>
      </c>
      <c r="O1035" s="87">
        <f>VLOOKUP($B1035,BOM!$A$2:$K$94,10,0)</f>
        <v>0</v>
      </c>
      <c r="P1035" s="87">
        <f t="shared" si="59"/>
        <v>0</v>
      </c>
      <c r="Q1035" s="87" t="str">
        <f>VLOOKUP($B1035,BOM!$A$2:$K$94,9,0)</f>
        <v>Sợi</v>
      </c>
    </row>
    <row r="1036" spans="1:17" s="45" customFormat="1">
      <c r="A1036" s="160"/>
      <c r="B1036" s="62" t="s">
        <v>48</v>
      </c>
      <c r="C1036" s="62" t="s">
        <v>49</v>
      </c>
      <c r="D1036" s="85" t="s">
        <v>14</v>
      </c>
      <c r="E1036" s="90">
        <f>ROUNDUP(E1035*0.2,0)</f>
        <v>3</v>
      </c>
      <c r="F1036" s="62"/>
      <c r="G1036" s="62"/>
      <c r="H1036" s="62"/>
      <c r="I1036" s="62"/>
      <c r="J1036" s="62"/>
      <c r="K1036" s="62" t="s">
        <v>4</v>
      </c>
      <c r="L1036" s="62" t="s">
        <v>5</v>
      </c>
      <c r="M1036" s="86" t="s">
        <v>6</v>
      </c>
      <c r="N1036" s="86" t="s">
        <v>15</v>
      </c>
      <c r="O1036" s="87">
        <f>VLOOKUP($B1036,BOM!$A$2:$K$94,10,0)</f>
        <v>0</v>
      </c>
      <c r="P1036" s="87">
        <f t="shared" si="59"/>
        <v>0</v>
      </c>
      <c r="Q1036" s="87" t="str">
        <f>VLOOKUP($B1036,BOM!$A$2:$K$94,9,0)</f>
        <v>Sợi</v>
      </c>
    </row>
    <row r="1037" spans="1:17">
      <c r="B1037" s="81"/>
      <c r="C1037" s="72" t="s">
        <v>50</v>
      </c>
      <c r="D1037" s="72"/>
      <c r="E1037" s="72"/>
      <c r="F1037" s="72"/>
      <c r="G1037" s="72"/>
      <c r="H1037" s="72"/>
      <c r="I1037" s="72"/>
      <c r="J1037" s="72"/>
      <c r="K1037" s="83"/>
      <c r="L1037" s="83"/>
      <c r="M1037" s="83"/>
      <c r="N1037" s="83"/>
      <c r="O1037" s="87">
        <f>VLOOKUP($B1037,BOM!$A$2:$K$94,10,0)</f>
        <v>0</v>
      </c>
      <c r="P1037" s="87">
        <f t="shared" si="59"/>
        <v>0</v>
      </c>
      <c r="Q1037" s="84">
        <f>VLOOKUP($B1037,BOM!$A$2:$K$94,9,0)</f>
        <v>0</v>
      </c>
    </row>
    <row r="1038" spans="1:17" s="45" customFormat="1">
      <c r="A1038" s="160"/>
      <c r="B1038" s="62" t="s">
        <v>332</v>
      </c>
      <c r="C1038" s="62" t="s">
        <v>332</v>
      </c>
      <c r="D1038" s="85" t="s">
        <v>51</v>
      </c>
      <c r="E1038" s="85">
        <f>E1023</f>
        <v>1</v>
      </c>
      <c r="F1038" s="62"/>
      <c r="G1038" s="62"/>
      <c r="H1038" s="62"/>
      <c r="I1038" s="62"/>
      <c r="J1038" s="62"/>
      <c r="K1038" s="62"/>
      <c r="L1038" s="62"/>
      <c r="M1038" s="86"/>
      <c r="N1038" s="86" t="s">
        <v>51</v>
      </c>
      <c r="O1038" s="87">
        <f>VLOOKUP($B1038,BOM!$A$2:$K$94,10,0)</f>
        <v>0</v>
      </c>
      <c r="P1038" s="87">
        <f t="shared" si="59"/>
        <v>0</v>
      </c>
      <c r="Q1038" s="87" t="str">
        <f>VLOOKUP($B1038,BOM!$A$2:$K$94,9,0)</f>
        <v>bộ</v>
      </c>
    </row>
    <row r="1039" spans="1:17" s="45" customFormat="1">
      <c r="A1039" s="160"/>
      <c r="B1039" s="62" t="s">
        <v>52</v>
      </c>
      <c r="C1039" s="62" t="s">
        <v>53</v>
      </c>
      <c r="D1039" s="86" t="s">
        <v>54</v>
      </c>
      <c r="E1039" s="105">
        <f>E1036+E1035</f>
        <v>17</v>
      </c>
      <c r="F1039" s="62"/>
      <c r="G1039" s="62"/>
      <c r="H1039" s="62"/>
      <c r="I1039" s="62"/>
      <c r="J1039" s="62"/>
      <c r="K1039" s="62"/>
      <c r="L1039" s="62"/>
      <c r="M1039" s="86" t="s">
        <v>55</v>
      </c>
      <c r="N1039" s="86" t="s">
        <v>54</v>
      </c>
      <c r="O1039" s="87">
        <f>VLOOKUP($B1039,BOM!$A$2:$K$94,10,0)</f>
        <v>0</v>
      </c>
      <c r="P1039" s="87">
        <f t="shared" si="59"/>
        <v>0</v>
      </c>
      <c r="Q1039" s="87" t="str">
        <f>VLOOKUP($B1039,BOM!$A$2:$K$94,9,0)</f>
        <v>node</v>
      </c>
    </row>
    <row r="1040" spans="1:17" s="45" customFormat="1">
      <c r="A1040" s="160"/>
      <c r="B1040" s="62" t="s">
        <v>56</v>
      </c>
      <c r="C1040" s="62" t="s">
        <v>57</v>
      </c>
      <c r="D1040" s="86" t="s">
        <v>14</v>
      </c>
      <c r="E1040" s="105">
        <f>E1009+E1005</f>
        <v>12</v>
      </c>
      <c r="F1040" s="62"/>
      <c r="G1040" s="62"/>
      <c r="H1040" s="62"/>
      <c r="I1040" s="62"/>
      <c r="J1040" s="62"/>
      <c r="K1040" s="62"/>
      <c r="L1040" s="62"/>
      <c r="M1040" s="86" t="s">
        <v>55</v>
      </c>
      <c r="N1040" s="86" t="s">
        <v>14</v>
      </c>
      <c r="O1040" s="87">
        <f>VLOOKUP($B1040,BOM!$A$2:$K$94,10,0)</f>
        <v>0</v>
      </c>
      <c r="P1040" s="87">
        <f t="shared" si="59"/>
        <v>0</v>
      </c>
      <c r="Q1040" s="87" t="str">
        <f>VLOOKUP($B1040,BOM!$A$2:$K$94,9,0)</f>
        <v>sợi</v>
      </c>
    </row>
    <row r="1041" spans="1:17" s="45" customFormat="1">
      <c r="A1041" s="160"/>
      <c r="B1041" s="62" t="s">
        <v>58</v>
      </c>
      <c r="C1041" s="62" t="s">
        <v>59</v>
      </c>
      <c r="D1041" s="86" t="s">
        <v>60</v>
      </c>
      <c r="E1041" s="105">
        <f>E1040*2</f>
        <v>24</v>
      </c>
      <c r="F1041" s="62"/>
      <c r="G1041" s="62"/>
      <c r="H1041" s="62"/>
      <c r="I1041" s="62"/>
      <c r="J1041" s="62"/>
      <c r="K1041" s="62"/>
      <c r="L1041" s="62"/>
      <c r="M1041" s="86" t="s">
        <v>61</v>
      </c>
      <c r="N1041" s="86" t="s">
        <v>60</v>
      </c>
      <c r="O1041" s="87">
        <f>VLOOKUP($B1041,BOM!$A$2:$K$94,10,0)</f>
        <v>0</v>
      </c>
      <c r="P1041" s="87">
        <f t="shared" si="59"/>
        <v>0</v>
      </c>
      <c r="Q1041" s="87" t="str">
        <f>VLOOKUP($B1041,BOM!$A$2:$K$94,9,0)</f>
        <v>đầu</v>
      </c>
    </row>
    <row r="1042" spans="1:17" s="45" customFormat="1">
      <c r="A1042" s="160"/>
      <c r="B1042" s="62" t="s">
        <v>62</v>
      </c>
      <c r="C1042" s="62" t="s">
        <v>63</v>
      </c>
      <c r="D1042" s="86" t="s">
        <v>64</v>
      </c>
      <c r="E1042" s="105">
        <f>E1019</f>
        <v>1</v>
      </c>
      <c r="F1042" s="62"/>
      <c r="G1042" s="62"/>
      <c r="H1042" s="62"/>
      <c r="I1042" s="62"/>
      <c r="J1042" s="62"/>
      <c r="K1042" s="62"/>
      <c r="L1042" s="62"/>
      <c r="M1042" s="86" t="s">
        <v>61</v>
      </c>
      <c r="N1042" s="86" t="s">
        <v>64</v>
      </c>
      <c r="O1042" s="87">
        <f>VLOOKUP($B1042,BOM!$A$2:$K$94,10,0)</f>
        <v>0</v>
      </c>
      <c r="P1042" s="87">
        <f t="shared" si="59"/>
        <v>0</v>
      </c>
      <c r="Q1042" s="87" t="str">
        <f>VLOOKUP($B1042,BOM!$A$2:$K$94,9,0)</f>
        <v>cái</v>
      </c>
    </row>
    <row r="1043" spans="1:17" s="140" customFormat="1">
      <c r="A1043" s="134">
        <v>22</v>
      </c>
      <c r="B1043" s="135"/>
      <c r="C1043" s="71" t="s">
        <v>296</v>
      </c>
      <c r="D1043" s="136" t="s">
        <v>0</v>
      </c>
      <c r="E1043" s="134">
        <v>1</v>
      </c>
      <c r="F1043" s="134"/>
      <c r="G1043" s="134"/>
      <c r="H1043" s="134"/>
      <c r="I1043" s="136"/>
      <c r="J1043" s="137">
        <f>SUBTOTAL(9,J1046:J1070)</f>
        <v>30</v>
      </c>
      <c r="K1043" s="137"/>
      <c r="L1043" s="137"/>
      <c r="M1043" s="137"/>
      <c r="N1043" s="137"/>
      <c r="O1043" s="87">
        <f>VLOOKUP($B1043,BOM!$A$2:$K$94,10,0)</f>
        <v>0</v>
      </c>
      <c r="P1043" s="87">
        <f t="shared" si="59"/>
        <v>0</v>
      </c>
      <c r="Q1043" s="139">
        <f>VLOOKUP($B1043,BOM!$A$2:$K$94,9,0)</f>
        <v>0</v>
      </c>
    </row>
    <row r="1044" spans="1:17">
      <c r="B1044" s="81"/>
      <c r="C1044" s="72" t="s">
        <v>121</v>
      </c>
      <c r="D1044" s="72" t="s">
        <v>0</v>
      </c>
      <c r="E1044" s="72">
        <v>1</v>
      </c>
      <c r="F1044" s="72"/>
      <c r="G1044" s="72"/>
      <c r="H1044" s="72"/>
      <c r="I1044" s="72"/>
      <c r="J1044" s="72"/>
      <c r="K1044" s="83"/>
      <c r="L1044" s="83"/>
      <c r="M1044" s="83"/>
      <c r="N1044" s="83"/>
      <c r="O1044" s="87">
        <f>VLOOKUP($B1044,BOM!$A$2:$K$94,10,0)</f>
        <v>0</v>
      </c>
      <c r="P1044" s="87">
        <f t="shared" si="59"/>
        <v>0</v>
      </c>
      <c r="Q1044" s="84">
        <f>VLOOKUP($B1044,BOM!$A$2:$K$94,9,0)</f>
        <v>0</v>
      </c>
    </row>
    <row r="1045" spans="1:17" s="19" customFormat="1" ht="30">
      <c r="A1045" s="159"/>
      <c r="B1045" s="21" t="s">
        <v>115</v>
      </c>
      <c r="C1045" s="21" t="s">
        <v>116</v>
      </c>
      <c r="D1045" s="86" t="s">
        <v>64</v>
      </c>
      <c r="E1045" s="22">
        <v>1</v>
      </c>
      <c r="F1045" s="21"/>
      <c r="G1045" s="21"/>
      <c r="H1045" s="21"/>
      <c r="I1045" s="21"/>
      <c r="J1045" s="21"/>
      <c r="K1045" s="21"/>
      <c r="L1045" s="21" t="s">
        <v>5</v>
      </c>
      <c r="M1045" s="22" t="s">
        <v>28</v>
      </c>
      <c r="N1045" s="22" t="s">
        <v>3</v>
      </c>
      <c r="O1045" s="87">
        <f>VLOOKUP($B1045,BOM!$A$2:$K$94,10,0)</f>
        <v>0</v>
      </c>
      <c r="P1045" s="87">
        <f t="shared" si="59"/>
        <v>0</v>
      </c>
      <c r="Q1045" s="142" t="str">
        <f>VLOOKUP($B1045,BOM!$A$2:$K$94,9,0)</f>
        <v>Cái</v>
      </c>
    </row>
    <row r="1046" spans="1:17" s="19" customFormat="1">
      <c r="A1046" s="159"/>
      <c r="B1046" s="21" t="s">
        <v>117</v>
      </c>
      <c r="C1046" s="21" t="s">
        <v>118</v>
      </c>
      <c r="D1046" s="86" t="s">
        <v>64</v>
      </c>
      <c r="E1046" s="22">
        <v>2</v>
      </c>
      <c r="F1046" s="21"/>
      <c r="G1046" s="21"/>
      <c r="H1046" s="21"/>
      <c r="I1046" s="21"/>
      <c r="J1046" s="21">
        <f>E1046</f>
        <v>2</v>
      </c>
      <c r="K1046" s="21" t="s">
        <v>4</v>
      </c>
      <c r="L1046" s="21" t="s">
        <v>5</v>
      </c>
      <c r="M1046" s="22" t="s">
        <v>22</v>
      </c>
      <c r="N1046" s="22" t="s">
        <v>3</v>
      </c>
      <c r="O1046" s="87">
        <f>VLOOKUP($B1046,BOM!$A$2:$K$94,10,0)</f>
        <v>0</v>
      </c>
      <c r="P1046" s="87">
        <f t="shared" si="59"/>
        <v>0</v>
      </c>
      <c r="Q1046" s="142" t="str">
        <f>VLOOKUP($B1046,BOM!$A$2:$K$94,9,0)</f>
        <v>Cái</v>
      </c>
    </row>
    <row r="1047" spans="1:17" s="19" customFormat="1" ht="30">
      <c r="A1047" s="159"/>
      <c r="B1047" s="21" t="s">
        <v>119</v>
      </c>
      <c r="C1047" s="21" t="s">
        <v>120</v>
      </c>
      <c r="D1047" s="86" t="s">
        <v>64</v>
      </c>
      <c r="E1047" s="22">
        <v>2</v>
      </c>
      <c r="F1047" s="21"/>
      <c r="G1047" s="21"/>
      <c r="H1047" s="21"/>
      <c r="I1047" s="21"/>
      <c r="J1047" s="21"/>
      <c r="K1047" s="21"/>
      <c r="L1047" s="21" t="s">
        <v>5</v>
      </c>
      <c r="M1047" s="22" t="s">
        <v>28</v>
      </c>
      <c r="N1047" s="22" t="s">
        <v>3</v>
      </c>
      <c r="O1047" s="87">
        <f>VLOOKUP($B1047,BOM!$A$2:$K$94,10,0)</f>
        <v>0</v>
      </c>
      <c r="P1047" s="87">
        <f t="shared" si="59"/>
        <v>0</v>
      </c>
      <c r="Q1047" s="142" t="str">
        <f>VLOOKUP($B1047,BOM!$A$2:$K$94,9,0)</f>
        <v>Cái</v>
      </c>
    </row>
    <row r="1048" spans="1:17">
      <c r="B1048" s="81"/>
      <c r="C1048" s="72" t="s">
        <v>1</v>
      </c>
      <c r="D1048" s="72" t="s">
        <v>0</v>
      </c>
      <c r="E1048" s="72">
        <v>1</v>
      </c>
      <c r="F1048" s="72"/>
      <c r="G1048" s="72">
        <f>ROUNDUP(G1043/24,0)</f>
        <v>0</v>
      </c>
      <c r="H1048" s="72">
        <f t="shared" ref="H1048" si="60">ROUNDUP(H1043/24,0)</f>
        <v>0</v>
      </c>
      <c r="I1048" s="72"/>
      <c r="J1048" s="72"/>
      <c r="K1048" s="83"/>
      <c r="L1048" s="83"/>
      <c r="M1048" s="83"/>
      <c r="N1048" s="83"/>
      <c r="O1048" s="87">
        <f>VLOOKUP($B1048,BOM!$A$2:$K$94,10,0)</f>
        <v>0</v>
      </c>
      <c r="P1048" s="87">
        <f t="shared" si="59"/>
        <v>0</v>
      </c>
      <c r="Q1048" s="84">
        <f>VLOOKUP($B1048,BOM!$A$2:$K$94,9,0)</f>
        <v>0</v>
      </c>
    </row>
    <row r="1049" spans="1:17" s="45" customFormat="1">
      <c r="A1049" s="160"/>
      <c r="B1049" s="62">
        <v>760249997</v>
      </c>
      <c r="C1049" s="62" t="s">
        <v>2</v>
      </c>
      <c r="D1049" s="85" t="s">
        <v>3</v>
      </c>
      <c r="E1049" s="85">
        <f>ROUNDUP(E1051/3,0)</f>
        <v>0</v>
      </c>
      <c r="F1049" s="62"/>
      <c r="G1049" s="62"/>
      <c r="H1049" s="62"/>
      <c r="I1049" s="62"/>
      <c r="J1049" s="21">
        <f>E1049</f>
        <v>0</v>
      </c>
      <c r="K1049" s="62" t="s">
        <v>4</v>
      </c>
      <c r="L1049" s="62" t="s">
        <v>5</v>
      </c>
      <c r="M1049" s="86" t="s">
        <v>6</v>
      </c>
      <c r="N1049" s="86" t="s">
        <v>3</v>
      </c>
      <c r="O1049" s="87">
        <f>VLOOKUP($B1049,BOM!$A$2:$K$94,10,0)</f>
        <v>0</v>
      </c>
      <c r="P1049" s="87">
        <f t="shared" si="59"/>
        <v>0</v>
      </c>
      <c r="Q1049" s="87" t="str">
        <f>VLOOKUP($B1049,BOM!$A$2:$K$94,9,0)</f>
        <v>Cái</v>
      </c>
    </row>
    <row r="1050" spans="1:17" s="45" customFormat="1">
      <c r="A1050" s="160"/>
      <c r="B1050" s="62">
        <v>760241378</v>
      </c>
      <c r="C1050" s="62" t="s">
        <v>7</v>
      </c>
      <c r="D1050" s="85" t="s">
        <v>3</v>
      </c>
      <c r="E1050" s="85">
        <f>E1049</f>
        <v>0</v>
      </c>
      <c r="F1050" s="62"/>
      <c r="G1050" s="62"/>
      <c r="H1050" s="62"/>
      <c r="I1050" s="62"/>
      <c r="J1050" s="62"/>
      <c r="K1050" s="62" t="s">
        <v>4</v>
      </c>
      <c r="L1050" s="62" t="s">
        <v>5</v>
      </c>
      <c r="M1050" s="86" t="s">
        <v>6</v>
      </c>
      <c r="N1050" s="86" t="s">
        <v>3</v>
      </c>
      <c r="O1050" s="87">
        <f>VLOOKUP($B1050,BOM!$A$2:$K$94,10,0)</f>
        <v>0</v>
      </c>
      <c r="P1050" s="87">
        <f t="shared" si="59"/>
        <v>0</v>
      </c>
      <c r="Q1050" s="87" t="str">
        <f>VLOOKUP($B1050,BOM!$A$2:$K$94,9,0)</f>
        <v>Cái</v>
      </c>
    </row>
    <row r="1051" spans="1:17" s="45" customFormat="1">
      <c r="A1051" s="160"/>
      <c r="B1051" s="62" t="s">
        <v>8</v>
      </c>
      <c r="C1051" s="62" t="s">
        <v>9</v>
      </c>
      <c r="D1051" s="85" t="s">
        <v>3</v>
      </c>
      <c r="E1051" s="85">
        <f>G1048</f>
        <v>0</v>
      </c>
      <c r="F1051" s="62"/>
      <c r="G1051" s="62"/>
      <c r="H1051" s="62"/>
      <c r="I1051" s="62"/>
      <c r="J1051" s="62"/>
      <c r="K1051" s="62" t="s">
        <v>4</v>
      </c>
      <c r="L1051" s="62" t="s">
        <v>5</v>
      </c>
      <c r="M1051" s="86" t="s">
        <v>6</v>
      </c>
      <c r="N1051" s="86" t="s">
        <v>3</v>
      </c>
      <c r="O1051" s="87">
        <f>VLOOKUP($B1051,BOM!$A$2:$K$94,10,0)</f>
        <v>0</v>
      </c>
      <c r="P1051" s="87">
        <f t="shared" si="59"/>
        <v>0</v>
      </c>
      <c r="Q1051" s="87" t="str">
        <f>VLOOKUP($B1051,BOM!$A$2:$K$94,9,0)</f>
        <v>Cái</v>
      </c>
    </row>
    <row r="1052" spans="1:17" s="45" customFormat="1">
      <c r="A1052" s="160"/>
      <c r="B1052" s="62" t="s">
        <v>10</v>
      </c>
      <c r="C1052" s="62" t="s">
        <v>11</v>
      </c>
      <c r="D1052" s="85" t="s">
        <v>3</v>
      </c>
      <c r="E1052" s="85">
        <f>E1049*3-E1051</f>
        <v>0</v>
      </c>
      <c r="F1052" s="62"/>
      <c r="G1052" s="62"/>
      <c r="H1052" s="62"/>
      <c r="I1052" s="62"/>
      <c r="J1052" s="62"/>
      <c r="K1052" s="62" t="s">
        <v>4</v>
      </c>
      <c r="L1052" s="62" t="s">
        <v>5</v>
      </c>
      <c r="M1052" s="86" t="s">
        <v>6</v>
      </c>
      <c r="N1052" s="86" t="s">
        <v>3</v>
      </c>
      <c r="O1052" s="87">
        <f>VLOOKUP($B1052,BOM!$A$2:$K$94,10,0)</f>
        <v>0</v>
      </c>
      <c r="P1052" s="87">
        <f t="shared" si="59"/>
        <v>0</v>
      </c>
      <c r="Q1052" s="87" t="str">
        <f>VLOOKUP($B1052,BOM!$A$2:$K$94,9,0)</f>
        <v>Cái</v>
      </c>
    </row>
    <row r="1053" spans="1:17" s="45" customFormat="1">
      <c r="A1053" s="160"/>
      <c r="B1053" s="62" t="s">
        <v>12</v>
      </c>
      <c r="C1053" s="62" t="s">
        <v>13</v>
      </c>
      <c r="D1053" s="85" t="s">
        <v>14</v>
      </c>
      <c r="E1053" s="85">
        <f>G1043/2</f>
        <v>0</v>
      </c>
      <c r="F1053" s="62"/>
      <c r="G1053" s="62"/>
      <c r="H1053" s="62"/>
      <c r="I1053" s="62"/>
      <c r="J1053" s="62"/>
      <c r="K1053" s="62" t="s">
        <v>4</v>
      </c>
      <c r="L1053" s="62" t="s">
        <v>5</v>
      </c>
      <c r="M1053" s="86" t="s">
        <v>6</v>
      </c>
      <c r="N1053" s="86" t="s">
        <v>15</v>
      </c>
      <c r="O1053" s="87">
        <f>VLOOKUP($B1053,BOM!$A$2:$K$94,10,0)</f>
        <v>0</v>
      </c>
      <c r="P1053" s="87">
        <f t="shared" si="59"/>
        <v>0</v>
      </c>
      <c r="Q1053" s="87" t="str">
        <f>VLOOKUP($B1053,BOM!$A$2:$K$94,9,0)</f>
        <v>Sợi</v>
      </c>
    </row>
    <row r="1054" spans="1:17" s="45" customFormat="1">
      <c r="A1054" s="160"/>
      <c r="B1054" s="62" t="s">
        <v>16</v>
      </c>
      <c r="C1054" s="62" t="s">
        <v>17</v>
      </c>
      <c r="D1054" s="85" t="s">
        <v>14</v>
      </c>
      <c r="E1054" s="85">
        <f>E1059</f>
        <v>0</v>
      </c>
      <c r="F1054" s="62"/>
      <c r="G1054" s="62"/>
      <c r="H1054" s="62"/>
      <c r="I1054" s="62"/>
      <c r="J1054" s="62"/>
      <c r="K1054" s="62" t="s">
        <v>4</v>
      </c>
      <c r="L1054" s="62" t="s">
        <v>5</v>
      </c>
      <c r="M1054" s="86" t="s">
        <v>6</v>
      </c>
      <c r="N1054" s="86" t="s">
        <v>15</v>
      </c>
      <c r="O1054" s="87">
        <f>VLOOKUP($B1054,BOM!$A$2:$K$94,10,0)</f>
        <v>0</v>
      </c>
      <c r="P1054" s="87">
        <f t="shared" si="59"/>
        <v>0</v>
      </c>
      <c r="Q1054" s="87" t="str">
        <f>VLOOKUP($B1054,BOM!$A$2:$K$94,9,0)</f>
        <v>Sợi</v>
      </c>
    </row>
    <row r="1055" spans="1:17" s="110" customFormat="1">
      <c r="A1055" s="111"/>
      <c r="B1055" s="66" t="s">
        <v>198</v>
      </c>
      <c r="C1055" s="66" t="s">
        <v>199</v>
      </c>
      <c r="D1055" s="89" t="s">
        <v>3</v>
      </c>
      <c r="E1055" s="89">
        <f>H1048</f>
        <v>0</v>
      </c>
      <c r="F1055" s="66"/>
      <c r="G1055" s="66"/>
      <c r="H1055" s="66"/>
      <c r="I1055" s="66"/>
      <c r="J1055" s="66"/>
      <c r="K1055" s="108" t="s">
        <v>4</v>
      </c>
      <c r="L1055" s="108" t="s">
        <v>5</v>
      </c>
      <c r="M1055" s="109" t="s">
        <v>6</v>
      </c>
      <c r="N1055" s="109" t="s">
        <v>15</v>
      </c>
      <c r="O1055" s="87">
        <f>VLOOKUP($B1055,BOM!$A$2:$K$94,10,0)</f>
        <v>0</v>
      </c>
      <c r="P1055" s="87">
        <f t="shared" si="59"/>
        <v>0</v>
      </c>
      <c r="Q1055" s="146" t="str">
        <f>VLOOKUP($B1055,BOM!$A$2:$K$94,9,0)</f>
        <v>Cái</v>
      </c>
    </row>
    <row r="1056" spans="1:17" s="111" customFormat="1">
      <c r="B1056" s="66" t="s">
        <v>194</v>
      </c>
      <c r="C1056" s="66" t="s">
        <v>195</v>
      </c>
      <c r="D1056" s="89" t="s">
        <v>14</v>
      </c>
      <c r="E1056" s="89">
        <f>E1059</f>
        <v>0</v>
      </c>
      <c r="F1056" s="108"/>
      <c r="G1056" s="108"/>
      <c r="H1056" s="108"/>
      <c r="I1056" s="108"/>
      <c r="J1056" s="108"/>
      <c r="K1056" s="108" t="s">
        <v>4</v>
      </c>
      <c r="L1056" s="108" t="s">
        <v>5</v>
      </c>
      <c r="M1056" s="109" t="s">
        <v>6</v>
      </c>
      <c r="N1056" s="109" t="s">
        <v>15</v>
      </c>
      <c r="O1056" s="87">
        <f>VLOOKUP($B1056,BOM!$A$2:$K$94,10,0)</f>
        <v>0</v>
      </c>
      <c r="P1056" s="87">
        <f t="shared" si="59"/>
        <v>0</v>
      </c>
      <c r="Q1056" s="146" t="str">
        <f>VLOOKUP($B1056,BOM!$A$2:$K$94,9,0)</f>
        <v>Cái</v>
      </c>
    </row>
    <row r="1057" spans="1:17" s="110" customFormat="1">
      <c r="A1057" s="111"/>
      <c r="B1057" s="66" t="s">
        <v>196</v>
      </c>
      <c r="C1057" s="66" t="s">
        <v>197</v>
      </c>
      <c r="D1057" s="89" t="s">
        <v>14</v>
      </c>
      <c r="E1057" s="89">
        <f>H1043/2</f>
        <v>0</v>
      </c>
      <c r="F1057" s="66"/>
      <c r="G1057" s="66"/>
      <c r="H1057" s="66"/>
      <c r="I1057" s="66"/>
      <c r="J1057" s="66"/>
      <c r="K1057" s="108" t="s">
        <v>4</v>
      </c>
      <c r="L1057" s="108" t="s">
        <v>5</v>
      </c>
      <c r="M1057" s="109" t="s">
        <v>6</v>
      </c>
      <c r="N1057" s="109" t="s">
        <v>15</v>
      </c>
      <c r="O1057" s="87">
        <f>VLOOKUP($B1057,BOM!$A$2:$K$94,10,0)</f>
        <v>0</v>
      </c>
      <c r="P1057" s="87">
        <f t="shared" si="59"/>
        <v>0</v>
      </c>
      <c r="Q1057" s="146" t="str">
        <f>VLOOKUP($B1057,BOM!$A$2:$K$94,9,0)</f>
        <v>Cái</v>
      </c>
    </row>
    <row r="1058" spans="1:17">
      <c r="B1058" s="81"/>
      <c r="C1058" s="72" t="s">
        <v>97</v>
      </c>
      <c r="D1058" s="72" t="s">
        <v>0</v>
      </c>
      <c r="E1058" s="72">
        <v>1</v>
      </c>
      <c r="F1058" s="72"/>
      <c r="G1058" s="72"/>
      <c r="H1058" s="72"/>
      <c r="I1058" s="72"/>
      <c r="J1058" s="72"/>
      <c r="K1058" s="83"/>
      <c r="L1058" s="83"/>
      <c r="M1058" s="83"/>
      <c r="N1058" s="83"/>
      <c r="O1058" s="87">
        <f>VLOOKUP($B1058,BOM!$A$2:$K$94,10,0)</f>
        <v>0</v>
      </c>
      <c r="P1058" s="87">
        <f t="shared" si="59"/>
        <v>0</v>
      </c>
      <c r="Q1058" s="84">
        <f>VLOOKUP($B1058,BOM!$A$2:$K$94,9,0)</f>
        <v>0</v>
      </c>
    </row>
    <row r="1059" spans="1:17" s="45" customFormat="1">
      <c r="A1059" s="160"/>
      <c r="B1059" s="62" t="s">
        <v>322</v>
      </c>
      <c r="C1059" s="189" t="s">
        <v>323</v>
      </c>
      <c r="D1059" s="85" t="s">
        <v>159</v>
      </c>
      <c r="E1059" s="85"/>
      <c r="F1059" s="62"/>
      <c r="G1059" s="62"/>
      <c r="H1059" s="62"/>
      <c r="I1059" s="62"/>
      <c r="J1059" s="21">
        <f t="shared" ref="J1059" si="61">E1059</f>
        <v>0</v>
      </c>
      <c r="K1059" s="62" t="s">
        <v>143</v>
      </c>
      <c r="L1059" s="62" t="s">
        <v>151</v>
      </c>
      <c r="M1059" s="86" t="s">
        <v>154</v>
      </c>
      <c r="N1059" s="86" t="s">
        <v>159</v>
      </c>
      <c r="O1059" s="87">
        <f>VLOOKUP($B1059,BOM!$A$2:$K$94,10,0)</f>
        <v>0</v>
      </c>
      <c r="P1059" s="87">
        <f t="shared" si="59"/>
        <v>0</v>
      </c>
      <c r="Q1059" s="87" t="str">
        <f>VLOOKUP($B1059,BOM!$A$2:$K$94,9,0)</f>
        <v>Bộ</v>
      </c>
    </row>
    <row r="1060" spans="1:17" s="111" customFormat="1">
      <c r="A1060" s="120"/>
      <c r="B1060" s="68" t="s">
        <v>216</v>
      </c>
      <c r="C1060" s="68" t="s">
        <v>217</v>
      </c>
      <c r="D1060" s="89" t="s">
        <v>64</v>
      </c>
      <c r="E1060" s="89">
        <v>0</v>
      </c>
      <c r="F1060" s="124"/>
      <c r="G1060" s="124"/>
      <c r="H1060" s="124"/>
      <c r="I1060" s="124"/>
      <c r="J1060" s="124"/>
      <c r="K1060" s="124" t="s">
        <v>143</v>
      </c>
      <c r="L1060" s="124" t="s">
        <v>151</v>
      </c>
      <c r="M1060" s="89" t="s">
        <v>154</v>
      </c>
      <c r="N1060" s="89" t="s">
        <v>64</v>
      </c>
      <c r="O1060" s="87">
        <f>VLOOKUP($B1060,BOM!$A$2:$K$94,10,0)</f>
        <v>0</v>
      </c>
      <c r="P1060" s="87">
        <f t="shared" si="59"/>
        <v>0</v>
      </c>
      <c r="Q1060" s="152" t="str">
        <f>VLOOKUP($B1060,BOM!$A$2:$K$94,9,0)</f>
        <v>cái</v>
      </c>
    </row>
    <row r="1061" spans="1:17" s="45" customFormat="1">
      <c r="A1061" s="141"/>
      <c r="B1061" s="64" t="s">
        <v>212</v>
      </c>
      <c r="C1061" s="64" t="s">
        <v>213</v>
      </c>
      <c r="D1061" s="97" t="s">
        <v>64</v>
      </c>
      <c r="E1061" s="98">
        <v>0</v>
      </c>
      <c r="F1061" s="95"/>
      <c r="G1061" s="95"/>
      <c r="H1061" s="95"/>
      <c r="I1061" s="95"/>
      <c r="J1061" s="95"/>
      <c r="K1061" s="95" t="s">
        <v>143</v>
      </c>
      <c r="L1061" s="95" t="s">
        <v>151</v>
      </c>
      <c r="M1061" s="97" t="s">
        <v>154</v>
      </c>
      <c r="N1061" s="97" t="s">
        <v>64</v>
      </c>
      <c r="O1061" s="87">
        <f>VLOOKUP($B1061,BOM!$A$2:$K$94,10,0)</f>
        <v>0</v>
      </c>
      <c r="P1061" s="87">
        <f t="shared" si="59"/>
        <v>0</v>
      </c>
      <c r="Q1061" s="153" t="str">
        <f>VLOOKUP($B1061,BOM!$A$2:$K$94,9,0)</f>
        <v>cái</v>
      </c>
    </row>
    <row r="1062" spans="1:17">
      <c r="B1062" s="81"/>
      <c r="C1062" s="72" t="s">
        <v>99</v>
      </c>
      <c r="D1062" s="72" t="s">
        <v>0</v>
      </c>
      <c r="E1062" s="72">
        <v>1</v>
      </c>
      <c r="F1062" s="72"/>
      <c r="G1062" s="72"/>
      <c r="H1062" s="72" t="s">
        <v>98</v>
      </c>
      <c r="I1062" s="72"/>
      <c r="J1062" s="21">
        <v>20</v>
      </c>
      <c r="K1062" s="83"/>
      <c r="L1062" s="83"/>
      <c r="M1062" s="83"/>
      <c r="N1062" s="83"/>
      <c r="O1062" s="87">
        <f>VLOOKUP($B1062,BOM!$A$2:$K$94,10,0)</f>
        <v>0</v>
      </c>
      <c r="P1062" s="87">
        <f t="shared" si="59"/>
        <v>0</v>
      </c>
      <c r="Q1062" s="84">
        <f>VLOOKUP($B1062,BOM!$A$2:$K$94,9,0)</f>
        <v>0</v>
      </c>
    </row>
    <row r="1063" spans="1:17">
      <c r="B1063" s="81"/>
      <c r="C1063" s="72" t="s">
        <v>18</v>
      </c>
      <c r="D1063" s="72" t="s">
        <v>0</v>
      </c>
      <c r="E1063" s="72">
        <v>1</v>
      </c>
      <c r="F1063" s="72"/>
      <c r="G1063" s="72"/>
      <c r="H1063" s="72"/>
      <c r="I1063" s="72"/>
      <c r="J1063" s="72"/>
      <c r="K1063" s="83"/>
      <c r="L1063" s="83"/>
      <c r="M1063" s="83"/>
      <c r="N1063" s="83"/>
      <c r="O1063" s="87">
        <f>VLOOKUP($B1063,BOM!$A$2:$K$94,10,0)</f>
        <v>0</v>
      </c>
      <c r="P1063" s="87">
        <f t="shared" si="59"/>
        <v>0</v>
      </c>
      <c r="Q1063" s="84">
        <f>VLOOKUP($B1063,BOM!$A$2:$K$94,9,0)</f>
        <v>0</v>
      </c>
    </row>
    <row r="1064" spans="1:17" s="45" customFormat="1">
      <c r="A1064" s="160"/>
      <c r="B1064" s="62">
        <v>760237046</v>
      </c>
      <c r="C1064" s="62" t="s">
        <v>19</v>
      </c>
      <c r="D1064" s="85" t="s">
        <v>3</v>
      </c>
      <c r="E1064" s="85">
        <v>0</v>
      </c>
      <c r="F1064" s="62"/>
      <c r="G1064" s="62"/>
      <c r="H1064" s="62"/>
      <c r="I1064" s="62"/>
      <c r="J1064" s="21">
        <f>E1064</f>
        <v>0</v>
      </c>
      <c r="K1064" s="62" t="s">
        <v>4</v>
      </c>
      <c r="L1064" s="62" t="s">
        <v>5</v>
      </c>
      <c r="M1064" s="86" t="s">
        <v>6</v>
      </c>
      <c r="N1064" s="86" t="s">
        <v>3</v>
      </c>
      <c r="O1064" s="87">
        <f>VLOOKUP($B1064,BOM!$A$2:$K$94,10,0)</f>
        <v>0</v>
      </c>
      <c r="P1064" s="87">
        <f t="shared" si="59"/>
        <v>0</v>
      </c>
      <c r="Q1064" s="87" t="str">
        <f>VLOOKUP($B1064,BOM!$A$2:$K$94,9,0)</f>
        <v>Cái</v>
      </c>
    </row>
    <row r="1065" spans="1:17" s="45" customFormat="1">
      <c r="A1065" s="160"/>
      <c r="B1065" s="62" t="s">
        <v>23</v>
      </c>
      <c r="C1065" s="62" t="s">
        <v>24</v>
      </c>
      <c r="D1065" s="85" t="s">
        <v>3</v>
      </c>
      <c r="E1065" s="85">
        <f>E1064*24</f>
        <v>0</v>
      </c>
      <c r="F1065" s="62"/>
      <c r="G1065" s="62"/>
      <c r="H1065" s="62"/>
      <c r="I1065" s="62"/>
      <c r="J1065" s="62"/>
      <c r="K1065" s="62" t="s">
        <v>25</v>
      </c>
      <c r="L1065" s="62" t="s">
        <v>5</v>
      </c>
      <c r="M1065" s="86" t="s">
        <v>6</v>
      </c>
      <c r="N1065" s="86" t="s">
        <v>3</v>
      </c>
      <c r="O1065" s="87">
        <f>VLOOKUP($B1065,BOM!$A$2:$K$94,10,0)</f>
        <v>0</v>
      </c>
      <c r="P1065" s="87">
        <f t="shared" si="59"/>
        <v>0</v>
      </c>
      <c r="Q1065" s="87" t="str">
        <f>VLOOKUP($B1065,BOM!$A$2:$K$94,9,0)</f>
        <v>Cái</v>
      </c>
    </row>
    <row r="1066" spans="1:17" s="45" customFormat="1">
      <c r="A1066" s="160"/>
      <c r="B1066" s="62" t="s">
        <v>20</v>
      </c>
      <c r="C1066" s="62" t="s">
        <v>21</v>
      </c>
      <c r="D1066" s="85" t="s">
        <v>3</v>
      </c>
      <c r="E1066" s="85">
        <f>E1064</f>
        <v>0</v>
      </c>
      <c r="F1066" s="62"/>
      <c r="G1066" s="62"/>
      <c r="H1066" s="62"/>
      <c r="I1066" s="62"/>
      <c r="J1066" s="21">
        <f>E1066</f>
        <v>0</v>
      </c>
      <c r="K1066" s="62" t="s">
        <v>4</v>
      </c>
      <c r="L1066" s="62" t="s">
        <v>5</v>
      </c>
      <c r="M1066" s="86" t="s">
        <v>22</v>
      </c>
      <c r="N1066" s="86" t="s">
        <v>3</v>
      </c>
      <c r="O1066" s="87">
        <f>VLOOKUP($B1066,BOM!$A$2:$K$94,10,0)</f>
        <v>0</v>
      </c>
      <c r="P1066" s="87">
        <f t="shared" si="59"/>
        <v>0</v>
      </c>
      <c r="Q1066" s="87" t="str">
        <f>VLOOKUP($B1066,BOM!$A$2:$K$94,9,0)</f>
        <v>Cái</v>
      </c>
    </row>
    <row r="1067" spans="1:17">
      <c r="B1067" s="81"/>
      <c r="C1067" s="72" t="s">
        <v>71</v>
      </c>
      <c r="D1067" s="72" t="s">
        <v>0</v>
      </c>
      <c r="E1067" s="72">
        <v>1</v>
      </c>
      <c r="F1067" s="72"/>
      <c r="G1067" s="72"/>
      <c r="H1067" s="72"/>
      <c r="I1067" s="72"/>
      <c r="J1067" s="72"/>
      <c r="K1067" s="83"/>
      <c r="L1067" s="83"/>
      <c r="M1067" s="83"/>
      <c r="N1067" s="83"/>
      <c r="O1067" s="87">
        <f>VLOOKUP($B1067,BOM!$A$2:$K$94,10,0)</f>
        <v>0</v>
      </c>
      <c r="P1067" s="87">
        <f t="shared" si="59"/>
        <v>0</v>
      </c>
      <c r="Q1067" s="84">
        <f>VLOOKUP($B1067,BOM!$A$2:$K$94,9,0)</f>
        <v>0</v>
      </c>
    </row>
    <row r="1068" spans="1:17" s="45" customFormat="1">
      <c r="A1068" s="160"/>
      <c r="B1068" s="62" t="s">
        <v>229</v>
      </c>
      <c r="C1068" s="62" t="s">
        <v>230</v>
      </c>
      <c r="D1068" s="125" t="s">
        <v>0</v>
      </c>
      <c r="E1068" s="90">
        <v>1</v>
      </c>
      <c r="F1068" s="62"/>
      <c r="G1068" s="62"/>
      <c r="H1068" s="62"/>
      <c r="I1068" s="62"/>
      <c r="J1068" s="21">
        <v>4</v>
      </c>
      <c r="K1068" s="62"/>
      <c r="L1068" s="62" t="s">
        <v>5</v>
      </c>
      <c r="M1068" s="86" t="s">
        <v>28</v>
      </c>
      <c r="N1068" s="86" t="s">
        <v>3</v>
      </c>
      <c r="O1068" s="87">
        <f>VLOOKUP($B1068,BOM!$A$2:$K$94,10,0)</f>
        <v>0</v>
      </c>
      <c r="P1068" s="87">
        <f t="shared" si="59"/>
        <v>0</v>
      </c>
      <c r="Q1068" s="87" t="str">
        <f>VLOOKUP($B1068,BOM!$A$2:$K$94,9,0)</f>
        <v>Cái</v>
      </c>
    </row>
    <row r="1069" spans="1:17" s="45" customFormat="1">
      <c r="A1069" s="160"/>
      <c r="B1069" s="62" t="s">
        <v>29</v>
      </c>
      <c r="C1069" s="62" t="s">
        <v>30</v>
      </c>
      <c r="D1069" s="125" t="s">
        <v>0</v>
      </c>
      <c r="E1069" s="90">
        <v>1</v>
      </c>
      <c r="F1069" s="62"/>
      <c r="G1069" s="62"/>
      <c r="H1069" s="62"/>
      <c r="I1069" s="62"/>
      <c r="J1069" s="21">
        <v>4</v>
      </c>
      <c r="K1069" s="62"/>
      <c r="L1069" s="62" t="s">
        <v>5</v>
      </c>
      <c r="M1069" s="86" t="s">
        <v>28</v>
      </c>
      <c r="N1069" s="86" t="s">
        <v>3</v>
      </c>
      <c r="O1069" s="87">
        <f>VLOOKUP($B1069,BOM!$A$2:$K$94,10,0)</f>
        <v>0</v>
      </c>
      <c r="P1069" s="87">
        <f t="shared" si="59"/>
        <v>0</v>
      </c>
      <c r="Q1069" s="87" t="str">
        <f>VLOOKUP($B1069,BOM!$A$2:$K$94,9,0)</f>
        <v>Cái</v>
      </c>
    </row>
    <row r="1070" spans="1:17">
      <c r="B1070" s="81"/>
      <c r="C1070" s="72" t="s">
        <v>31</v>
      </c>
      <c r="D1070" s="72" t="s">
        <v>0</v>
      </c>
      <c r="E1070" s="72">
        <v>1</v>
      </c>
      <c r="F1070" s="72"/>
      <c r="G1070" s="72"/>
      <c r="H1070" s="72"/>
      <c r="I1070" s="72"/>
      <c r="J1070" s="72"/>
      <c r="K1070" s="83"/>
      <c r="L1070" s="83"/>
      <c r="M1070" s="83"/>
      <c r="N1070" s="83"/>
      <c r="O1070" s="87">
        <f>VLOOKUP($B1070,BOM!$A$2:$K$94,10,0)</f>
        <v>0</v>
      </c>
      <c r="P1070" s="87">
        <f t="shared" si="59"/>
        <v>0</v>
      </c>
      <c r="Q1070" s="84">
        <f>VLOOKUP($B1070,BOM!$A$2:$K$94,9,0)</f>
        <v>0</v>
      </c>
    </row>
    <row r="1071" spans="1:17">
      <c r="B1071" s="81"/>
      <c r="C1071" s="72" t="s">
        <v>32</v>
      </c>
      <c r="D1071" s="72"/>
      <c r="E1071" s="72"/>
      <c r="F1071" s="72"/>
      <c r="G1071" s="72"/>
      <c r="H1071" s="72"/>
      <c r="I1071" s="72"/>
      <c r="J1071" s="72"/>
      <c r="K1071" s="83"/>
      <c r="L1071" s="83"/>
      <c r="M1071" s="83"/>
      <c r="N1071" s="83"/>
      <c r="O1071" s="87">
        <f>VLOOKUP($B1071,BOM!$A$2:$K$94,10,0)</f>
        <v>0</v>
      </c>
      <c r="P1071" s="87">
        <f t="shared" si="59"/>
        <v>0</v>
      </c>
      <c r="Q1071" s="84">
        <f>VLOOKUP($B1071,BOM!$A$2:$K$94,9,0)</f>
        <v>0</v>
      </c>
    </row>
    <row r="1072" spans="1:17" s="45" customFormat="1" ht="20.45" customHeight="1">
      <c r="A1072" s="160"/>
      <c r="B1072" s="62" t="s">
        <v>33</v>
      </c>
      <c r="C1072" s="62" t="s">
        <v>34</v>
      </c>
      <c r="D1072" s="85" t="s">
        <v>3</v>
      </c>
      <c r="E1072" s="90">
        <f>E1073</f>
        <v>0</v>
      </c>
      <c r="F1072" s="62"/>
      <c r="G1072" s="62"/>
      <c r="H1072" s="62"/>
      <c r="I1072" s="62"/>
      <c r="J1072" s="62"/>
      <c r="K1072" s="62" t="s">
        <v>35</v>
      </c>
      <c r="L1072" s="62" t="s">
        <v>5</v>
      </c>
      <c r="M1072" s="86" t="s">
        <v>6</v>
      </c>
      <c r="N1072" s="86" t="s">
        <v>3</v>
      </c>
      <c r="O1072" s="87">
        <f>VLOOKUP($B1072,BOM!$A$2:$K$94,10,0)</f>
        <v>0</v>
      </c>
      <c r="P1072" s="87">
        <f t="shared" si="59"/>
        <v>0</v>
      </c>
      <c r="Q1072" s="87" t="str">
        <f>VLOOKUP($B1072,BOM!$A$2:$K$94,9,0)</f>
        <v>Cái</v>
      </c>
    </row>
    <row r="1073" spans="1:17" s="45" customFormat="1">
      <c r="A1073" s="160"/>
      <c r="B1073" s="62" t="s">
        <v>330</v>
      </c>
      <c r="C1073" s="62" t="s">
        <v>36</v>
      </c>
      <c r="D1073" s="85" t="s">
        <v>3</v>
      </c>
      <c r="E1073" s="90">
        <f>G1071+H1071</f>
        <v>0</v>
      </c>
      <c r="F1073" s="62"/>
      <c r="G1073" s="62"/>
      <c r="H1073" s="62"/>
      <c r="I1073" s="62"/>
      <c r="J1073" s="62"/>
      <c r="K1073" s="62" t="s">
        <v>37</v>
      </c>
      <c r="L1073" s="62" t="s">
        <v>5</v>
      </c>
      <c r="M1073" s="86" t="s">
        <v>37</v>
      </c>
      <c r="N1073" s="86" t="s">
        <v>3</v>
      </c>
      <c r="O1073" s="87">
        <f>VLOOKUP($B1073,BOM!$A$2:$K$94,10,0)</f>
        <v>0</v>
      </c>
      <c r="P1073" s="87">
        <f t="shared" si="59"/>
        <v>0</v>
      </c>
      <c r="Q1073" s="87" t="str">
        <f>VLOOKUP($B1073,BOM!$A$2:$K$94,9,0)</f>
        <v>Cái</v>
      </c>
    </row>
    <row r="1074" spans="1:17" s="45" customFormat="1">
      <c r="A1074" s="160"/>
      <c r="B1074" s="62" t="s">
        <v>38</v>
      </c>
      <c r="C1074" s="62" t="s">
        <v>39</v>
      </c>
      <c r="D1074" s="85" t="s">
        <v>3</v>
      </c>
      <c r="E1074" s="90">
        <f>E1073</f>
        <v>0</v>
      </c>
      <c r="F1074" s="62"/>
      <c r="G1074" s="62"/>
      <c r="H1074" s="62"/>
      <c r="I1074" s="62"/>
      <c r="J1074" s="62"/>
      <c r="K1074" s="62" t="s">
        <v>25</v>
      </c>
      <c r="L1074" s="62" t="s">
        <v>5</v>
      </c>
      <c r="M1074" s="86" t="s">
        <v>6</v>
      </c>
      <c r="N1074" s="86" t="s">
        <v>3</v>
      </c>
      <c r="O1074" s="87">
        <f>VLOOKUP($B1074,BOM!$A$2:$K$94,10,0)</f>
        <v>0</v>
      </c>
      <c r="P1074" s="87">
        <f t="shared" si="59"/>
        <v>0</v>
      </c>
      <c r="Q1074" s="87" t="str">
        <f>VLOOKUP($B1074,BOM!$A$2:$K$94,9,0)</f>
        <v>Cái</v>
      </c>
    </row>
    <row r="1075" spans="1:17">
      <c r="B1075" s="81"/>
      <c r="C1075" s="72" t="s">
        <v>40</v>
      </c>
      <c r="D1075" s="72"/>
      <c r="E1075" s="72"/>
      <c r="F1075" s="72"/>
      <c r="G1075" s="72"/>
      <c r="H1075" s="72"/>
      <c r="I1075" s="72"/>
      <c r="J1075" s="72"/>
      <c r="K1075" s="83"/>
      <c r="L1075" s="83"/>
      <c r="M1075" s="83"/>
      <c r="N1075" s="83"/>
      <c r="O1075" s="87">
        <f>VLOOKUP($B1075,BOM!$A$2:$K$94,10,0)</f>
        <v>0</v>
      </c>
      <c r="P1075" s="87">
        <f t="shared" si="59"/>
        <v>0</v>
      </c>
      <c r="Q1075" s="84">
        <f>VLOOKUP($B1075,BOM!$A$2:$K$94,9,0)</f>
        <v>0</v>
      </c>
    </row>
    <row r="1076" spans="1:17" s="45" customFormat="1">
      <c r="A1076" s="160"/>
      <c r="B1076" s="62" t="s">
        <v>41</v>
      </c>
      <c r="C1076" s="62" t="s">
        <v>42</v>
      </c>
      <c r="D1076" s="85" t="s">
        <v>3</v>
      </c>
      <c r="E1076" s="85">
        <f>G1075+H1075</f>
        <v>0</v>
      </c>
      <c r="F1076" s="62"/>
      <c r="G1076" s="62"/>
      <c r="H1076" s="62"/>
      <c r="I1076" s="62"/>
      <c r="J1076" s="62"/>
      <c r="K1076" s="62" t="s">
        <v>4</v>
      </c>
      <c r="L1076" s="62" t="s">
        <v>5</v>
      </c>
      <c r="M1076" s="86" t="s">
        <v>6</v>
      </c>
      <c r="N1076" s="86" t="s">
        <v>3</v>
      </c>
      <c r="O1076" s="87">
        <f>VLOOKUP($B1076,BOM!$A$2:$K$94,10,0)</f>
        <v>0</v>
      </c>
      <c r="P1076" s="87">
        <f t="shared" si="59"/>
        <v>0</v>
      </c>
      <c r="Q1076" s="87" t="str">
        <f>VLOOKUP($B1076,BOM!$A$2:$K$94,9,0)</f>
        <v>Cái</v>
      </c>
    </row>
    <row r="1077" spans="1:17" s="45" customFormat="1">
      <c r="A1077" s="160"/>
      <c r="B1077" s="65" t="s">
        <v>43</v>
      </c>
      <c r="C1077" s="65" t="s">
        <v>44</v>
      </c>
      <c r="D1077" s="85" t="s">
        <v>3</v>
      </c>
      <c r="E1077" s="85">
        <f>E1076</f>
        <v>0</v>
      </c>
      <c r="F1077" s="62"/>
      <c r="G1077" s="62"/>
      <c r="H1077" s="62"/>
      <c r="I1077" s="62"/>
      <c r="J1077" s="62"/>
      <c r="K1077" s="62" t="s">
        <v>4</v>
      </c>
      <c r="L1077" s="62" t="s">
        <v>5</v>
      </c>
      <c r="M1077" s="86" t="s">
        <v>6</v>
      </c>
      <c r="N1077" s="86" t="s">
        <v>3</v>
      </c>
      <c r="O1077" s="87">
        <f>VLOOKUP($B1077,BOM!$A$2:$K$94,10,0)</f>
        <v>0</v>
      </c>
      <c r="P1077" s="87">
        <f t="shared" si="59"/>
        <v>0</v>
      </c>
      <c r="Q1077" s="87" t="str">
        <f>VLOOKUP($B1077,BOM!$A$2:$K$94,9,0)</f>
        <v>Cái</v>
      </c>
    </row>
    <row r="1078" spans="1:17">
      <c r="B1078" s="81"/>
      <c r="C1078" s="72" t="s">
        <v>45</v>
      </c>
      <c r="D1078" s="72"/>
      <c r="E1078" s="72"/>
      <c r="F1078" s="72"/>
      <c r="G1078" s="72"/>
      <c r="H1078" s="72"/>
      <c r="I1078" s="72"/>
      <c r="J1078" s="72"/>
      <c r="K1078" s="83"/>
      <c r="L1078" s="83"/>
      <c r="M1078" s="83"/>
      <c r="N1078" s="83"/>
      <c r="O1078" s="87">
        <f>VLOOKUP($B1078,BOM!$A$2:$K$94,10,0)</f>
        <v>0</v>
      </c>
      <c r="P1078" s="87">
        <f t="shared" si="59"/>
        <v>0</v>
      </c>
      <c r="Q1078" s="84">
        <f>VLOOKUP($B1078,BOM!$A$2:$K$94,9,0)</f>
        <v>0</v>
      </c>
    </row>
    <row r="1079" spans="1:17" s="45" customFormat="1">
      <c r="A1079" s="160"/>
      <c r="B1079" s="62" t="s">
        <v>46</v>
      </c>
      <c r="C1079" s="62" t="s">
        <v>47</v>
      </c>
      <c r="D1079" s="85" t="s">
        <v>14</v>
      </c>
      <c r="E1079" s="85">
        <f>E1076+1</f>
        <v>1</v>
      </c>
      <c r="F1079" s="62"/>
      <c r="G1079" s="62"/>
      <c r="H1079" s="62"/>
      <c r="I1079" s="62"/>
      <c r="J1079" s="62"/>
      <c r="K1079" s="62"/>
      <c r="L1079" s="62" t="s">
        <v>5</v>
      </c>
      <c r="M1079" s="86" t="s">
        <v>6</v>
      </c>
      <c r="N1079" s="86" t="s">
        <v>15</v>
      </c>
      <c r="O1079" s="87">
        <f>VLOOKUP($B1079,BOM!$A$2:$K$94,10,0)</f>
        <v>0</v>
      </c>
      <c r="P1079" s="87">
        <f t="shared" si="59"/>
        <v>0</v>
      </c>
      <c r="Q1079" s="87" t="str">
        <f>VLOOKUP($B1079,BOM!$A$2:$K$94,9,0)</f>
        <v>Sợi</v>
      </c>
    </row>
    <row r="1080" spans="1:17" s="45" customFormat="1">
      <c r="A1080" s="160"/>
      <c r="B1080" s="62" t="s">
        <v>46</v>
      </c>
      <c r="C1080" s="62" t="s">
        <v>47</v>
      </c>
      <c r="D1080" s="85" t="s">
        <v>14</v>
      </c>
      <c r="E1080" s="104">
        <v>50</v>
      </c>
      <c r="F1080" s="62"/>
      <c r="G1080" s="62"/>
      <c r="H1080" s="62"/>
      <c r="I1080" s="62"/>
      <c r="J1080" s="62"/>
      <c r="K1080" s="62" t="s">
        <v>4</v>
      </c>
      <c r="L1080" s="62" t="s">
        <v>5</v>
      </c>
      <c r="M1080" s="86" t="s">
        <v>6</v>
      </c>
      <c r="N1080" s="86" t="s">
        <v>15</v>
      </c>
      <c r="O1080" s="87">
        <f>VLOOKUP($B1080,BOM!$A$2:$K$94,10,0)</f>
        <v>0</v>
      </c>
      <c r="P1080" s="87">
        <f t="shared" si="59"/>
        <v>0</v>
      </c>
      <c r="Q1080" s="87" t="str">
        <f>VLOOKUP($B1080,BOM!$A$2:$K$94,9,0)</f>
        <v>Sợi</v>
      </c>
    </row>
    <row r="1081" spans="1:17">
      <c r="B1081" s="81"/>
      <c r="C1081" s="72" t="s">
        <v>50</v>
      </c>
      <c r="D1081" s="72"/>
      <c r="E1081" s="72"/>
      <c r="F1081" s="72"/>
      <c r="G1081" s="72"/>
      <c r="H1081" s="72"/>
      <c r="I1081" s="72"/>
      <c r="J1081" s="72"/>
      <c r="K1081" s="83"/>
      <c r="L1081" s="83"/>
      <c r="M1081" s="83"/>
      <c r="N1081" s="83"/>
      <c r="O1081" s="87">
        <f>VLOOKUP($B1081,BOM!$A$2:$K$94,10,0)</f>
        <v>0</v>
      </c>
      <c r="P1081" s="87">
        <f t="shared" si="59"/>
        <v>0</v>
      </c>
      <c r="Q1081" s="84">
        <f>VLOOKUP($B1081,BOM!$A$2:$K$94,9,0)</f>
        <v>0</v>
      </c>
    </row>
    <row r="1082" spans="1:17" s="45" customFormat="1">
      <c r="A1082" s="160"/>
      <c r="B1082" s="62" t="s">
        <v>332</v>
      </c>
      <c r="C1082" s="62" t="s">
        <v>332</v>
      </c>
      <c r="D1082" s="85" t="s">
        <v>51</v>
      </c>
      <c r="E1082" s="85">
        <f>E1068</f>
        <v>1</v>
      </c>
      <c r="F1082" s="62"/>
      <c r="G1082" s="62"/>
      <c r="H1082" s="62"/>
      <c r="I1082" s="62"/>
      <c r="J1082" s="62"/>
      <c r="K1082" s="62"/>
      <c r="L1082" s="62"/>
      <c r="M1082" s="86"/>
      <c r="N1082" s="86" t="s">
        <v>51</v>
      </c>
      <c r="O1082" s="87">
        <f>VLOOKUP($B1082,BOM!$A$2:$K$94,10,0)</f>
        <v>0</v>
      </c>
      <c r="P1082" s="87">
        <f t="shared" si="59"/>
        <v>0</v>
      </c>
      <c r="Q1082" s="87" t="str">
        <f>VLOOKUP($B1082,BOM!$A$2:$K$94,9,0)</f>
        <v>bộ</v>
      </c>
    </row>
    <row r="1083" spans="1:17" s="45" customFormat="1">
      <c r="A1083" s="160"/>
      <c r="B1083" s="62" t="s">
        <v>52</v>
      </c>
      <c r="C1083" s="62" t="s">
        <v>53</v>
      </c>
      <c r="D1083" s="86" t="s">
        <v>54</v>
      </c>
      <c r="E1083" s="105">
        <v>0</v>
      </c>
      <c r="F1083" s="62"/>
      <c r="G1083" s="62"/>
      <c r="H1083" s="62"/>
      <c r="I1083" s="62"/>
      <c r="J1083" s="62"/>
      <c r="K1083" s="62"/>
      <c r="L1083" s="62"/>
      <c r="M1083" s="86" t="s">
        <v>55</v>
      </c>
      <c r="N1083" s="86" t="s">
        <v>54</v>
      </c>
      <c r="O1083" s="87">
        <f>VLOOKUP($B1083,BOM!$A$2:$K$94,10,0)</f>
        <v>0</v>
      </c>
      <c r="P1083" s="87">
        <f t="shared" si="59"/>
        <v>0</v>
      </c>
      <c r="Q1083" s="87" t="str">
        <f>VLOOKUP($B1083,BOM!$A$2:$K$94,9,0)</f>
        <v>node</v>
      </c>
    </row>
    <row r="1084" spans="1:17" s="45" customFormat="1">
      <c r="A1084" s="160"/>
      <c r="B1084" s="62" t="s">
        <v>56</v>
      </c>
      <c r="C1084" s="62" t="s">
        <v>57</v>
      </c>
      <c r="D1084" s="86" t="s">
        <v>14</v>
      </c>
      <c r="E1084" s="105">
        <f>E1053/2+E1057</f>
        <v>0</v>
      </c>
      <c r="F1084" s="62"/>
      <c r="G1084" s="62"/>
      <c r="H1084" s="62"/>
      <c r="I1084" s="62"/>
      <c r="J1084" s="62"/>
      <c r="K1084" s="62"/>
      <c r="L1084" s="62"/>
      <c r="M1084" s="86" t="s">
        <v>55</v>
      </c>
      <c r="N1084" s="86" t="s">
        <v>14</v>
      </c>
      <c r="O1084" s="87">
        <f>VLOOKUP($B1084,BOM!$A$2:$K$94,10,0)</f>
        <v>0</v>
      </c>
      <c r="P1084" s="87">
        <f t="shared" si="59"/>
        <v>0</v>
      </c>
      <c r="Q1084" s="87" t="str">
        <f>VLOOKUP($B1084,BOM!$A$2:$K$94,9,0)</f>
        <v>sợi</v>
      </c>
    </row>
    <row r="1085" spans="1:17" s="45" customFormat="1">
      <c r="A1085" s="160"/>
      <c r="B1085" s="62" t="s">
        <v>58</v>
      </c>
      <c r="C1085" s="62" t="s">
        <v>59</v>
      </c>
      <c r="D1085" s="86" t="s">
        <v>60</v>
      </c>
      <c r="E1085" s="105">
        <f>G1043+H1043</f>
        <v>0</v>
      </c>
      <c r="F1085" s="62"/>
      <c r="G1085" s="62"/>
      <c r="H1085" s="62"/>
      <c r="I1085" s="62"/>
      <c r="J1085" s="62"/>
      <c r="K1085" s="62"/>
      <c r="L1085" s="62"/>
      <c r="M1085" s="86" t="s">
        <v>61</v>
      </c>
      <c r="N1085" s="86" t="s">
        <v>60</v>
      </c>
      <c r="O1085" s="87">
        <f>VLOOKUP($B1085,BOM!$A$2:$K$94,10,0)</f>
        <v>0</v>
      </c>
      <c r="P1085" s="87">
        <f t="shared" si="59"/>
        <v>0</v>
      </c>
      <c r="Q1085" s="87" t="str">
        <f>VLOOKUP($B1085,BOM!$A$2:$K$94,9,0)</f>
        <v>đầu</v>
      </c>
    </row>
    <row r="1086" spans="1:17" s="45" customFormat="1">
      <c r="A1086" s="160"/>
      <c r="B1086" s="62" t="s">
        <v>62</v>
      </c>
      <c r="C1086" s="62" t="s">
        <v>63</v>
      </c>
      <c r="D1086" s="86" t="s">
        <v>64</v>
      </c>
      <c r="E1086" s="105">
        <f>E1064</f>
        <v>0</v>
      </c>
      <c r="F1086" s="62"/>
      <c r="G1086" s="62"/>
      <c r="H1086" s="62"/>
      <c r="I1086" s="62"/>
      <c r="J1086" s="62"/>
      <c r="K1086" s="62"/>
      <c r="L1086" s="62"/>
      <c r="M1086" s="86" t="s">
        <v>61</v>
      </c>
      <c r="N1086" s="86" t="s">
        <v>64</v>
      </c>
      <c r="O1086" s="87">
        <f>VLOOKUP($B1086,BOM!$A$2:$K$94,10,0)</f>
        <v>0</v>
      </c>
      <c r="P1086" s="87">
        <f t="shared" si="59"/>
        <v>0</v>
      </c>
      <c r="Q1086" s="87" t="str">
        <f>VLOOKUP($B1086,BOM!$A$2:$K$94,9,0)</f>
        <v>cái</v>
      </c>
    </row>
    <row r="1087" spans="1:17" s="140" customFormat="1">
      <c r="A1087" s="134">
        <v>23</v>
      </c>
      <c r="B1087" s="135"/>
      <c r="C1087" s="71" t="s">
        <v>295</v>
      </c>
      <c r="D1087" s="136" t="s">
        <v>0</v>
      </c>
      <c r="E1087" s="134">
        <v>1</v>
      </c>
      <c r="F1087" s="134"/>
      <c r="G1087" s="134">
        <v>192</v>
      </c>
      <c r="H1087" s="134">
        <v>48</v>
      </c>
      <c r="I1087" s="136"/>
      <c r="J1087" s="137">
        <f>SUBTOTAL(9,J1090:J1124)</f>
        <v>25</v>
      </c>
      <c r="K1087" s="137"/>
      <c r="L1087" s="137"/>
      <c r="M1087" s="137"/>
      <c r="N1087" s="137"/>
      <c r="O1087" s="87">
        <f>VLOOKUP($B1087,BOM!$A$2:$K$94,10,0)</f>
        <v>0</v>
      </c>
      <c r="P1087" s="87">
        <f t="shared" si="59"/>
        <v>0</v>
      </c>
      <c r="Q1087" s="139">
        <f>VLOOKUP($B1087,BOM!$A$2:$K$94,9,0)</f>
        <v>0</v>
      </c>
    </row>
    <row r="1088" spans="1:17">
      <c r="B1088" s="81"/>
      <c r="C1088" s="72" t="s">
        <v>121</v>
      </c>
      <c r="D1088" s="72" t="s">
        <v>0</v>
      </c>
      <c r="E1088" s="72">
        <v>1</v>
      </c>
      <c r="F1088" s="72"/>
      <c r="G1088" s="72"/>
      <c r="H1088" s="72"/>
      <c r="I1088" s="72"/>
      <c r="J1088" s="72"/>
      <c r="K1088" s="83"/>
      <c r="L1088" s="83"/>
      <c r="M1088" s="83"/>
      <c r="N1088" s="83"/>
      <c r="O1088" s="87">
        <f>VLOOKUP($B1088,BOM!$A$2:$K$94,10,0)</f>
        <v>0</v>
      </c>
      <c r="P1088" s="87">
        <f t="shared" si="59"/>
        <v>0</v>
      </c>
      <c r="Q1088" s="84">
        <f>VLOOKUP($B1088,BOM!$A$2:$K$94,9,0)</f>
        <v>0</v>
      </c>
    </row>
    <row r="1089" spans="1:17" s="19" customFormat="1" ht="30">
      <c r="A1089" s="159"/>
      <c r="B1089" s="21" t="s">
        <v>115</v>
      </c>
      <c r="C1089" s="21" t="s">
        <v>116</v>
      </c>
      <c r="D1089" s="21"/>
      <c r="E1089" s="22">
        <v>1</v>
      </c>
      <c r="F1089" s="21"/>
      <c r="G1089" s="21"/>
      <c r="H1089" s="21"/>
      <c r="I1089" s="21"/>
      <c r="J1089" s="21"/>
      <c r="K1089" s="21"/>
      <c r="L1089" s="21" t="s">
        <v>5</v>
      </c>
      <c r="M1089" s="22" t="s">
        <v>28</v>
      </c>
      <c r="N1089" s="22" t="s">
        <v>3</v>
      </c>
      <c r="O1089" s="87">
        <f>VLOOKUP($B1089,BOM!$A$2:$K$94,10,0)</f>
        <v>0</v>
      </c>
      <c r="P1089" s="87">
        <f t="shared" si="59"/>
        <v>0</v>
      </c>
      <c r="Q1089" s="142" t="str">
        <f>VLOOKUP($B1089,BOM!$A$2:$K$94,9,0)</f>
        <v>Cái</v>
      </c>
    </row>
    <row r="1090" spans="1:17" s="19" customFormat="1">
      <c r="A1090" s="159"/>
      <c r="B1090" s="21" t="s">
        <v>117</v>
      </c>
      <c r="C1090" s="21" t="s">
        <v>118</v>
      </c>
      <c r="D1090" s="21"/>
      <c r="E1090" s="22">
        <v>2</v>
      </c>
      <c r="F1090" s="21"/>
      <c r="G1090" s="21"/>
      <c r="H1090" s="21"/>
      <c r="I1090" s="21"/>
      <c r="J1090" s="21">
        <f>E1090</f>
        <v>2</v>
      </c>
      <c r="K1090" s="21" t="s">
        <v>4</v>
      </c>
      <c r="L1090" s="21" t="s">
        <v>5</v>
      </c>
      <c r="M1090" s="22" t="s">
        <v>22</v>
      </c>
      <c r="N1090" s="22" t="s">
        <v>3</v>
      </c>
      <c r="O1090" s="87">
        <f>VLOOKUP($B1090,BOM!$A$2:$K$94,10,0)</f>
        <v>0</v>
      </c>
      <c r="P1090" s="87">
        <f t="shared" si="59"/>
        <v>0</v>
      </c>
      <c r="Q1090" s="142" t="str">
        <f>VLOOKUP($B1090,BOM!$A$2:$K$94,9,0)</f>
        <v>Cái</v>
      </c>
    </row>
    <row r="1091" spans="1:17" s="19" customFormat="1" ht="30">
      <c r="A1091" s="159"/>
      <c r="B1091" s="21" t="s">
        <v>119</v>
      </c>
      <c r="C1091" s="21" t="s">
        <v>120</v>
      </c>
      <c r="D1091" s="21"/>
      <c r="E1091" s="22">
        <v>2</v>
      </c>
      <c r="F1091" s="21"/>
      <c r="G1091" s="21"/>
      <c r="H1091" s="21"/>
      <c r="I1091" s="21"/>
      <c r="J1091" s="21"/>
      <c r="K1091" s="21"/>
      <c r="L1091" s="21" t="s">
        <v>5</v>
      </c>
      <c r="M1091" s="22" t="s">
        <v>28</v>
      </c>
      <c r="N1091" s="22" t="s">
        <v>3</v>
      </c>
      <c r="O1091" s="87">
        <f>VLOOKUP($B1091,BOM!$A$2:$K$94,10,0)</f>
        <v>0</v>
      </c>
      <c r="P1091" s="87">
        <f t="shared" si="59"/>
        <v>0</v>
      </c>
      <c r="Q1091" s="142" t="str">
        <f>VLOOKUP($B1091,BOM!$A$2:$K$94,9,0)</f>
        <v>Cái</v>
      </c>
    </row>
    <row r="1092" spans="1:17">
      <c r="B1092" s="81"/>
      <c r="C1092" s="72" t="s">
        <v>100</v>
      </c>
      <c r="D1092" s="72" t="s">
        <v>0</v>
      </c>
      <c r="E1092" s="72">
        <v>1</v>
      </c>
      <c r="F1092" s="72"/>
      <c r="G1092" s="72">
        <f>ROUNDUP(G1087/24,0)</f>
        <v>8</v>
      </c>
      <c r="H1092" s="72">
        <f t="shared" ref="H1092" si="62">ROUNDUP(H1087/24,0)</f>
        <v>2</v>
      </c>
      <c r="I1092" s="72"/>
      <c r="J1092" s="72"/>
      <c r="K1092" s="83"/>
      <c r="L1092" s="83"/>
      <c r="M1092" s="83"/>
      <c r="N1092" s="83"/>
      <c r="O1092" s="87">
        <f>VLOOKUP($B1092,BOM!$A$2:$K$94,10,0)</f>
        <v>0</v>
      </c>
      <c r="P1092" s="87">
        <f t="shared" si="59"/>
        <v>0</v>
      </c>
      <c r="Q1092" s="84">
        <f>VLOOKUP($B1092,BOM!$A$2:$K$94,9,0)</f>
        <v>0</v>
      </c>
    </row>
    <row r="1093" spans="1:17" s="45" customFormat="1" ht="26.45" customHeight="1">
      <c r="A1093" s="160"/>
      <c r="B1093" s="108" t="s">
        <v>158</v>
      </c>
      <c r="C1093" s="77" t="s">
        <v>308</v>
      </c>
      <c r="D1093" s="85" t="s">
        <v>159</v>
      </c>
      <c r="E1093" s="85">
        <v>1</v>
      </c>
      <c r="F1093" s="62"/>
      <c r="G1093" s="62"/>
      <c r="H1093" s="62" t="s">
        <v>309</v>
      </c>
      <c r="I1093" s="62"/>
      <c r="J1093" s="21">
        <f>E1093</f>
        <v>1</v>
      </c>
      <c r="K1093" s="62" t="s">
        <v>143</v>
      </c>
      <c r="L1093" s="62" t="s">
        <v>151</v>
      </c>
      <c r="M1093" s="86" t="s">
        <v>154</v>
      </c>
      <c r="N1093" s="86" t="s">
        <v>159</v>
      </c>
      <c r="O1093" s="87">
        <f>VLOOKUP($B1093,BOM!$A$2:$K$94,10,0)</f>
        <v>0</v>
      </c>
      <c r="P1093" s="87">
        <f t="shared" si="59"/>
        <v>0</v>
      </c>
      <c r="Q1093" s="87" t="str">
        <f>VLOOKUP($B1093,BOM!$A$2:$K$94,9,0)</f>
        <v>cái</v>
      </c>
    </row>
    <row r="1094" spans="1:17">
      <c r="B1094" s="81"/>
      <c r="C1094" s="72" t="s">
        <v>101</v>
      </c>
      <c r="D1094" s="72" t="s">
        <v>0</v>
      </c>
      <c r="E1094" s="72">
        <v>1</v>
      </c>
      <c r="F1094" s="72"/>
      <c r="G1094" s="72"/>
      <c r="H1094" s="72"/>
      <c r="I1094" s="72"/>
      <c r="J1094" s="72"/>
      <c r="K1094" s="83"/>
      <c r="L1094" s="83"/>
      <c r="M1094" s="83"/>
      <c r="N1094" s="83"/>
      <c r="O1094" s="87">
        <f>VLOOKUP($B1094,BOM!$A$2:$K$94,10,0)</f>
        <v>0</v>
      </c>
      <c r="P1094" s="87">
        <f t="shared" si="59"/>
        <v>0</v>
      </c>
      <c r="Q1094" s="84">
        <f>VLOOKUP($B1094,BOM!$A$2:$K$94,9,0)</f>
        <v>0</v>
      </c>
    </row>
    <row r="1095" spans="1:17" s="45" customFormat="1" ht="36.6" customHeight="1">
      <c r="A1095" s="160"/>
      <c r="B1095" s="62" t="s">
        <v>158</v>
      </c>
      <c r="C1095" s="62" t="s">
        <v>168</v>
      </c>
      <c r="D1095" s="85" t="s">
        <v>159</v>
      </c>
      <c r="E1095" s="85">
        <v>0</v>
      </c>
      <c r="F1095" s="62"/>
      <c r="G1095" s="62"/>
      <c r="H1095" s="62"/>
      <c r="I1095" s="62"/>
      <c r="J1095" s="21">
        <v>1</v>
      </c>
      <c r="K1095" s="62" t="s">
        <v>143</v>
      </c>
      <c r="L1095" s="62" t="s">
        <v>151</v>
      </c>
      <c r="M1095" s="86" t="s">
        <v>154</v>
      </c>
      <c r="N1095" s="86" t="s">
        <v>159</v>
      </c>
      <c r="O1095" s="87">
        <f>VLOOKUP($B1095,BOM!$A$2:$K$94,10,0)</f>
        <v>0</v>
      </c>
      <c r="P1095" s="87">
        <f t="shared" si="59"/>
        <v>0</v>
      </c>
      <c r="Q1095" s="87" t="str">
        <f>VLOOKUP($B1095,BOM!$A$2:$K$94,9,0)</f>
        <v>cái</v>
      </c>
    </row>
    <row r="1096" spans="1:17">
      <c r="B1096" s="81"/>
      <c r="C1096" s="72" t="s">
        <v>102</v>
      </c>
      <c r="D1096" s="72" t="s">
        <v>0</v>
      </c>
      <c r="E1096" s="72">
        <v>1</v>
      </c>
      <c r="F1096" s="72"/>
      <c r="G1096" s="72"/>
      <c r="H1096" s="72"/>
      <c r="I1096" s="72"/>
      <c r="J1096" s="72"/>
      <c r="K1096" s="83"/>
      <c r="L1096" s="83"/>
      <c r="M1096" s="83"/>
      <c r="N1096" s="83"/>
      <c r="O1096" s="87">
        <f>VLOOKUP($B1096,BOM!$A$2:$K$94,10,0)</f>
        <v>0</v>
      </c>
      <c r="P1096" s="87">
        <f t="shared" si="59"/>
        <v>0</v>
      </c>
      <c r="Q1096" s="84">
        <f>VLOOKUP($B1096,BOM!$A$2:$K$94,9,0)</f>
        <v>0</v>
      </c>
    </row>
    <row r="1097" spans="1:17" s="45" customFormat="1">
      <c r="A1097" s="160"/>
      <c r="B1097" s="62" t="s">
        <v>322</v>
      </c>
      <c r="C1097" s="189" t="s">
        <v>323</v>
      </c>
      <c r="D1097" s="85" t="s">
        <v>159</v>
      </c>
      <c r="E1097" s="85">
        <v>2</v>
      </c>
      <c r="F1097" s="62"/>
      <c r="G1097" s="62"/>
      <c r="H1097" s="62"/>
      <c r="I1097" s="62"/>
      <c r="J1097" s="21">
        <f t="shared" ref="J1097:J1100" si="63">E1097</f>
        <v>2</v>
      </c>
      <c r="K1097" s="62" t="s">
        <v>143</v>
      </c>
      <c r="L1097" s="62" t="s">
        <v>151</v>
      </c>
      <c r="M1097" s="86" t="s">
        <v>154</v>
      </c>
      <c r="N1097" s="86" t="s">
        <v>159</v>
      </c>
      <c r="O1097" s="87">
        <f>VLOOKUP($B1097,BOM!$A$2:$K$94,10,0)</f>
        <v>0</v>
      </c>
      <c r="P1097" s="87">
        <f t="shared" si="59"/>
        <v>0</v>
      </c>
      <c r="Q1097" s="87" t="str">
        <f>VLOOKUP($B1097,BOM!$A$2:$K$94,9,0)</f>
        <v>Bộ</v>
      </c>
    </row>
    <row r="1098" spans="1:17" s="45" customFormat="1">
      <c r="A1098" s="160"/>
      <c r="B1098" s="62" t="s">
        <v>169</v>
      </c>
      <c r="C1098" s="62" t="s">
        <v>170</v>
      </c>
      <c r="D1098" s="85"/>
      <c r="E1098" s="85">
        <v>4</v>
      </c>
      <c r="F1098" s="62"/>
      <c r="G1098" s="62"/>
      <c r="H1098" s="62"/>
      <c r="I1098" s="62"/>
      <c r="J1098" s="21">
        <f t="shared" si="63"/>
        <v>4</v>
      </c>
      <c r="K1098" s="62" t="s">
        <v>143</v>
      </c>
      <c r="L1098" s="62" t="s">
        <v>151</v>
      </c>
      <c r="M1098" s="86" t="s">
        <v>154</v>
      </c>
      <c r="N1098" s="86"/>
      <c r="O1098" s="87">
        <f>VLOOKUP($B1098,BOM!$A$2:$K$94,10,0)</f>
        <v>0</v>
      </c>
      <c r="P1098" s="87">
        <f t="shared" ref="P1098:P1161" si="64">O1098*E1098</f>
        <v>0</v>
      </c>
      <c r="Q1098" s="87" t="str">
        <f>VLOOKUP($B1098,BOM!$A$2:$K$94,9,0)</f>
        <v>cái</v>
      </c>
    </row>
    <row r="1099" spans="1:17" s="45" customFormat="1">
      <c r="A1099" s="160"/>
      <c r="B1099" s="78" t="s">
        <v>214</v>
      </c>
      <c r="C1099" s="78" t="s">
        <v>215</v>
      </c>
      <c r="D1099" s="162"/>
      <c r="E1099" s="162">
        <v>2</v>
      </c>
      <c r="F1099" s="62"/>
      <c r="G1099" s="62"/>
      <c r="H1099" s="62"/>
      <c r="I1099" s="62"/>
      <c r="J1099" s="21">
        <f t="shared" si="63"/>
        <v>2</v>
      </c>
      <c r="K1099" s="62" t="s">
        <v>143</v>
      </c>
      <c r="L1099" s="62" t="s">
        <v>151</v>
      </c>
      <c r="M1099" s="86" t="s">
        <v>154</v>
      </c>
      <c r="N1099" s="86"/>
      <c r="O1099" s="87">
        <f>VLOOKUP($B1099,BOM!$A$2:$K$94,10,0)</f>
        <v>0</v>
      </c>
      <c r="P1099" s="87">
        <f t="shared" si="64"/>
        <v>0</v>
      </c>
      <c r="Q1099" s="87" t="str">
        <f>VLOOKUP($B1099,BOM!$A$2:$K$94,9,0)</f>
        <v>cái</v>
      </c>
    </row>
    <row r="1100" spans="1:17" s="45" customFormat="1">
      <c r="A1100" s="160"/>
      <c r="B1100" s="79" t="s">
        <v>328</v>
      </c>
      <c r="C1100" s="79" t="s">
        <v>329</v>
      </c>
      <c r="D1100" s="163"/>
      <c r="E1100" s="163">
        <v>2</v>
      </c>
      <c r="F1100" s="62"/>
      <c r="G1100" s="62"/>
      <c r="H1100" s="62"/>
      <c r="I1100" s="62"/>
      <c r="J1100" s="21">
        <f t="shared" si="63"/>
        <v>2</v>
      </c>
      <c r="K1100" s="62" t="s">
        <v>143</v>
      </c>
      <c r="L1100" s="62" t="s">
        <v>151</v>
      </c>
      <c r="M1100" s="86" t="s">
        <v>154</v>
      </c>
      <c r="N1100" s="86"/>
      <c r="O1100" s="87">
        <f>VLOOKUP($B1100,BOM!$A$2:$K$94,10,0)</f>
        <v>0</v>
      </c>
      <c r="P1100" s="87">
        <f t="shared" si="64"/>
        <v>0</v>
      </c>
      <c r="Q1100" s="87">
        <f>VLOOKUP($B1100,BOM!$A$2:$K$94,9,0)</f>
        <v>0</v>
      </c>
    </row>
    <row r="1101" spans="1:17">
      <c r="B1101" s="67" t="s">
        <v>216</v>
      </c>
      <c r="C1101" s="65" t="s">
        <v>217</v>
      </c>
      <c r="D1101" s="90"/>
      <c r="E1101" s="90">
        <f>SUM(E119,E166,E213,E260,E307,E354,E401,E448,E495,E542,E589,E636,E683,E730,E777,E824,E871,E918,E965,E1012,E1060)-10+4</f>
        <v>27</v>
      </c>
      <c r="F1101" s="65"/>
      <c r="G1101" s="65"/>
      <c r="H1101" s="65"/>
      <c r="I1101" s="65"/>
      <c r="J1101" s="65"/>
      <c r="K1101" s="65" t="s">
        <v>143</v>
      </c>
      <c r="L1101" s="65" t="s">
        <v>151</v>
      </c>
      <c r="M1101" s="90" t="s">
        <v>154</v>
      </c>
      <c r="N1101" s="90"/>
      <c r="O1101" s="87">
        <f>VLOOKUP($B1101,BOM!$A$2:$K$94,10,0)</f>
        <v>0</v>
      </c>
      <c r="P1101" s="87">
        <f t="shared" si="64"/>
        <v>0</v>
      </c>
      <c r="Q1101" s="151" t="str">
        <f>VLOOKUP($B1101,BOM!$A$2:$K$94,9,0)</f>
        <v>cái</v>
      </c>
    </row>
    <row r="1102" spans="1:17" s="45" customFormat="1">
      <c r="A1102" s="160"/>
      <c r="B1102" s="78" t="s">
        <v>171</v>
      </c>
      <c r="C1102" s="78" t="s">
        <v>172</v>
      </c>
      <c r="D1102" s="162"/>
      <c r="E1102" s="162">
        <v>2</v>
      </c>
      <c r="F1102" s="62"/>
      <c r="G1102" s="62"/>
      <c r="H1102" s="62"/>
      <c r="I1102" s="62"/>
      <c r="J1102" s="21">
        <f>E1102</f>
        <v>2</v>
      </c>
      <c r="K1102" s="62" t="s">
        <v>143</v>
      </c>
      <c r="L1102" s="62" t="s">
        <v>151</v>
      </c>
      <c r="M1102" s="86" t="s">
        <v>154</v>
      </c>
      <c r="N1102" s="86"/>
      <c r="O1102" s="87">
        <f>VLOOKUP($B1102,BOM!$A$2:$K$94,10,0)</f>
        <v>0</v>
      </c>
      <c r="P1102" s="87">
        <f t="shared" si="64"/>
        <v>0</v>
      </c>
      <c r="Q1102" s="87">
        <f>VLOOKUP($B1102,BOM!$A$2:$K$94,9,0)</f>
        <v>0</v>
      </c>
    </row>
    <row r="1103" spans="1:17" s="45" customFormat="1">
      <c r="A1103" s="160"/>
      <c r="B1103" s="62" t="s">
        <v>156</v>
      </c>
      <c r="C1103" s="62" t="s">
        <v>157</v>
      </c>
      <c r="D1103" s="85"/>
      <c r="E1103" s="85">
        <v>2</v>
      </c>
      <c r="F1103" s="62"/>
      <c r="G1103" s="62"/>
      <c r="H1103" s="62"/>
      <c r="I1103" s="62"/>
      <c r="J1103" s="62"/>
      <c r="K1103" s="62" t="s">
        <v>143</v>
      </c>
      <c r="L1103" s="62" t="s">
        <v>151</v>
      </c>
      <c r="M1103" s="86" t="s">
        <v>154</v>
      </c>
      <c r="N1103" s="86"/>
      <c r="O1103" s="87">
        <f>VLOOKUP($B1103,BOM!$A$2:$K$94,10,0)</f>
        <v>0</v>
      </c>
      <c r="P1103" s="87">
        <f t="shared" si="64"/>
        <v>0</v>
      </c>
      <c r="Q1103" s="87" t="str">
        <f>VLOOKUP($B1103,BOM!$A$2:$K$94,9,0)</f>
        <v>cái</v>
      </c>
    </row>
    <row r="1104" spans="1:17" s="45" customFormat="1">
      <c r="A1104" s="160"/>
      <c r="B1104" s="62" t="s">
        <v>212</v>
      </c>
      <c r="C1104" s="62" t="s">
        <v>213</v>
      </c>
      <c r="D1104" s="85" t="s">
        <v>64</v>
      </c>
      <c r="E1104" s="97">
        <v>22</v>
      </c>
      <c r="F1104" s="62"/>
      <c r="G1104" s="62"/>
      <c r="H1104" s="62"/>
      <c r="I1104" s="62"/>
      <c r="J1104" s="62"/>
      <c r="K1104" s="62" t="s">
        <v>143</v>
      </c>
      <c r="L1104" s="62" t="s">
        <v>151</v>
      </c>
      <c r="M1104" s="86" t="s">
        <v>154</v>
      </c>
      <c r="N1104" s="86" t="s">
        <v>64</v>
      </c>
      <c r="O1104" s="87">
        <f>VLOOKUP($B1104,BOM!$A$2:$K$94,10,0)</f>
        <v>0</v>
      </c>
      <c r="P1104" s="87">
        <f t="shared" si="64"/>
        <v>0</v>
      </c>
      <c r="Q1104" s="87" t="str">
        <f>VLOOKUP($B1104,BOM!$A$2:$K$94,9,0)</f>
        <v>cái</v>
      </c>
    </row>
    <row r="1105" spans="1:17" s="111" customFormat="1">
      <c r="A1105" s="160"/>
      <c r="B1105" s="124" t="s">
        <v>220</v>
      </c>
      <c r="C1105" s="75" t="s">
        <v>221</v>
      </c>
      <c r="D1105" s="75" t="s">
        <v>159</v>
      </c>
      <c r="E1105" s="154">
        <v>10</v>
      </c>
      <c r="F1105" s="75"/>
      <c r="G1105" s="75"/>
      <c r="H1105" s="75"/>
      <c r="I1105" s="75"/>
      <c r="J1105" s="75"/>
      <c r="K1105" s="75" t="s">
        <v>143</v>
      </c>
      <c r="L1105" s="75" t="s">
        <v>151</v>
      </c>
      <c r="M1105" s="75" t="s">
        <v>154</v>
      </c>
      <c r="N1105" s="75" t="s">
        <v>159</v>
      </c>
      <c r="O1105" s="87">
        <f>VLOOKUP($B1105,BOM!$A$2:$K$94,10,0)</f>
        <v>0</v>
      </c>
      <c r="P1105" s="87">
        <f t="shared" si="64"/>
        <v>0</v>
      </c>
      <c r="Q1105" s="155" t="str">
        <f>VLOOKUP($B1105,BOM!$A$2:$K$94,9,0)</f>
        <v>cái</v>
      </c>
    </row>
    <row r="1106" spans="1:17">
      <c r="B1106" s="81"/>
      <c r="C1106" s="72" t="s">
        <v>1</v>
      </c>
      <c r="D1106" s="72" t="s">
        <v>0</v>
      </c>
      <c r="E1106" s="72">
        <v>1</v>
      </c>
      <c r="F1106" s="72"/>
      <c r="G1106" s="72">
        <f>ROUNDUP(G1087/24,0)</f>
        <v>8</v>
      </c>
      <c r="H1106" s="72">
        <f>ROUNDUP(H1087/24,0)</f>
        <v>2</v>
      </c>
      <c r="I1106" s="72"/>
      <c r="J1106" s="72"/>
      <c r="K1106" s="83"/>
      <c r="L1106" s="83"/>
      <c r="M1106" s="83"/>
      <c r="N1106" s="83"/>
      <c r="O1106" s="87">
        <f>VLOOKUP($B1106,BOM!$A$2:$K$94,10,0)</f>
        <v>0</v>
      </c>
      <c r="P1106" s="87">
        <f t="shared" si="64"/>
        <v>0</v>
      </c>
      <c r="Q1106" s="84">
        <f>VLOOKUP($B1106,BOM!$A$2:$K$94,9,0)</f>
        <v>0</v>
      </c>
    </row>
    <row r="1107" spans="1:17" s="45" customFormat="1">
      <c r="A1107" s="160"/>
      <c r="B1107" s="62">
        <v>760249997</v>
      </c>
      <c r="C1107" s="62" t="s">
        <v>2</v>
      </c>
      <c r="D1107" s="85" t="s">
        <v>3</v>
      </c>
      <c r="E1107" s="85">
        <f>ROUNDUP((E1109+E1113)/3,0)</f>
        <v>4</v>
      </c>
      <c r="F1107" s="62"/>
      <c r="G1107" s="62"/>
      <c r="H1107" s="62"/>
      <c r="I1107" s="62"/>
      <c r="J1107" s="21">
        <f>E1107</f>
        <v>4</v>
      </c>
      <c r="K1107" s="62" t="s">
        <v>4</v>
      </c>
      <c r="L1107" s="62" t="s">
        <v>5</v>
      </c>
      <c r="M1107" s="86" t="s">
        <v>6</v>
      </c>
      <c r="N1107" s="86" t="s">
        <v>3</v>
      </c>
      <c r="O1107" s="87">
        <f>VLOOKUP($B1107,BOM!$A$2:$K$94,10,0)</f>
        <v>0</v>
      </c>
      <c r="P1107" s="87">
        <f t="shared" si="64"/>
        <v>0</v>
      </c>
      <c r="Q1107" s="87" t="str">
        <f>VLOOKUP($B1107,BOM!$A$2:$K$94,9,0)</f>
        <v>Cái</v>
      </c>
    </row>
    <row r="1108" spans="1:17" s="45" customFormat="1">
      <c r="A1108" s="160"/>
      <c r="B1108" s="62">
        <v>760241378</v>
      </c>
      <c r="C1108" s="62" t="s">
        <v>7</v>
      </c>
      <c r="D1108" s="85" t="s">
        <v>3</v>
      </c>
      <c r="E1108" s="85">
        <f>IF(E1109&lt;=2,1,ROUNDUP(E1107*1.5,0))</f>
        <v>6</v>
      </c>
      <c r="F1108" s="62"/>
      <c r="G1108" s="62"/>
      <c r="H1108" s="62"/>
      <c r="I1108" s="62"/>
      <c r="J1108" s="62"/>
      <c r="K1108" s="62" t="s">
        <v>4</v>
      </c>
      <c r="L1108" s="62" t="s">
        <v>5</v>
      </c>
      <c r="M1108" s="86" t="s">
        <v>6</v>
      </c>
      <c r="N1108" s="86" t="s">
        <v>3</v>
      </c>
      <c r="O1108" s="87">
        <f>VLOOKUP($B1108,BOM!$A$2:$K$94,10,0)</f>
        <v>0</v>
      </c>
      <c r="P1108" s="87">
        <f t="shared" si="64"/>
        <v>0</v>
      </c>
      <c r="Q1108" s="87" t="str">
        <f>VLOOKUP($B1108,BOM!$A$2:$K$94,9,0)</f>
        <v>Cái</v>
      </c>
    </row>
    <row r="1109" spans="1:17" s="45" customFormat="1">
      <c r="A1109" s="160"/>
      <c r="B1109" s="62" t="s">
        <v>8</v>
      </c>
      <c r="C1109" s="62" t="s">
        <v>9</v>
      </c>
      <c r="D1109" s="85" t="s">
        <v>3</v>
      </c>
      <c r="E1109" s="85">
        <f>G1106</f>
        <v>8</v>
      </c>
      <c r="F1109" s="62"/>
      <c r="G1109" s="62"/>
      <c r="H1109" s="62"/>
      <c r="I1109" s="62"/>
      <c r="J1109" s="62"/>
      <c r="K1109" s="62" t="s">
        <v>4</v>
      </c>
      <c r="L1109" s="62" t="s">
        <v>5</v>
      </c>
      <c r="M1109" s="86" t="s">
        <v>6</v>
      </c>
      <c r="N1109" s="86" t="s">
        <v>3</v>
      </c>
      <c r="O1109" s="87">
        <f>VLOOKUP($B1109,BOM!$A$2:$K$94,10,0)</f>
        <v>0</v>
      </c>
      <c r="P1109" s="87">
        <f t="shared" si="64"/>
        <v>0</v>
      </c>
      <c r="Q1109" s="87" t="str">
        <f>VLOOKUP($B1109,BOM!$A$2:$K$94,9,0)</f>
        <v>Cái</v>
      </c>
    </row>
    <row r="1110" spans="1:17" s="45" customFormat="1">
      <c r="A1110" s="160"/>
      <c r="B1110" s="62" t="s">
        <v>10</v>
      </c>
      <c r="C1110" s="62" t="s">
        <v>11</v>
      </c>
      <c r="D1110" s="85" t="s">
        <v>3</v>
      </c>
      <c r="E1110" s="85">
        <f>E1107*3-E1109-E1113</f>
        <v>2</v>
      </c>
      <c r="F1110" s="62"/>
      <c r="G1110" s="62"/>
      <c r="H1110" s="62"/>
      <c r="I1110" s="62"/>
      <c r="J1110" s="62"/>
      <c r="K1110" s="62" t="s">
        <v>4</v>
      </c>
      <c r="L1110" s="62" t="s">
        <v>5</v>
      </c>
      <c r="M1110" s="86" t="s">
        <v>6</v>
      </c>
      <c r="N1110" s="86" t="s">
        <v>3</v>
      </c>
      <c r="O1110" s="87">
        <f>VLOOKUP($B1110,BOM!$A$2:$K$94,10,0)</f>
        <v>0</v>
      </c>
      <c r="P1110" s="87">
        <f t="shared" si="64"/>
        <v>0</v>
      </c>
      <c r="Q1110" s="87" t="str">
        <f>VLOOKUP($B1110,BOM!$A$2:$K$94,9,0)</f>
        <v>Cái</v>
      </c>
    </row>
    <row r="1111" spans="1:17" s="45" customFormat="1">
      <c r="A1111" s="160"/>
      <c r="B1111" s="62" t="s">
        <v>12</v>
      </c>
      <c r="C1111" s="62" t="s">
        <v>13</v>
      </c>
      <c r="D1111" s="85" t="s">
        <v>14</v>
      </c>
      <c r="E1111" s="85">
        <f>G1087/2</f>
        <v>96</v>
      </c>
      <c r="F1111" s="62"/>
      <c r="G1111" s="62"/>
      <c r="H1111" s="62"/>
      <c r="I1111" s="62"/>
      <c r="J1111" s="62"/>
      <c r="K1111" s="62" t="s">
        <v>4</v>
      </c>
      <c r="L1111" s="62" t="s">
        <v>5</v>
      </c>
      <c r="M1111" s="86" t="s">
        <v>6</v>
      </c>
      <c r="N1111" s="86" t="s">
        <v>15</v>
      </c>
      <c r="O1111" s="87">
        <f>VLOOKUP($B1111,BOM!$A$2:$K$94,10,0)</f>
        <v>0</v>
      </c>
      <c r="P1111" s="87">
        <f t="shared" si="64"/>
        <v>0</v>
      </c>
      <c r="Q1111" s="87" t="str">
        <f>VLOOKUP($B1111,BOM!$A$2:$K$94,9,0)</f>
        <v>Sợi</v>
      </c>
    </row>
    <row r="1112" spans="1:17" s="45" customFormat="1">
      <c r="A1112" s="160"/>
      <c r="B1112" s="62" t="s">
        <v>16</v>
      </c>
      <c r="C1112" s="62" t="s">
        <v>17</v>
      </c>
      <c r="D1112" s="85" t="s">
        <v>14</v>
      </c>
      <c r="E1112" s="85">
        <f>E1114</f>
        <v>68</v>
      </c>
      <c r="F1112" s="62"/>
      <c r="G1112" s="62"/>
      <c r="H1112" s="62"/>
      <c r="I1112" s="62"/>
      <c r="J1112" s="62"/>
      <c r="K1112" s="62" t="s">
        <v>4</v>
      </c>
      <c r="L1112" s="62" t="s">
        <v>5</v>
      </c>
      <c r="M1112" s="86" t="s">
        <v>6</v>
      </c>
      <c r="N1112" s="86" t="s">
        <v>15</v>
      </c>
      <c r="O1112" s="87">
        <f>VLOOKUP($B1112,BOM!$A$2:$K$94,10,0)</f>
        <v>0</v>
      </c>
      <c r="P1112" s="87">
        <f t="shared" si="64"/>
        <v>0</v>
      </c>
      <c r="Q1112" s="87" t="str">
        <f>VLOOKUP($B1112,BOM!$A$2:$K$94,9,0)</f>
        <v>Sợi</v>
      </c>
    </row>
    <row r="1113" spans="1:17" s="110" customFormat="1">
      <c r="A1113" s="111"/>
      <c r="B1113" s="66" t="s">
        <v>198</v>
      </c>
      <c r="C1113" s="66" t="s">
        <v>199</v>
      </c>
      <c r="D1113" s="89" t="s">
        <v>3</v>
      </c>
      <c r="E1113" s="89">
        <f>H1106</f>
        <v>2</v>
      </c>
      <c r="F1113" s="66"/>
      <c r="G1113" s="66"/>
      <c r="H1113" s="66"/>
      <c r="I1113" s="66"/>
      <c r="J1113" s="66"/>
      <c r="K1113" s="108" t="s">
        <v>4</v>
      </c>
      <c r="L1113" s="108" t="s">
        <v>5</v>
      </c>
      <c r="M1113" s="109" t="s">
        <v>6</v>
      </c>
      <c r="N1113" s="109" t="s">
        <v>15</v>
      </c>
      <c r="O1113" s="87">
        <f>VLOOKUP($B1113,BOM!$A$2:$K$94,10,0)</f>
        <v>0</v>
      </c>
      <c r="P1113" s="87">
        <f t="shared" si="64"/>
        <v>0</v>
      </c>
      <c r="Q1113" s="146" t="str">
        <f>VLOOKUP($B1113,BOM!$A$2:$K$94,9,0)</f>
        <v>Cái</v>
      </c>
    </row>
    <row r="1114" spans="1:17" s="111" customFormat="1">
      <c r="B1114" s="66" t="s">
        <v>194</v>
      </c>
      <c r="C1114" s="66" t="s">
        <v>195</v>
      </c>
      <c r="D1114" s="89" t="s">
        <v>14</v>
      </c>
      <c r="E1114" s="89" cm="1">
        <f t="array" ref="E1114">SUM(E1098:E1104+E1095+E1093)</f>
        <v>68</v>
      </c>
      <c r="F1114" s="108"/>
      <c r="G1114" s="108"/>
      <c r="H1114" s="108"/>
      <c r="I1114" s="108"/>
      <c r="J1114" s="108"/>
      <c r="K1114" s="108" t="s">
        <v>4</v>
      </c>
      <c r="L1114" s="108" t="s">
        <v>5</v>
      </c>
      <c r="M1114" s="109" t="s">
        <v>6</v>
      </c>
      <c r="N1114" s="109" t="s">
        <v>15</v>
      </c>
      <c r="O1114" s="87">
        <f>VLOOKUP($B1114,BOM!$A$2:$K$94,10,0)</f>
        <v>0</v>
      </c>
      <c r="P1114" s="87">
        <f t="shared" si="64"/>
        <v>0</v>
      </c>
      <c r="Q1114" s="146" t="str">
        <f>VLOOKUP($B1114,BOM!$A$2:$K$94,9,0)</f>
        <v>Cái</v>
      </c>
    </row>
    <row r="1115" spans="1:17" s="110" customFormat="1">
      <c r="A1115" s="111"/>
      <c r="B1115" s="66" t="s">
        <v>196</v>
      </c>
      <c r="C1115" s="66" t="s">
        <v>197</v>
      </c>
      <c r="D1115" s="89" t="s">
        <v>14</v>
      </c>
      <c r="E1115" s="89">
        <f>H1087/2</f>
        <v>24</v>
      </c>
      <c r="F1115" s="66"/>
      <c r="G1115" s="66"/>
      <c r="H1115" s="66"/>
      <c r="I1115" s="66"/>
      <c r="J1115" s="66"/>
      <c r="K1115" s="108" t="s">
        <v>4</v>
      </c>
      <c r="L1115" s="108" t="s">
        <v>5</v>
      </c>
      <c r="M1115" s="109" t="s">
        <v>6</v>
      </c>
      <c r="N1115" s="109" t="s">
        <v>15</v>
      </c>
      <c r="O1115" s="87">
        <f>VLOOKUP($B1115,BOM!$A$2:$K$94,10,0)</f>
        <v>0</v>
      </c>
      <c r="P1115" s="87">
        <f t="shared" si="64"/>
        <v>0</v>
      </c>
      <c r="Q1115" s="146" t="str">
        <f>VLOOKUP($B1115,BOM!$A$2:$K$94,9,0)</f>
        <v>Cái</v>
      </c>
    </row>
    <row r="1116" spans="1:17">
      <c r="B1116" s="81"/>
      <c r="C1116" s="72" t="s">
        <v>18</v>
      </c>
      <c r="D1116" s="72" t="s">
        <v>0</v>
      </c>
      <c r="E1116" s="72">
        <v>1</v>
      </c>
      <c r="F1116" s="72"/>
      <c r="G1116" s="72"/>
      <c r="H1116" s="72"/>
      <c r="I1116" s="72"/>
      <c r="J1116" s="72"/>
      <c r="K1116" s="83"/>
      <c r="L1116" s="83"/>
      <c r="M1116" s="83"/>
      <c r="N1116" s="83"/>
      <c r="O1116" s="87">
        <f>VLOOKUP($B1116,BOM!$A$2:$K$94,10,0)</f>
        <v>0</v>
      </c>
      <c r="P1116" s="87">
        <f t="shared" si="64"/>
        <v>0</v>
      </c>
      <c r="Q1116" s="84">
        <f>VLOOKUP($B1116,BOM!$A$2:$K$94,9,0)</f>
        <v>0</v>
      </c>
    </row>
    <row r="1117" spans="1:17" s="45" customFormat="1">
      <c r="A1117" s="160"/>
      <c r="B1117" s="62">
        <v>760237046</v>
      </c>
      <c r="C1117" s="62" t="s">
        <v>19</v>
      </c>
      <c r="D1117" s="85" t="s">
        <v>3</v>
      </c>
      <c r="E1117" s="85">
        <f>E1097</f>
        <v>2</v>
      </c>
      <c r="F1117" s="62"/>
      <c r="G1117" s="62"/>
      <c r="H1117" s="62"/>
      <c r="I1117" s="62"/>
      <c r="J1117" s="21">
        <f>E1117</f>
        <v>2</v>
      </c>
      <c r="K1117" s="62" t="s">
        <v>4</v>
      </c>
      <c r="L1117" s="62" t="s">
        <v>5</v>
      </c>
      <c r="M1117" s="86" t="s">
        <v>6</v>
      </c>
      <c r="N1117" s="86" t="s">
        <v>3</v>
      </c>
      <c r="O1117" s="87">
        <f>VLOOKUP($B1117,BOM!$A$2:$K$94,10,0)</f>
        <v>0</v>
      </c>
      <c r="P1117" s="87">
        <f t="shared" si="64"/>
        <v>0</v>
      </c>
      <c r="Q1117" s="87" t="str">
        <f>VLOOKUP($B1117,BOM!$A$2:$K$94,9,0)</f>
        <v>Cái</v>
      </c>
    </row>
    <row r="1118" spans="1:17" s="45" customFormat="1">
      <c r="A1118" s="160"/>
      <c r="B1118" s="62" t="s">
        <v>23</v>
      </c>
      <c r="C1118" s="62" t="s">
        <v>24</v>
      </c>
      <c r="D1118" s="85" t="s">
        <v>3</v>
      </c>
      <c r="E1118" s="85">
        <f>E1117*24</f>
        <v>48</v>
      </c>
      <c r="F1118" s="62"/>
      <c r="G1118" s="62"/>
      <c r="H1118" s="62"/>
      <c r="I1118" s="62"/>
      <c r="J1118" s="62"/>
      <c r="K1118" s="62" t="s">
        <v>25</v>
      </c>
      <c r="L1118" s="62" t="s">
        <v>5</v>
      </c>
      <c r="M1118" s="86" t="s">
        <v>6</v>
      </c>
      <c r="N1118" s="86" t="s">
        <v>3</v>
      </c>
      <c r="O1118" s="87">
        <f>VLOOKUP($B1118,BOM!$A$2:$K$94,10,0)</f>
        <v>0</v>
      </c>
      <c r="P1118" s="87">
        <f t="shared" si="64"/>
        <v>0</v>
      </c>
      <c r="Q1118" s="87" t="str">
        <f>VLOOKUP($B1118,BOM!$A$2:$K$94,9,0)</f>
        <v>Cái</v>
      </c>
    </row>
    <row r="1119" spans="1:17" s="45" customFormat="1">
      <c r="A1119" s="160"/>
      <c r="B1119" s="62" t="s">
        <v>20</v>
      </c>
      <c r="C1119" s="62" t="s">
        <v>21</v>
      </c>
      <c r="D1119" s="85" t="s">
        <v>3</v>
      </c>
      <c r="E1119" s="85">
        <f>E1117</f>
        <v>2</v>
      </c>
      <c r="F1119" s="62"/>
      <c r="G1119" s="62"/>
      <c r="H1119" s="62"/>
      <c r="I1119" s="62"/>
      <c r="J1119" s="21">
        <f>E1119</f>
        <v>2</v>
      </c>
      <c r="K1119" s="62" t="s">
        <v>4</v>
      </c>
      <c r="L1119" s="62" t="s">
        <v>5</v>
      </c>
      <c r="M1119" s="86" t="s">
        <v>22</v>
      </c>
      <c r="N1119" s="86" t="s">
        <v>3</v>
      </c>
      <c r="O1119" s="87">
        <f>VLOOKUP($B1119,BOM!$A$2:$K$94,10,0)</f>
        <v>0</v>
      </c>
      <c r="P1119" s="87">
        <f t="shared" si="64"/>
        <v>0</v>
      </c>
      <c r="Q1119" s="87" t="str">
        <f>VLOOKUP($B1119,BOM!$A$2:$K$94,9,0)</f>
        <v>Cái</v>
      </c>
    </row>
    <row r="1120" spans="1:17">
      <c r="B1120" s="81"/>
      <c r="C1120" s="72" t="s">
        <v>71</v>
      </c>
      <c r="D1120" s="72" t="s">
        <v>0</v>
      </c>
      <c r="E1120" s="72">
        <v>1</v>
      </c>
      <c r="F1120" s="72"/>
      <c r="G1120" s="72"/>
      <c r="H1120" s="72"/>
      <c r="I1120" s="72"/>
      <c r="J1120" s="72"/>
      <c r="K1120" s="83"/>
      <c r="L1120" s="83"/>
      <c r="M1120" s="83"/>
      <c r="N1120" s="83"/>
      <c r="O1120" s="87">
        <f>VLOOKUP($B1120,BOM!$A$2:$K$94,10,0)</f>
        <v>0</v>
      </c>
      <c r="P1120" s="87">
        <f t="shared" si="64"/>
        <v>0</v>
      </c>
      <c r="Q1120" s="84">
        <f>VLOOKUP($B1120,BOM!$A$2:$K$94,9,0)</f>
        <v>0</v>
      </c>
    </row>
    <row r="1121" spans="1:17" s="45" customFormat="1">
      <c r="A1121" s="160"/>
      <c r="B1121" s="62" t="s">
        <v>229</v>
      </c>
      <c r="C1121" s="62" t="s">
        <v>230</v>
      </c>
      <c r="D1121" s="125" t="s">
        <v>0</v>
      </c>
      <c r="E1121" s="90">
        <v>0</v>
      </c>
      <c r="F1121" s="62"/>
      <c r="G1121" s="62"/>
      <c r="H1121" s="62"/>
      <c r="I1121" s="62"/>
      <c r="J1121" s="21">
        <f t="shared" ref="J1121:J1122" si="65">E1121</f>
        <v>0</v>
      </c>
      <c r="K1121" s="62"/>
      <c r="L1121" s="62" t="s">
        <v>5</v>
      </c>
      <c r="M1121" s="86" t="s">
        <v>28</v>
      </c>
      <c r="N1121" s="86" t="s">
        <v>3</v>
      </c>
      <c r="O1121" s="87">
        <f>VLOOKUP($B1121,BOM!$A$2:$K$94,10,0)</f>
        <v>0</v>
      </c>
      <c r="P1121" s="87">
        <f t="shared" si="64"/>
        <v>0</v>
      </c>
      <c r="Q1121" s="87" t="str">
        <f>VLOOKUP($B1121,BOM!$A$2:$K$94,9,0)</f>
        <v>Cái</v>
      </c>
    </row>
    <row r="1122" spans="1:17" s="45" customFormat="1">
      <c r="A1122" s="160"/>
      <c r="B1122" s="62" t="s">
        <v>29</v>
      </c>
      <c r="C1122" s="62" t="s">
        <v>30</v>
      </c>
      <c r="D1122" s="125" t="s">
        <v>0</v>
      </c>
      <c r="E1122" s="90">
        <v>0</v>
      </c>
      <c r="F1122" s="62"/>
      <c r="G1122" s="62"/>
      <c r="H1122" s="62"/>
      <c r="I1122" s="62"/>
      <c r="J1122" s="21">
        <f t="shared" si="65"/>
        <v>0</v>
      </c>
      <c r="K1122" s="62"/>
      <c r="L1122" s="62" t="s">
        <v>5</v>
      </c>
      <c r="M1122" s="86" t="s">
        <v>28</v>
      </c>
      <c r="N1122" s="86" t="s">
        <v>3</v>
      </c>
      <c r="O1122" s="87">
        <f>VLOOKUP($B1122,BOM!$A$2:$K$94,10,0)</f>
        <v>0</v>
      </c>
      <c r="P1122" s="87">
        <f t="shared" si="64"/>
        <v>0</v>
      </c>
      <c r="Q1122" s="87" t="str">
        <f>VLOOKUP($B1122,BOM!$A$2:$K$94,9,0)</f>
        <v>Cái</v>
      </c>
    </row>
    <row r="1123" spans="1:17">
      <c r="B1123" s="81"/>
      <c r="C1123" s="72" t="s">
        <v>173</v>
      </c>
      <c r="D1123" s="72" t="s">
        <v>0</v>
      </c>
      <c r="E1123" s="72">
        <v>1</v>
      </c>
      <c r="F1123" s="72"/>
      <c r="G1123" s="72"/>
      <c r="H1123" s="72"/>
      <c r="I1123" s="72"/>
      <c r="J1123" s="72"/>
      <c r="K1123" s="83"/>
      <c r="L1123" s="83"/>
      <c r="M1123" s="83"/>
      <c r="N1123" s="83"/>
      <c r="O1123" s="87">
        <f>VLOOKUP($B1123,BOM!$A$2:$K$94,10,0)</f>
        <v>0</v>
      </c>
      <c r="P1123" s="87">
        <f t="shared" si="64"/>
        <v>0</v>
      </c>
      <c r="Q1123" s="84">
        <f>VLOOKUP($B1123,BOM!$A$2:$K$94,9,0)</f>
        <v>0</v>
      </c>
    </row>
    <row r="1124" spans="1:17" s="45" customFormat="1" ht="11.45" customHeight="1">
      <c r="A1124" s="160"/>
      <c r="B1124" s="62" t="s">
        <v>174</v>
      </c>
      <c r="C1124" s="21" t="s">
        <v>175</v>
      </c>
      <c r="D1124" s="85" t="s">
        <v>51</v>
      </c>
      <c r="E1124" s="85">
        <v>1</v>
      </c>
      <c r="F1124" s="62"/>
      <c r="G1124" s="62"/>
      <c r="H1124" s="62"/>
      <c r="I1124" s="62"/>
      <c r="J1124" s="21">
        <f>E1124</f>
        <v>1</v>
      </c>
      <c r="K1124" s="62" t="s">
        <v>176</v>
      </c>
      <c r="L1124" s="62" t="s">
        <v>151</v>
      </c>
      <c r="M1124" s="86" t="s">
        <v>144</v>
      </c>
      <c r="N1124" s="86" t="s">
        <v>51</v>
      </c>
      <c r="O1124" s="87">
        <f>VLOOKUP($B1124,BOM!$A$2:$K$94,10,0)</f>
        <v>0</v>
      </c>
      <c r="P1124" s="87">
        <f t="shared" si="64"/>
        <v>0</v>
      </c>
      <c r="Q1124" s="87" t="str">
        <f>VLOOKUP($B1124,BOM!$A$2:$K$94,9,0)</f>
        <v>cái</v>
      </c>
    </row>
    <row r="1125" spans="1:17">
      <c r="B1125" s="81"/>
      <c r="C1125" s="72" t="s">
        <v>31</v>
      </c>
      <c r="D1125" s="72" t="s">
        <v>0</v>
      </c>
      <c r="E1125" s="72">
        <v>1</v>
      </c>
      <c r="F1125" s="72"/>
      <c r="G1125" s="72"/>
      <c r="H1125" s="72"/>
      <c r="I1125" s="72"/>
      <c r="J1125" s="72"/>
      <c r="K1125" s="83"/>
      <c r="L1125" s="83"/>
      <c r="M1125" s="83"/>
      <c r="N1125" s="83"/>
      <c r="O1125" s="87">
        <f>VLOOKUP($B1125,BOM!$A$2:$K$94,10,0)</f>
        <v>0</v>
      </c>
      <c r="P1125" s="87">
        <f t="shared" si="64"/>
        <v>0</v>
      </c>
      <c r="Q1125" s="84">
        <f>VLOOKUP($B1125,BOM!$A$2:$K$94,9,0)</f>
        <v>0</v>
      </c>
    </row>
    <row r="1126" spans="1:17">
      <c r="B1126" s="81"/>
      <c r="C1126" s="72" t="s">
        <v>32</v>
      </c>
      <c r="D1126" s="72"/>
      <c r="E1126" s="72"/>
      <c r="F1126" s="72"/>
      <c r="G1126" s="72">
        <v>0</v>
      </c>
      <c r="H1126" s="72"/>
      <c r="I1126" s="72"/>
      <c r="J1126" s="72"/>
      <c r="K1126" s="83"/>
      <c r="L1126" s="83"/>
      <c r="M1126" s="83"/>
      <c r="N1126" s="83"/>
      <c r="O1126" s="87">
        <f>VLOOKUP($B1126,BOM!$A$2:$K$94,10,0)</f>
        <v>0</v>
      </c>
      <c r="P1126" s="87">
        <f t="shared" si="64"/>
        <v>0</v>
      </c>
      <c r="Q1126" s="84">
        <f>VLOOKUP($B1126,BOM!$A$2:$K$94,9,0)</f>
        <v>0</v>
      </c>
    </row>
    <row r="1127" spans="1:17" s="45" customFormat="1" ht="20.45" customHeight="1">
      <c r="A1127" s="160"/>
      <c r="B1127" s="62" t="s">
        <v>33</v>
      </c>
      <c r="C1127" s="62" t="s">
        <v>34</v>
      </c>
      <c r="D1127" s="85" t="s">
        <v>3</v>
      </c>
      <c r="E1127" s="90">
        <f>E1128</f>
        <v>0</v>
      </c>
      <c r="F1127" s="62"/>
      <c r="G1127" s="62"/>
      <c r="H1127" s="62"/>
      <c r="I1127" s="62"/>
      <c r="J1127" s="62"/>
      <c r="K1127" s="62" t="s">
        <v>35</v>
      </c>
      <c r="L1127" s="62" t="s">
        <v>5</v>
      </c>
      <c r="M1127" s="86" t="s">
        <v>6</v>
      </c>
      <c r="N1127" s="86" t="s">
        <v>3</v>
      </c>
      <c r="O1127" s="87">
        <f>VLOOKUP($B1127,BOM!$A$2:$K$94,10,0)</f>
        <v>0</v>
      </c>
      <c r="P1127" s="87">
        <f t="shared" si="64"/>
        <v>0</v>
      </c>
      <c r="Q1127" s="87" t="str">
        <f>VLOOKUP($B1127,BOM!$A$2:$K$94,9,0)</f>
        <v>Cái</v>
      </c>
    </row>
    <row r="1128" spans="1:17" s="45" customFormat="1">
      <c r="A1128" s="160"/>
      <c r="B1128" s="62" t="s">
        <v>330</v>
      </c>
      <c r="C1128" s="62" t="s">
        <v>36</v>
      </c>
      <c r="D1128" s="85" t="s">
        <v>3</v>
      </c>
      <c r="E1128" s="90">
        <f>G1126+H1126</f>
        <v>0</v>
      </c>
      <c r="F1128" s="62"/>
      <c r="G1128" s="62"/>
      <c r="H1128" s="62"/>
      <c r="I1128" s="62"/>
      <c r="J1128" s="62"/>
      <c r="K1128" s="62" t="s">
        <v>37</v>
      </c>
      <c r="L1128" s="62" t="s">
        <v>5</v>
      </c>
      <c r="M1128" s="86" t="s">
        <v>37</v>
      </c>
      <c r="N1128" s="86" t="s">
        <v>3</v>
      </c>
      <c r="O1128" s="87">
        <f>VLOOKUP($B1128,BOM!$A$2:$K$94,10,0)</f>
        <v>0</v>
      </c>
      <c r="P1128" s="87">
        <f t="shared" si="64"/>
        <v>0</v>
      </c>
      <c r="Q1128" s="87" t="str">
        <f>VLOOKUP($B1128,BOM!$A$2:$K$94,9,0)</f>
        <v>Cái</v>
      </c>
    </row>
    <row r="1129" spans="1:17" s="45" customFormat="1">
      <c r="A1129" s="160"/>
      <c r="B1129" s="62" t="s">
        <v>38</v>
      </c>
      <c r="C1129" s="62" t="s">
        <v>39</v>
      </c>
      <c r="D1129" s="85" t="s">
        <v>3</v>
      </c>
      <c r="E1129" s="90">
        <f>E1128</f>
        <v>0</v>
      </c>
      <c r="F1129" s="62"/>
      <c r="G1129" s="62"/>
      <c r="H1129" s="62"/>
      <c r="I1129" s="62"/>
      <c r="J1129" s="62"/>
      <c r="K1129" s="62" t="s">
        <v>25</v>
      </c>
      <c r="L1129" s="62" t="s">
        <v>5</v>
      </c>
      <c r="M1129" s="86" t="s">
        <v>6</v>
      </c>
      <c r="N1129" s="86" t="s">
        <v>3</v>
      </c>
      <c r="O1129" s="87">
        <f>VLOOKUP($B1129,BOM!$A$2:$K$94,10,0)</f>
        <v>0</v>
      </c>
      <c r="P1129" s="87">
        <f t="shared" si="64"/>
        <v>0</v>
      </c>
      <c r="Q1129" s="87" t="str">
        <f>VLOOKUP($B1129,BOM!$A$2:$K$94,9,0)</f>
        <v>Cái</v>
      </c>
    </row>
    <row r="1130" spans="1:17">
      <c r="B1130" s="81"/>
      <c r="C1130" s="72" t="s">
        <v>40</v>
      </c>
      <c r="D1130" s="72"/>
      <c r="E1130" s="72"/>
      <c r="F1130" s="72"/>
      <c r="G1130" s="72"/>
      <c r="H1130" s="72">
        <v>0</v>
      </c>
      <c r="I1130" s="72"/>
      <c r="J1130" s="72"/>
      <c r="K1130" s="83"/>
      <c r="L1130" s="83"/>
      <c r="M1130" s="83"/>
      <c r="N1130" s="83"/>
      <c r="O1130" s="87">
        <f>VLOOKUP($B1130,BOM!$A$2:$K$94,10,0)</f>
        <v>0</v>
      </c>
      <c r="P1130" s="87">
        <f t="shared" si="64"/>
        <v>0</v>
      </c>
      <c r="Q1130" s="84">
        <f>VLOOKUP($B1130,BOM!$A$2:$K$94,9,0)</f>
        <v>0</v>
      </c>
    </row>
    <row r="1131" spans="1:17" s="45" customFormat="1">
      <c r="A1131" s="160"/>
      <c r="B1131" s="62" t="s">
        <v>41</v>
      </c>
      <c r="C1131" s="62" t="s">
        <v>42</v>
      </c>
      <c r="D1131" s="85" t="s">
        <v>3</v>
      </c>
      <c r="E1131" s="104">
        <v>0</v>
      </c>
      <c r="F1131" s="62"/>
      <c r="G1131" s="62"/>
      <c r="H1131" s="62"/>
      <c r="I1131" s="62"/>
      <c r="J1131" s="62"/>
      <c r="K1131" s="62" t="s">
        <v>4</v>
      </c>
      <c r="L1131" s="62" t="s">
        <v>5</v>
      </c>
      <c r="M1131" s="86" t="s">
        <v>6</v>
      </c>
      <c r="N1131" s="86" t="s">
        <v>3</v>
      </c>
      <c r="O1131" s="87">
        <f>VLOOKUP($B1131,BOM!$A$2:$K$94,10,0)</f>
        <v>0</v>
      </c>
      <c r="P1131" s="87">
        <f t="shared" si="64"/>
        <v>0</v>
      </c>
      <c r="Q1131" s="87" t="str">
        <f>VLOOKUP($B1131,BOM!$A$2:$K$94,9,0)</f>
        <v>Cái</v>
      </c>
    </row>
    <row r="1132" spans="1:17" s="45" customFormat="1">
      <c r="A1132" s="160"/>
      <c r="B1132" s="65" t="s">
        <v>43</v>
      </c>
      <c r="C1132" s="65" t="s">
        <v>44</v>
      </c>
      <c r="D1132" s="85" t="s">
        <v>3</v>
      </c>
      <c r="E1132" s="85">
        <f>E1131</f>
        <v>0</v>
      </c>
      <c r="F1132" s="62"/>
      <c r="G1132" s="62"/>
      <c r="H1132" s="62"/>
      <c r="I1132" s="62"/>
      <c r="J1132" s="62"/>
      <c r="K1132" s="62" t="s">
        <v>4</v>
      </c>
      <c r="L1132" s="62" t="s">
        <v>5</v>
      </c>
      <c r="M1132" s="86" t="s">
        <v>6</v>
      </c>
      <c r="N1132" s="86" t="s">
        <v>3</v>
      </c>
      <c r="O1132" s="87">
        <f>VLOOKUP($B1132,BOM!$A$2:$K$94,10,0)</f>
        <v>0</v>
      </c>
      <c r="P1132" s="87">
        <f t="shared" si="64"/>
        <v>0</v>
      </c>
      <c r="Q1132" s="87" t="str">
        <f>VLOOKUP($B1132,BOM!$A$2:$K$94,9,0)</f>
        <v>Cái</v>
      </c>
    </row>
    <row r="1133" spans="1:17">
      <c r="B1133" s="81"/>
      <c r="C1133" s="72" t="s">
        <v>45</v>
      </c>
      <c r="D1133" s="72"/>
      <c r="E1133" s="72"/>
      <c r="F1133" s="72"/>
      <c r="G1133" s="72"/>
      <c r="H1133" s="72"/>
      <c r="I1133" s="72"/>
      <c r="J1133" s="72"/>
      <c r="K1133" s="83"/>
      <c r="L1133" s="83"/>
      <c r="M1133" s="83"/>
      <c r="N1133" s="83"/>
      <c r="O1133" s="87">
        <f>VLOOKUP($B1133,BOM!$A$2:$K$94,10,0)</f>
        <v>0</v>
      </c>
      <c r="P1133" s="87">
        <f t="shared" si="64"/>
        <v>0</v>
      </c>
      <c r="Q1133" s="84">
        <f>VLOOKUP($B1133,BOM!$A$2:$K$94,9,0)</f>
        <v>0</v>
      </c>
    </row>
    <row r="1134" spans="1:17" s="45" customFormat="1">
      <c r="A1134" s="160"/>
      <c r="B1134" s="62" t="s">
        <v>46</v>
      </c>
      <c r="C1134" s="62" t="s">
        <v>47</v>
      </c>
      <c r="D1134" s="85" t="s">
        <v>14</v>
      </c>
      <c r="E1134" s="85">
        <f>E1131+1</f>
        <v>1</v>
      </c>
      <c r="F1134" s="62"/>
      <c r="G1134" s="62"/>
      <c r="H1134" s="62"/>
      <c r="I1134" s="62"/>
      <c r="J1134" s="62"/>
      <c r="K1134" s="62"/>
      <c r="L1134" s="62" t="s">
        <v>5</v>
      </c>
      <c r="M1134" s="86" t="s">
        <v>6</v>
      </c>
      <c r="N1134" s="86" t="s">
        <v>15</v>
      </c>
      <c r="O1134" s="87">
        <f>VLOOKUP($B1134,BOM!$A$2:$K$94,10,0)</f>
        <v>0</v>
      </c>
      <c r="P1134" s="87">
        <f t="shared" si="64"/>
        <v>0</v>
      </c>
      <c r="Q1134" s="87" t="str">
        <f>VLOOKUP($B1134,BOM!$A$2:$K$94,9,0)</f>
        <v>Sợi</v>
      </c>
    </row>
    <row r="1135" spans="1:17" s="45" customFormat="1">
      <c r="A1135" s="160"/>
      <c r="B1135" s="62" t="s">
        <v>46</v>
      </c>
      <c r="C1135" s="62" t="s">
        <v>47</v>
      </c>
      <c r="D1135" s="85" t="s">
        <v>14</v>
      </c>
      <c r="E1135" s="104">
        <v>50</v>
      </c>
      <c r="F1135" s="62"/>
      <c r="G1135" s="62"/>
      <c r="H1135" s="62"/>
      <c r="I1135" s="62"/>
      <c r="J1135" s="62"/>
      <c r="K1135" s="62" t="s">
        <v>4</v>
      </c>
      <c r="L1135" s="62" t="s">
        <v>5</v>
      </c>
      <c r="M1135" s="86" t="s">
        <v>6</v>
      </c>
      <c r="N1135" s="86" t="s">
        <v>15</v>
      </c>
      <c r="O1135" s="87">
        <f>VLOOKUP($B1135,BOM!$A$2:$K$94,10,0)</f>
        <v>0</v>
      </c>
      <c r="P1135" s="87">
        <f t="shared" si="64"/>
        <v>0</v>
      </c>
      <c r="Q1135" s="87" t="str">
        <f>VLOOKUP($B1135,BOM!$A$2:$K$94,9,0)</f>
        <v>Sợi</v>
      </c>
    </row>
    <row r="1136" spans="1:17">
      <c r="B1136" s="81"/>
      <c r="C1136" s="72" t="s">
        <v>50</v>
      </c>
      <c r="D1136" s="72"/>
      <c r="E1136" s="72"/>
      <c r="F1136" s="72"/>
      <c r="G1136" s="72"/>
      <c r="H1136" s="72"/>
      <c r="I1136" s="72"/>
      <c r="J1136" s="72"/>
      <c r="K1136" s="83"/>
      <c r="L1136" s="83"/>
      <c r="M1136" s="83"/>
      <c r="N1136" s="83"/>
      <c r="O1136" s="87">
        <f>VLOOKUP($B1136,BOM!$A$2:$K$94,10,0)</f>
        <v>0</v>
      </c>
      <c r="P1136" s="87">
        <f t="shared" si="64"/>
        <v>0</v>
      </c>
      <c r="Q1136" s="84">
        <f>VLOOKUP($B1136,BOM!$A$2:$K$94,9,0)</f>
        <v>0</v>
      </c>
    </row>
    <row r="1137" spans="1:17" s="45" customFormat="1">
      <c r="A1137" s="160"/>
      <c r="B1137" s="62" t="s">
        <v>332</v>
      </c>
      <c r="C1137" s="62" t="s">
        <v>332</v>
      </c>
      <c r="D1137" s="85" t="s">
        <v>51</v>
      </c>
      <c r="E1137" s="85">
        <f>E1121</f>
        <v>0</v>
      </c>
      <c r="F1137" s="62"/>
      <c r="G1137" s="62"/>
      <c r="H1137" s="62"/>
      <c r="I1137" s="62"/>
      <c r="J1137" s="62"/>
      <c r="K1137" s="62"/>
      <c r="L1137" s="62"/>
      <c r="M1137" s="86"/>
      <c r="N1137" s="86" t="s">
        <v>51</v>
      </c>
      <c r="O1137" s="87">
        <f>VLOOKUP($B1137,BOM!$A$2:$K$94,10,0)</f>
        <v>0</v>
      </c>
      <c r="P1137" s="87">
        <f t="shared" si="64"/>
        <v>0</v>
      </c>
      <c r="Q1137" s="87" t="str">
        <f>VLOOKUP($B1137,BOM!$A$2:$K$94,9,0)</f>
        <v>bộ</v>
      </c>
    </row>
    <row r="1138" spans="1:17" s="45" customFormat="1">
      <c r="A1138" s="160"/>
      <c r="B1138" s="62" t="s">
        <v>52</v>
      </c>
      <c r="C1138" s="62" t="s">
        <v>53</v>
      </c>
      <c r="D1138" s="86" t="s">
        <v>54</v>
      </c>
      <c r="E1138" s="105">
        <f>E1131+G1126</f>
        <v>0</v>
      </c>
      <c r="F1138" s="62"/>
      <c r="G1138" s="62"/>
      <c r="H1138" s="62"/>
      <c r="I1138" s="62"/>
      <c r="J1138" s="62"/>
      <c r="K1138" s="62"/>
      <c r="L1138" s="62"/>
      <c r="M1138" s="86" t="s">
        <v>55</v>
      </c>
      <c r="N1138" s="86" t="s">
        <v>54</v>
      </c>
      <c r="O1138" s="87">
        <f>VLOOKUP($B1138,BOM!$A$2:$K$94,10,0)</f>
        <v>0</v>
      </c>
      <c r="P1138" s="87">
        <f t="shared" si="64"/>
        <v>0</v>
      </c>
      <c r="Q1138" s="87" t="str">
        <f>VLOOKUP($B1138,BOM!$A$2:$K$94,9,0)</f>
        <v>node</v>
      </c>
    </row>
    <row r="1139" spans="1:17" s="45" customFormat="1">
      <c r="A1139" s="160"/>
      <c r="B1139" s="62" t="s">
        <v>56</v>
      </c>
      <c r="C1139" s="62" t="s">
        <v>57</v>
      </c>
      <c r="D1139" s="86" t="s">
        <v>14</v>
      </c>
      <c r="E1139" s="105">
        <f>E1111+E1115</f>
        <v>120</v>
      </c>
      <c r="F1139" s="62"/>
      <c r="G1139" s="62"/>
      <c r="H1139" s="62"/>
      <c r="I1139" s="62"/>
      <c r="J1139" s="62"/>
      <c r="K1139" s="62"/>
      <c r="L1139" s="62"/>
      <c r="M1139" s="86" t="s">
        <v>55</v>
      </c>
      <c r="N1139" s="86" t="s">
        <v>14</v>
      </c>
      <c r="O1139" s="87">
        <f>VLOOKUP($B1139,BOM!$A$2:$K$94,10,0)</f>
        <v>0</v>
      </c>
      <c r="P1139" s="87">
        <f t="shared" si="64"/>
        <v>0</v>
      </c>
      <c r="Q1139" s="87" t="str">
        <f>VLOOKUP($B1139,BOM!$A$2:$K$94,9,0)</f>
        <v>sợi</v>
      </c>
    </row>
    <row r="1140" spans="1:17" s="45" customFormat="1">
      <c r="A1140" s="160"/>
      <c r="B1140" s="62" t="s">
        <v>58</v>
      </c>
      <c r="C1140" s="62" t="s">
        <v>59</v>
      </c>
      <c r="D1140" s="86" t="s">
        <v>60</v>
      </c>
      <c r="E1140" s="105">
        <f>E1139*2</f>
        <v>240</v>
      </c>
      <c r="F1140" s="62"/>
      <c r="G1140" s="62"/>
      <c r="H1140" s="62"/>
      <c r="I1140" s="62"/>
      <c r="J1140" s="62"/>
      <c r="K1140" s="62"/>
      <c r="L1140" s="62"/>
      <c r="M1140" s="86" t="s">
        <v>61</v>
      </c>
      <c r="N1140" s="86" t="s">
        <v>60</v>
      </c>
      <c r="O1140" s="87">
        <f>VLOOKUP($B1140,BOM!$A$2:$K$94,10,0)</f>
        <v>0</v>
      </c>
      <c r="P1140" s="87">
        <f t="shared" si="64"/>
        <v>0</v>
      </c>
      <c r="Q1140" s="87" t="str">
        <f>VLOOKUP($B1140,BOM!$A$2:$K$94,9,0)</f>
        <v>đầu</v>
      </c>
    </row>
    <row r="1141" spans="1:17" s="45" customFormat="1">
      <c r="A1141" s="160"/>
      <c r="B1141" s="62" t="s">
        <v>62</v>
      </c>
      <c r="C1141" s="62" t="s">
        <v>63</v>
      </c>
      <c r="D1141" s="86" t="s">
        <v>64</v>
      </c>
      <c r="E1141" s="105">
        <f>E1117</f>
        <v>2</v>
      </c>
      <c r="F1141" s="62"/>
      <c r="G1141" s="62"/>
      <c r="H1141" s="62"/>
      <c r="I1141" s="62"/>
      <c r="J1141" s="62"/>
      <c r="K1141" s="62"/>
      <c r="L1141" s="62"/>
      <c r="M1141" s="86" t="s">
        <v>61</v>
      </c>
      <c r="N1141" s="86" t="s">
        <v>64</v>
      </c>
      <c r="O1141" s="87">
        <f>VLOOKUP($B1141,BOM!$A$2:$K$94,10,0)</f>
        <v>0</v>
      </c>
      <c r="P1141" s="87">
        <f t="shared" si="64"/>
        <v>0</v>
      </c>
      <c r="Q1141" s="87" t="str">
        <f>VLOOKUP($B1141,BOM!$A$2:$K$94,9,0)</f>
        <v>cái</v>
      </c>
    </row>
    <row r="1142" spans="1:17">
      <c r="A1142" s="36">
        <v>24</v>
      </c>
      <c r="B1142" s="164"/>
      <c r="C1142" s="37" t="s">
        <v>103</v>
      </c>
      <c r="D1142" s="38" t="s">
        <v>104</v>
      </c>
      <c r="E1142" s="36">
        <v>39</v>
      </c>
      <c r="F1142" s="36"/>
      <c r="G1142" s="36"/>
      <c r="H1142" s="36"/>
      <c r="I1142" s="38"/>
      <c r="J1142" s="39"/>
      <c r="K1142" s="39"/>
      <c r="L1142" s="39"/>
      <c r="M1142" s="39"/>
      <c r="N1142" s="39"/>
      <c r="O1142" s="87">
        <f>VLOOKUP($B1142,BOM!$A$2:$K$94,10,0)</f>
        <v>0</v>
      </c>
      <c r="P1142" s="87">
        <f t="shared" si="64"/>
        <v>0</v>
      </c>
      <c r="Q1142" s="40">
        <f>VLOOKUP($B1142,BOM!$A$2:$K$94,9,0)</f>
        <v>0</v>
      </c>
    </row>
    <row r="1143" spans="1:17" ht="75">
      <c r="A1143" s="65"/>
      <c r="B1143" s="65" t="s">
        <v>177</v>
      </c>
      <c r="C1143" s="188" t="s">
        <v>326</v>
      </c>
      <c r="D1143" s="63" t="s">
        <v>159</v>
      </c>
      <c r="E1143" s="165">
        <v>39</v>
      </c>
      <c r="F1143" s="63"/>
      <c r="G1143" s="63"/>
      <c r="H1143" s="63"/>
      <c r="I1143" s="63"/>
      <c r="J1143" s="63"/>
      <c r="K1143" s="63" t="s">
        <v>143</v>
      </c>
      <c r="L1143" s="63" t="s">
        <v>151</v>
      </c>
      <c r="M1143" s="63" t="s">
        <v>154</v>
      </c>
      <c r="N1143" s="63" t="s">
        <v>159</v>
      </c>
      <c r="O1143" s="87">
        <f>VLOOKUP($B1143,BOM!$A$2:$K$94,10,0)</f>
        <v>0</v>
      </c>
      <c r="P1143" s="87">
        <f t="shared" si="64"/>
        <v>0</v>
      </c>
      <c r="Q1143" s="80" t="str">
        <f>VLOOKUP($B1143,BOM!$A$2:$K$94,9,0)</f>
        <v>Bộ</v>
      </c>
    </row>
    <row r="1144" spans="1:17">
      <c r="A1144" s="36">
        <v>25</v>
      </c>
      <c r="B1144" s="164"/>
      <c r="C1144" s="37" t="s">
        <v>105</v>
      </c>
      <c r="D1144" s="38" t="s">
        <v>104</v>
      </c>
      <c r="E1144" s="36">
        <v>54</v>
      </c>
      <c r="F1144" s="36"/>
      <c r="G1144" s="36"/>
      <c r="H1144" s="36"/>
      <c r="I1144" s="38"/>
      <c r="J1144" s="39"/>
      <c r="K1144" s="39"/>
      <c r="L1144" s="39"/>
      <c r="M1144" s="39"/>
      <c r="N1144" s="39"/>
      <c r="O1144" s="87">
        <f>VLOOKUP($B1144,BOM!$A$2:$K$94,10,0)</f>
        <v>0</v>
      </c>
      <c r="P1144" s="87">
        <f t="shared" si="64"/>
        <v>0</v>
      </c>
      <c r="Q1144" s="40">
        <f>VLOOKUP($B1144,BOM!$A$2:$K$94,9,0)</f>
        <v>0</v>
      </c>
    </row>
    <row r="1145" spans="1:17" ht="60">
      <c r="A1145" s="65"/>
      <c r="B1145" s="65" t="s">
        <v>178</v>
      </c>
      <c r="C1145" s="187" t="s">
        <v>327</v>
      </c>
      <c r="D1145" s="63" t="s">
        <v>159</v>
      </c>
      <c r="E1145" s="165">
        <v>54</v>
      </c>
      <c r="F1145" s="63"/>
      <c r="G1145" s="63"/>
      <c r="H1145" s="63"/>
      <c r="I1145" s="63"/>
      <c r="J1145" s="63"/>
      <c r="K1145" s="63" t="s">
        <v>143</v>
      </c>
      <c r="L1145" s="63" t="s">
        <v>151</v>
      </c>
      <c r="M1145" s="63" t="s">
        <v>154</v>
      </c>
      <c r="N1145" s="63" t="s">
        <v>159</v>
      </c>
      <c r="O1145" s="87">
        <f>VLOOKUP($B1145,BOM!$A$2:$K$94,10,0)</f>
        <v>0</v>
      </c>
      <c r="P1145" s="87">
        <f t="shared" si="64"/>
        <v>0</v>
      </c>
      <c r="Q1145" s="80" t="str">
        <f>VLOOKUP($B1145,BOM!$A$2:$K$94,9,0)</f>
        <v>Bộ</v>
      </c>
    </row>
    <row r="1146" spans="1:17">
      <c r="A1146" s="36">
        <v>27</v>
      </c>
      <c r="B1146" s="164"/>
      <c r="C1146" s="37" t="s">
        <v>106</v>
      </c>
      <c r="D1146" s="38" t="s">
        <v>107</v>
      </c>
      <c r="E1146" s="36">
        <v>1</v>
      </c>
      <c r="F1146" s="36"/>
      <c r="G1146" s="36"/>
      <c r="H1146" s="36"/>
      <c r="I1146" s="38"/>
      <c r="J1146" s="39"/>
      <c r="K1146" s="39"/>
      <c r="L1146" s="39"/>
      <c r="M1146" s="39"/>
      <c r="N1146" s="39"/>
      <c r="O1146" s="87">
        <f>VLOOKUP($B1146,BOM!$A$2:$K$94,10,0)</f>
        <v>0</v>
      </c>
      <c r="P1146" s="87">
        <f t="shared" si="64"/>
        <v>0</v>
      </c>
      <c r="Q1146" s="40">
        <f>VLOOKUP($B1146,BOM!$A$2:$K$94,9,0)</f>
        <v>0</v>
      </c>
    </row>
    <row r="1147" spans="1:17">
      <c r="A1147" s="65"/>
      <c r="B1147" s="65" t="s">
        <v>181</v>
      </c>
      <c r="C1147" s="63" t="s">
        <v>179</v>
      </c>
      <c r="D1147" s="63" t="s">
        <v>107</v>
      </c>
      <c r="E1147" s="90">
        <v>1</v>
      </c>
      <c r="F1147" s="63"/>
      <c r="G1147" s="63"/>
      <c r="H1147" s="63"/>
      <c r="I1147" s="63"/>
      <c r="J1147" s="63"/>
      <c r="K1147" s="63"/>
      <c r="L1147" s="63"/>
      <c r="M1147" s="63"/>
      <c r="N1147" s="63" t="s">
        <v>114</v>
      </c>
      <c r="O1147" s="87">
        <f>VLOOKUP($B1147,BOM!$A$2:$K$94,10,0)</f>
        <v>0</v>
      </c>
      <c r="P1147" s="87">
        <f t="shared" si="64"/>
        <v>0</v>
      </c>
      <c r="Q1147" s="80">
        <f>VLOOKUP($B1147,BOM!$A$2:$K$94,9,0)</f>
        <v>0</v>
      </c>
    </row>
    <row r="1148" spans="1:17">
      <c r="A1148" s="65"/>
      <c r="B1148" s="65" t="s">
        <v>182</v>
      </c>
      <c r="C1148" s="63" t="s">
        <v>180</v>
      </c>
      <c r="D1148" s="63" t="s">
        <v>107</v>
      </c>
      <c r="E1148" s="90">
        <v>1</v>
      </c>
      <c r="F1148" s="63"/>
      <c r="G1148" s="63"/>
      <c r="H1148" s="63"/>
      <c r="I1148" s="63"/>
      <c r="J1148" s="63"/>
      <c r="K1148" s="63"/>
      <c r="L1148" s="63"/>
      <c r="M1148" s="63"/>
      <c r="N1148" s="63" t="s">
        <v>114</v>
      </c>
      <c r="O1148" s="87">
        <f>VLOOKUP($B1148,BOM!$A$2:$K$94,10,0)</f>
        <v>0</v>
      </c>
      <c r="P1148" s="87">
        <f t="shared" si="64"/>
        <v>0</v>
      </c>
      <c r="Q1148" s="80">
        <f>VLOOKUP($B1148,BOM!$A$2:$K$94,9,0)</f>
        <v>0</v>
      </c>
    </row>
    <row r="1149" spans="1:17">
      <c r="A1149" s="36">
        <v>28</v>
      </c>
      <c r="B1149" s="164"/>
      <c r="C1149" s="37" t="s">
        <v>108</v>
      </c>
      <c r="D1149" s="38" t="s">
        <v>0</v>
      </c>
      <c r="E1149" s="36">
        <v>30</v>
      </c>
      <c r="F1149" s="36"/>
      <c r="G1149" s="36"/>
      <c r="H1149" s="36"/>
      <c r="I1149" s="38"/>
      <c r="J1149" s="39"/>
      <c r="K1149" s="39"/>
      <c r="L1149" s="39"/>
      <c r="M1149" s="39"/>
      <c r="N1149" s="39"/>
      <c r="O1149" s="87">
        <f>VLOOKUP($B1149,BOM!$A$2:$K$94,10,0)</f>
        <v>0</v>
      </c>
      <c r="P1149" s="87">
        <f t="shared" si="64"/>
        <v>0</v>
      </c>
      <c r="Q1149" s="40">
        <f>VLOOKUP($B1149,BOM!$A$2:$K$94,9,0)</f>
        <v>0</v>
      </c>
    </row>
    <row r="1150" spans="1:17">
      <c r="A1150" s="36">
        <v>29</v>
      </c>
      <c r="B1150" s="164"/>
      <c r="C1150" s="37" t="s">
        <v>109</v>
      </c>
      <c r="D1150" s="38" t="s">
        <v>0</v>
      </c>
      <c r="E1150" s="36">
        <v>105</v>
      </c>
      <c r="F1150" s="36"/>
      <c r="G1150" s="36"/>
      <c r="H1150" s="36"/>
      <c r="I1150" s="38"/>
      <c r="J1150" s="39"/>
      <c r="K1150" s="39"/>
      <c r="L1150" s="39"/>
      <c r="M1150" s="39"/>
      <c r="N1150" s="39"/>
      <c r="O1150" s="87">
        <f>VLOOKUP($B1150,BOM!$A$2:$K$94,10,0)</f>
        <v>0</v>
      </c>
      <c r="P1150" s="87">
        <f t="shared" si="64"/>
        <v>0</v>
      </c>
      <c r="Q1150" s="40">
        <f>VLOOKUP($B1150,BOM!$A$2:$K$94,9,0)</f>
        <v>0</v>
      </c>
    </row>
    <row r="1151" spans="1:17">
      <c r="B1151" s="65">
        <v>760249003</v>
      </c>
      <c r="C1151" s="63" t="s">
        <v>110</v>
      </c>
      <c r="D1151" s="63"/>
      <c r="E1151" s="90">
        <v>1</v>
      </c>
      <c r="F1151" s="63"/>
      <c r="G1151" s="63"/>
      <c r="H1151" s="63"/>
      <c r="I1151" s="63"/>
      <c r="J1151" s="63"/>
      <c r="K1151" s="63"/>
      <c r="L1151" s="63" t="s">
        <v>5</v>
      </c>
      <c r="M1151" s="63" t="s">
        <v>6</v>
      </c>
      <c r="N1151" s="63" t="s">
        <v>3</v>
      </c>
      <c r="O1151" s="87">
        <f>VLOOKUP($B1151,BOM!$A$2:$K$94,10,0)</f>
        <v>0</v>
      </c>
      <c r="P1151" s="87">
        <f t="shared" si="64"/>
        <v>0</v>
      </c>
      <c r="Q1151" s="80" t="str">
        <f>VLOOKUP($B1151,BOM!$A$2:$K$94,9,0)</f>
        <v>Cái</v>
      </c>
    </row>
    <row r="1152" spans="1:17">
      <c r="B1152" s="81"/>
      <c r="C1152" s="72" t="s">
        <v>261</v>
      </c>
      <c r="D1152" s="72"/>
      <c r="E1152" s="72">
        <v>10</v>
      </c>
      <c r="F1152" s="72"/>
      <c r="G1152" s="72"/>
      <c r="H1152" s="72"/>
      <c r="I1152" s="72"/>
      <c r="J1152" s="72"/>
      <c r="K1152" s="83"/>
      <c r="L1152" s="83"/>
      <c r="M1152" s="83"/>
      <c r="N1152" s="83"/>
      <c r="O1152" s="87">
        <f>VLOOKUP($B1152,BOM!$A$2:$K$94,10,0)</f>
        <v>0</v>
      </c>
      <c r="P1152" s="87">
        <f t="shared" si="64"/>
        <v>0</v>
      </c>
      <c r="Q1152" s="84">
        <f>VLOOKUP($B1152,BOM!$A$2:$K$94,9,0)</f>
        <v>0</v>
      </c>
    </row>
    <row r="1153" spans="1:17">
      <c r="A1153" s="15">
        <v>1</v>
      </c>
      <c r="B1153" s="65" t="s">
        <v>337</v>
      </c>
      <c r="C1153" s="63" t="s">
        <v>338</v>
      </c>
      <c r="D1153" s="63" t="s">
        <v>3</v>
      </c>
      <c r="E1153" s="90">
        <v>10</v>
      </c>
      <c r="F1153" s="63"/>
      <c r="G1153" s="63"/>
      <c r="H1153" s="63"/>
      <c r="I1153" s="63"/>
      <c r="J1153" s="63"/>
      <c r="K1153" s="63" t="s">
        <v>37</v>
      </c>
      <c r="L1153" s="63" t="s">
        <v>242</v>
      </c>
      <c r="M1153" s="63" t="s">
        <v>205</v>
      </c>
      <c r="N1153" s="63" t="s">
        <v>3</v>
      </c>
      <c r="O1153" s="87">
        <f>VLOOKUP($B1153,BOM!$A$2:$K$94,10,0)</f>
        <v>0</v>
      </c>
      <c r="P1153" s="87">
        <f t="shared" si="64"/>
        <v>0</v>
      </c>
      <c r="Q1153" s="80"/>
    </row>
    <row r="1154" spans="1:17">
      <c r="A1154" s="15">
        <v>2</v>
      </c>
      <c r="B1154" s="65" t="s">
        <v>243</v>
      </c>
      <c r="C1154" s="63" t="s">
        <v>244</v>
      </c>
      <c r="D1154" s="63" t="s">
        <v>3</v>
      </c>
      <c r="E1154" s="90">
        <v>10</v>
      </c>
      <c r="F1154" s="63"/>
      <c r="G1154" s="63"/>
      <c r="H1154" s="63"/>
      <c r="I1154" s="63"/>
      <c r="J1154" s="63"/>
      <c r="K1154" s="63" t="s">
        <v>4</v>
      </c>
      <c r="L1154" s="63" t="s">
        <v>245</v>
      </c>
      <c r="M1154" s="63" t="s">
        <v>246</v>
      </c>
      <c r="N1154" s="63" t="s">
        <v>3</v>
      </c>
      <c r="O1154" s="87">
        <f>VLOOKUP($B1154,BOM!$A$2:$K$94,10,0)</f>
        <v>0</v>
      </c>
      <c r="P1154" s="87">
        <f t="shared" si="64"/>
        <v>0</v>
      </c>
      <c r="Q1154" s="80"/>
    </row>
    <row r="1155" spans="1:17">
      <c r="A1155" s="15">
        <v>3</v>
      </c>
      <c r="B1155" s="65" t="s">
        <v>247</v>
      </c>
      <c r="C1155" s="63" t="s">
        <v>248</v>
      </c>
      <c r="D1155" s="63" t="s">
        <v>3</v>
      </c>
      <c r="E1155" s="90">
        <v>20</v>
      </c>
      <c r="F1155" s="63"/>
      <c r="G1155" s="63"/>
      <c r="H1155" s="63"/>
      <c r="I1155" s="63"/>
      <c r="J1155" s="63"/>
      <c r="K1155" s="63" t="s">
        <v>4</v>
      </c>
      <c r="L1155" s="63" t="s">
        <v>245</v>
      </c>
      <c r="M1155" s="63" t="s">
        <v>246</v>
      </c>
      <c r="N1155" s="63" t="s">
        <v>3</v>
      </c>
      <c r="O1155" s="87">
        <f>VLOOKUP($B1155,BOM!$A$2:$K$94,10,0)</f>
        <v>0</v>
      </c>
      <c r="P1155" s="87">
        <f t="shared" si="64"/>
        <v>0</v>
      </c>
      <c r="Q1155" s="80"/>
    </row>
    <row r="1156" spans="1:17">
      <c r="A1156" s="15">
        <v>4</v>
      </c>
      <c r="B1156" s="65" t="s">
        <v>249</v>
      </c>
      <c r="C1156" s="63" t="s">
        <v>250</v>
      </c>
      <c r="D1156" s="63" t="s">
        <v>15</v>
      </c>
      <c r="E1156" s="90">
        <v>10</v>
      </c>
      <c r="F1156" s="63"/>
      <c r="G1156" s="63"/>
      <c r="H1156" s="63"/>
      <c r="I1156" s="63"/>
      <c r="J1156" s="63"/>
      <c r="K1156" s="63" t="s">
        <v>4</v>
      </c>
      <c r="L1156" s="63" t="s">
        <v>251</v>
      </c>
      <c r="M1156" s="63" t="s">
        <v>246</v>
      </c>
      <c r="N1156" s="63" t="s">
        <v>15</v>
      </c>
      <c r="O1156" s="87">
        <f>VLOOKUP($B1156,BOM!$A$2:$K$94,10,0)</f>
        <v>0</v>
      </c>
      <c r="P1156" s="87">
        <f t="shared" si="64"/>
        <v>0</v>
      </c>
      <c r="Q1156" s="80"/>
    </row>
    <row r="1157" spans="1:17">
      <c r="A1157" s="15">
        <v>5</v>
      </c>
      <c r="B1157" s="62" t="s">
        <v>12</v>
      </c>
      <c r="C1157" s="63" t="s">
        <v>252</v>
      </c>
      <c r="D1157" s="63" t="s">
        <v>15</v>
      </c>
      <c r="E1157" s="90">
        <v>20</v>
      </c>
      <c r="F1157" s="63"/>
      <c r="G1157" s="63"/>
      <c r="H1157" s="63"/>
      <c r="I1157" s="63"/>
      <c r="J1157" s="63"/>
      <c r="K1157" s="63" t="s">
        <v>4</v>
      </c>
      <c r="L1157" s="63" t="s">
        <v>251</v>
      </c>
      <c r="M1157" s="63" t="s">
        <v>246</v>
      </c>
      <c r="N1157" s="63" t="s">
        <v>15</v>
      </c>
      <c r="O1157" s="87">
        <f>VLOOKUP($B1157,BOM!$A$2:$K$94,10,0)</f>
        <v>0</v>
      </c>
      <c r="P1157" s="87">
        <f t="shared" si="64"/>
        <v>0</v>
      </c>
      <c r="Q1157" s="80"/>
    </row>
    <row r="1158" spans="1:17">
      <c r="A1158" s="15">
        <v>6</v>
      </c>
      <c r="B1158" s="5" t="s">
        <v>218</v>
      </c>
      <c r="C1158" s="5" t="s">
        <v>219</v>
      </c>
      <c r="D1158" s="63" t="s">
        <v>3</v>
      </c>
      <c r="E1158" s="90">
        <v>10</v>
      </c>
      <c r="F1158" s="63"/>
      <c r="G1158" s="63"/>
      <c r="H1158" s="63"/>
      <c r="I1158" s="63"/>
      <c r="J1158" s="63"/>
      <c r="K1158" s="63" t="s">
        <v>4</v>
      </c>
      <c r="L1158" s="63" t="s">
        <v>251</v>
      </c>
      <c r="M1158" s="63"/>
      <c r="N1158" s="63" t="s">
        <v>3</v>
      </c>
      <c r="O1158" s="87">
        <f>VLOOKUP($B1158,BOM!$A$2:$K$94,10,0)</f>
        <v>0</v>
      </c>
      <c r="P1158" s="87">
        <f t="shared" si="64"/>
        <v>0</v>
      </c>
      <c r="Q1158" s="80"/>
    </row>
    <row r="1159" spans="1:17">
      <c r="A1159" s="15">
        <v>7</v>
      </c>
      <c r="B1159" s="65" t="s">
        <v>255</v>
      </c>
      <c r="C1159" s="63" t="s">
        <v>256</v>
      </c>
      <c r="D1159" s="63" t="s">
        <v>3</v>
      </c>
      <c r="E1159" s="90">
        <v>20</v>
      </c>
      <c r="F1159" s="63"/>
      <c r="G1159" s="63"/>
      <c r="H1159" s="63"/>
      <c r="I1159" s="63"/>
      <c r="J1159" s="63"/>
      <c r="K1159" s="63" t="s">
        <v>4</v>
      </c>
      <c r="L1159" s="63" t="s">
        <v>251</v>
      </c>
      <c r="M1159" s="63"/>
      <c r="N1159" s="63" t="s">
        <v>3</v>
      </c>
      <c r="O1159" s="87">
        <f>VLOOKUP($B1159,BOM!$A$2:$K$94,10,0)</f>
        <v>0</v>
      </c>
      <c r="P1159" s="87">
        <f t="shared" si="64"/>
        <v>0</v>
      </c>
      <c r="Q1159" s="80"/>
    </row>
    <row r="1160" spans="1:17">
      <c r="A1160" s="15">
        <v>8</v>
      </c>
      <c r="B1160" s="65" t="s">
        <v>41</v>
      </c>
      <c r="C1160" s="63" t="s">
        <v>42</v>
      </c>
      <c r="D1160" s="63" t="s">
        <v>3</v>
      </c>
      <c r="E1160" s="90">
        <v>20</v>
      </c>
      <c r="F1160" s="63"/>
      <c r="G1160" s="63"/>
      <c r="H1160" s="63"/>
      <c r="I1160" s="63"/>
      <c r="J1160" s="63"/>
      <c r="K1160" s="63" t="s">
        <v>4</v>
      </c>
      <c r="L1160" s="63" t="s">
        <v>251</v>
      </c>
      <c r="M1160" s="63" t="s">
        <v>246</v>
      </c>
      <c r="N1160" s="63" t="s">
        <v>3</v>
      </c>
      <c r="O1160" s="87">
        <f>VLOOKUP($B1160,BOM!$A$2:$K$94,10,0)</f>
        <v>0</v>
      </c>
      <c r="P1160" s="87">
        <f t="shared" si="64"/>
        <v>0</v>
      </c>
      <c r="Q1160" s="80"/>
    </row>
    <row r="1161" spans="1:17">
      <c r="A1161" s="15">
        <v>9</v>
      </c>
      <c r="B1161" s="65" t="s">
        <v>43</v>
      </c>
      <c r="C1161" s="63" t="s">
        <v>44</v>
      </c>
      <c r="D1161" s="63" t="s">
        <v>3</v>
      </c>
      <c r="E1161" s="90">
        <v>20</v>
      </c>
      <c r="F1161" s="63"/>
      <c r="G1161" s="63"/>
      <c r="H1161" s="63"/>
      <c r="I1161" s="63"/>
      <c r="J1161" s="63"/>
      <c r="K1161" s="63" t="s">
        <v>4</v>
      </c>
      <c r="L1161" s="63" t="s">
        <v>251</v>
      </c>
      <c r="M1161" s="63" t="s">
        <v>246</v>
      </c>
      <c r="N1161" s="63" t="s">
        <v>3</v>
      </c>
      <c r="O1161" s="87">
        <f>VLOOKUP($B1161,BOM!$A$2:$K$94,10,0)</f>
        <v>0</v>
      </c>
      <c r="P1161" s="87">
        <f t="shared" si="64"/>
        <v>0</v>
      </c>
      <c r="Q1161" s="80"/>
    </row>
    <row r="1162" spans="1:17">
      <c r="A1162" s="15">
        <v>10</v>
      </c>
      <c r="B1162" s="65" t="s">
        <v>257</v>
      </c>
      <c r="C1162" s="63" t="s">
        <v>258</v>
      </c>
      <c r="D1162" s="63" t="s">
        <v>3</v>
      </c>
      <c r="E1162" s="90">
        <v>0</v>
      </c>
      <c r="F1162" s="63"/>
      <c r="G1162" s="63"/>
      <c r="H1162" s="63"/>
      <c r="I1162" s="63"/>
      <c r="J1162" s="63"/>
      <c r="K1162" s="63" t="s">
        <v>4</v>
      </c>
      <c r="L1162" s="63" t="s">
        <v>251</v>
      </c>
      <c r="M1162" s="63" t="s">
        <v>246</v>
      </c>
      <c r="N1162" s="63" t="s">
        <v>3</v>
      </c>
      <c r="O1162" s="87">
        <f>VLOOKUP($B1162,BOM!$A$2:$K$94,10,0)</f>
        <v>0</v>
      </c>
      <c r="P1162" s="87">
        <f t="shared" ref="P1162:P1167" si="66">O1162*E1162</f>
        <v>0</v>
      </c>
      <c r="Q1162" s="80"/>
    </row>
    <row r="1163" spans="1:17">
      <c r="A1163" s="15">
        <v>11</v>
      </c>
      <c r="B1163" s="65" t="s">
        <v>52</v>
      </c>
      <c r="C1163" s="63" t="s">
        <v>53</v>
      </c>
      <c r="D1163" s="63" t="s">
        <v>259</v>
      </c>
      <c r="E1163" s="90">
        <v>10</v>
      </c>
      <c r="F1163" s="63"/>
      <c r="G1163" s="63"/>
      <c r="H1163" s="63"/>
      <c r="I1163" s="63"/>
      <c r="J1163" s="63"/>
      <c r="K1163" s="63"/>
      <c r="L1163" s="63"/>
      <c r="M1163" s="63" t="s">
        <v>61</v>
      </c>
      <c r="N1163" s="63" t="s">
        <v>259</v>
      </c>
      <c r="O1163" s="87">
        <f>VLOOKUP($B1163,BOM!$A$2:$K$94,10,0)</f>
        <v>0</v>
      </c>
      <c r="P1163" s="87">
        <f t="shared" si="66"/>
        <v>0</v>
      </c>
      <c r="Q1163" s="80"/>
    </row>
    <row r="1164" spans="1:17">
      <c r="A1164" s="15">
        <v>12</v>
      </c>
      <c r="B1164" s="65" t="s">
        <v>58</v>
      </c>
      <c r="C1164" s="63" t="s">
        <v>59</v>
      </c>
      <c r="D1164" s="63" t="s">
        <v>260</v>
      </c>
      <c r="E1164" s="90">
        <v>40</v>
      </c>
      <c r="F1164" s="63"/>
      <c r="G1164" s="63"/>
      <c r="H1164" s="63"/>
      <c r="I1164" s="63"/>
      <c r="J1164" s="63"/>
      <c r="K1164" s="63"/>
      <c r="L1164" s="63"/>
      <c r="M1164" s="63" t="s">
        <v>61</v>
      </c>
      <c r="N1164" s="63" t="s">
        <v>260</v>
      </c>
      <c r="O1164" s="87">
        <f>VLOOKUP($B1164,BOM!$A$2:$K$94,10,0)</f>
        <v>0</v>
      </c>
      <c r="P1164" s="87">
        <f t="shared" si="66"/>
        <v>0</v>
      </c>
      <c r="Q1164" s="80"/>
    </row>
    <row r="1165" spans="1:17">
      <c r="A1165" s="15">
        <v>13</v>
      </c>
      <c r="B1165" s="65" t="s">
        <v>340</v>
      </c>
      <c r="C1165" s="63" t="s">
        <v>340</v>
      </c>
      <c r="D1165" s="63" t="s">
        <v>64</v>
      </c>
      <c r="E1165" s="90">
        <v>10</v>
      </c>
      <c r="F1165" s="63"/>
      <c r="G1165" s="63"/>
      <c r="H1165" s="63"/>
      <c r="I1165" s="63"/>
      <c r="J1165" s="63"/>
      <c r="K1165" s="63"/>
      <c r="L1165" s="63"/>
      <c r="M1165" s="63" t="s">
        <v>61</v>
      </c>
      <c r="N1165" s="63" t="s">
        <v>64</v>
      </c>
      <c r="O1165" s="87">
        <f>VLOOKUP($B1165,BOM!$A$2:$K$94,10,0)</f>
        <v>0</v>
      </c>
      <c r="P1165" s="87">
        <f t="shared" si="66"/>
        <v>0</v>
      </c>
      <c r="Q1165" s="80"/>
    </row>
    <row r="1166" spans="1:17" s="19" customFormat="1" ht="30">
      <c r="A1166" s="159"/>
      <c r="B1166" s="21" t="s">
        <v>334</v>
      </c>
      <c r="C1166" s="21" t="s">
        <v>334</v>
      </c>
      <c r="D1166" s="21" t="s">
        <v>112</v>
      </c>
      <c r="E1166" s="22">
        <v>50</v>
      </c>
      <c r="F1166" s="21"/>
      <c r="G1166" s="21"/>
      <c r="H1166" s="21"/>
      <c r="I1166" s="21"/>
      <c r="J1166" s="21"/>
      <c r="K1166" s="21"/>
      <c r="L1166" s="21"/>
      <c r="M1166" s="22" t="s">
        <v>111</v>
      </c>
      <c r="N1166" s="22" t="s">
        <v>112</v>
      </c>
      <c r="O1166" s="87">
        <f>VLOOKUP($B1166,BOM!$A$2:$K$94,10,0)</f>
        <v>0</v>
      </c>
      <c r="P1166" s="87">
        <f t="shared" si="66"/>
        <v>0</v>
      </c>
      <c r="Q1166" s="142" t="str">
        <f>VLOOKUP($B1166,BOM!$A$2:$K$94,9,0)</f>
        <v>cuộn</v>
      </c>
    </row>
    <row r="1167" spans="1:17" s="19" customFormat="1">
      <c r="A1167" s="159"/>
      <c r="B1167" s="21" t="s">
        <v>336</v>
      </c>
      <c r="C1167" s="21" t="s">
        <v>336</v>
      </c>
      <c r="D1167" s="21" t="s">
        <v>114</v>
      </c>
      <c r="E1167" s="22">
        <v>1</v>
      </c>
      <c r="F1167" s="21"/>
      <c r="G1167" s="21"/>
      <c r="H1167" s="21"/>
      <c r="I1167" s="21"/>
      <c r="J1167" s="21"/>
      <c r="K1167" s="21"/>
      <c r="L1167" s="21"/>
      <c r="M1167" s="22" t="s">
        <v>113</v>
      </c>
      <c r="N1167" s="22" t="s">
        <v>114</v>
      </c>
      <c r="O1167" s="87">
        <f>VLOOKUP($B1167,BOM!$A$2:$K$94,10,0)</f>
        <v>0</v>
      </c>
      <c r="P1167" s="87">
        <f t="shared" si="66"/>
        <v>0</v>
      </c>
      <c r="Q1167" s="142" t="str">
        <f>VLOOKUP($B1167,BOM!$A$2:$K$94,9,0)</f>
        <v>gói</v>
      </c>
    </row>
    <row r="1168" spans="1:17">
      <c r="B1168" s="23"/>
      <c r="O1168" s="18"/>
      <c r="P1168" s="18"/>
      <c r="Q1168" s="18"/>
    </row>
    <row r="1169" spans="2:17">
      <c r="B1169" s="23"/>
      <c r="O1169" s="18"/>
      <c r="P1169" s="18" t="e">
        <f>SUM(P5:P1168)</f>
        <v>#N/A</v>
      </c>
      <c r="Q1169" s="18"/>
    </row>
    <row r="1170" spans="2:17">
      <c r="B1170" s="23"/>
      <c r="O1170" s="18"/>
      <c r="P1170" s="18"/>
      <c r="Q1170" s="18"/>
    </row>
    <row r="1171" spans="2:17">
      <c r="B1171" s="23"/>
      <c r="O1171" s="18"/>
      <c r="P1171" s="18"/>
      <c r="Q1171" s="18"/>
    </row>
    <row r="1172" spans="2:17">
      <c r="B1172" s="23"/>
      <c r="O1172" s="18"/>
      <c r="P1172" s="18"/>
      <c r="Q1172" s="18"/>
    </row>
  </sheetData>
  <autoFilter ref="C1:C1172" xr:uid="{7BAEE39E-25DB-4559-915C-A10AD150BA1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C10EC-3606-4B97-B2CD-87D4912546F7}">
  <sheetPr>
    <pageSetUpPr fitToPage="1"/>
  </sheetPr>
  <dimension ref="A1:R104"/>
  <sheetViews>
    <sheetView view="pageBreakPreview" topLeftCell="A70" zoomScale="85" zoomScaleNormal="70" zoomScaleSheetLayoutView="85" workbookViewId="0">
      <selection activeCell="S81" sqref="S81"/>
    </sheetView>
  </sheetViews>
  <sheetFormatPr defaultColWidth="8.75" defaultRowHeight="15"/>
  <cols>
    <col min="1" max="1" width="21.875" style="13" customWidth="1"/>
    <col min="2" max="2" width="67.75" style="51" customWidth="1"/>
    <col min="3" max="3" width="3" style="51" customWidth="1"/>
    <col min="4" max="4" width="8.625" style="51" bestFit="1" customWidth="1"/>
    <col min="5" max="5" width="8.875" style="51" bestFit="1" customWidth="1"/>
    <col min="6" max="6" width="14" style="51" bestFit="1" customWidth="1"/>
    <col min="7" max="7" width="10" style="51" customWidth="1"/>
    <col min="8" max="8" width="11.375" style="51" customWidth="1"/>
    <col min="9" max="9" width="5.375" style="51" bestFit="1" customWidth="1"/>
    <col min="10" max="10" width="12.875" style="51" customWidth="1"/>
    <col min="11" max="11" width="15.25" style="51" bestFit="1" customWidth="1"/>
    <col min="12" max="12" width="3" style="51" customWidth="1"/>
    <col min="13" max="13" width="8.125" style="51" bestFit="1" customWidth="1"/>
    <col min="14" max="14" width="5.125" style="51" bestFit="1" customWidth="1"/>
    <col min="15" max="15" width="3" style="51" customWidth="1"/>
    <col min="16" max="16" width="9.875" style="51" bestFit="1" customWidth="1"/>
    <col min="17" max="17" width="5.875" style="51" bestFit="1" customWidth="1"/>
    <col min="18" max="18" width="5.125" style="51" bestFit="1" customWidth="1"/>
    <col min="19" max="16384" width="8.75" style="51"/>
  </cols>
  <sheetData>
    <row r="1" spans="1:18">
      <c r="A1" s="2" t="s">
        <v>125</v>
      </c>
      <c r="B1" s="1" t="s">
        <v>126</v>
      </c>
      <c r="C1" s="1"/>
      <c r="D1" s="1" t="s">
        <v>127</v>
      </c>
      <c r="E1" s="1" t="s">
        <v>128</v>
      </c>
      <c r="F1" s="1" t="s">
        <v>129</v>
      </c>
      <c r="G1" s="1"/>
      <c r="H1" s="3" t="s">
        <v>191</v>
      </c>
      <c r="I1" s="1" t="s">
        <v>130</v>
      </c>
      <c r="J1" s="172"/>
      <c r="K1" s="3"/>
      <c r="M1" s="3" t="s">
        <v>66</v>
      </c>
      <c r="N1" s="3"/>
      <c r="O1" s="3"/>
      <c r="P1" s="3" t="s">
        <v>193</v>
      </c>
      <c r="Q1" s="3"/>
      <c r="R1" s="3"/>
    </row>
    <row r="2" spans="1:18">
      <c r="A2" s="7"/>
      <c r="B2" s="52" t="s">
        <v>32</v>
      </c>
      <c r="C2" s="52"/>
      <c r="D2" s="8"/>
      <c r="E2" s="8"/>
      <c r="F2" s="8"/>
      <c r="G2" s="8"/>
      <c r="H2" s="9"/>
      <c r="I2" s="8"/>
      <c r="J2" s="174"/>
      <c r="K2" s="9"/>
      <c r="M2" s="9"/>
      <c r="N2" s="9"/>
      <c r="O2" s="9"/>
      <c r="P2" s="9"/>
      <c r="Q2" s="9"/>
      <c r="R2" s="9"/>
    </row>
    <row r="3" spans="1:18" ht="48.75" customHeight="1">
      <c r="A3" s="2" t="s">
        <v>33</v>
      </c>
      <c r="B3" s="2" t="s">
        <v>34</v>
      </c>
      <c r="C3" s="2" t="s">
        <v>262</v>
      </c>
      <c r="D3" s="2" t="s">
        <v>35</v>
      </c>
      <c r="E3" s="2" t="s">
        <v>5</v>
      </c>
      <c r="F3" s="1" t="s">
        <v>6</v>
      </c>
      <c r="G3" s="1"/>
      <c r="H3" s="3"/>
      <c r="I3" s="1" t="s">
        <v>3</v>
      </c>
      <c r="J3" s="172"/>
      <c r="K3" s="3"/>
      <c r="M3" s="3">
        <f>SUMIF(CCTV!B:B,A3,CCTV!E:E)</f>
        <v>0</v>
      </c>
      <c r="N3" s="3">
        <f>M3*J3</f>
        <v>0</v>
      </c>
      <c r="O3" s="3"/>
      <c r="P3" s="3">
        <f>SUMIF('data-tel '!B:B,A3,'data-tel '!E:E)</f>
        <v>153</v>
      </c>
      <c r="Q3" s="3">
        <f t="shared" ref="Q3:Q38" si="0">P3*J3</f>
        <v>0</v>
      </c>
      <c r="R3" s="3">
        <f>J3*P3</f>
        <v>0</v>
      </c>
    </row>
    <row r="4" spans="1:18">
      <c r="A4" s="2" t="s">
        <v>330</v>
      </c>
      <c r="B4" s="2" t="s">
        <v>36</v>
      </c>
      <c r="C4" s="2" t="s">
        <v>263</v>
      </c>
      <c r="D4" s="2" t="s">
        <v>37</v>
      </c>
      <c r="E4" s="2" t="s">
        <v>5</v>
      </c>
      <c r="F4" s="1" t="s">
        <v>37</v>
      </c>
      <c r="G4" s="1"/>
      <c r="H4" s="3"/>
      <c r="I4" s="1" t="s">
        <v>3</v>
      </c>
      <c r="J4" s="172"/>
      <c r="K4" s="3"/>
      <c r="M4" s="3">
        <f>SUMIF(CCTV!B:B,A4,CCTV!E:E)</f>
        <v>0</v>
      </c>
      <c r="N4" s="3">
        <f t="shared" ref="N4:N67" si="1">M4*J4</f>
        <v>0</v>
      </c>
      <c r="O4" s="3"/>
      <c r="P4" s="3">
        <f>SUMIF('data-tel '!B:B,A4,'data-tel '!E:E)</f>
        <v>153</v>
      </c>
      <c r="Q4" s="3">
        <f t="shared" si="0"/>
        <v>0</v>
      </c>
      <c r="R4" s="3">
        <f t="shared" ref="R4:R67" si="2">J4*P4</f>
        <v>0</v>
      </c>
    </row>
    <row r="5" spans="1:18" s="54" customFormat="1">
      <c r="A5" s="32" t="s">
        <v>38</v>
      </c>
      <c r="B5" s="32" t="s">
        <v>39</v>
      </c>
      <c r="C5" s="32" t="s">
        <v>264</v>
      </c>
      <c r="D5" s="32" t="s">
        <v>25</v>
      </c>
      <c r="E5" s="32" t="s">
        <v>5</v>
      </c>
      <c r="F5" s="33" t="s">
        <v>6</v>
      </c>
      <c r="G5" s="1"/>
      <c r="H5" s="31"/>
      <c r="I5" s="33" t="s">
        <v>3</v>
      </c>
      <c r="J5" s="177"/>
      <c r="K5" s="31"/>
      <c r="M5" s="31">
        <f>SUMIF(CCTV!B:B,A5,CCTV!E:E)</f>
        <v>0</v>
      </c>
      <c r="N5" s="31">
        <f t="shared" si="1"/>
        <v>0</v>
      </c>
      <c r="O5" s="31"/>
      <c r="P5" s="31">
        <f>SUMIF('data-tel '!B:B,A5,'data-tel '!E:E)</f>
        <v>153</v>
      </c>
      <c r="Q5" s="31">
        <f t="shared" si="0"/>
        <v>0</v>
      </c>
      <c r="R5" s="31">
        <f t="shared" si="2"/>
        <v>0</v>
      </c>
    </row>
    <row r="6" spans="1:18">
      <c r="A6" s="7"/>
      <c r="B6" s="52" t="s">
        <v>40</v>
      </c>
      <c r="C6" s="52"/>
      <c r="D6" s="8"/>
      <c r="E6" s="8"/>
      <c r="F6" s="8"/>
      <c r="G6" s="1"/>
      <c r="H6" s="9">
        <f t="shared" ref="H6:H75" si="3">M6+P6</f>
        <v>0</v>
      </c>
      <c r="I6" s="8"/>
      <c r="J6" s="174"/>
      <c r="K6" s="9"/>
      <c r="M6" s="9">
        <f>SUMIF(CCTV!B:B,A6,CCTV!E:E)</f>
        <v>0</v>
      </c>
      <c r="N6" s="9">
        <f t="shared" si="1"/>
        <v>0</v>
      </c>
      <c r="O6" s="9"/>
      <c r="P6" s="9">
        <f>SUMIF('data-tel '!B:B,A6,'data-tel '!E:E)</f>
        <v>0</v>
      </c>
      <c r="Q6" s="9">
        <f t="shared" si="0"/>
        <v>0</v>
      </c>
      <c r="R6" s="9">
        <f t="shared" si="2"/>
        <v>0</v>
      </c>
    </row>
    <row r="7" spans="1:18">
      <c r="A7" s="27" t="s">
        <v>48</v>
      </c>
      <c r="B7" s="27" t="s">
        <v>49</v>
      </c>
      <c r="C7" s="27" t="s">
        <v>265</v>
      </c>
      <c r="D7" s="27" t="s">
        <v>4</v>
      </c>
      <c r="E7" s="27" t="s">
        <v>5</v>
      </c>
      <c r="F7" s="28" t="s">
        <v>6</v>
      </c>
      <c r="G7" s="190">
        <v>910</v>
      </c>
      <c r="H7" s="3">
        <f>M7+P7+25</f>
        <v>910</v>
      </c>
      <c r="I7" s="28" t="s">
        <v>15</v>
      </c>
      <c r="J7" s="176"/>
      <c r="K7" s="29"/>
      <c r="M7" s="29">
        <f>SUMIF(CCTV!B:B,A7,CCTV!E:E)</f>
        <v>545</v>
      </c>
      <c r="N7" s="29">
        <f t="shared" si="1"/>
        <v>0</v>
      </c>
      <c r="O7" s="29"/>
      <c r="P7" s="29">
        <f>SUMIF('data-tel '!B:B,A7,'data-tel '!E:E)</f>
        <v>340</v>
      </c>
      <c r="Q7" s="29">
        <f t="shared" si="0"/>
        <v>0</v>
      </c>
      <c r="R7" s="29">
        <f t="shared" si="2"/>
        <v>0</v>
      </c>
    </row>
    <row r="8" spans="1:18" s="54" customFormat="1">
      <c r="A8" s="32" t="s">
        <v>41</v>
      </c>
      <c r="B8" s="32" t="s">
        <v>42</v>
      </c>
      <c r="C8" s="32" t="s">
        <v>266</v>
      </c>
      <c r="D8" s="32" t="s">
        <v>4</v>
      </c>
      <c r="E8" s="32" t="s">
        <v>5</v>
      </c>
      <c r="F8" s="33" t="s">
        <v>6</v>
      </c>
      <c r="G8" s="191">
        <v>609</v>
      </c>
      <c r="H8" s="3">
        <f t="shared" si="3"/>
        <v>609</v>
      </c>
      <c r="I8" s="33" t="s">
        <v>3</v>
      </c>
      <c r="J8" s="177"/>
      <c r="K8" s="31"/>
      <c r="M8" s="31">
        <f>SUMIF(CCTV!B:B,A8,CCTV!E:E)</f>
        <v>488</v>
      </c>
      <c r="N8" s="31">
        <f t="shared" si="1"/>
        <v>0</v>
      </c>
      <c r="O8" s="31"/>
      <c r="P8" s="31">
        <f>SUMIF('data-tel '!B:B,A8,'data-tel '!E:E)</f>
        <v>121</v>
      </c>
      <c r="Q8" s="31">
        <f t="shared" si="0"/>
        <v>0</v>
      </c>
      <c r="R8" s="31">
        <f t="shared" si="2"/>
        <v>0</v>
      </c>
    </row>
    <row r="9" spans="1:18">
      <c r="A9" s="2" t="s">
        <v>43</v>
      </c>
      <c r="B9" s="2" t="s">
        <v>44</v>
      </c>
      <c r="C9" s="2" t="s">
        <v>267</v>
      </c>
      <c r="D9" s="2" t="s">
        <v>3</v>
      </c>
      <c r="E9" s="2" t="s">
        <v>4</v>
      </c>
      <c r="F9" s="1" t="s">
        <v>5</v>
      </c>
      <c r="G9" s="191">
        <v>609</v>
      </c>
      <c r="H9" s="3">
        <f t="shared" si="3"/>
        <v>609</v>
      </c>
      <c r="I9" s="1" t="s">
        <v>3</v>
      </c>
      <c r="J9" s="172"/>
      <c r="K9" s="3"/>
      <c r="M9" s="3">
        <f>SUMIF(CCTV!B:B,A9,CCTV!E:E)</f>
        <v>488</v>
      </c>
      <c r="N9" s="3">
        <f t="shared" si="1"/>
        <v>0</v>
      </c>
      <c r="O9" s="3"/>
      <c r="P9" s="3">
        <f>SUMIF('data-tel '!B:B,A9,'data-tel '!E:E)</f>
        <v>121</v>
      </c>
      <c r="Q9" s="3">
        <f t="shared" si="0"/>
        <v>0</v>
      </c>
      <c r="R9" s="3">
        <f t="shared" si="2"/>
        <v>0</v>
      </c>
    </row>
    <row r="10" spans="1:18">
      <c r="A10" s="2">
        <v>760249003</v>
      </c>
      <c r="B10" s="2" t="s">
        <v>110</v>
      </c>
      <c r="C10" s="2" t="s">
        <v>268</v>
      </c>
      <c r="D10" s="2"/>
      <c r="E10" s="2" t="s">
        <v>5</v>
      </c>
      <c r="F10" s="1" t="s">
        <v>6</v>
      </c>
      <c r="G10" s="191">
        <v>1</v>
      </c>
      <c r="H10" s="3">
        <f t="shared" si="3"/>
        <v>1</v>
      </c>
      <c r="I10" s="1" t="s">
        <v>3</v>
      </c>
      <c r="J10" s="172"/>
      <c r="K10" s="3"/>
      <c r="M10" s="3">
        <f>SUMIF(CCTV!B:B,A10,CCTV!E:E)</f>
        <v>0</v>
      </c>
      <c r="N10" s="3">
        <f t="shared" si="1"/>
        <v>0</v>
      </c>
      <c r="O10" s="3"/>
      <c r="P10" s="3">
        <f>SUMIF('data-tel '!B:B,A10,'data-tel '!E:E)</f>
        <v>1</v>
      </c>
      <c r="Q10" s="3">
        <f t="shared" si="0"/>
        <v>0</v>
      </c>
      <c r="R10" s="3">
        <f t="shared" si="2"/>
        <v>0</v>
      </c>
    </row>
    <row r="11" spans="1:18">
      <c r="A11" s="7"/>
      <c r="B11" s="52" t="s">
        <v>45</v>
      </c>
      <c r="C11" s="52"/>
      <c r="D11" s="8"/>
      <c r="E11" s="8"/>
      <c r="F11" s="8"/>
      <c r="H11" s="3">
        <f t="shared" si="3"/>
        <v>0</v>
      </c>
      <c r="I11" s="8"/>
      <c r="J11" s="174"/>
      <c r="K11" s="9"/>
      <c r="M11" s="9">
        <f>SUMIF(CCTV!B:B,A11,CCTV!E:E)</f>
        <v>0</v>
      </c>
      <c r="N11" s="9">
        <f t="shared" si="1"/>
        <v>0</v>
      </c>
      <c r="O11" s="9"/>
      <c r="P11" s="9">
        <f>SUMIF('data-tel '!B:B,A11,'data-tel '!E:E)</f>
        <v>0</v>
      </c>
      <c r="Q11" s="9">
        <f t="shared" si="0"/>
        <v>0</v>
      </c>
      <c r="R11" s="9">
        <f t="shared" si="2"/>
        <v>0</v>
      </c>
    </row>
    <row r="12" spans="1:18">
      <c r="A12" s="27" t="s">
        <v>46</v>
      </c>
      <c r="B12" s="27" t="s">
        <v>47</v>
      </c>
      <c r="C12" s="27" t="s">
        <v>265</v>
      </c>
      <c r="D12" s="27"/>
      <c r="E12" s="27" t="s">
        <v>5</v>
      </c>
      <c r="F12" s="28" t="s">
        <v>6</v>
      </c>
      <c r="G12" s="190">
        <v>300</v>
      </c>
      <c r="H12" s="3">
        <f>M12+P12+31</f>
        <v>300</v>
      </c>
      <c r="I12" s="28" t="s">
        <v>15</v>
      </c>
      <c r="J12" s="176"/>
      <c r="K12" s="29"/>
      <c r="M12" s="29">
        <f>SUMIF(CCTV!B:B,A12,CCTV!E:E)</f>
        <v>167</v>
      </c>
      <c r="N12" s="29">
        <f t="shared" si="1"/>
        <v>0</v>
      </c>
      <c r="O12" s="29"/>
      <c r="P12" s="29">
        <f>SUMIF('data-tel '!B:B,A12,'data-tel '!E:E)</f>
        <v>102</v>
      </c>
      <c r="Q12" s="29">
        <f t="shared" si="0"/>
        <v>0</v>
      </c>
      <c r="R12" s="29">
        <f t="shared" si="2"/>
        <v>0</v>
      </c>
    </row>
    <row r="13" spans="1:18">
      <c r="A13" s="7"/>
      <c r="B13" s="52" t="s">
        <v>1</v>
      </c>
      <c r="C13" s="52"/>
      <c r="D13" s="8"/>
      <c r="E13" s="8"/>
      <c r="F13" s="8"/>
      <c r="G13" s="191"/>
      <c r="H13" s="9">
        <f t="shared" si="3"/>
        <v>0</v>
      </c>
      <c r="I13" s="8"/>
      <c r="J13" s="174"/>
      <c r="K13" s="9"/>
      <c r="M13" s="9">
        <f>SUMIF(CCTV!B:B,A13,CCTV!E:E)</f>
        <v>0</v>
      </c>
      <c r="N13" s="9">
        <f t="shared" si="1"/>
        <v>0</v>
      </c>
      <c r="O13" s="9"/>
      <c r="P13" s="9">
        <f>SUMIF('data-tel '!B:B,A13,'data-tel '!E:E)</f>
        <v>0</v>
      </c>
      <c r="Q13" s="9">
        <f t="shared" si="0"/>
        <v>0</v>
      </c>
      <c r="R13" s="9">
        <f t="shared" si="2"/>
        <v>0</v>
      </c>
    </row>
    <row r="14" spans="1:18">
      <c r="A14" s="2">
        <v>760249997</v>
      </c>
      <c r="B14" s="2" t="s">
        <v>2</v>
      </c>
      <c r="C14" s="2" t="s">
        <v>1</v>
      </c>
      <c r="D14" s="2" t="s">
        <v>4</v>
      </c>
      <c r="E14" s="2" t="s">
        <v>5</v>
      </c>
      <c r="F14" s="1" t="s">
        <v>6</v>
      </c>
      <c r="G14" s="191">
        <v>57</v>
      </c>
      <c r="H14" s="3">
        <f t="shared" si="3"/>
        <v>57</v>
      </c>
      <c r="I14" s="1" t="s">
        <v>3</v>
      </c>
      <c r="J14" s="172"/>
      <c r="K14" s="3"/>
      <c r="M14" s="3">
        <f>SUMIF(CCTV!B:B,A14,CCTV!E:E)</f>
        <v>29</v>
      </c>
      <c r="N14" s="3">
        <f t="shared" si="1"/>
        <v>0</v>
      </c>
      <c r="O14" s="3"/>
      <c r="P14" s="3">
        <f>SUMIF('data-tel '!B:B,A14,'data-tel '!E:E)</f>
        <v>28</v>
      </c>
      <c r="Q14" s="3">
        <f t="shared" si="0"/>
        <v>0</v>
      </c>
      <c r="R14" s="3">
        <f t="shared" si="2"/>
        <v>0</v>
      </c>
    </row>
    <row r="15" spans="1:18">
      <c r="A15" s="2">
        <v>760241378</v>
      </c>
      <c r="B15" s="2" t="s">
        <v>7</v>
      </c>
      <c r="C15" s="2" t="s">
        <v>269</v>
      </c>
      <c r="D15" s="2" t="s">
        <v>4</v>
      </c>
      <c r="E15" s="2" t="s">
        <v>5</v>
      </c>
      <c r="F15" s="1" t="s">
        <v>6</v>
      </c>
      <c r="G15" s="191">
        <v>63</v>
      </c>
      <c r="H15" s="3">
        <f t="shared" si="3"/>
        <v>63</v>
      </c>
      <c r="I15" s="1" t="s">
        <v>3</v>
      </c>
      <c r="J15" s="172"/>
      <c r="K15" s="3"/>
      <c r="M15" s="3">
        <f>SUMIF(CCTV!B:B,A15,CCTV!E:E)</f>
        <v>31</v>
      </c>
      <c r="N15" s="3">
        <f t="shared" si="1"/>
        <v>0</v>
      </c>
      <c r="O15" s="3"/>
      <c r="P15" s="3">
        <f>SUMIF('data-tel '!B:B,A15,'data-tel '!E:E)</f>
        <v>32</v>
      </c>
      <c r="Q15" s="3">
        <f t="shared" si="0"/>
        <v>0</v>
      </c>
      <c r="R15" s="3">
        <f t="shared" si="2"/>
        <v>0</v>
      </c>
    </row>
    <row r="16" spans="1:18">
      <c r="A16" s="2" t="s">
        <v>8</v>
      </c>
      <c r="B16" s="2" t="s">
        <v>9</v>
      </c>
      <c r="C16" s="2" t="s">
        <v>270</v>
      </c>
      <c r="D16" s="2" t="s">
        <v>4</v>
      </c>
      <c r="E16" s="2" t="s">
        <v>5</v>
      </c>
      <c r="F16" s="1" t="s">
        <v>6</v>
      </c>
      <c r="G16" s="191">
        <v>57</v>
      </c>
      <c r="H16" s="3">
        <f t="shared" si="3"/>
        <v>57</v>
      </c>
      <c r="I16" s="1" t="s">
        <v>3</v>
      </c>
      <c r="J16" s="172"/>
      <c r="K16" s="3"/>
      <c r="M16" s="3">
        <f>SUMIF(CCTV!B:B,A16,CCTV!E:E)</f>
        <v>35</v>
      </c>
      <c r="N16" s="3">
        <f t="shared" si="1"/>
        <v>0</v>
      </c>
      <c r="O16" s="3"/>
      <c r="P16" s="3">
        <f>SUMIF('data-tel '!B:B,A16,'data-tel '!E:E)</f>
        <v>22</v>
      </c>
      <c r="Q16" s="3">
        <f t="shared" si="0"/>
        <v>0</v>
      </c>
      <c r="R16" s="3">
        <f t="shared" si="2"/>
        <v>0</v>
      </c>
    </row>
    <row r="17" spans="1:18">
      <c r="A17" s="2" t="s">
        <v>198</v>
      </c>
      <c r="B17" s="2" t="s">
        <v>199</v>
      </c>
      <c r="C17" s="2" t="s">
        <v>271</v>
      </c>
      <c r="D17" s="2" t="s">
        <v>4</v>
      </c>
      <c r="E17" s="2" t="s">
        <v>5</v>
      </c>
      <c r="F17" s="1" t="s">
        <v>6</v>
      </c>
      <c r="G17" s="191">
        <v>23</v>
      </c>
      <c r="H17" s="3">
        <f t="shared" si="3"/>
        <v>23</v>
      </c>
      <c r="I17" s="1" t="s">
        <v>3</v>
      </c>
      <c r="J17" s="172"/>
      <c r="K17" s="3"/>
      <c r="M17" s="3">
        <f>SUMIF(CCTV!B:B,A17,CCTV!E:E)</f>
        <v>0</v>
      </c>
      <c r="N17" s="3">
        <f t="shared" si="1"/>
        <v>0</v>
      </c>
      <c r="O17" s="3"/>
      <c r="P17" s="3">
        <f>SUMIF('data-tel '!B:B,A17,'data-tel '!E:E)</f>
        <v>23</v>
      </c>
      <c r="Q17" s="3">
        <f t="shared" si="0"/>
        <v>0</v>
      </c>
      <c r="R17" s="3">
        <f t="shared" si="2"/>
        <v>0</v>
      </c>
    </row>
    <row r="18" spans="1:18">
      <c r="A18" s="2" t="s">
        <v>10</v>
      </c>
      <c r="B18" s="2" t="s">
        <v>11</v>
      </c>
      <c r="C18" s="2" t="s">
        <v>272</v>
      </c>
      <c r="D18" s="2" t="s">
        <v>4</v>
      </c>
      <c r="E18" s="2" t="s">
        <v>5</v>
      </c>
      <c r="F18" s="1" t="s">
        <v>6</v>
      </c>
      <c r="G18" s="191">
        <v>91</v>
      </c>
      <c r="H18" s="3">
        <f t="shared" si="3"/>
        <v>91</v>
      </c>
      <c r="I18" s="1" t="s">
        <v>3</v>
      </c>
      <c r="J18" s="172"/>
      <c r="K18" s="3"/>
      <c r="M18" s="3">
        <f>SUMIF(CCTV!B:B,A18,CCTV!E:E)</f>
        <v>52</v>
      </c>
      <c r="N18" s="3">
        <f t="shared" si="1"/>
        <v>0</v>
      </c>
      <c r="O18" s="3"/>
      <c r="P18" s="3">
        <f>SUMIF('data-tel '!B:B,A18,'data-tel '!E:E)</f>
        <v>39</v>
      </c>
      <c r="Q18" s="3">
        <f t="shared" si="0"/>
        <v>0</v>
      </c>
      <c r="R18" s="3">
        <f t="shared" si="2"/>
        <v>0</v>
      </c>
    </row>
    <row r="19" spans="1:18">
      <c r="A19" s="27" t="s">
        <v>194</v>
      </c>
      <c r="B19" s="27" t="s">
        <v>195</v>
      </c>
      <c r="C19" s="27" t="s">
        <v>273</v>
      </c>
      <c r="D19" s="27" t="s">
        <v>4</v>
      </c>
      <c r="E19" s="27" t="s">
        <v>5</v>
      </c>
      <c r="F19" s="28" t="s">
        <v>6</v>
      </c>
      <c r="G19" s="191">
        <v>124</v>
      </c>
      <c r="H19" s="29">
        <f t="shared" si="3"/>
        <v>124</v>
      </c>
      <c r="I19" s="28" t="s">
        <v>3</v>
      </c>
      <c r="J19" s="176"/>
      <c r="K19" s="29"/>
      <c r="M19" s="29">
        <f>SUMIF(CCTV!B:B,A19,CCTV!E:E)</f>
        <v>0</v>
      </c>
      <c r="N19" s="29">
        <f t="shared" si="1"/>
        <v>0</v>
      </c>
      <c r="O19" s="29"/>
      <c r="P19" s="29">
        <f>SUMIF('data-tel '!B:B,A19,'data-tel '!E:E)</f>
        <v>124</v>
      </c>
      <c r="Q19" s="29">
        <f t="shared" si="0"/>
        <v>0</v>
      </c>
      <c r="R19" s="29">
        <f t="shared" si="2"/>
        <v>0</v>
      </c>
    </row>
    <row r="20" spans="1:18">
      <c r="A20" s="27" t="s">
        <v>196</v>
      </c>
      <c r="B20" s="27" t="s">
        <v>197</v>
      </c>
      <c r="C20" s="27" t="s">
        <v>273</v>
      </c>
      <c r="D20" s="27" t="s">
        <v>4</v>
      </c>
      <c r="E20" s="27" t="s">
        <v>5</v>
      </c>
      <c r="F20" s="28" t="s">
        <v>6</v>
      </c>
      <c r="G20" s="191">
        <v>192</v>
      </c>
      <c r="H20" s="29">
        <f t="shared" si="3"/>
        <v>192</v>
      </c>
      <c r="I20" s="28" t="s">
        <v>3</v>
      </c>
      <c r="J20" s="176"/>
      <c r="K20" s="29"/>
      <c r="M20" s="29">
        <f>SUMIF(CCTV!B:B,A20,CCTV!E:E)</f>
        <v>0</v>
      </c>
      <c r="N20" s="29">
        <f t="shared" si="1"/>
        <v>0</v>
      </c>
      <c r="O20" s="29"/>
      <c r="P20" s="29">
        <f>SUMIF('data-tel '!B:B,A20,'data-tel '!E:E)</f>
        <v>192</v>
      </c>
      <c r="Q20" s="29">
        <f t="shared" si="0"/>
        <v>0</v>
      </c>
      <c r="R20" s="29">
        <f t="shared" si="2"/>
        <v>0</v>
      </c>
    </row>
    <row r="21" spans="1:18">
      <c r="A21" s="27" t="s">
        <v>12</v>
      </c>
      <c r="B21" s="27" t="s">
        <v>13</v>
      </c>
      <c r="C21" s="27" t="s">
        <v>273</v>
      </c>
      <c r="D21" s="27" t="s">
        <v>4</v>
      </c>
      <c r="E21" s="27" t="s">
        <v>5</v>
      </c>
      <c r="F21" s="28" t="s">
        <v>6</v>
      </c>
      <c r="G21" s="191">
        <v>462</v>
      </c>
      <c r="H21" s="29">
        <f t="shared" si="3"/>
        <v>462</v>
      </c>
      <c r="I21" s="28" t="s">
        <v>15</v>
      </c>
      <c r="J21" s="176"/>
      <c r="K21" s="29"/>
      <c r="M21" s="29">
        <f>SUMIF(CCTV!B:B,A21,CCTV!E:E)</f>
        <v>212</v>
      </c>
      <c r="N21" s="29">
        <f t="shared" si="1"/>
        <v>0</v>
      </c>
      <c r="O21" s="29"/>
      <c r="P21" s="29">
        <f>SUMIF('data-tel '!B:B,A21,'data-tel '!E:E)</f>
        <v>250</v>
      </c>
      <c r="Q21" s="29">
        <f t="shared" si="0"/>
        <v>0</v>
      </c>
      <c r="R21" s="29">
        <f t="shared" si="2"/>
        <v>0</v>
      </c>
    </row>
    <row r="22" spans="1:18">
      <c r="A22" s="27" t="s">
        <v>16</v>
      </c>
      <c r="B22" s="27" t="s">
        <v>17</v>
      </c>
      <c r="C22" s="27" t="s">
        <v>273</v>
      </c>
      <c r="D22" s="27" t="s">
        <v>4</v>
      </c>
      <c r="E22" s="27" t="s">
        <v>5</v>
      </c>
      <c r="F22" s="28" t="s">
        <v>6</v>
      </c>
      <c r="G22" s="191">
        <v>225</v>
      </c>
      <c r="H22" s="29">
        <f t="shared" si="3"/>
        <v>225</v>
      </c>
      <c r="I22" s="28" t="s">
        <v>15</v>
      </c>
      <c r="J22" s="176"/>
      <c r="K22" s="29"/>
      <c r="M22" s="29">
        <f>SUMIF(CCTV!B:B,A22,CCTV!E:E)</f>
        <v>119</v>
      </c>
      <c r="N22" s="29">
        <f t="shared" si="1"/>
        <v>0</v>
      </c>
      <c r="O22" s="29"/>
      <c r="P22" s="29">
        <f>SUMIF('data-tel '!B:B,A22,'data-tel '!E:E)</f>
        <v>106</v>
      </c>
      <c r="Q22" s="29">
        <f t="shared" si="0"/>
        <v>0</v>
      </c>
      <c r="R22" s="29">
        <f t="shared" si="2"/>
        <v>0</v>
      </c>
    </row>
    <row r="23" spans="1:18">
      <c r="A23" s="7"/>
      <c r="B23" s="52" t="s">
        <v>18</v>
      </c>
      <c r="C23" s="52"/>
      <c r="D23" s="8"/>
      <c r="E23" s="8"/>
      <c r="F23" s="8"/>
      <c r="G23" s="191"/>
      <c r="H23" s="9">
        <f t="shared" si="3"/>
        <v>0</v>
      </c>
      <c r="I23" s="8"/>
      <c r="J23" s="174"/>
      <c r="K23" s="9"/>
      <c r="M23" s="9">
        <f>SUMIF(CCTV!B:B,A23,CCTV!E:E)</f>
        <v>0</v>
      </c>
      <c r="N23" s="9">
        <f t="shared" si="1"/>
        <v>0</v>
      </c>
      <c r="O23" s="9"/>
      <c r="P23" s="9">
        <f>SUMIF('data-tel '!B:B,A23,'data-tel '!E:E)</f>
        <v>0</v>
      </c>
      <c r="Q23" s="9">
        <f t="shared" si="0"/>
        <v>0</v>
      </c>
      <c r="R23" s="9">
        <f t="shared" si="2"/>
        <v>0</v>
      </c>
    </row>
    <row r="24" spans="1:18">
      <c r="A24" s="2">
        <v>760237046</v>
      </c>
      <c r="B24" s="2" t="s">
        <v>19</v>
      </c>
      <c r="C24" s="2" t="s">
        <v>274</v>
      </c>
      <c r="D24" s="2" t="s">
        <v>4</v>
      </c>
      <c r="E24" s="2" t="s">
        <v>5</v>
      </c>
      <c r="F24" s="1" t="s">
        <v>6</v>
      </c>
      <c r="G24" s="191">
        <v>66</v>
      </c>
      <c r="H24" s="3">
        <f t="shared" si="3"/>
        <v>66</v>
      </c>
      <c r="I24" s="1" t="s">
        <v>3</v>
      </c>
      <c r="J24" s="172"/>
      <c r="K24" s="3"/>
      <c r="M24" s="3">
        <f>SUMIF(CCTV!B:B,A24,CCTV!E:E)</f>
        <v>39</v>
      </c>
      <c r="N24" s="3">
        <f t="shared" si="1"/>
        <v>0</v>
      </c>
      <c r="O24" s="3"/>
      <c r="P24" s="3">
        <f>SUMIF('data-tel '!B:B,A24,'data-tel '!E:E)</f>
        <v>27</v>
      </c>
      <c r="Q24" s="3">
        <f t="shared" si="0"/>
        <v>0</v>
      </c>
      <c r="R24" s="3">
        <f t="shared" si="2"/>
        <v>0</v>
      </c>
    </row>
    <row r="25" spans="1:18">
      <c r="A25" s="2" t="s">
        <v>23</v>
      </c>
      <c r="B25" s="2" t="s">
        <v>24</v>
      </c>
      <c r="C25" s="2" t="s">
        <v>266</v>
      </c>
      <c r="D25" s="2" t="s">
        <v>25</v>
      </c>
      <c r="E25" s="2" t="s">
        <v>5</v>
      </c>
      <c r="F25" s="1" t="s">
        <v>6</v>
      </c>
      <c r="G25" s="191">
        <v>1584</v>
      </c>
      <c r="H25" s="3">
        <f t="shared" si="3"/>
        <v>1584</v>
      </c>
      <c r="I25" s="1" t="s">
        <v>3</v>
      </c>
      <c r="J25" s="172"/>
      <c r="K25" s="3"/>
      <c r="M25" s="3">
        <f>SUMIF(CCTV!B:B,A25,CCTV!E:E)</f>
        <v>936</v>
      </c>
      <c r="N25" s="3">
        <f t="shared" si="1"/>
        <v>0</v>
      </c>
      <c r="O25" s="3"/>
      <c r="P25" s="3">
        <f>SUMIF('data-tel '!B:B,A25,'data-tel '!E:E)</f>
        <v>648</v>
      </c>
      <c r="Q25" s="3">
        <f t="shared" si="0"/>
        <v>0</v>
      </c>
      <c r="R25" s="3">
        <f t="shared" si="2"/>
        <v>0</v>
      </c>
    </row>
    <row r="26" spans="1:18">
      <c r="A26" s="2" t="s">
        <v>20</v>
      </c>
      <c r="B26" s="2" t="s">
        <v>21</v>
      </c>
      <c r="C26" s="2" t="s">
        <v>275</v>
      </c>
      <c r="D26" s="2" t="s">
        <v>4</v>
      </c>
      <c r="E26" s="2" t="s">
        <v>5</v>
      </c>
      <c r="F26" s="1" t="s">
        <v>22</v>
      </c>
      <c r="G26" s="191">
        <v>66</v>
      </c>
      <c r="H26" s="3">
        <f t="shared" si="3"/>
        <v>66</v>
      </c>
      <c r="I26" s="1" t="s">
        <v>3</v>
      </c>
      <c r="J26" s="172"/>
      <c r="K26" s="3"/>
      <c r="M26" s="3">
        <f>SUMIF(CCTV!B:B,A26,CCTV!E:E)</f>
        <v>39</v>
      </c>
      <c r="N26" s="3">
        <f t="shared" si="1"/>
        <v>0</v>
      </c>
      <c r="O26" s="3"/>
      <c r="P26" s="3">
        <f>SUMIF('data-tel '!B:B,A26,'data-tel '!E:E)</f>
        <v>27</v>
      </c>
      <c r="Q26" s="3">
        <f t="shared" si="0"/>
        <v>0</v>
      </c>
      <c r="R26" s="3">
        <f t="shared" si="2"/>
        <v>0</v>
      </c>
    </row>
    <row r="27" spans="1:18">
      <c r="A27" s="7"/>
      <c r="B27" s="52" t="s">
        <v>131</v>
      </c>
      <c r="C27" s="52"/>
      <c r="D27" s="8"/>
      <c r="E27" s="8"/>
      <c r="F27" s="8"/>
      <c r="G27" s="191"/>
      <c r="H27" s="9">
        <f t="shared" si="3"/>
        <v>0</v>
      </c>
      <c r="I27" s="8"/>
      <c r="J27" s="174"/>
      <c r="K27" s="9"/>
      <c r="M27" s="9">
        <f>SUMIF(CCTV!B:B,A27,CCTV!E:E)</f>
        <v>0</v>
      </c>
      <c r="N27" s="9">
        <f t="shared" si="1"/>
        <v>0</v>
      </c>
      <c r="O27" s="9"/>
      <c r="P27" s="9">
        <f>SUMIF('data-tel '!B:B,A27,'data-tel '!E:E)</f>
        <v>0</v>
      </c>
      <c r="Q27" s="9">
        <f t="shared" si="0"/>
        <v>0</v>
      </c>
      <c r="R27" s="9">
        <f t="shared" si="2"/>
        <v>0</v>
      </c>
    </row>
    <row r="28" spans="1:18">
      <c r="A28" s="2" t="s">
        <v>312</v>
      </c>
      <c r="B28" s="2" t="s">
        <v>315</v>
      </c>
      <c r="C28" s="2" t="s">
        <v>276</v>
      </c>
      <c r="D28" s="2" t="s">
        <v>4</v>
      </c>
      <c r="E28" s="2" t="s">
        <v>319</v>
      </c>
      <c r="F28" s="1" t="s">
        <v>28</v>
      </c>
      <c r="G28" s="191"/>
      <c r="H28" s="3"/>
      <c r="I28" s="1" t="s">
        <v>3</v>
      </c>
      <c r="J28" s="172"/>
      <c r="K28" s="3"/>
      <c r="M28" s="3">
        <f>SUMIF(CCTV!B:B,A28,CCTV!E:E)</f>
        <v>15</v>
      </c>
      <c r="N28" s="3">
        <f t="shared" si="1"/>
        <v>0</v>
      </c>
      <c r="O28" s="3"/>
      <c r="P28" s="3">
        <f>SUMIF('data-tel '!B:B,A28,'data-tel '!E:E)</f>
        <v>0</v>
      </c>
      <c r="Q28" s="3">
        <f t="shared" si="0"/>
        <v>0</v>
      </c>
      <c r="R28" s="3">
        <f t="shared" si="2"/>
        <v>0</v>
      </c>
    </row>
    <row r="29" spans="1:18">
      <c r="A29" s="2" t="s">
        <v>314</v>
      </c>
      <c r="B29" s="2" t="s">
        <v>316</v>
      </c>
      <c r="C29" s="2" t="s">
        <v>276</v>
      </c>
      <c r="D29" s="2" t="s">
        <v>4</v>
      </c>
      <c r="E29" s="5" t="s">
        <v>319</v>
      </c>
      <c r="F29" s="1" t="s">
        <v>28</v>
      </c>
      <c r="G29" s="191"/>
      <c r="H29" s="3"/>
      <c r="I29" s="1" t="s">
        <v>3</v>
      </c>
      <c r="J29" s="172"/>
      <c r="K29" s="3"/>
      <c r="M29" s="3">
        <f>SUMIF(CCTV!B:B,A29,CCTV!E:E)</f>
        <v>3</v>
      </c>
      <c r="N29" s="3">
        <f t="shared" si="1"/>
        <v>0</v>
      </c>
      <c r="O29" s="3"/>
      <c r="P29" s="3">
        <f>SUMIF('data-tel '!B:B,A29,'data-tel '!E:E)</f>
        <v>17</v>
      </c>
      <c r="Q29" s="3">
        <f t="shared" si="0"/>
        <v>0</v>
      </c>
      <c r="R29" s="3">
        <f t="shared" si="2"/>
        <v>0</v>
      </c>
    </row>
    <row r="30" spans="1:18">
      <c r="A30" s="2" t="s">
        <v>313</v>
      </c>
      <c r="B30" s="2" t="s">
        <v>224</v>
      </c>
      <c r="C30" s="2" t="s">
        <v>276</v>
      </c>
      <c r="D30" s="2" t="s">
        <v>4</v>
      </c>
      <c r="E30" s="5" t="s">
        <v>319</v>
      </c>
      <c r="F30" s="1" t="s">
        <v>28</v>
      </c>
      <c r="G30" s="191"/>
      <c r="H30" s="3"/>
      <c r="I30" s="1" t="s">
        <v>3</v>
      </c>
      <c r="J30" s="172"/>
      <c r="K30" s="3"/>
      <c r="M30" s="3">
        <f>SUMIF(CCTV!B:B,A30,CCTV!E:E)</f>
        <v>1</v>
      </c>
      <c r="N30" s="3">
        <f t="shared" si="1"/>
        <v>0</v>
      </c>
      <c r="O30" s="3"/>
      <c r="P30" s="3">
        <f>SUMIF('data-tel '!B:B,A30,'data-tel '!E:E)</f>
        <v>2</v>
      </c>
      <c r="Q30" s="3">
        <f t="shared" si="0"/>
        <v>0</v>
      </c>
      <c r="R30" s="3">
        <f t="shared" si="2"/>
        <v>0</v>
      </c>
    </row>
    <row r="31" spans="1:18" s="55" customFormat="1">
      <c r="A31" s="26" t="s">
        <v>318</v>
      </c>
      <c r="B31" s="26" t="s">
        <v>241</v>
      </c>
      <c r="C31" s="5" t="s">
        <v>277</v>
      </c>
      <c r="D31" s="5" t="s">
        <v>4</v>
      </c>
      <c r="E31" s="5" t="s">
        <v>319</v>
      </c>
      <c r="F31" s="25" t="s">
        <v>28</v>
      </c>
      <c r="G31" s="191"/>
      <c r="H31" s="6"/>
      <c r="I31" s="25" t="s">
        <v>3</v>
      </c>
      <c r="J31" s="173"/>
      <c r="K31" s="6"/>
      <c r="M31" s="6">
        <f>SUMIF(CCTV!B:B,A31,CCTV!E:E)</f>
        <v>1</v>
      </c>
      <c r="N31" s="6">
        <f t="shared" si="1"/>
        <v>0</v>
      </c>
      <c r="O31" s="6"/>
      <c r="P31" s="6">
        <f>SUMIF('data-tel '!B:B,A31,'data-tel '!E:E)</f>
        <v>0</v>
      </c>
      <c r="Q31" s="6">
        <f t="shared" si="0"/>
        <v>0</v>
      </c>
      <c r="R31" s="6">
        <f t="shared" si="2"/>
        <v>0</v>
      </c>
    </row>
    <row r="32" spans="1:18">
      <c r="A32" s="2" t="s">
        <v>233</v>
      </c>
      <c r="B32" s="2" t="s">
        <v>234</v>
      </c>
      <c r="C32" s="2" t="s">
        <v>278</v>
      </c>
      <c r="D32" s="2" t="s">
        <v>4</v>
      </c>
      <c r="E32" s="5" t="s">
        <v>319</v>
      </c>
      <c r="F32" s="1" t="s">
        <v>28</v>
      </c>
      <c r="G32" s="191"/>
      <c r="H32" s="3"/>
      <c r="I32" s="1" t="s">
        <v>3</v>
      </c>
      <c r="J32" s="172"/>
      <c r="K32" s="3"/>
      <c r="M32" s="3">
        <f>SUMIF(CCTV!B:B,A32,CCTV!E:E)</f>
        <v>2</v>
      </c>
      <c r="N32" s="3">
        <f t="shared" si="1"/>
        <v>0</v>
      </c>
      <c r="O32" s="3"/>
      <c r="P32" s="3">
        <f>SUMIF('data-tel '!B:B,A32,'data-tel '!E:E)</f>
        <v>0</v>
      </c>
      <c r="Q32" s="3">
        <f>P32*J32</f>
        <v>0</v>
      </c>
      <c r="R32" s="3">
        <f t="shared" si="2"/>
        <v>0</v>
      </c>
    </row>
    <row r="33" spans="1:18">
      <c r="A33" s="2" t="s">
        <v>235</v>
      </c>
      <c r="B33" s="2" t="s">
        <v>236</v>
      </c>
      <c r="C33" s="2" t="s">
        <v>278</v>
      </c>
      <c r="D33" s="2" t="s">
        <v>4</v>
      </c>
      <c r="E33" s="5" t="s">
        <v>319</v>
      </c>
      <c r="F33" s="1" t="s">
        <v>28</v>
      </c>
      <c r="G33" s="191"/>
      <c r="H33" s="3"/>
      <c r="I33" s="1" t="s">
        <v>3</v>
      </c>
      <c r="J33" s="172"/>
      <c r="K33" s="3"/>
      <c r="M33" s="3">
        <f>SUMIF(CCTV!B:B,A33,CCTV!E:E)</f>
        <v>1</v>
      </c>
      <c r="N33" s="3">
        <f t="shared" si="1"/>
        <v>0</v>
      </c>
      <c r="O33" s="3"/>
      <c r="P33" s="3">
        <f>SUMIF('data-tel '!B:B,A33,'data-tel '!E:E)</f>
        <v>1</v>
      </c>
      <c r="Q33" s="3">
        <f t="shared" ref="Q33:Q35" si="4">P33*J33</f>
        <v>0</v>
      </c>
      <c r="R33" s="3">
        <f t="shared" si="2"/>
        <v>0</v>
      </c>
    </row>
    <row r="34" spans="1:18">
      <c r="A34" s="2" t="s">
        <v>237</v>
      </c>
      <c r="B34" s="2" t="s">
        <v>238</v>
      </c>
      <c r="C34" s="2" t="s">
        <v>278</v>
      </c>
      <c r="D34" s="2" t="s">
        <v>4</v>
      </c>
      <c r="E34" s="5" t="s">
        <v>319</v>
      </c>
      <c r="F34" s="1" t="s">
        <v>28</v>
      </c>
      <c r="G34" s="191"/>
      <c r="H34" s="3"/>
      <c r="I34" s="1" t="s">
        <v>3</v>
      </c>
      <c r="J34" s="172"/>
      <c r="K34" s="3"/>
      <c r="M34" s="3">
        <f>SUMIF(CCTV!B:B,A34,CCTV!E:E)</f>
        <v>2</v>
      </c>
      <c r="N34" s="3">
        <f t="shared" si="1"/>
        <v>0</v>
      </c>
      <c r="O34" s="3"/>
      <c r="P34" s="3">
        <f>SUMIF('data-tel '!B:B,A34,'data-tel '!E:E)</f>
        <v>0</v>
      </c>
      <c r="Q34" s="3">
        <f t="shared" si="4"/>
        <v>0</v>
      </c>
      <c r="R34" s="3">
        <f t="shared" si="2"/>
        <v>0</v>
      </c>
    </row>
    <row r="35" spans="1:18">
      <c r="A35" s="2" t="s">
        <v>239</v>
      </c>
      <c r="B35" s="2" t="s">
        <v>240</v>
      </c>
      <c r="C35" s="2"/>
      <c r="D35" s="2" t="s">
        <v>4</v>
      </c>
      <c r="E35" s="5" t="s">
        <v>319</v>
      </c>
      <c r="F35" s="1" t="s">
        <v>28</v>
      </c>
      <c r="G35" s="191"/>
      <c r="H35" s="3"/>
      <c r="I35" s="1" t="s">
        <v>3</v>
      </c>
      <c r="J35" s="172"/>
      <c r="K35" s="3"/>
      <c r="M35" s="3">
        <f>SUMIF(CCTV!B:B,A35,CCTV!E:E)</f>
        <v>0</v>
      </c>
      <c r="N35" s="3">
        <f t="shared" si="1"/>
        <v>0</v>
      </c>
      <c r="O35" s="3"/>
      <c r="P35" s="3">
        <f>SUMIF('data-tel '!B:B,A35,'data-tel '!E:E)</f>
        <v>0</v>
      </c>
      <c r="Q35" s="3">
        <f t="shared" si="4"/>
        <v>0</v>
      </c>
      <c r="R35" s="3">
        <f t="shared" si="2"/>
        <v>0</v>
      </c>
    </row>
    <row r="36" spans="1:18">
      <c r="A36" s="2" t="s">
        <v>225</v>
      </c>
      <c r="B36" s="2" t="s">
        <v>72</v>
      </c>
      <c r="C36" s="2"/>
      <c r="D36" s="2" t="s">
        <v>4</v>
      </c>
      <c r="E36" s="5" t="s">
        <v>319</v>
      </c>
      <c r="F36" s="1" t="s">
        <v>28</v>
      </c>
      <c r="G36" s="191"/>
      <c r="H36" s="3"/>
      <c r="I36" s="1" t="s">
        <v>3</v>
      </c>
      <c r="J36" s="172"/>
      <c r="K36" s="3"/>
      <c r="M36" s="3">
        <f>SUMIF(CCTV!B:B,A36,CCTV!E:E)</f>
        <v>0</v>
      </c>
      <c r="N36" s="3">
        <f t="shared" si="1"/>
        <v>0</v>
      </c>
      <c r="O36" s="3"/>
      <c r="P36" s="3">
        <f>SUMIF('data-tel '!B:B,A36,'data-tel '!E:E)</f>
        <v>0</v>
      </c>
      <c r="Q36" s="3">
        <f t="shared" si="0"/>
        <v>0</v>
      </c>
      <c r="R36" s="3">
        <f t="shared" si="2"/>
        <v>0</v>
      </c>
    </row>
    <row r="37" spans="1:18">
      <c r="A37" s="2" t="s">
        <v>229</v>
      </c>
      <c r="B37" s="2" t="s">
        <v>230</v>
      </c>
      <c r="C37" s="56" t="s">
        <v>294</v>
      </c>
      <c r="D37" s="2" t="s">
        <v>4</v>
      </c>
      <c r="E37" s="5" t="s">
        <v>319</v>
      </c>
      <c r="F37" s="1" t="s">
        <v>28</v>
      </c>
      <c r="G37" s="191"/>
      <c r="H37" s="3"/>
      <c r="I37" s="1" t="s">
        <v>3</v>
      </c>
      <c r="J37" s="172"/>
      <c r="K37" s="3"/>
      <c r="M37" s="3">
        <f>SUMIF(CCTV!B:B,A37,CCTV!E:E)</f>
        <v>0</v>
      </c>
      <c r="N37" s="3">
        <f t="shared" si="1"/>
        <v>0</v>
      </c>
      <c r="O37" s="3"/>
      <c r="P37" s="3">
        <f>SUMIF('data-tel '!B:B,A37,'data-tel '!E:E)</f>
        <v>2</v>
      </c>
      <c r="Q37" s="3">
        <f t="shared" si="0"/>
        <v>0</v>
      </c>
      <c r="R37" s="3">
        <f t="shared" si="2"/>
        <v>0</v>
      </c>
    </row>
    <row r="38" spans="1:18">
      <c r="A38" s="2" t="s">
        <v>29</v>
      </c>
      <c r="B38" s="2" t="s">
        <v>30</v>
      </c>
      <c r="C38" s="2"/>
      <c r="D38" s="2" t="s">
        <v>4</v>
      </c>
      <c r="E38" s="5" t="s">
        <v>319</v>
      </c>
      <c r="F38" s="1" t="s">
        <v>28</v>
      </c>
      <c r="G38" s="191"/>
      <c r="H38" s="3"/>
      <c r="I38" s="1" t="s">
        <v>3</v>
      </c>
      <c r="J38" s="172"/>
      <c r="K38" s="3"/>
      <c r="M38" s="3">
        <f>SUMIF(CCTV!B:B,A38,CCTV!E:E)</f>
        <v>0</v>
      </c>
      <c r="N38" s="3">
        <f t="shared" si="1"/>
        <v>0</v>
      </c>
      <c r="O38" s="3"/>
      <c r="P38" s="3">
        <f>SUMIF('data-tel '!B:B,A38,'data-tel '!E:E)</f>
        <v>2</v>
      </c>
      <c r="Q38" s="3">
        <f t="shared" si="0"/>
        <v>0</v>
      </c>
      <c r="R38" s="3">
        <f t="shared" si="2"/>
        <v>0</v>
      </c>
    </row>
    <row r="39" spans="1:18">
      <c r="A39" s="2" t="s">
        <v>332</v>
      </c>
      <c r="B39" s="2" t="s">
        <v>331</v>
      </c>
      <c r="C39" s="2"/>
      <c r="D39" s="2"/>
      <c r="E39" s="2"/>
      <c r="F39" s="1"/>
      <c r="G39" s="191">
        <v>47</v>
      </c>
      <c r="H39" s="3">
        <f t="shared" si="3"/>
        <v>47</v>
      </c>
      <c r="I39" s="1" t="s">
        <v>51</v>
      </c>
      <c r="J39" s="172"/>
      <c r="K39" s="3"/>
      <c r="M39" s="3">
        <f>SUMIF(CCTV!B:B,A39,CCTV!E:E)</f>
        <v>25</v>
      </c>
      <c r="N39" s="3">
        <f t="shared" si="1"/>
        <v>0</v>
      </c>
      <c r="O39" s="3"/>
      <c r="P39" s="3">
        <f>SUMIF('data-tel '!B:B,A39,'data-tel '!E:E)</f>
        <v>22</v>
      </c>
      <c r="Q39" s="3">
        <f t="shared" ref="Q39:Q71" si="5">P39*J39</f>
        <v>0</v>
      </c>
      <c r="R39" s="3">
        <f t="shared" si="2"/>
        <v>0</v>
      </c>
    </row>
    <row r="40" spans="1:18">
      <c r="A40" s="7"/>
      <c r="B40" s="52" t="s">
        <v>132</v>
      </c>
      <c r="C40" s="52"/>
      <c r="D40" s="8"/>
      <c r="E40" s="8"/>
      <c r="F40" s="8"/>
      <c r="G40" s="191"/>
      <c r="H40" s="9">
        <f t="shared" si="3"/>
        <v>0</v>
      </c>
      <c r="I40" s="8"/>
      <c r="J40" s="174"/>
      <c r="K40" s="9"/>
      <c r="M40" s="9">
        <f>SUMIF(CCTV!B:B,A40,CCTV!E:E)</f>
        <v>0</v>
      </c>
      <c r="N40" s="9">
        <f t="shared" si="1"/>
        <v>0</v>
      </c>
      <c r="O40" s="9"/>
      <c r="P40" s="9">
        <f>SUMIF('data-tel '!B:B,A40,'data-tel '!E:E)</f>
        <v>0</v>
      </c>
      <c r="Q40" s="9">
        <f t="shared" si="5"/>
        <v>0</v>
      </c>
      <c r="R40" s="9">
        <f t="shared" si="2"/>
        <v>0</v>
      </c>
    </row>
    <row r="41" spans="1:18">
      <c r="A41" s="2" t="s">
        <v>115</v>
      </c>
      <c r="B41" s="2" t="s">
        <v>116</v>
      </c>
      <c r="C41" s="2"/>
      <c r="D41" s="2"/>
      <c r="E41" s="5" t="s">
        <v>319</v>
      </c>
      <c r="F41" s="1" t="s">
        <v>28</v>
      </c>
      <c r="G41" s="191">
        <v>2</v>
      </c>
      <c r="H41" s="3">
        <f t="shared" si="3"/>
        <v>2</v>
      </c>
      <c r="I41" s="1" t="s">
        <v>3</v>
      </c>
      <c r="J41" s="172"/>
      <c r="K41" s="3"/>
      <c r="M41" s="3">
        <f>SUMIF(CCTV!B:B,A41,CCTV!E:E)</f>
        <v>0</v>
      </c>
      <c r="N41" s="3">
        <f t="shared" si="1"/>
        <v>0</v>
      </c>
      <c r="O41" s="3"/>
      <c r="P41" s="3">
        <f>SUMIF('data-tel '!B:B,A41,'data-tel '!E:E)</f>
        <v>2</v>
      </c>
      <c r="Q41" s="3">
        <f t="shared" si="5"/>
        <v>0</v>
      </c>
      <c r="R41" s="3">
        <f t="shared" si="2"/>
        <v>0</v>
      </c>
    </row>
    <row r="42" spans="1:18">
      <c r="A42" s="2" t="s">
        <v>117</v>
      </c>
      <c r="B42" s="2" t="s">
        <v>118</v>
      </c>
      <c r="C42" s="2"/>
      <c r="D42" s="2" t="s">
        <v>4</v>
      </c>
      <c r="E42" s="2" t="s">
        <v>5</v>
      </c>
      <c r="F42" s="1" t="s">
        <v>22</v>
      </c>
      <c r="G42" s="191">
        <v>8</v>
      </c>
      <c r="H42" s="3">
        <f t="shared" si="3"/>
        <v>8</v>
      </c>
      <c r="I42" s="1" t="s">
        <v>3</v>
      </c>
      <c r="J42" s="172"/>
      <c r="K42" s="3"/>
      <c r="M42" s="3">
        <f>SUMIF(CCTV!B:B,A42,CCTV!E:E)</f>
        <v>2</v>
      </c>
      <c r="N42" s="3">
        <f t="shared" si="1"/>
        <v>0</v>
      </c>
      <c r="O42" s="3"/>
      <c r="P42" s="3">
        <f>SUMIF('data-tel '!B:B,A42,'data-tel '!E:E)</f>
        <v>6</v>
      </c>
      <c r="Q42" s="3">
        <f t="shared" si="5"/>
        <v>0</v>
      </c>
      <c r="R42" s="3">
        <f t="shared" si="2"/>
        <v>0</v>
      </c>
    </row>
    <row r="43" spans="1:18">
      <c r="A43" s="2" t="s">
        <v>119</v>
      </c>
      <c r="B43" s="2" t="s">
        <v>120</v>
      </c>
      <c r="C43" s="2"/>
      <c r="D43" s="2"/>
      <c r="E43" s="5" t="s">
        <v>319</v>
      </c>
      <c r="F43" s="1" t="s">
        <v>28</v>
      </c>
      <c r="G43" s="191">
        <v>4</v>
      </c>
      <c r="H43" s="3">
        <f t="shared" si="3"/>
        <v>4</v>
      </c>
      <c r="I43" s="1" t="s">
        <v>3</v>
      </c>
      <c r="J43" s="172"/>
      <c r="K43" s="3"/>
      <c r="M43" s="3">
        <f>SUMIF(CCTV!B:B,A43,CCTV!E:E)</f>
        <v>0</v>
      </c>
      <c r="N43" s="3">
        <f t="shared" si="1"/>
        <v>0</v>
      </c>
      <c r="O43" s="3"/>
      <c r="P43" s="3">
        <f>SUMIF('data-tel '!B:B,A43,'data-tel '!E:E)</f>
        <v>4</v>
      </c>
      <c r="Q43" s="3">
        <f t="shared" si="5"/>
        <v>0</v>
      </c>
      <c r="R43" s="3">
        <f t="shared" si="2"/>
        <v>0</v>
      </c>
    </row>
    <row r="44" spans="1:18">
      <c r="A44" s="2" t="s">
        <v>122</v>
      </c>
      <c r="B44" s="2" t="s">
        <v>123</v>
      </c>
      <c r="C44" s="2"/>
      <c r="D44" s="2" t="s">
        <v>4</v>
      </c>
      <c r="E44" s="2" t="s">
        <v>5</v>
      </c>
      <c r="F44" s="1" t="s">
        <v>22</v>
      </c>
      <c r="G44" s="191">
        <v>45</v>
      </c>
      <c r="H44" s="3">
        <f t="shared" si="3"/>
        <v>45</v>
      </c>
      <c r="I44" s="1" t="s">
        <v>3</v>
      </c>
      <c r="J44" s="172"/>
      <c r="K44" s="3"/>
      <c r="M44" s="3">
        <f>SUMIF(CCTV!B:B,A44,CCTV!E:E)</f>
        <v>25</v>
      </c>
      <c r="N44" s="3">
        <f t="shared" si="1"/>
        <v>0</v>
      </c>
      <c r="O44" s="3"/>
      <c r="P44" s="3">
        <f>SUMIF('data-tel '!B:B,A44,'data-tel '!E:E)</f>
        <v>20</v>
      </c>
      <c r="Q44" s="3">
        <f t="shared" si="5"/>
        <v>0</v>
      </c>
      <c r="R44" s="3">
        <f t="shared" si="2"/>
        <v>0</v>
      </c>
    </row>
    <row r="45" spans="1:18">
      <c r="A45" s="10">
        <v>0</v>
      </c>
      <c r="B45" s="3">
        <v>0</v>
      </c>
      <c r="C45" s="3"/>
      <c r="D45" s="3">
        <v>0</v>
      </c>
      <c r="E45" s="3">
        <v>0</v>
      </c>
      <c r="F45" s="3">
        <v>0</v>
      </c>
      <c r="G45" s="191"/>
      <c r="H45" s="3">
        <f t="shared" si="3"/>
        <v>0</v>
      </c>
      <c r="I45" s="3">
        <v>0</v>
      </c>
      <c r="J45" s="172"/>
      <c r="K45" s="3"/>
      <c r="M45" s="3">
        <f>SUMIF(CCTV!B:B,A45,CCTV!E:E)</f>
        <v>0</v>
      </c>
      <c r="N45" s="3">
        <f t="shared" si="1"/>
        <v>0</v>
      </c>
      <c r="O45" s="3"/>
      <c r="P45" s="3">
        <f>SUMIF('data-tel '!B:B,A45,'data-tel '!E:E)</f>
        <v>0</v>
      </c>
      <c r="Q45" s="3">
        <f t="shared" si="5"/>
        <v>0</v>
      </c>
      <c r="R45" s="3">
        <f t="shared" si="2"/>
        <v>0</v>
      </c>
    </row>
    <row r="46" spans="1:18">
      <c r="A46" s="4"/>
      <c r="B46" s="4"/>
      <c r="C46" s="4"/>
      <c r="D46" s="4"/>
      <c r="E46" s="4"/>
      <c r="F46" s="11"/>
      <c r="G46" s="191"/>
      <c r="H46" s="12">
        <f t="shared" si="3"/>
        <v>0</v>
      </c>
      <c r="I46" s="11"/>
      <c r="J46" s="175"/>
      <c r="K46" s="12"/>
      <c r="M46" s="12">
        <f>SUMIF(CCTV!B:B,A46,CCTV!E:E)</f>
        <v>0</v>
      </c>
      <c r="N46" s="12">
        <f t="shared" si="1"/>
        <v>0</v>
      </c>
      <c r="O46" s="12"/>
      <c r="P46" s="12">
        <f>SUMIF('data-tel '!B:B,A46,'data-tel '!E:E)</f>
        <v>0</v>
      </c>
      <c r="Q46" s="12">
        <f t="shared" si="5"/>
        <v>0</v>
      </c>
      <c r="R46" s="12">
        <f t="shared" si="2"/>
        <v>0</v>
      </c>
    </row>
    <row r="47" spans="1:18">
      <c r="A47" s="2" t="s">
        <v>52</v>
      </c>
      <c r="B47" s="2" t="s">
        <v>53</v>
      </c>
      <c r="C47" s="2"/>
      <c r="D47" s="2"/>
      <c r="E47" s="2"/>
      <c r="F47" s="1" t="s">
        <v>55</v>
      </c>
      <c r="G47" s="191">
        <v>1062</v>
      </c>
      <c r="H47" s="3">
        <f t="shared" si="3"/>
        <v>1062</v>
      </c>
      <c r="I47" s="1" t="s">
        <v>54</v>
      </c>
      <c r="J47" s="172"/>
      <c r="K47" s="3"/>
      <c r="M47" s="3">
        <f>SUMIF(CCTV!B:B,A47,CCTV!E:E)</f>
        <v>712</v>
      </c>
      <c r="N47" s="3">
        <f t="shared" si="1"/>
        <v>0</v>
      </c>
      <c r="O47" s="3"/>
      <c r="P47" s="3">
        <f>SUMIF('data-tel '!B:B,A47,'data-tel '!E:E)</f>
        <v>350</v>
      </c>
      <c r="Q47" s="3">
        <f t="shared" si="5"/>
        <v>0</v>
      </c>
      <c r="R47" s="3">
        <f t="shared" si="2"/>
        <v>0</v>
      </c>
    </row>
    <row r="48" spans="1:18">
      <c r="A48" s="2" t="s">
        <v>56</v>
      </c>
      <c r="B48" s="2" t="s">
        <v>57</v>
      </c>
      <c r="C48" s="2"/>
      <c r="D48" s="2"/>
      <c r="E48" s="2"/>
      <c r="F48" s="1" t="s">
        <v>55</v>
      </c>
      <c r="G48" s="191">
        <v>634</v>
      </c>
      <c r="H48" s="3">
        <f t="shared" si="3"/>
        <v>634</v>
      </c>
      <c r="I48" s="1" t="s">
        <v>14</v>
      </c>
      <c r="J48" s="172"/>
      <c r="K48" s="3"/>
      <c r="M48" s="3">
        <f>SUMIF(CCTV!B:B,A48,CCTV!E:E)</f>
        <v>212</v>
      </c>
      <c r="N48" s="3">
        <f t="shared" si="1"/>
        <v>0</v>
      </c>
      <c r="O48" s="3"/>
      <c r="P48" s="3">
        <f>SUMIF('data-tel '!B:B,A48,'data-tel '!E:E)</f>
        <v>422</v>
      </c>
      <c r="Q48" s="3">
        <f t="shared" si="5"/>
        <v>0</v>
      </c>
      <c r="R48" s="3">
        <f t="shared" si="2"/>
        <v>0</v>
      </c>
    </row>
    <row r="49" spans="1:18">
      <c r="A49" s="2" t="s">
        <v>58</v>
      </c>
      <c r="B49" s="2" t="s">
        <v>59</v>
      </c>
      <c r="C49" s="2"/>
      <c r="D49" s="2"/>
      <c r="E49" s="2"/>
      <c r="F49" s="1" t="s">
        <v>61</v>
      </c>
      <c r="G49" s="191">
        <v>1308</v>
      </c>
      <c r="H49" s="3">
        <f t="shared" si="3"/>
        <v>1308</v>
      </c>
      <c r="I49" s="1" t="s">
        <v>60</v>
      </c>
      <c r="J49" s="172"/>
      <c r="K49" s="3"/>
      <c r="M49" s="3">
        <f>SUMIF(CCTV!B:B,A49,CCTV!E:E)</f>
        <v>424</v>
      </c>
      <c r="N49" s="3">
        <f t="shared" si="1"/>
        <v>0</v>
      </c>
      <c r="O49" s="3"/>
      <c r="P49" s="3">
        <f>SUMIF('data-tel '!B:B,A49,'data-tel '!E:E)</f>
        <v>884</v>
      </c>
      <c r="Q49" s="3">
        <f t="shared" si="5"/>
        <v>0</v>
      </c>
      <c r="R49" s="3">
        <f t="shared" si="2"/>
        <v>0</v>
      </c>
    </row>
    <row r="50" spans="1:18">
      <c r="A50" s="2" t="s">
        <v>62</v>
      </c>
      <c r="B50" s="2" t="s">
        <v>63</v>
      </c>
      <c r="C50" s="2"/>
      <c r="D50" s="2"/>
      <c r="E50" s="2"/>
      <c r="F50" s="1" t="s">
        <v>61</v>
      </c>
      <c r="G50" s="191">
        <v>66</v>
      </c>
      <c r="H50" s="3">
        <f t="shared" si="3"/>
        <v>66</v>
      </c>
      <c r="I50" s="1" t="s">
        <v>64</v>
      </c>
      <c r="J50" s="172"/>
      <c r="K50" s="3"/>
      <c r="M50" s="3">
        <f>SUMIF(CCTV!B:B,A50,CCTV!E:E)</f>
        <v>39</v>
      </c>
      <c r="N50" s="3">
        <f t="shared" si="1"/>
        <v>0</v>
      </c>
      <c r="O50" s="3"/>
      <c r="P50" s="3">
        <f>SUMIF('data-tel '!B:B,A50,'data-tel '!E:E)</f>
        <v>27</v>
      </c>
      <c r="Q50" s="3">
        <f t="shared" si="5"/>
        <v>0</v>
      </c>
      <c r="R50" s="3">
        <f t="shared" si="2"/>
        <v>0</v>
      </c>
    </row>
    <row r="51" spans="1:18">
      <c r="A51" s="2" t="s">
        <v>334</v>
      </c>
      <c r="B51" s="2" t="s">
        <v>333</v>
      </c>
      <c r="C51" s="2"/>
      <c r="D51" s="2"/>
      <c r="E51" s="2"/>
      <c r="F51" s="1" t="s">
        <v>111</v>
      </c>
      <c r="G51" s="191">
        <v>50</v>
      </c>
      <c r="H51" s="3">
        <f t="shared" si="3"/>
        <v>50</v>
      </c>
      <c r="I51" s="1" t="s">
        <v>112</v>
      </c>
      <c r="J51" s="172"/>
      <c r="K51" s="3"/>
      <c r="M51" s="3">
        <f>SUMIF(CCTV!B:B,A51,CCTV!E:E)</f>
        <v>0</v>
      </c>
      <c r="N51" s="3">
        <f t="shared" si="1"/>
        <v>0</v>
      </c>
      <c r="O51" s="3"/>
      <c r="P51" s="3">
        <f>SUMIF('data-tel '!B:B,A51,'data-tel '!E:E)</f>
        <v>50</v>
      </c>
      <c r="Q51" s="3">
        <f t="shared" si="5"/>
        <v>0</v>
      </c>
      <c r="R51" s="3">
        <f t="shared" si="2"/>
        <v>0</v>
      </c>
    </row>
    <row r="52" spans="1:18">
      <c r="A52" s="2" t="s">
        <v>336</v>
      </c>
      <c r="B52" s="2" t="s">
        <v>335</v>
      </c>
      <c r="C52" s="2"/>
      <c r="D52" s="2"/>
      <c r="E52" s="2"/>
      <c r="F52" s="1" t="s">
        <v>113</v>
      </c>
      <c r="G52" s="191">
        <v>1</v>
      </c>
      <c r="H52" s="3">
        <f t="shared" si="3"/>
        <v>1</v>
      </c>
      <c r="I52" s="1" t="s">
        <v>114</v>
      </c>
      <c r="J52" s="172"/>
      <c r="K52" s="3"/>
      <c r="M52" s="3">
        <f>SUMIF(CCTV!B:B,A52,CCTV!E:E)</f>
        <v>0</v>
      </c>
      <c r="N52" s="3">
        <f t="shared" si="1"/>
        <v>0</v>
      </c>
      <c r="O52" s="3"/>
      <c r="P52" s="3">
        <f>SUMIF('data-tel '!B:B,A52,'data-tel '!E:E)</f>
        <v>1</v>
      </c>
      <c r="Q52" s="3">
        <f t="shared" si="5"/>
        <v>0</v>
      </c>
      <c r="R52" s="3">
        <f t="shared" si="2"/>
        <v>0</v>
      </c>
    </row>
    <row r="53" spans="1:18">
      <c r="A53" s="2"/>
      <c r="B53" s="2"/>
      <c r="C53" s="2"/>
      <c r="D53" s="2"/>
      <c r="E53" s="2"/>
      <c r="F53" s="1"/>
      <c r="H53" s="3">
        <f t="shared" si="3"/>
        <v>0</v>
      </c>
      <c r="I53" s="1"/>
      <c r="J53" s="172"/>
      <c r="K53" s="3"/>
      <c r="M53" s="3">
        <f>SUMIF(CCTV!B:B,A53,CCTV!E:E)</f>
        <v>0</v>
      </c>
      <c r="N53" s="3">
        <f t="shared" si="1"/>
        <v>0</v>
      </c>
      <c r="O53" s="3"/>
      <c r="P53" s="3">
        <f>SUMIF('data-tel '!B:B,A53,'data-tel '!E:E)</f>
        <v>0</v>
      </c>
      <c r="Q53" s="3">
        <f t="shared" si="5"/>
        <v>0</v>
      </c>
      <c r="R53" s="3">
        <f t="shared" si="2"/>
        <v>0</v>
      </c>
    </row>
    <row r="54" spans="1:18" s="55" customFormat="1">
      <c r="A54" s="178" t="s">
        <v>184</v>
      </c>
      <c r="B54" s="178"/>
      <c r="C54" s="178"/>
      <c r="D54" s="178"/>
      <c r="E54" s="178"/>
      <c r="F54" s="179"/>
      <c r="G54" s="191"/>
      <c r="H54" s="30">
        <f t="shared" si="3"/>
        <v>0</v>
      </c>
      <c r="I54" s="179"/>
      <c r="J54" s="180"/>
      <c r="K54" s="30"/>
      <c r="M54" s="30">
        <f>SUMIF(CCTV!B:B,A54,CCTV!E:E)</f>
        <v>0</v>
      </c>
      <c r="N54" s="30">
        <f t="shared" si="1"/>
        <v>0</v>
      </c>
      <c r="O54" s="30"/>
      <c r="P54" s="30">
        <f>SUMIF('data-tel '!B:B,A54,'data-tel '!E:E)</f>
        <v>0</v>
      </c>
      <c r="Q54" s="30">
        <f t="shared" si="5"/>
        <v>0</v>
      </c>
      <c r="R54" s="30">
        <f t="shared" si="2"/>
        <v>0</v>
      </c>
    </row>
    <row r="55" spans="1:18" s="55" customFormat="1">
      <c r="A55" s="5" t="s">
        <v>178</v>
      </c>
      <c r="B55" s="5" t="s">
        <v>327</v>
      </c>
      <c r="C55" s="5" t="s">
        <v>293</v>
      </c>
      <c r="D55" s="5" t="s">
        <v>143</v>
      </c>
      <c r="E55" s="5" t="s">
        <v>151</v>
      </c>
      <c r="F55" s="25" t="s">
        <v>154</v>
      </c>
      <c r="G55" s="191">
        <v>54</v>
      </c>
      <c r="H55" s="6">
        <f t="shared" si="3"/>
        <v>54</v>
      </c>
      <c r="I55" s="25" t="s">
        <v>159</v>
      </c>
      <c r="J55" s="173"/>
      <c r="K55" s="6"/>
      <c r="M55" s="6">
        <f>SUMIF(CCTV!B:B,A55,CCTV!E:E)</f>
        <v>0</v>
      </c>
      <c r="N55" s="6">
        <f t="shared" si="1"/>
        <v>0</v>
      </c>
      <c r="O55" s="6"/>
      <c r="P55" s="6">
        <f>SUMIF('data-tel '!B:B,A55,'data-tel '!E:E)</f>
        <v>54</v>
      </c>
      <c r="Q55" s="6">
        <f t="shared" si="5"/>
        <v>0</v>
      </c>
      <c r="R55" s="6">
        <f t="shared" si="2"/>
        <v>0</v>
      </c>
    </row>
    <row r="56" spans="1:18" s="55" customFormat="1">
      <c r="A56" s="5" t="s">
        <v>218</v>
      </c>
      <c r="B56" s="5" t="s">
        <v>219</v>
      </c>
      <c r="C56" s="5" t="s">
        <v>279</v>
      </c>
      <c r="D56" s="5" t="s">
        <v>143</v>
      </c>
      <c r="E56" s="5" t="s">
        <v>151</v>
      </c>
      <c r="F56" s="25" t="s">
        <v>154</v>
      </c>
      <c r="G56" s="191">
        <v>13</v>
      </c>
      <c r="H56" s="6">
        <f t="shared" si="3"/>
        <v>13</v>
      </c>
      <c r="I56" s="25" t="s">
        <v>64</v>
      </c>
      <c r="J56" s="173"/>
      <c r="K56" s="6"/>
      <c r="M56" s="6">
        <f>SUMIF(CCTV!B:B,A56,CCTV!E:E)</f>
        <v>0</v>
      </c>
      <c r="N56" s="6">
        <f t="shared" si="1"/>
        <v>0</v>
      </c>
      <c r="O56" s="6"/>
      <c r="P56" s="6">
        <f>SUMIF('data-tel '!B:B,A56,'data-tel '!E:E)</f>
        <v>13</v>
      </c>
      <c r="Q56" s="6">
        <f t="shared" si="5"/>
        <v>0</v>
      </c>
      <c r="R56" s="6">
        <f t="shared" si="2"/>
        <v>0</v>
      </c>
    </row>
    <row r="57" spans="1:18" s="55" customFormat="1">
      <c r="A57" s="5" t="s">
        <v>220</v>
      </c>
      <c r="B57" s="5" t="s">
        <v>221</v>
      </c>
      <c r="C57" s="56" t="s">
        <v>321</v>
      </c>
      <c r="D57" s="5" t="s">
        <v>143</v>
      </c>
      <c r="E57" s="5" t="s">
        <v>151</v>
      </c>
      <c r="F57" s="25" t="s">
        <v>154</v>
      </c>
      <c r="G57" s="191">
        <v>10</v>
      </c>
      <c r="H57" s="181">
        <f t="shared" ref="H57" si="6">M57+P57</f>
        <v>10</v>
      </c>
      <c r="I57" s="25" t="s">
        <v>64</v>
      </c>
      <c r="J57" s="173"/>
      <c r="K57" s="6"/>
      <c r="M57" s="6">
        <f>SUMIF(CCTV!B:B,A57,CCTV!E:E)</f>
        <v>0</v>
      </c>
      <c r="N57" s="6">
        <f t="shared" si="1"/>
        <v>0</v>
      </c>
      <c r="O57" s="6"/>
      <c r="P57" s="6">
        <f>SUMIF('data-tel '!B:B,A57,'data-tel '!E:E)</f>
        <v>10</v>
      </c>
      <c r="Q57" s="6">
        <f t="shared" si="5"/>
        <v>0</v>
      </c>
      <c r="R57" s="6">
        <f t="shared" si="2"/>
        <v>0</v>
      </c>
    </row>
    <row r="58" spans="1:18" s="55" customFormat="1">
      <c r="A58" s="5" t="s">
        <v>216</v>
      </c>
      <c r="B58" s="5" t="s">
        <v>217</v>
      </c>
      <c r="C58" s="182" t="s">
        <v>292</v>
      </c>
      <c r="D58" s="5" t="s">
        <v>143</v>
      </c>
      <c r="E58" s="5" t="s">
        <v>151</v>
      </c>
      <c r="F58" s="25" t="s">
        <v>154</v>
      </c>
      <c r="G58" s="191">
        <v>60</v>
      </c>
      <c r="H58" s="181">
        <f t="shared" si="3"/>
        <v>60</v>
      </c>
      <c r="I58" s="25" t="s">
        <v>64</v>
      </c>
      <c r="J58" s="173"/>
      <c r="K58" s="6"/>
      <c r="M58" s="6">
        <f>SUMIF(CCTV!B:B,A58,CCTV!E:E)</f>
        <v>0</v>
      </c>
      <c r="N58" s="6">
        <f t="shared" si="1"/>
        <v>0</v>
      </c>
      <c r="O58" s="6"/>
      <c r="P58" s="6">
        <f>SUMIF('data-tel '!B:B,A58,'data-tel '!E:E)</f>
        <v>60</v>
      </c>
      <c r="Q58" s="6">
        <f t="shared" si="5"/>
        <v>0</v>
      </c>
      <c r="R58" s="6">
        <f t="shared" si="2"/>
        <v>0</v>
      </c>
    </row>
    <row r="59" spans="1:18" s="55" customFormat="1">
      <c r="A59" s="5" t="s">
        <v>212</v>
      </c>
      <c r="B59" s="5" t="s">
        <v>213</v>
      </c>
      <c r="C59" s="182" t="s">
        <v>291</v>
      </c>
      <c r="D59" s="5" t="s">
        <v>143</v>
      </c>
      <c r="E59" s="5" t="s">
        <v>151</v>
      </c>
      <c r="F59" s="25" t="s">
        <v>154</v>
      </c>
      <c r="G59" s="191">
        <v>42</v>
      </c>
      <c r="H59" s="181">
        <f t="shared" si="3"/>
        <v>42</v>
      </c>
      <c r="I59" s="25" t="s">
        <v>64</v>
      </c>
      <c r="J59" s="173"/>
      <c r="K59" s="6"/>
      <c r="M59" s="6">
        <f>SUMIF(CCTV!B:B,A59,CCTV!E:E)</f>
        <v>0</v>
      </c>
      <c r="N59" s="6">
        <f t="shared" si="1"/>
        <v>0</v>
      </c>
      <c r="O59" s="6"/>
      <c r="P59" s="6">
        <f>SUMIF('data-tel '!B:B,A59,'data-tel '!E:E)</f>
        <v>42</v>
      </c>
      <c r="Q59" s="6">
        <f t="shared" si="5"/>
        <v>0</v>
      </c>
      <c r="R59" s="6">
        <f t="shared" si="2"/>
        <v>0</v>
      </c>
    </row>
    <row r="60" spans="1:18" s="55" customFormat="1">
      <c r="A60" s="5" t="s">
        <v>156</v>
      </c>
      <c r="B60" s="5" t="s">
        <v>157</v>
      </c>
      <c r="C60" s="182" t="s">
        <v>299</v>
      </c>
      <c r="D60" s="5" t="s">
        <v>143</v>
      </c>
      <c r="E60" s="5" t="s">
        <v>151</v>
      </c>
      <c r="F60" s="25" t="s">
        <v>154</v>
      </c>
      <c r="G60" s="191">
        <v>6</v>
      </c>
      <c r="H60" s="181">
        <f t="shared" si="3"/>
        <v>6</v>
      </c>
      <c r="I60" s="25" t="s">
        <v>64</v>
      </c>
      <c r="J60" s="173"/>
      <c r="K60" s="6"/>
      <c r="M60" s="6">
        <f>SUMIF(CCTV!B:B,A60,CCTV!E:E)</f>
        <v>0</v>
      </c>
      <c r="N60" s="6">
        <f t="shared" si="1"/>
        <v>0</v>
      </c>
      <c r="O60" s="6"/>
      <c r="P60" s="6">
        <f>SUMIF('data-tel '!B:B,A60,'data-tel '!E:E)</f>
        <v>6</v>
      </c>
      <c r="Q60" s="6">
        <f t="shared" si="5"/>
        <v>0</v>
      </c>
      <c r="R60" s="6">
        <f t="shared" si="2"/>
        <v>0</v>
      </c>
    </row>
    <row r="61" spans="1:18" s="55" customFormat="1">
      <c r="A61" s="5" t="s">
        <v>214</v>
      </c>
      <c r="B61" s="5" t="s">
        <v>215</v>
      </c>
      <c r="C61" s="5" t="s">
        <v>280</v>
      </c>
      <c r="D61" s="5" t="s">
        <v>143</v>
      </c>
      <c r="E61" s="5" t="s">
        <v>151</v>
      </c>
      <c r="F61" s="25" t="s">
        <v>154</v>
      </c>
      <c r="G61" s="191">
        <v>4</v>
      </c>
      <c r="H61" s="30">
        <f t="shared" si="3"/>
        <v>4</v>
      </c>
      <c r="I61" s="25" t="s">
        <v>64</v>
      </c>
      <c r="J61" s="173"/>
      <c r="K61" s="6"/>
      <c r="M61" s="6">
        <f>SUMIF(CCTV!B:B,A61,CCTV!E:E)</f>
        <v>0</v>
      </c>
      <c r="N61" s="6">
        <f t="shared" si="1"/>
        <v>0</v>
      </c>
      <c r="O61" s="6"/>
      <c r="P61" s="6">
        <f>SUMIF('data-tel '!B:B,A61,'data-tel '!E:E)</f>
        <v>4</v>
      </c>
      <c r="Q61" s="6">
        <f t="shared" si="5"/>
        <v>0</v>
      </c>
      <c r="R61" s="6">
        <f t="shared" si="2"/>
        <v>0</v>
      </c>
    </row>
    <row r="62" spans="1:18" s="55" customFormat="1">
      <c r="A62" s="5" t="s">
        <v>155</v>
      </c>
      <c r="B62" s="5" t="s">
        <v>325</v>
      </c>
      <c r="C62" s="5" t="s">
        <v>284</v>
      </c>
      <c r="D62" s="5" t="s">
        <v>143</v>
      </c>
      <c r="E62" s="5" t="s">
        <v>151</v>
      </c>
      <c r="F62" s="25" t="s">
        <v>154</v>
      </c>
      <c r="G62" s="191">
        <v>6</v>
      </c>
      <c r="H62" s="30">
        <f t="shared" si="3"/>
        <v>6</v>
      </c>
      <c r="I62" s="25" t="s">
        <v>64</v>
      </c>
      <c r="J62" s="173"/>
      <c r="K62" s="6"/>
      <c r="M62" s="6">
        <f>SUMIF(CCTV!B:B,A62,CCTV!E:E)</f>
        <v>0</v>
      </c>
      <c r="N62" s="6">
        <f t="shared" si="1"/>
        <v>0</v>
      </c>
      <c r="O62" s="6"/>
      <c r="P62" s="6">
        <f>SUMIF('data-tel '!B:B,A62,'data-tel '!E:E)</f>
        <v>6</v>
      </c>
      <c r="Q62" s="6">
        <f t="shared" si="5"/>
        <v>0</v>
      </c>
      <c r="R62" s="6">
        <f t="shared" si="2"/>
        <v>0</v>
      </c>
    </row>
    <row r="63" spans="1:18" s="55" customFormat="1">
      <c r="A63" s="5" t="s">
        <v>228</v>
      </c>
      <c r="B63" s="5" t="s">
        <v>324</v>
      </c>
      <c r="C63" s="5" t="s">
        <v>284</v>
      </c>
      <c r="D63" s="5" t="s">
        <v>143</v>
      </c>
      <c r="E63" s="5" t="s">
        <v>151</v>
      </c>
      <c r="F63" s="25" t="s">
        <v>154</v>
      </c>
      <c r="G63" s="191">
        <v>17</v>
      </c>
      <c r="H63" s="30">
        <f t="shared" ref="H63" si="7">M63+P63</f>
        <v>17</v>
      </c>
      <c r="I63" s="25" t="s">
        <v>64</v>
      </c>
      <c r="J63" s="173"/>
      <c r="K63" s="6"/>
      <c r="M63" s="6">
        <f>SUMIF(CCTV!B:B,A63,CCTV!E:E)</f>
        <v>0</v>
      </c>
      <c r="N63" s="6">
        <f t="shared" si="1"/>
        <v>0</v>
      </c>
      <c r="O63" s="6"/>
      <c r="P63" s="6">
        <f>SUMIF('data-tel '!B:B,A63,'data-tel '!E:E)</f>
        <v>17</v>
      </c>
      <c r="Q63" s="6">
        <f t="shared" ref="Q63" si="8">P63*J63</f>
        <v>0</v>
      </c>
      <c r="R63" s="6">
        <f t="shared" si="2"/>
        <v>0</v>
      </c>
    </row>
    <row r="64" spans="1:18" s="55" customFormat="1">
      <c r="A64" s="5" t="s">
        <v>169</v>
      </c>
      <c r="B64" s="5" t="s">
        <v>170</v>
      </c>
      <c r="C64" s="182" t="s">
        <v>300</v>
      </c>
      <c r="D64" s="5" t="s">
        <v>143</v>
      </c>
      <c r="E64" s="5" t="s">
        <v>151</v>
      </c>
      <c r="F64" s="25" t="s">
        <v>154</v>
      </c>
      <c r="G64" s="191">
        <v>4</v>
      </c>
      <c r="H64" s="6">
        <f t="shared" si="3"/>
        <v>4</v>
      </c>
      <c r="I64" s="25" t="s">
        <v>64</v>
      </c>
      <c r="J64" s="173"/>
      <c r="K64" s="6"/>
      <c r="M64" s="6">
        <f>SUMIF(CCTV!B:B,A64,CCTV!E:E)</f>
        <v>0</v>
      </c>
      <c r="N64" s="6">
        <f t="shared" si="1"/>
        <v>0</v>
      </c>
      <c r="O64" s="6"/>
      <c r="P64" s="6">
        <f>SUMIF('data-tel '!B:B,A64,'data-tel '!E:E)</f>
        <v>4</v>
      </c>
      <c r="Q64" s="6">
        <f t="shared" si="5"/>
        <v>0</v>
      </c>
      <c r="R64" s="6">
        <f t="shared" si="2"/>
        <v>0</v>
      </c>
    </row>
    <row r="65" spans="1:18" s="55" customFormat="1">
      <c r="A65" s="5" t="s">
        <v>158</v>
      </c>
      <c r="B65" s="5" t="s">
        <v>183</v>
      </c>
      <c r="C65" s="5" t="s">
        <v>284</v>
      </c>
      <c r="D65" s="5" t="s">
        <v>143</v>
      </c>
      <c r="E65" s="5" t="s">
        <v>151</v>
      </c>
      <c r="F65" s="25" t="s">
        <v>154</v>
      </c>
      <c r="G65" s="191">
        <v>1</v>
      </c>
      <c r="H65" s="30">
        <f t="shared" si="3"/>
        <v>1</v>
      </c>
      <c r="I65" s="25" t="s">
        <v>64</v>
      </c>
      <c r="J65" s="173"/>
      <c r="K65" s="6"/>
      <c r="M65" s="6">
        <f>SUMIF(CCTV!B:B,A65,CCTV!E:E)</f>
        <v>0</v>
      </c>
      <c r="N65" s="6">
        <f t="shared" si="1"/>
        <v>0</v>
      </c>
      <c r="O65" s="6"/>
      <c r="P65" s="6">
        <f>SUMIF('data-tel '!B:B,A65,'data-tel '!E:E)</f>
        <v>1</v>
      </c>
      <c r="Q65" s="6">
        <f t="shared" si="5"/>
        <v>0</v>
      </c>
      <c r="R65" s="6">
        <f t="shared" si="2"/>
        <v>0</v>
      </c>
    </row>
    <row r="66" spans="1:18" s="55" customFormat="1">
      <c r="A66" s="5" t="s">
        <v>152</v>
      </c>
      <c r="B66" s="5" t="s">
        <v>153</v>
      </c>
      <c r="C66" s="182" t="s">
        <v>301</v>
      </c>
      <c r="D66" s="5" t="s">
        <v>143</v>
      </c>
      <c r="E66" s="5" t="s">
        <v>151</v>
      </c>
      <c r="F66" s="25" t="s">
        <v>144</v>
      </c>
      <c r="G66" s="191">
        <v>30</v>
      </c>
      <c r="H66" s="183">
        <f t="shared" si="3"/>
        <v>30</v>
      </c>
      <c r="I66" s="25" t="s">
        <v>64</v>
      </c>
      <c r="J66" s="173"/>
      <c r="K66" s="6"/>
      <c r="M66" s="6">
        <f>SUMIF(CCTV!B:B,A66,CCTV!E:E)</f>
        <v>30</v>
      </c>
      <c r="N66" s="6">
        <f t="shared" si="1"/>
        <v>0</v>
      </c>
      <c r="O66" s="6"/>
      <c r="P66" s="6">
        <f>SUMIF('data-tel '!B:B,A66,'data-tel '!E:E)</f>
        <v>0</v>
      </c>
      <c r="Q66" s="6">
        <f t="shared" si="5"/>
        <v>0</v>
      </c>
      <c r="R66" s="6">
        <f t="shared" si="2"/>
        <v>0</v>
      </c>
    </row>
    <row r="67" spans="1:18" s="55" customFormat="1">
      <c r="A67" s="5" t="s">
        <v>135</v>
      </c>
      <c r="B67" s="5" t="s">
        <v>320</v>
      </c>
      <c r="C67" s="5" t="s">
        <v>281</v>
      </c>
      <c r="D67" s="5" t="s">
        <v>143</v>
      </c>
      <c r="E67" s="5" t="s">
        <v>151</v>
      </c>
      <c r="F67" s="25" t="s">
        <v>144</v>
      </c>
      <c r="G67" s="191">
        <v>2</v>
      </c>
      <c r="H67" s="6">
        <f t="shared" si="3"/>
        <v>2</v>
      </c>
      <c r="I67" s="25" t="s">
        <v>64</v>
      </c>
      <c r="J67" s="173"/>
      <c r="K67" s="6"/>
      <c r="M67" s="6">
        <f>SUMIF(CCTV!B:B,A67,CCTV!E:E)</f>
        <v>2</v>
      </c>
      <c r="N67" s="6">
        <f t="shared" si="1"/>
        <v>0</v>
      </c>
      <c r="O67" s="6"/>
      <c r="P67" s="6">
        <f>SUMIF('data-tel '!B:B,A67,'data-tel '!E:E)</f>
        <v>0</v>
      </c>
      <c r="Q67" s="6">
        <f t="shared" si="5"/>
        <v>0</v>
      </c>
      <c r="R67" s="6">
        <f t="shared" si="2"/>
        <v>0</v>
      </c>
    </row>
    <row r="68" spans="1:18" s="55" customFormat="1">
      <c r="A68" s="5" t="s">
        <v>174</v>
      </c>
      <c r="B68" s="5" t="s">
        <v>175</v>
      </c>
      <c r="C68" s="5"/>
      <c r="D68" s="5" t="s">
        <v>176</v>
      </c>
      <c r="E68" s="5" t="s">
        <v>151</v>
      </c>
      <c r="F68" s="25" t="s">
        <v>207</v>
      </c>
      <c r="G68" s="191">
        <v>1</v>
      </c>
      <c r="H68" s="6">
        <f t="shared" si="3"/>
        <v>1</v>
      </c>
      <c r="I68" s="25" t="s">
        <v>64</v>
      </c>
      <c r="J68" s="173"/>
      <c r="K68" s="6"/>
      <c r="M68" s="6">
        <f>SUMIF(CCTV!B:B,A68,CCTV!E:E)</f>
        <v>0</v>
      </c>
      <c r="N68" s="6">
        <f t="shared" ref="N68:N94" si="9">M68*J68</f>
        <v>0</v>
      </c>
      <c r="O68" s="6"/>
      <c r="P68" s="6">
        <f>SUMIF('data-tel '!B:B,A68,'data-tel '!E:E)</f>
        <v>1</v>
      </c>
      <c r="Q68" s="6">
        <f t="shared" si="5"/>
        <v>0</v>
      </c>
      <c r="R68" s="6">
        <f t="shared" ref="R68:R94" si="10">J68*P68</f>
        <v>0</v>
      </c>
    </row>
    <row r="69" spans="1:18" s="186" customFormat="1">
      <c r="A69" s="56" t="s">
        <v>303</v>
      </c>
      <c r="B69" s="56" t="s">
        <v>304</v>
      </c>
      <c r="C69" s="56"/>
      <c r="D69" s="56" t="s">
        <v>176</v>
      </c>
      <c r="E69" s="56" t="s">
        <v>151</v>
      </c>
      <c r="F69" s="184" t="s">
        <v>207</v>
      </c>
      <c r="G69" s="191">
        <v>7</v>
      </c>
      <c r="H69" s="183">
        <f t="shared" ref="H69" si="11">M69+P69</f>
        <v>7</v>
      </c>
      <c r="I69" s="184" t="s">
        <v>64</v>
      </c>
      <c r="J69" s="185"/>
      <c r="K69" s="183"/>
      <c r="M69" s="183">
        <f>SUMIF(CCTV!B:B,A69,CCTV!E:E)</f>
        <v>7</v>
      </c>
      <c r="N69" s="183">
        <f t="shared" si="9"/>
        <v>0</v>
      </c>
      <c r="O69" s="183"/>
      <c r="P69" s="183">
        <f>SUMIF('data-tel '!B:B,A69,'data-tel '!E:E)</f>
        <v>0</v>
      </c>
      <c r="Q69" s="183">
        <f t="shared" ref="Q69" si="12">P69*J69</f>
        <v>0</v>
      </c>
      <c r="R69" s="183">
        <f t="shared" si="10"/>
        <v>0</v>
      </c>
    </row>
    <row r="70" spans="1:18" s="55" customFormat="1">
      <c r="A70" s="5" t="s">
        <v>328</v>
      </c>
      <c r="B70" s="5" t="s">
        <v>329</v>
      </c>
      <c r="C70" s="5" t="s">
        <v>282</v>
      </c>
      <c r="D70" s="5" t="s">
        <v>143</v>
      </c>
      <c r="E70" s="5" t="s">
        <v>151</v>
      </c>
      <c r="F70" s="25" t="s">
        <v>154</v>
      </c>
      <c r="G70" s="191">
        <v>4</v>
      </c>
      <c r="H70" s="6">
        <f t="shared" si="3"/>
        <v>4</v>
      </c>
      <c r="I70" s="25"/>
      <c r="J70" s="173"/>
      <c r="K70" s="6"/>
      <c r="M70" s="6">
        <f>SUMIF(CCTV!B:B,A70,CCTV!E:E)</f>
        <v>0</v>
      </c>
      <c r="N70" s="6">
        <f t="shared" si="9"/>
        <v>0</v>
      </c>
      <c r="O70" s="6"/>
      <c r="P70" s="6">
        <f>SUMIF('data-tel '!B:B,A70,'data-tel '!E:E)</f>
        <v>4</v>
      </c>
      <c r="Q70" s="6">
        <f t="shared" si="5"/>
        <v>0</v>
      </c>
      <c r="R70" s="6">
        <f t="shared" si="10"/>
        <v>0</v>
      </c>
    </row>
    <row r="71" spans="1:18" s="55" customFormat="1">
      <c r="A71" s="5" t="s">
        <v>171</v>
      </c>
      <c r="B71" s="5" t="s">
        <v>172</v>
      </c>
      <c r="C71" s="5" t="s">
        <v>283</v>
      </c>
      <c r="D71" s="5" t="s">
        <v>143</v>
      </c>
      <c r="E71" s="5" t="s">
        <v>151</v>
      </c>
      <c r="F71" s="25" t="s">
        <v>154</v>
      </c>
      <c r="G71" s="191">
        <v>2</v>
      </c>
      <c r="H71" s="6">
        <f t="shared" si="3"/>
        <v>2</v>
      </c>
      <c r="I71" s="25"/>
      <c r="J71" s="173"/>
      <c r="K71" s="6"/>
      <c r="M71" s="6">
        <f>SUMIF(CCTV!B:B,A71,CCTV!E:E)</f>
        <v>0</v>
      </c>
      <c r="N71" s="6">
        <f t="shared" si="9"/>
        <v>0</v>
      </c>
      <c r="O71" s="6"/>
      <c r="P71" s="6">
        <f>SUMIF('data-tel '!B:B,A71,'data-tel '!E:E)</f>
        <v>2</v>
      </c>
      <c r="Q71" s="6">
        <f t="shared" si="5"/>
        <v>0</v>
      </c>
      <c r="R71" s="6">
        <f t="shared" si="10"/>
        <v>0</v>
      </c>
    </row>
    <row r="72" spans="1:18" s="55" customFormat="1">
      <c r="A72" s="5" t="s">
        <v>177</v>
      </c>
      <c r="B72" s="2" t="s">
        <v>326</v>
      </c>
      <c r="C72" s="5" t="s">
        <v>284</v>
      </c>
      <c r="D72" s="5" t="s">
        <v>143</v>
      </c>
      <c r="E72" s="5" t="s">
        <v>151</v>
      </c>
      <c r="F72" s="25" t="s">
        <v>154</v>
      </c>
      <c r="G72" s="191">
        <v>39</v>
      </c>
      <c r="H72" s="6">
        <f t="shared" si="3"/>
        <v>39</v>
      </c>
      <c r="I72" s="25" t="s">
        <v>159</v>
      </c>
      <c r="J72" s="173"/>
      <c r="K72" s="6"/>
      <c r="M72" s="6">
        <f>SUMIF(CCTV!B:B,A72,CCTV!E:E)</f>
        <v>0</v>
      </c>
      <c r="N72" s="6">
        <f t="shared" si="9"/>
        <v>0</v>
      </c>
      <c r="O72" s="6"/>
      <c r="P72" s="6">
        <f>SUMIF('data-tel '!B:B,A72,'data-tel '!E:E)</f>
        <v>39</v>
      </c>
      <c r="Q72" s="6">
        <f t="shared" ref="Q72:Q94" si="13">P72*J72</f>
        <v>0</v>
      </c>
      <c r="R72" s="6">
        <f t="shared" si="10"/>
        <v>0</v>
      </c>
    </row>
    <row r="73" spans="1:18" s="55" customFormat="1">
      <c r="A73" s="5" t="s">
        <v>322</v>
      </c>
      <c r="B73" s="189" t="s">
        <v>323</v>
      </c>
      <c r="C73" s="5" t="s">
        <v>284</v>
      </c>
      <c r="D73" s="5" t="s">
        <v>143</v>
      </c>
      <c r="E73" s="5" t="s">
        <v>151</v>
      </c>
      <c r="F73" s="25" t="s">
        <v>154</v>
      </c>
      <c r="G73" s="191">
        <v>4</v>
      </c>
      <c r="H73" s="6">
        <f t="shared" si="3"/>
        <v>4</v>
      </c>
      <c r="I73" s="25" t="s">
        <v>159</v>
      </c>
      <c r="J73" s="173"/>
      <c r="K73" s="6"/>
      <c r="M73" s="6">
        <f>SUMIF(CCTV!B:B,A73,CCTV!E:E)</f>
        <v>0</v>
      </c>
      <c r="N73" s="6">
        <f t="shared" si="9"/>
        <v>0</v>
      </c>
      <c r="O73" s="6"/>
      <c r="P73" s="6">
        <f>SUMIF('data-tel '!B:B,A73,'data-tel '!E:E)</f>
        <v>4</v>
      </c>
      <c r="Q73" s="6">
        <f t="shared" si="13"/>
        <v>0</v>
      </c>
      <c r="R73" s="6">
        <f t="shared" si="10"/>
        <v>0</v>
      </c>
    </row>
    <row r="74" spans="1:18" s="55" customFormat="1">
      <c r="A74" s="5" t="s">
        <v>141</v>
      </c>
      <c r="B74" s="5" t="s">
        <v>142</v>
      </c>
      <c r="C74" s="182" t="s">
        <v>302</v>
      </c>
      <c r="D74" s="5" t="s">
        <v>143</v>
      </c>
      <c r="E74" s="5" t="s">
        <v>151</v>
      </c>
      <c r="F74" s="25" t="s">
        <v>144</v>
      </c>
      <c r="G74" s="191">
        <v>2</v>
      </c>
      <c r="H74" s="6">
        <f t="shared" si="3"/>
        <v>2</v>
      </c>
      <c r="I74" s="25" t="s">
        <v>64</v>
      </c>
      <c r="J74" s="173"/>
      <c r="K74" s="6"/>
      <c r="M74" s="6">
        <f>SUMIF(CCTV!B:B,A74,CCTV!E:E)</f>
        <v>2</v>
      </c>
      <c r="N74" s="6">
        <f t="shared" si="9"/>
        <v>0</v>
      </c>
      <c r="O74" s="6"/>
      <c r="P74" s="6">
        <f>SUMIF('data-tel '!B:B,A74,'data-tel '!E:E)</f>
        <v>0</v>
      </c>
      <c r="Q74" s="6">
        <f t="shared" si="13"/>
        <v>0</v>
      </c>
      <c r="R74" s="6">
        <f t="shared" si="10"/>
        <v>0</v>
      </c>
    </row>
    <row r="75" spans="1:18" s="55" customFormat="1">
      <c r="A75" s="5" t="s">
        <v>137</v>
      </c>
      <c r="B75" s="5" t="s">
        <v>138</v>
      </c>
      <c r="C75" s="5" t="s">
        <v>284</v>
      </c>
      <c r="D75" s="5" t="s">
        <v>143</v>
      </c>
      <c r="E75" s="5" t="s">
        <v>151</v>
      </c>
      <c r="F75" s="25" t="s">
        <v>144</v>
      </c>
      <c r="G75" s="191">
        <v>74</v>
      </c>
      <c r="H75" s="30">
        <f t="shared" si="3"/>
        <v>74</v>
      </c>
      <c r="I75" s="25" t="s">
        <v>64</v>
      </c>
      <c r="J75" s="173"/>
      <c r="K75" s="6"/>
      <c r="M75" s="6">
        <f>SUMIF(CCTV!B:B,A75,CCTV!E:E)</f>
        <v>74</v>
      </c>
      <c r="N75" s="6">
        <f t="shared" si="9"/>
        <v>0</v>
      </c>
      <c r="O75" s="6"/>
      <c r="P75" s="6">
        <f>SUMIF('data-tel '!B:B,A75,'data-tel '!E:E)</f>
        <v>0</v>
      </c>
      <c r="Q75" s="6">
        <f t="shared" si="13"/>
        <v>0</v>
      </c>
      <c r="R75" s="6">
        <f t="shared" si="10"/>
        <v>0</v>
      </c>
    </row>
    <row r="76" spans="1:18" s="55" customFormat="1">
      <c r="A76" s="5" t="s">
        <v>139</v>
      </c>
      <c r="B76" s="5" t="s">
        <v>140</v>
      </c>
      <c r="C76" s="5"/>
      <c r="D76" s="5" t="s">
        <v>143</v>
      </c>
      <c r="E76" s="5" t="s">
        <v>151</v>
      </c>
      <c r="F76" s="25" t="s">
        <v>144</v>
      </c>
      <c r="H76" s="6">
        <f t="shared" ref="H76:H91" si="14">M76+P76</f>
        <v>0</v>
      </c>
      <c r="I76" s="25" t="s">
        <v>64</v>
      </c>
      <c r="J76" s="173"/>
      <c r="K76" s="6"/>
      <c r="M76" s="6">
        <f>SUMIF(CCTV!B:B,A76,CCTV!E:E)</f>
        <v>0</v>
      </c>
      <c r="N76" s="6">
        <f t="shared" si="9"/>
        <v>0</v>
      </c>
      <c r="O76" s="6"/>
      <c r="P76" s="6">
        <f>SUMIF('data-tel '!B:B,A76,'data-tel '!E:E)</f>
        <v>0</v>
      </c>
      <c r="Q76" s="6">
        <f t="shared" si="13"/>
        <v>0</v>
      </c>
      <c r="R76" s="6">
        <f t="shared" si="10"/>
        <v>0</v>
      </c>
    </row>
    <row r="77" spans="1:18" s="55" customFormat="1">
      <c r="A77" s="5" t="s">
        <v>181</v>
      </c>
      <c r="B77" s="5" t="s">
        <v>179</v>
      </c>
      <c r="C77" s="5" t="s">
        <v>284</v>
      </c>
      <c r="D77" s="5"/>
      <c r="E77" s="5"/>
      <c r="F77" s="25"/>
      <c r="G77" s="191">
        <v>1</v>
      </c>
      <c r="H77" s="6">
        <f t="shared" si="14"/>
        <v>1</v>
      </c>
      <c r="I77" s="25"/>
      <c r="J77" s="173"/>
      <c r="K77" s="6"/>
      <c r="M77" s="6">
        <f>SUMIF(CCTV!B:B,A77,CCTV!E:E)</f>
        <v>0</v>
      </c>
      <c r="N77" s="6">
        <f t="shared" si="9"/>
        <v>0</v>
      </c>
      <c r="O77" s="6"/>
      <c r="P77" s="6">
        <f>SUMIF('data-tel '!B:B,A77,'data-tel '!E:E)</f>
        <v>1</v>
      </c>
      <c r="Q77" s="6">
        <f t="shared" si="13"/>
        <v>0</v>
      </c>
      <c r="R77" s="6">
        <f t="shared" si="10"/>
        <v>0</v>
      </c>
    </row>
    <row r="78" spans="1:18" s="55" customFormat="1">
      <c r="A78" s="5" t="s">
        <v>182</v>
      </c>
      <c r="B78" s="5" t="s">
        <v>180</v>
      </c>
      <c r="C78" s="5" t="s">
        <v>284</v>
      </c>
      <c r="D78" s="5"/>
      <c r="E78" s="5"/>
      <c r="F78" s="25"/>
      <c r="G78" s="191">
        <v>1</v>
      </c>
      <c r="H78" s="6">
        <f t="shared" si="14"/>
        <v>1</v>
      </c>
      <c r="I78" s="25"/>
      <c r="J78" s="173"/>
      <c r="K78" s="6"/>
      <c r="M78" s="6">
        <f>SUMIF(CCTV!B:B,A78,CCTV!E:E)</f>
        <v>0</v>
      </c>
      <c r="N78" s="6">
        <f t="shared" si="9"/>
        <v>0</v>
      </c>
      <c r="O78" s="6"/>
      <c r="P78" s="6">
        <f>SUMIF('data-tel '!B:B,A78,'data-tel '!E:E)</f>
        <v>1</v>
      </c>
      <c r="Q78" s="6">
        <f t="shared" si="13"/>
        <v>0</v>
      </c>
      <c r="R78" s="6">
        <f t="shared" si="10"/>
        <v>0</v>
      </c>
    </row>
    <row r="79" spans="1:18">
      <c r="A79" s="2" t="s">
        <v>192</v>
      </c>
      <c r="B79" s="2" t="s">
        <v>305</v>
      </c>
      <c r="C79" s="56" t="s">
        <v>288</v>
      </c>
      <c r="D79" s="2"/>
      <c r="E79" s="2" t="s">
        <v>203</v>
      </c>
      <c r="F79" s="1" t="s">
        <v>205</v>
      </c>
      <c r="G79" s="191">
        <v>2</v>
      </c>
      <c r="H79" s="3">
        <f t="shared" si="14"/>
        <v>2</v>
      </c>
      <c r="I79" s="1"/>
      <c r="J79" s="172"/>
      <c r="K79" s="3"/>
      <c r="M79" s="3">
        <f>SUMIF(CCTV!B:B,A79,CCTV!E:E)</f>
        <v>1</v>
      </c>
      <c r="N79" s="3">
        <f t="shared" si="9"/>
        <v>0</v>
      </c>
      <c r="O79" s="3"/>
      <c r="P79" s="3">
        <f>SUMIF('data-tel '!B:B,A79,'data-tel '!E:E)</f>
        <v>1</v>
      </c>
      <c r="Q79" s="3">
        <f t="shared" si="13"/>
        <v>0</v>
      </c>
      <c r="R79" s="3">
        <f t="shared" si="10"/>
        <v>0</v>
      </c>
    </row>
    <row r="80" spans="1:18">
      <c r="A80" s="4"/>
      <c r="B80" s="4"/>
      <c r="C80" s="4"/>
      <c r="D80" s="4"/>
      <c r="E80" s="4"/>
      <c r="F80" s="11"/>
      <c r="H80" s="12">
        <f t="shared" si="14"/>
        <v>0</v>
      </c>
      <c r="I80" s="11"/>
      <c r="J80" s="175"/>
      <c r="K80" s="12"/>
      <c r="M80" s="12">
        <f>SUMIF(CCTV!B:B,A80,CCTV!E:E)</f>
        <v>0</v>
      </c>
      <c r="N80" s="12">
        <f t="shared" si="9"/>
        <v>0</v>
      </c>
      <c r="O80" s="12"/>
      <c r="P80" s="12">
        <f>SUMIF('data-tel '!B:B,A80,'data-tel '!E:E)</f>
        <v>0</v>
      </c>
      <c r="Q80" s="12">
        <f t="shared" ref="Q80:Q86" si="15">P80*J80</f>
        <v>0</v>
      </c>
      <c r="R80" s="12">
        <f t="shared" si="10"/>
        <v>0</v>
      </c>
    </row>
    <row r="81" spans="1:18">
      <c r="A81" s="168" t="s">
        <v>337</v>
      </c>
      <c r="B81" s="168" t="s">
        <v>338</v>
      </c>
      <c r="C81" s="193" t="s">
        <v>298</v>
      </c>
      <c r="D81" s="169" t="s">
        <v>3</v>
      </c>
      <c r="E81" s="170" t="s">
        <v>242</v>
      </c>
      <c r="F81" s="171" t="s">
        <v>205</v>
      </c>
      <c r="G81" s="191">
        <v>10</v>
      </c>
      <c r="H81" s="3">
        <f t="shared" si="14"/>
        <v>10</v>
      </c>
      <c r="I81" s="1"/>
      <c r="J81" s="172"/>
      <c r="K81" s="3"/>
      <c r="M81" s="3">
        <f>SUMIF(CCTV!B:B,A81,CCTV!E:E)</f>
        <v>0</v>
      </c>
      <c r="N81" s="3">
        <f t="shared" si="9"/>
        <v>0</v>
      </c>
      <c r="O81" s="3"/>
      <c r="P81" s="3">
        <f>SUMIF('data-tel '!B:B,A81,'data-tel '!E:E)</f>
        <v>10</v>
      </c>
      <c r="Q81" s="3">
        <f t="shared" si="15"/>
        <v>0</v>
      </c>
      <c r="R81" s="3">
        <f t="shared" si="10"/>
        <v>0</v>
      </c>
    </row>
    <row r="82" spans="1:18">
      <c r="A82" s="168" t="s">
        <v>243</v>
      </c>
      <c r="B82" s="168" t="s">
        <v>244</v>
      </c>
      <c r="C82" s="194"/>
      <c r="D82" s="169" t="s">
        <v>3</v>
      </c>
      <c r="E82" s="170" t="s">
        <v>245</v>
      </c>
      <c r="F82" s="171" t="s">
        <v>246</v>
      </c>
      <c r="G82" s="191">
        <v>10</v>
      </c>
      <c r="H82" s="3">
        <f t="shared" si="14"/>
        <v>10</v>
      </c>
      <c r="I82" s="1"/>
      <c r="J82" s="172"/>
      <c r="K82" s="3"/>
      <c r="M82" s="3">
        <f>SUMIF(CCTV!B:B,A82,CCTV!E:E)</f>
        <v>0</v>
      </c>
      <c r="N82" s="3">
        <f t="shared" si="9"/>
        <v>0</v>
      </c>
      <c r="O82" s="3"/>
      <c r="P82" s="3">
        <f>SUMIF('data-tel '!B:B,A82,'data-tel '!E:E)</f>
        <v>10</v>
      </c>
      <c r="Q82" s="3">
        <f t="shared" si="15"/>
        <v>0</v>
      </c>
      <c r="R82" s="3">
        <f t="shared" si="10"/>
        <v>0</v>
      </c>
    </row>
    <row r="83" spans="1:18">
      <c r="A83" s="168" t="s">
        <v>247</v>
      </c>
      <c r="B83" s="168" t="s">
        <v>248</v>
      </c>
      <c r="C83" s="194"/>
      <c r="D83" s="169" t="s">
        <v>3</v>
      </c>
      <c r="E83" s="170" t="s">
        <v>245</v>
      </c>
      <c r="F83" s="171" t="s">
        <v>246</v>
      </c>
      <c r="G83" s="191">
        <v>20</v>
      </c>
      <c r="H83" s="3">
        <f t="shared" si="14"/>
        <v>20</v>
      </c>
      <c r="I83" s="1"/>
      <c r="J83" s="172"/>
      <c r="K83" s="3"/>
      <c r="M83" s="3">
        <f>SUMIF(CCTV!B:B,A83,CCTV!E:E)</f>
        <v>0</v>
      </c>
      <c r="N83" s="3">
        <f t="shared" si="9"/>
        <v>0</v>
      </c>
      <c r="O83" s="3"/>
      <c r="P83" s="3">
        <f>SUMIF('data-tel '!B:B,A83,'data-tel '!E:E)</f>
        <v>20</v>
      </c>
      <c r="Q83" s="3">
        <f t="shared" si="15"/>
        <v>0</v>
      </c>
      <c r="R83" s="3">
        <f t="shared" si="10"/>
        <v>0</v>
      </c>
    </row>
    <row r="84" spans="1:18">
      <c r="A84" s="168" t="s">
        <v>249</v>
      </c>
      <c r="B84" s="168" t="s">
        <v>250</v>
      </c>
      <c r="C84" s="194"/>
      <c r="D84" s="169" t="s">
        <v>15</v>
      </c>
      <c r="E84" s="170" t="s">
        <v>251</v>
      </c>
      <c r="F84" s="171" t="s">
        <v>246</v>
      </c>
      <c r="G84" s="191">
        <v>10</v>
      </c>
      <c r="H84" s="3">
        <f t="shared" si="14"/>
        <v>10</v>
      </c>
      <c r="I84" s="1"/>
      <c r="J84" s="172"/>
      <c r="K84" s="3"/>
      <c r="M84" s="3">
        <f>SUMIF(CCTV!B:B,A84,CCTV!E:E)</f>
        <v>0</v>
      </c>
      <c r="N84" s="3">
        <f t="shared" si="9"/>
        <v>0</v>
      </c>
      <c r="O84" s="3"/>
      <c r="P84" s="3">
        <f>SUMIF('data-tel '!B:B,A84,'data-tel '!E:E)</f>
        <v>10</v>
      </c>
      <c r="Q84" s="3">
        <f t="shared" si="15"/>
        <v>0</v>
      </c>
      <c r="R84" s="3">
        <f t="shared" si="10"/>
        <v>0</v>
      </c>
    </row>
    <row r="85" spans="1:18">
      <c r="A85" s="168" t="s">
        <v>253</v>
      </c>
      <c r="B85" s="168" t="s">
        <v>254</v>
      </c>
      <c r="C85" s="194"/>
      <c r="D85" s="169" t="s">
        <v>3</v>
      </c>
      <c r="E85" s="170" t="s">
        <v>251</v>
      </c>
      <c r="F85" s="171"/>
      <c r="H85" s="31">
        <f t="shared" si="14"/>
        <v>0</v>
      </c>
      <c r="I85" s="1"/>
      <c r="J85" s="172"/>
      <c r="K85" s="3"/>
      <c r="M85" s="3">
        <f>SUMIF(CCTV!B:B,A85,CCTV!E:E)</f>
        <v>0</v>
      </c>
      <c r="N85" s="3">
        <f t="shared" si="9"/>
        <v>0</v>
      </c>
      <c r="O85" s="3"/>
      <c r="P85" s="3">
        <f>SUMIF('data-tel '!B:B,A85,'data-tel '!E:E)</f>
        <v>0</v>
      </c>
      <c r="Q85" s="3">
        <f t="shared" si="15"/>
        <v>0</v>
      </c>
      <c r="R85" s="3">
        <f t="shared" si="10"/>
        <v>0</v>
      </c>
    </row>
    <row r="86" spans="1:18">
      <c r="A86" s="168" t="s">
        <v>255</v>
      </c>
      <c r="B86" s="168" t="s">
        <v>256</v>
      </c>
      <c r="C86" s="194"/>
      <c r="D86" s="169" t="s">
        <v>3</v>
      </c>
      <c r="E86" s="170" t="s">
        <v>251</v>
      </c>
      <c r="F86" s="171"/>
      <c r="G86" s="191">
        <v>20</v>
      </c>
      <c r="H86" s="3">
        <f t="shared" si="14"/>
        <v>20</v>
      </c>
      <c r="I86" s="1"/>
      <c r="J86" s="172"/>
      <c r="K86" s="3"/>
      <c r="M86" s="3">
        <f>SUMIF(CCTV!B:B,A86,CCTV!E:E)</f>
        <v>0</v>
      </c>
      <c r="N86" s="3">
        <f t="shared" si="9"/>
        <v>0</v>
      </c>
      <c r="O86" s="3"/>
      <c r="P86" s="3">
        <f>SUMIF('data-tel '!B:B,A86,'data-tel '!E:E)</f>
        <v>20</v>
      </c>
      <c r="Q86" s="3">
        <f t="shared" si="15"/>
        <v>0</v>
      </c>
      <c r="R86" s="3">
        <f t="shared" si="10"/>
        <v>0</v>
      </c>
    </row>
    <row r="87" spans="1:18">
      <c r="A87" s="168" t="s">
        <v>257</v>
      </c>
      <c r="B87" s="168" t="s">
        <v>258</v>
      </c>
      <c r="C87" s="194"/>
      <c r="D87" s="169" t="s">
        <v>3</v>
      </c>
      <c r="E87" s="170" t="s">
        <v>251</v>
      </c>
      <c r="F87" s="171" t="s">
        <v>246</v>
      </c>
      <c r="H87" s="3">
        <f t="shared" ref="H87:H89" si="16">M87+P87</f>
        <v>0</v>
      </c>
      <c r="I87" s="1"/>
      <c r="J87" s="172"/>
      <c r="K87" s="3"/>
      <c r="M87" s="3">
        <f>SUMIF(CCTV!B:B,A87,CCTV!E:E)</f>
        <v>0</v>
      </c>
      <c r="N87" s="3">
        <f t="shared" si="9"/>
        <v>0</v>
      </c>
      <c r="O87" s="3"/>
      <c r="P87" s="3">
        <f>SUMIF('data-tel '!B:B,A87,'data-tel '!E:E)</f>
        <v>0</v>
      </c>
      <c r="Q87" s="3">
        <f t="shared" ref="Q87:Q89" si="17">P87*J87</f>
        <v>0</v>
      </c>
      <c r="R87" s="3">
        <f t="shared" si="10"/>
        <v>0</v>
      </c>
    </row>
    <row r="88" spans="1:18">
      <c r="A88" s="168" t="s">
        <v>340</v>
      </c>
      <c r="B88" s="168" t="s">
        <v>339</v>
      </c>
      <c r="C88" s="195"/>
      <c r="D88" s="169" t="s">
        <v>64</v>
      </c>
      <c r="E88" s="170"/>
      <c r="F88" s="171" t="s">
        <v>61</v>
      </c>
      <c r="G88" s="191">
        <v>10</v>
      </c>
      <c r="H88" s="3">
        <f t="shared" si="16"/>
        <v>10</v>
      </c>
      <c r="I88" s="1"/>
      <c r="J88" s="172"/>
      <c r="K88" s="3"/>
      <c r="M88" s="3">
        <f>SUMIF(CCTV!B:B,A88,CCTV!E:E)</f>
        <v>0</v>
      </c>
      <c r="N88" s="3">
        <f t="shared" si="9"/>
        <v>0</v>
      </c>
      <c r="O88" s="3"/>
      <c r="P88" s="3">
        <f>SUMIF('data-tel '!B:B,A88,'data-tel '!E:E)</f>
        <v>10</v>
      </c>
      <c r="Q88" s="3">
        <f t="shared" si="17"/>
        <v>0</v>
      </c>
      <c r="R88" s="3">
        <f t="shared" si="10"/>
        <v>0</v>
      </c>
    </row>
    <row r="89" spans="1:18">
      <c r="A89" s="4"/>
      <c r="B89" s="4"/>
      <c r="C89" s="4"/>
      <c r="D89" s="4"/>
      <c r="E89" s="4"/>
      <c r="F89" s="11"/>
      <c r="H89" s="12">
        <f t="shared" si="16"/>
        <v>0</v>
      </c>
      <c r="I89" s="11"/>
      <c r="J89" s="175"/>
      <c r="K89" s="12"/>
      <c r="M89" s="12">
        <f>SUMIF(CCTV!B:B,A89,CCTV!E:E)</f>
        <v>0</v>
      </c>
      <c r="N89" s="12">
        <f t="shared" si="9"/>
        <v>0</v>
      </c>
      <c r="O89" s="12"/>
      <c r="P89" s="12">
        <f>SUMIF('data-tel '!B:B,A89,'data-tel '!E:E)</f>
        <v>0</v>
      </c>
      <c r="Q89" s="12">
        <f t="shared" si="17"/>
        <v>0</v>
      </c>
      <c r="R89" s="12">
        <f t="shared" si="10"/>
        <v>0</v>
      </c>
    </row>
    <row r="90" spans="1:18">
      <c r="A90" s="2" t="s">
        <v>341</v>
      </c>
      <c r="B90" s="2" t="s">
        <v>342</v>
      </c>
      <c r="C90" s="5" t="s">
        <v>287</v>
      </c>
      <c r="D90" s="2"/>
      <c r="E90" s="2" t="s">
        <v>203</v>
      </c>
      <c r="F90" s="1" t="s">
        <v>205</v>
      </c>
      <c r="G90" s="191">
        <v>4</v>
      </c>
      <c r="H90" s="3">
        <f t="shared" si="14"/>
        <v>4</v>
      </c>
      <c r="I90" s="1"/>
      <c r="J90" s="172"/>
      <c r="K90" s="3"/>
      <c r="M90" s="3">
        <f>SUMIF(CCTV!B:B,A90,CCTV!E:E)</f>
        <v>2</v>
      </c>
      <c r="N90" s="3">
        <f t="shared" si="9"/>
        <v>0</v>
      </c>
      <c r="O90" s="3"/>
      <c r="P90" s="3">
        <f>SUMIF('data-tel '!B:B,A90,'data-tel '!E:E)</f>
        <v>2</v>
      </c>
      <c r="Q90" s="3">
        <f t="shared" si="13"/>
        <v>0</v>
      </c>
      <c r="R90" s="3">
        <f t="shared" si="10"/>
        <v>0</v>
      </c>
    </row>
    <row r="91" spans="1:18">
      <c r="A91" s="2" t="s">
        <v>201</v>
      </c>
      <c r="B91" s="2" t="s">
        <v>202</v>
      </c>
      <c r="C91" s="57" t="s">
        <v>286</v>
      </c>
      <c r="D91" s="2"/>
      <c r="E91" s="2" t="s">
        <v>203</v>
      </c>
      <c r="F91" s="1" t="s">
        <v>205</v>
      </c>
      <c r="G91" s="191">
        <v>4</v>
      </c>
      <c r="H91" s="3">
        <f t="shared" si="14"/>
        <v>4</v>
      </c>
      <c r="I91" s="1"/>
      <c r="J91" s="172"/>
      <c r="K91" s="3"/>
      <c r="M91" s="3">
        <f>SUMIF(CCTV!B:B,A91,CCTV!E:E)</f>
        <v>3</v>
      </c>
      <c r="N91" s="3">
        <f t="shared" si="9"/>
        <v>0</v>
      </c>
      <c r="O91" s="3"/>
      <c r="P91" s="3">
        <f>SUMIF('data-tel '!B:B,A91,'data-tel '!E:E)</f>
        <v>1</v>
      </c>
      <c r="Q91" s="3">
        <f t="shared" si="13"/>
        <v>0</v>
      </c>
      <c r="R91" s="3">
        <f t="shared" si="10"/>
        <v>0</v>
      </c>
    </row>
    <row r="92" spans="1:18" s="55" customFormat="1">
      <c r="A92" s="5" t="s">
        <v>231</v>
      </c>
      <c r="B92" s="5" t="s">
        <v>232</v>
      </c>
      <c r="C92" s="34" t="s">
        <v>285</v>
      </c>
      <c r="D92" s="5"/>
      <c r="E92" s="5" t="s">
        <v>203</v>
      </c>
      <c r="F92" s="25" t="s">
        <v>205</v>
      </c>
      <c r="G92" s="191">
        <v>1</v>
      </c>
      <c r="H92" s="6">
        <f t="shared" ref="H92" si="18">M92+P92</f>
        <v>1</v>
      </c>
      <c r="I92" s="25"/>
      <c r="J92" s="173"/>
      <c r="K92" s="6"/>
      <c r="M92" s="6">
        <f>SUMIF(CCTV!B:B,A92,CCTV!E:E)</f>
        <v>1</v>
      </c>
      <c r="N92" s="6">
        <f t="shared" si="9"/>
        <v>0</v>
      </c>
      <c r="O92" s="6"/>
      <c r="P92" s="6">
        <f>SUMIF('data-tel '!B:B,A92,'data-tel '!E:E)</f>
        <v>0</v>
      </c>
      <c r="Q92" s="6">
        <f t="shared" ref="Q92" si="19">P92*J92</f>
        <v>0</v>
      </c>
      <c r="R92" s="6">
        <f t="shared" si="10"/>
        <v>0</v>
      </c>
    </row>
    <row r="93" spans="1:18">
      <c r="A93" s="2" t="s">
        <v>226</v>
      </c>
      <c r="B93" s="2" t="s">
        <v>227</v>
      </c>
      <c r="C93" s="56" t="s">
        <v>289</v>
      </c>
      <c r="D93" s="2"/>
      <c r="E93" s="2" t="s">
        <v>203</v>
      </c>
      <c r="F93" s="1" t="s">
        <v>205</v>
      </c>
      <c r="G93" s="190">
        <v>33</v>
      </c>
      <c r="H93" s="3">
        <f t="shared" ref="H93:H95" si="20">M93+P93</f>
        <v>33</v>
      </c>
      <c r="I93" s="1"/>
      <c r="J93" s="172"/>
      <c r="K93" s="3"/>
      <c r="M93" s="3">
        <f>SUMIF(CCTV!B:B,A93,CCTV!E:E)</f>
        <v>19</v>
      </c>
      <c r="N93" s="3">
        <f t="shared" si="9"/>
        <v>0</v>
      </c>
      <c r="O93" s="3"/>
      <c r="P93" s="3">
        <f>SUMIF('data-tel '!B:B,A93,'data-tel '!E:E)</f>
        <v>14</v>
      </c>
      <c r="Q93" s="3">
        <f t="shared" si="13"/>
        <v>0</v>
      </c>
      <c r="R93" s="3">
        <f t="shared" si="10"/>
        <v>0</v>
      </c>
    </row>
    <row r="94" spans="1:18">
      <c r="A94" s="2" t="s">
        <v>310</v>
      </c>
      <c r="B94" s="2" t="s">
        <v>311</v>
      </c>
      <c r="C94" s="56" t="s">
        <v>290</v>
      </c>
      <c r="D94" s="2"/>
      <c r="E94" s="2" t="s">
        <v>203</v>
      </c>
      <c r="F94" s="1" t="s">
        <v>205</v>
      </c>
      <c r="G94" s="191">
        <v>2</v>
      </c>
      <c r="H94" s="3">
        <f t="shared" si="20"/>
        <v>2</v>
      </c>
      <c r="I94" s="1"/>
      <c r="J94" s="172"/>
      <c r="K94" s="3"/>
      <c r="M94" s="3">
        <f>SUMIF(CCTV!B:B,A94,CCTV!E:E)</f>
        <v>2</v>
      </c>
      <c r="N94" s="3">
        <f t="shared" si="9"/>
        <v>0</v>
      </c>
      <c r="O94" s="3"/>
      <c r="P94" s="3">
        <f>SUMIF('data-tel '!B:B,A94,'data-tel '!E:E)</f>
        <v>0</v>
      </c>
      <c r="Q94" s="3">
        <f t="shared" si="13"/>
        <v>0</v>
      </c>
      <c r="R94" s="3">
        <f t="shared" si="10"/>
        <v>0</v>
      </c>
    </row>
    <row r="95" spans="1:18">
      <c r="A95" s="192" t="s">
        <v>343</v>
      </c>
      <c r="B95" s="192" t="s">
        <v>344</v>
      </c>
      <c r="C95" s="56" t="s">
        <v>290</v>
      </c>
      <c r="D95" s="2"/>
      <c r="E95" s="2" t="s">
        <v>203</v>
      </c>
      <c r="F95" s="1" t="s">
        <v>205</v>
      </c>
      <c r="G95" s="190">
        <v>5</v>
      </c>
      <c r="H95" s="3">
        <f t="shared" si="20"/>
        <v>5</v>
      </c>
      <c r="I95" s="1"/>
      <c r="J95" s="172"/>
      <c r="K95" s="3"/>
      <c r="M95" s="3">
        <f>SUMIF(CCTV!B:B,A95,CCTV!E:E)</f>
        <v>0</v>
      </c>
      <c r="N95" s="3">
        <f t="shared" ref="N95" si="21">M95*J95</f>
        <v>0</v>
      </c>
      <c r="O95" s="3"/>
      <c r="P95" s="3">
        <f>SUMIF('data-tel '!B:B,A95,'data-tel '!E:E)</f>
        <v>5</v>
      </c>
      <c r="Q95" s="3">
        <f t="shared" ref="Q95" si="22">P95*J95</f>
        <v>0</v>
      </c>
      <c r="R95" s="3">
        <f t="shared" ref="R95" si="23">J95*P95</f>
        <v>0</v>
      </c>
    </row>
    <row r="96" spans="1:18">
      <c r="K96" s="14"/>
      <c r="M96" s="14"/>
      <c r="N96" s="14">
        <f>SUM(N3:N94)</f>
        <v>0</v>
      </c>
      <c r="O96" s="14"/>
      <c r="P96" s="14"/>
      <c r="Q96" s="14">
        <f>SUM(Q3:Q26,Q41:Q44,Q47:Q52,Q79:Q94)</f>
        <v>0</v>
      </c>
      <c r="R96" s="14"/>
    </row>
    <row r="97" spans="10:18">
      <c r="K97" s="14"/>
      <c r="M97" s="14"/>
      <c r="N97" s="14">
        <f>SUM(N28:N39)</f>
        <v>0</v>
      </c>
      <c r="O97" s="14"/>
      <c r="P97" s="14"/>
      <c r="Q97" s="14">
        <f>SUM(Q28:Q39)</f>
        <v>0</v>
      </c>
      <c r="R97" s="14"/>
    </row>
    <row r="98" spans="10:18">
      <c r="K98" s="14"/>
      <c r="M98" s="14"/>
      <c r="N98" s="14">
        <f>SUM(N55:N78)</f>
        <v>0</v>
      </c>
      <c r="O98" s="14"/>
      <c r="P98" s="14"/>
      <c r="Q98" s="14">
        <f>SUM(Q55:Q78)</f>
        <v>0</v>
      </c>
      <c r="R98" s="14"/>
    </row>
    <row r="99" spans="10:18">
      <c r="J99"/>
      <c r="K99" s="14"/>
      <c r="M99" s="14"/>
      <c r="N99" s="14"/>
      <c r="O99" s="14"/>
      <c r="P99" s="14"/>
      <c r="Q99" s="14"/>
      <c r="R99" s="14"/>
    </row>
    <row r="100" spans="10:18">
      <c r="J100"/>
      <c r="K100" s="14"/>
      <c r="M100" s="14"/>
      <c r="N100" s="14">
        <f>SUM(N3:N94)</f>
        <v>0</v>
      </c>
      <c r="O100" s="14"/>
      <c r="P100" s="14"/>
      <c r="Q100" s="14">
        <f>SUM(Q96:Q99)</f>
        <v>0</v>
      </c>
      <c r="R100" s="14">
        <f>SUM(R3:R99)</f>
        <v>0</v>
      </c>
    </row>
    <row r="101" spans="10:18">
      <c r="J101"/>
      <c r="K101" s="53"/>
      <c r="M101" s="53"/>
      <c r="N101" s="53"/>
      <c r="O101" s="53"/>
      <c r="P101" s="53"/>
      <c r="Q101" s="53"/>
      <c r="R101" s="53"/>
    </row>
    <row r="102" spans="10:18">
      <c r="J102"/>
      <c r="K102" s="53"/>
      <c r="N102" s="167">
        <f>CCTV!P1376</f>
        <v>0</v>
      </c>
      <c r="O102" s="167"/>
      <c r="P102" s="167"/>
      <c r="Q102" s="167"/>
    </row>
    <row r="104" spans="10:18">
      <c r="J104"/>
    </row>
  </sheetData>
  <autoFilter ref="B1:B101" xr:uid="{F8BC10EC-3606-4B97-B2CD-87D4912546F7}"/>
  <mergeCells count="1">
    <mergeCell ref="C81:C88"/>
  </mergeCells>
  <printOptions horizontalCentered="1" verticalCentered="1"/>
  <pageMargins left="0" right="0" top="0" bottom="0" header="0" footer="0"/>
  <pageSetup paperSize="8" scale="6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CCTV</vt:lpstr>
      <vt:lpstr>data-tel </vt:lpstr>
      <vt:lpstr>BOM</vt:lpstr>
      <vt:lpstr>BOM!Print_Area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Trinh</dc:creator>
  <cp:lastModifiedBy>Duy An Nguyen</cp:lastModifiedBy>
  <cp:lastPrinted>2024-09-10T06:33:35Z</cp:lastPrinted>
  <dcterms:created xsi:type="dcterms:W3CDTF">2024-06-24T12:45:56Z</dcterms:created>
  <dcterms:modified xsi:type="dcterms:W3CDTF">2025-02-25T07:23:13Z</dcterms:modified>
</cp:coreProperties>
</file>