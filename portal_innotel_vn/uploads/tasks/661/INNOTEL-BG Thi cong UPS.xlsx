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G:\Other computers\My Computer (2)\01-Workspace\Alphanam\2022\Thi cong UPS\"/>
    </mc:Choice>
  </mc:AlternateContent>
  <bookViews>
    <workbookView xWindow="-60" yWindow="-60" windowWidth="15480" windowHeight="11640"/>
  </bookViews>
  <sheets>
    <sheet name="Sheet1" sheetId="1" r:id="rId1"/>
  </sheets>
  <definedNames>
    <definedName name="_xlnm.Print_Area" localSheetId="0">Sheet1!$A$1:$G$90</definedName>
    <definedName name="_xlnm.Print_Titles" localSheetId="0">Sheet1!$1:$4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1" l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79" i="1" l="1"/>
  <c r="G80" i="1" s="1"/>
  <c r="G81" i="1" s="1"/>
</calcChain>
</file>

<file path=xl/sharedStrings.xml><?xml version="1.0" encoding="utf-8"?>
<sst xmlns="http://schemas.openxmlformats.org/spreadsheetml/2006/main" count="98" uniqueCount="69">
  <si>
    <r>
      <t xml:space="preserve">THUAN PHONG INNOVATIVE TELECOMMUNICATION CO., LTD.
</t>
    </r>
    <r>
      <rPr>
        <sz val="10"/>
        <rFont val="Arial"/>
        <family val="2"/>
      </rPr>
      <t>Website: http://www.innotel.com.vn            Email: sales@innotel.com.vn
Tel: (84 8) 38621119.                      Fax: (84 8) 38630366.
Duy Tan Plaza, Suite 92, 3/2 Street, Dist 10., HCMC, Vietnam</t>
    </r>
  </si>
  <si>
    <t>BẢNG CHÀO GIÁ</t>
  </si>
  <si>
    <t>Kính gửi:</t>
  </si>
  <si>
    <t>Người nhận:</t>
  </si>
  <si>
    <t>TEL:</t>
  </si>
  <si>
    <t>FAX NUMBER:</t>
  </si>
  <si>
    <t>MOB:</t>
  </si>
  <si>
    <t>Người gửi:</t>
  </si>
  <si>
    <t>Hùynh Trọng Hiếu</t>
  </si>
  <si>
    <t>Ngày :</t>
  </si>
  <si>
    <t>Chủ đề</t>
  </si>
  <si>
    <t>DỰ ÁN MARIOT ĐÀ NẴNG 2022</t>
  </si>
  <si>
    <t>No</t>
  </si>
  <si>
    <t>SL</t>
  </si>
  <si>
    <t>Thành tiền
(vnđ)</t>
  </si>
  <si>
    <t>A</t>
  </si>
  <si>
    <t>B</t>
  </si>
  <si>
    <t xml:space="preserve">Cộng </t>
  </si>
  <si>
    <t>VAT 10%</t>
  </si>
  <si>
    <t>TỔNG CỘNG BAO GỒM THUẾ 10%:</t>
  </si>
  <si>
    <t>CÁC ĐIỀU KHOẢN THƯƠNG MẠI</t>
  </si>
  <si>
    <t>1. Giao hàng tại văn phòng khách hàng</t>
  </si>
  <si>
    <t>2. Thời gian giao hàng  theo báo giá</t>
  </si>
  <si>
    <t>4. Thanh toán bằng chuyển khoản.</t>
  </si>
  <si>
    <t>ALPHANAM GROUP</t>
  </si>
  <si>
    <t>Mr Hiếu</t>
  </si>
  <si>
    <t>17/09/2022</t>
  </si>
  <si>
    <t>Hạng mục</t>
  </si>
  <si>
    <t>Mô tả công việc</t>
  </si>
  <si>
    <t>UPS CHO HỆ THỐNG IT</t>
  </si>
  <si>
    <t xml:space="preserve">UPS CHO HỆ THỐNG MEP </t>
  </si>
  <si>
    <t>SERVER 4BF</t>
  </si>
  <si>
    <t>IDF-M.B3F</t>
  </si>
  <si>
    <t>IDF-M.B1F</t>
  </si>
  <si>
    <t>IDF-M.1F</t>
  </si>
  <si>
    <t>IDF-M.2F</t>
  </si>
  <si>
    <t>IDF-M.3F</t>
  </si>
  <si>
    <t>IDF-M.3AF</t>
  </si>
  <si>
    <t>IDF-M.4F</t>
  </si>
  <si>
    <t>IDF-M.4AF</t>
  </si>
  <si>
    <t>IDF-M.4BF</t>
  </si>
  <si>
    <t>IDF-M.5F</t>
  </si>
  <si>
    <t>IDF-M.7F</t>
  </si>
  <si>
    <t>IDF-M.9F</t>
  </si>
  <si>
    <t>IDF-M.11F</t>
  </si>
  <si>
    <t>IDF-M.13F</t>
  </si>
  <si>
    <t>IDF-M.15F</t>
  </si>
  <si>
    <t>IDF-M.18F</t>
  </si>
  <si>
    <t>IDF-M.21F</t>
  </si>
  <si>
    <t>IDF-M.23F</t>
  </si>
  <si>
    <t>IDF-M.39F</t>
  </si>
  <si>
    <t>IDF-A.2F</t>
  </si>
  <si>
    <t>IDF-A.24AF</t>
  </si>
  <si>
    <t>IDF-A.26F</t>
  </si>
  <si>
    <t>IDF-A.29F</t>
  </si>
  <si>
    <t>IDF-A.32F</t>
  </si>
  <si>
    <t>IDF-A.35F</t>
  </si>
  <si>
    <t>IDF-A.38F</t>
  </si>
  <si>
    <t>IDF-AV.2F</t>
  </si>
  <si>
    <t>IDF-AV.3AF</t>
  </si>
  <si>
    <t>SERVER B1F</t>
  </si>
  <si>
    <t>Phòng bảo vệ B1F</t>
  </si>
  <si>
    <t>Phòng BMS B1F</t>
  </si>
  <si>
    <t>Phòng trực cháy 1F</t>
  </si>
  <si>
    <t>T&amp;C</t>
  </si>
  <si>
    <r>
      <t xml:space="preserve">* Phần vật tư:
</t>
    </r>
    <r>
      <rPr>
        <sz val="10"/>
        <rFont val="Arial"/>
        <family val="2"/>
      </rPr>
      <t xml:space="preserve">+ CĐT Alphanam cung cấp UPS
+ Hàng tại kho CĐT, tại tầng 3AF
+ Đầu chờ nguồn động lực đã có sẵn
</t>
    </r>
    <r>
      <rPr>
        <b/>
        <sz val="10"/>
        <rFont val="Arial"/>
        <family val="2"/>
      </rPr>
      <t xml:space="preserve">* Phần lắp đặt và T&amp;C : (Không bao gồm UPS khu vực Server)
+ </t>
    </r>
    <r>
      <rPr>
        <sz val="10"/>
        <rFont val="Arial"/>
        <family val="2"/>
      </rPr>
      <t>Chi phí nhân công vận chuyển từ kho tại tầng 3AF lên các vị trí lắp đặt tầng</t>
    </r>
    <r>
      <rPr>
        <b/>
        <sz val="10"/>
        <rFont val="Arial"/>
        <family val="2"/>
      </rPr>
      <t xml:space="preserve">
</t>
    </r>
    <r>
      <rPr>
        <sz val="10"/>
        <rFont val="Arial"/>
        <family val="2"/>
      </rPr>
      <t>+ Chi phí lắp đặt và T&amp;C
+ Chi phí vật tư phụ (nếu có)
+ Các chi phí liên quan đến ăn ở, đi lại, Test covid (nếu có)
+ T&amp;C, lắp đặt từ 1-2 lần, theo tiến độ thực tế dự án.
Hỗ trợ: CĐT có thể kết nối với NCC UPS để họ có thể hỗ trợ
thêm kỹ thuật, T&amp;C qua Online (nếu có) trong quá trình lắp đặt.</t>
    </r>
  </si>
  <si>
    <t>5. Báo giá có giá trị 30 ngày.</t>
  </si>
  <si>
    <t>Vận chuyển, lắp đặt &amp; vật tư phụ</t>
  </si>
  <si>
    <t>3. Thanh toán: thương thảo.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</si>
</sst>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(* #,##0.00_);_(* \(#,##0.00\);_(* \-??_);_(@_)"/>
    <numFmt numFmtId="166" formatCode="_(\$* #,##0.00_);_(\$* \(#,##0.00\);_(\$* \-??_);_(@_)"/>
    <numFmt numFmtId="167" formatCode="_-* #,##0_-;\-* #,##0_-;_-* &quot;-&quot;??_-;_-@_-"/>
  </numFmts>
  <fonts count="14">
    <font>
      <sz val="10"/>
      <name val="Arial"/>
    </font>
    <font>
      <sz val="10"/>
      <name val="Arial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u/>
      <sz val="11"/>
      <name val="Arial"/>
      <family val="2"/>
    </font>
    <font>
      <b/>
      <sz val="2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0"/>
      <name val="Helv"/>
      <family val="2"/>
    </font>
    <font>
      <sz val="11"/>
      <name val="ＭＳ Ｐゴシック"/>
      <family val="3"/>
      <charset val="128"/>
    </font>
    <font>
      <sz val="12"/>
      <name val="新細明體"/>
      <family val="1"/>
      <charset val="136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 style="thin">
        <color indexed="9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/>
      <right style="thin">
        <color indexed="9"/>
      </right>
      <top/>
      <bottom/>
      <diagonal/>
    </border>
    <border>
      <left/>
      <right style="thin">
        <color indexed="9"/>
      </right>
      <top/>
      <bottom style="double">
        <color indexed="64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9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9"/>
      </right>
      <top/>
      <bottom style="thin">
        <color indexed="64"/>
      </bottom>
      <diagonal/>
    </border>
    <border>
      <left/>
      <right/>
      <top style="thin">
        <color indexed="9"/>
      </top>
      <bottom/>
      <diagonal/>
    </border>
    <border>
      <left style="thin">
        <color indexed="9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 style="thin">
        <color indexed="9"/>
      </right>
      <top style="thin">
        <color indexed="9"/>
      </top>
      <bottom style="thin">
        <color indexed="64"/>
      </bottom>
      <diagonal/>
    </border>
  </borders>
  <cellStyleXfs count="32">
    <xf numFmtId="0" fontId="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44" fontId="8" fillId="0" borderId="0" applyFont="0" applyFill="0" applyBorder="0" applyAlignment="0" applyProtection="0"/>
    <xf numFmtId="166" fontId="2" fillId="0" borderId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9" fillId="0" borderId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0" fontId="10" fillId="0" borderId="0"/>
    <xf numFmtId="0" fontId="10" fillId="0" borderId="0"/>
    <xf numFmtId="0" fontId="12" fillId="0" borderId="0" applyNumberFormat="0" applyFont="0" applyFill="0" applyBorder="0" applyProtection="0"/>
    <xf numFmtId="0" fontId="11" fillId="0" borderId="0">
      <alignment vertical="center"/>
    </xf>
  </cellStyleXfs>
  <cellXfs count="77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/>
    <xf numFmtId="0" fontId="2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 wrapText="1"/>
    </xf>
    <xf numFmtId="0" fontId="4" fillId="0" borderId="1" xfId="0" applyFont="1" applyBorder="1"/>
    <xf numFmtId="0" fontId="5" fillId="0" borderId="4" xfId="0" applyFont="1" applyBorder="1"/>
    <xf numFmtId="0" fontId="4" fillId="0" borderId="4" xfId="0" applyFont="1" applyBorder="1"/>
    <xf numFmtId="0" fontId="3" fillId="0" borderId="1" xfId="0" applyFont="1" applyBorder="1"/>
    <xf numFmtId="0" fontId="3" fillId="2" borderId="3" xfId="0" applyFont="1" applyFill="1" applyBorder="1" applyAlignment="1">
      <alignment horizontal="center" vertical="center" wrapText="1"/>
    </xf>
    <xf numFmtId="0" fontId="7" fillId="0" borderId="1" xfId="0" applyFont="1" applyBorder="1"/>
    <xf numFmtId="0" fontId="7" fillId="0" borderId="2" xfId="0" applyFont="1" applyBorder="1"/>
    <xf numFmtId="0" fontId="7" fillId="0" borderId="5" xfId="0" applyFont="1" applyBorder="1"/>
    <xf numFmtId="0" fontId="7" fillId="0" borderId="3" xfId="0" applyFont="1" applyBorder="1"/>
    <xf numFmtId="0" fontId="7" fillId="0" borderId="6" xfId="0" applyFont="1" applyBorder="1"/>
    <xf numFmtId="0" fontId="7" fillId="0" borderId="4" xfId="0" applyFont="1" applyBorder="1"/>
    <xf numFmtId="0" fontId="3" fillId="0" borderId="4" xfId="0" applyFont="1" applyBorder="1"/>
    <xf numFmtId="0" fontId="7" fillId="0" borderId="7" xfId="0" applyFont="1" applyBorder="1" applyAlignment="1">
      <alignment horizontal="left" vertical="center"/>
    </xf>
    <xf numFmtId="0" fontId="13" fillId="0" borderId="3" xfId="0" applyFont="1" applyBorder="1" applyAlignment="1">
      <alignment horizontal="center" vertical="center"/>
    </xf>
    <xf numFmtId="164" fontId="13" fillId="0" borderId="3" xfId="6" applyNumberFormat="1" applyFont="1" applyFill="1" applyBorder="1" applyAlignment="1">
      <alignment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164" fontId="13" fillId="0" borderId="0" xfId="6" applyNumberFormat="1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43" fontId="2" fillId="0" borderId="1" xfId="0" applyNumberFormat="1" applyFont="1" applyBorder="1" applyAlignment="1">
      <alignment vertical="center"/>
    </xf>
    <xf numFmtId="164" fontId="2" fillId="0" borderId="8" xfId="6" applyNumberFormat="1" applyFont="1" applyFill="1" applyBorder="1" applyAlignment="1">
      <alignment vertical="center"/>
    </xf>
    <xf numFmtId="0" fontId="3" fillId="2" borderId="9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164" fontId="13" fillId="0" borderId="0" xfId="6" applyNumberFormat="1" applyFont="1" applyFill="1" applyBorder="1" applyAlignment="1">
      <alignment vertical="center"/>
    </xf>
    <xf numFmtId="167" fontId="2" fillId="0" borderId="8" xfId="6" applyNumberFormat="1" applyFont="1" applyFill="1" applyBorder="1" applyAlignment="1">
      <alignment vertical="center"/>
    </xf>
    <xf numFmtId="0" fontId="2" fillId="0" borderId="13" xfId="0" applyFont="1" applyBorder="1"/>
    <xf numFmtId="0" fontId="2" fillId="0" borderId="13" xfId="0" applyFont="1" applyBorder="1" applyAlignment="1">
      <alignment horizontal="center" vertical="top" wrapText="1"/>
    </xf>
    <xf numFmtId="43" fontId="2" fillId="0" borderId="13" xfId="6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15" fontId="4" fillId="0" borderId="7" xfId="0" quotePrefix="1" applyNumberFormat="1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/>
    <xf numFmtId="0" fontId="7" fillId="0" borderId="3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3" xfId="0" applyFont="1" applyBorder="1" applyAlignment="1">
      <alignment vertical="center"/>
    </xf>
    <xf numFmtId="0" fontId="2" fillId="3" borderId="3" xfId="0" applyFont="1" applyFill="1" applyBorder="1" applyAlignment="1">
      <alignment horizontal="center" vertical="center" wrapText="1"/>
    </xf>
    <xf numFmtId="167" fontId="7" fillId="3" borderId="3" xfId="6" applyNumberFormat="1" applyFont="1" applyFill="1" applyBorder="1" applyAlignment="1">
      <alignment vertical="center"/>
    </xf>
    <xf numFmtId="0" fontId="7" fillId="3" borderId="7" xfId="0" applyFont="1" applyFill="1" applyBorder="1" applyAlignment="1">
      <alignment horizontal="center" vertical="center"/>
    </xf>
    <xf numFmtId="167" fontId="2" fillId="3" borderId="8" xfId="6" applyNumberFormat="1" applyFont="1" applyFill="1" applyBorder="1" applyAlignment="1">
      <alignment vertical="center"/>
    </xf>
    <xf numFmtId="0" fontId="7" fillId="3" borderId="3" xfId="0" applyFont="1" applyFill="1" applyBorder="1" applyAlignment="1">
      <alignment vertical="center" wrapText="1"/>
    </xf>
    <xf numFmtId="0" fontId="7" fillId="3" borderId="7" xfId="0" applyFont="1" applyFill="1" applyBorder="1" applyAlignment="1">
      <alignment vertical="center" wrapText="1"/>
    </xf>
    <xf numFmtId="0" fontId="4" fillId="0" borderId="3" xfId="0" applyFont="1" applyBorder="1" applyAlignment="1">
      <alignment horizontal="right" vertical="center" wrapText="1"/>
    </xf>
    <xf numFmtId="0" fontId="13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167" fontId="2" fillId="0" borderId="3" xfId="6" applyNumberFormat="1" applyFont="1" applyFill="1" applyBorder="1" applyAlignment="1">
      <alignment vertical="center"/>
    </xf>
    <xf numFmtId="0" fontId="13" fillId="0" borderId="7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left" wrapText="1"/>
    </xf>
    <xf numFmtId="0" fontId="4" fillId="0" borderId="16" xfId="0" applyFont="1" applyBorder="1" applyAlignment="1">
      <alignment horizontal="left" wrapText="1"/>
    </xf>
    <xf numFmtId="0" fontId="4" fillId="0" borderId="17" xfId="0" applyFont="1" applyBorder="1" applyAlignment="1">
      <alignment horizontal="left" wrapText="1"/>
    </xf>
    <xf numFmtId="0" fontId="3" fillId="0" borderId="5" xfId="0" applyFont="1" applyBorder="1" applyAlignment="1">
      <alignment horizontal="center" vertical="center" wrapText="1"/>
    </xf>
    <xf numFmtId="0" fontId="4" fillId="0" borderId="18" xfId="0" applyFont="1" applyBorder="1" applyAlignment="1"/>
    <xf numFmtId="0" fontId="4" fillId="0" borderId="10" xfId="0" applyFont="1" applyBorder="1" applyAlignment="1"/>
    <xf numFmtId="0" fontId="4" fillId="0" borderId="6" xfId="0" applyFont="1" applyBorder="1" applyAlignment="1"/>
    <xf numFmtId="0" fontId="4" fillId="0" borderId="0" xfId="0" applyFont="1" applyAlignment="1"/>
    <xf numFmtId="0" fontId="4" fillId="0" borderId="11" xfId="0" applyFont="1" applyBorder="1" applyAlignment="1"/>
    <xf numFmtId="0" fontId="4" fillId="0" borderId="19" xfId="0" applyFont="1" applyBorder="1" applyAlignment="1"/>
    <xf numFmtId="0" fontId="4" fillId="0" borderId="20" xfId="0" applyFont="1" applyBorder="1" applyAlignment="1"/>
    <xf numFmtId="0" fontId="4" fillId="0" borderId="12" xfId="0" applyFont="1" applyBorder="1" applyAlignment="1"/>
    <xf numFmtId="0" fontId="4" fillId="0" borderId="3" xfId="0" applyFont="1" applyBorder="1" applyAlignment="1">
      <alignment horizontal="left" vertical="center" wrapText="1"/>
    </xf>
    <xf numFmtId="0" fontId="3" fillId="0" borderId="7" xfId="0" applyFont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6" fillId="0" borderId="21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center"/>
    </xf>
  </cellXfs>
  <cellStyles count="32">
    <cellStyle name="_6A OEM Switch Catalog" xfId="1"/>
    <cellStyle name="_6B OEM Switch Catalog" xfId="2"/>
    <cellStyle name="_Master" xfId="3"/>
    <cellStyle name="_OEM-Master-list" xfId="4"/>
    <cellStyle name="_Server-Adapter" xfId="5"/>
    <cellStyle name="Comma" xfId="6" builtinId="3"/>
    <cellStyle name="Comma 2" xfId="7"/>
    <cellStyle name="Comma 2 2" xfId="8"/>
    <cellStyle name="Comma 3" xfId="9"/>
    <cellStyle name="Comma 4" xfId="10"/>
    <cellStyle name="Currency 2" xfId="11"/>
    <cellStyle name="Currency 2 2" xfId="12"/>
    <cellStyle name="Normal" xfId="0" builtinId="0"/>
    <cellStyle name="Normal 2" xfId="13"/>
    <cellStyle name="Normal 2 2" xfId="14"/>
    <cellStyle name="Normal 2 3" xfId="15"/>
    <cellStyle name="Normal 2 4" xfId="16"/>
    <cellStyle name="Normal 2_20110919 - TCB AML - HW SW quotation" xfId="17"/>
    <cellStyle name="Normal 3" xfId="18"/>
    <cellStyle name="Normal 4" xfId="19"/>
    <cellStyle name="Normal 5" xfId="20"/>
    <cellStyle name="Normal 6" xfId="21"/>
    <cellStyle name="Percent 2" xfId="22"/>
    <cellStyle name="Percent 2 2" xfId="23"/>
    <cellStyle name="Percent 2 3" xfId="24"/>
    <cellStyle name="Percent 2 4" xfId="25"/>
    <cellStyle name="Percent 3" xfId="26"/>
    <cellStyle name="Percent 4" xfId="27"/>
    <cellStyle name="Style 1" xfId="28"/>
    <cellStyle name="표준_Sheet1" xfId="29"/>
    <cellStyle name="一般_Change Log" xfId="30"/>
    <cellStyle name="標準_ServicePac" xfId="3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cid:image001.png@01D4EA1D.1309D670" TargetMode="External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1304925</xdr:colOff>
      <xdr:row>3</xdr:row>
      <xdr:rowOff>219075</xdr:rowOff>
    </xdr:to>
    <xdr:pic>
      <xdr:nvPicPr>
        <xdr:cNvPr id="9246" name="Picture 28">
          <a:extLst>
            <a:ext uri="{FF2B5EF4-FFF2-40B4-BE49-F238E27FC236}">
              <a16:creationId xmlns:a16="http://schemas.microsoft.com/office/drawing/2014/main" id="{52D5171B-AE7B-54CD-F66B-7CFC6E475E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6002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504825</xdr:colOff>
      <xdr:row>4</xdr:row>
      <xdr:rowOff>0</xdr:rowOff>
    </xdr:to>
    <xdr:pic>
      <xdr:nvPicPr>
        <xdr:cNvPr id="9247" name="Picture 2" descr="IBM partner mail.jpg">
          <a:extLst>
            <a:ext uri="{FF2B5EF4-FFF2-40B4-BE49-F238E27FC236}">
              <a16:creationId xmlns:a16="http://schemas.microsoft.com/office/drawing/2014/main" id="{81D5D427-7C48-1249-F5B9-678A5644CF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19900" y="723900"/>
          <a:ext cx="161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171450</xdr:colOff>
      <xdr:row>4</xdr:row>
      <xdr:rowOff>171450</xdr:rowOff>
    </xdr:from>
    <xdr:to>
      <xdr:col>5</xdr:col>
      <xdr:colOff>523875</xdr:colOff>
      <xdr:row>4</xdr:row>
      <xdr:rowOff>600075</xdr:rowOff>
    </xdr:to>
    <xdr:pic>
      <xdr:nvPicPr>
        <xdr:cNvPr id="9248" name="Picture 107">
          <a:extLst>
            <a:ext uri="{FF2B5EF4-FFF2-40B4-BE49-F238E27FC236}">
              <a16:creationId xmlns:a16="http://schemas.microsoft.com/office/drawing/2014/main" id="{CEA69EFE-77AE-2DF0-4862-8BB17D25E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8575" y="895350"/>
          <a:ext cx="352425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676275</xdr:colOff>
      <xdr:row>4</xdr:row>
      <xdr:rowOff>171450</xdr:rowOff>
    </xdr:from>
    <xdr:to>
      <xdr:col>4</xdr:col>
      <xdr:colOff>1409700</xdr:colOff>
      <xdr:row>4</xdr:row>
      <xdr:rowOff>590550</xdr:rowOff>
    </xdr:to>
    <xdr:pic>
      <xdr:nvPicPr>
        <xdr:cNvPr id="9249" name="Picture 3" descr="bp_member.gif">
          <a:extLst>
            <a:ext uri="{FF2B5EF4-FFF2-40B4-BE49-F238E27FC236}">
              <a16:creationId xmlns:a16="http://schemas.microsoft.com/office/drawing/2014/main" id="{0613BC3B-3BB5-9CDF-B2A3-CB053165E2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0" y="895350"/>
          <a:ext cx="733425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4</xdr:row>
      <xdr:rowOff>123825</xdr:rowOff>
    </xdr:from>
    <xdr:to>
      <xdr:col>2</xdr:col>
      <xdr:colOff>542925</xdr:colOff>
      <xdr:row>4</xdr:row>
      <xdr:rowOff>619125</xdr:rowOff>
    </xdr:to>
    <xdr:pic>
      <xdr:nvPicPr>
        <xdr:cNvPr id="9250" name="Picture 2">
          <a:extLst>
            <a:ext uri="{FF2B5EF4-FFF2-40B4-BE49-F238E27FC236}">
              <a16:creationId xmlns:a16="http://schemas.microsoft.com/office/drawing/2014/main" id="{2CDE8F1D-4B75-B73C-A227-7A257B324A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847725"/>
          <a:ext cx="245745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819150</xdr:colOff>
      <xdr:row>4</xdr:row>
      <xdr:rowOff>180975</xdr:rowOff>
    </xdr:from>
    <xdr:to>
      <xdr:col>6</xdr:col>
      <xdr:colOff>971550</xdr:colOff>
      <xdr:row>4</xdr:row>
      <xdr:rowOff>590550</xdr:rowOff>
    </xdr:to>
    <xdr:pic>
      <xdr:nvPicPr>
        <xdr:cNvPr id="9251" name="Picture 1" descr="Related image">
          <a:extLst>
            <a:ext uri="{FF2B5EF4-FFF2-40B4-BE49-F238E27FC236}">
              <a16:creationId xmlns:a16="http://schemas.microsoft.com/office/drawing/2014/main" id="{4C1DDA9D-88A1-889E-8B21-AD50EF50F5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96275" y="904875"/>
          <a:ext cx="109537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7"/>
  <sheetViews>
    <sheetView tabSelected="1" topLeftCell="A47" zoomScaleNormal="100" workbookViewId="0">
      <selection activeCell="H71" sqref="H71"/>
    </sheetView>
  </sheetViews>
  <sheetFormatPr defaultRowHeight="12.75"/>
  <cols>
    <col min="1" max="1" width="4.42578125" style="11" customWidth="1"/>
    <col min="2" max="2" width="24.85546875" style="1" customWidth="1"/>
    <col min="3" max="3" width="54.5703125" style="1" customWidth="1"/>
    <col min="4" max="4" width="6" style="24" customWidth="1"/>
    <col min="5" max="5" width="21.28515625" style="1" customWidth="1"/>
    <col min="6" max="6" width="14.140625" style="1" customWidth="1"/>
    <col min="7" max="7" width="16.7109375" style="1" bestFit="1" customWidth="1"/>
    <col min="8" max="8" width="22.42578125" style="1" customWidth="1"/>
    <col min="9" max="9" width="23.140625" style="1" customWidth="1"/>
    <col min="10" max="16384" width="9.140625" style="1"/>
  </cols>
  <sheetData>
    <row r="1" spans="1:8" ht="12.75" customHeight="1">
      <c r="C1" s="61" t="s">
        <v>0</v>
      </c>
      <c r="D1" s="62"/>
      <c r="E1" s="62"/>
      <c r="F1" s="62"/>
      <c r="G1" s="63"/>
    </row>
    <row r="2" spans="1:8" ht="12.75" customHeight="1">
      <c r="C2" s="64"/>
      <c r="D2" s="65"/>
      <c r="E2" s="65"/>
      <c r="F2" s="65"/>
      <c r="G2" s="66"/>
    </row>
    <row r="3" spans="1:8" ht="12.75" customHeight="1">
      <c r="C3" s="64"/>
      <c r="D3" s="65"/>
      <c r="E3" s="65"/>
      <c r="F3" s="65"/>
      <c r="G3" s="66"/>
    </row>
    <row r="4" spans="1:8" ht="18.75" customHeight="1" thickBot="1">
      <c r="A4" s="12"/>
      <c r="B4" s="3"/>
      <c r="C4" s="67"/>
      <c r="D4" s="68"/>
      <c r="E4" s="68"/>
      <c r="F4" s="68"/>
      <c r="G4" s="69"/>
    </row>
    <row r="5" spans="1:8" ht="56.25" customHeight="1" thickTop="1">
      <c r="A5" s="13"/>
      <c r="B5" s="74" t="s">
        <v>1</v>
      </c>
      <c r="C5" s="75"/>
      <c r="D5" s="75"/>
      <c r="E5" s="75"/>
      <c r="F5" s="75"/>
      <c r="G5" s="76"/>
    </row>
    <row r="6" spans="1:8" ht="22.5" customHeight="1">
      <c r="A6" s="14"/>
      <c r="B6" s="5" t="s">
        <v>2</v>
      </c>
      <c r="C6" s="71" t="s">
        <v>24</v>
      </c>
      <c r="D6" s="72"/>
      <c r="E6" s="72"/>
      <c r="F6" s="72"/>
      <c r="G6" s="73"/>
      <c r="H6" s="33"/>
    </row>
    <row r="7" spans="1:8" ht="14.25">
      <c r="A7" s="14"/>
      <c r="B7" s="5" t="s">
        <v>3</v>
      </c>
      <c r="C7" s="70" t="s">
        <v>25</v>
      </c>
      <c r="D7" s="70"/>
      <c r="E7" s="70"/>
      <c r="F7" s="70"/>
      <c r="G7" s="70"/>
      <c r="H7" s="33"/>
    </row>
    <row r="8" spans="1:8" ht="14.25">
      <c r="A8" s="14"/>
      <c r="B8" s="5" t="s">
        <v>4</v>
      </c>
      <c r="C8" s="70"/>
      <c r="D8" s="70"/>
      <c r="E8" s="70"/>
      <c r="F8" s="70"/>
      <c r="G8" s="70"/>
      <c r="H8" s="33"/>
    </row>
    <row r="9" spans="1:8" ht="14.25" customHeight="1">
      <c r="A9" s="14"/>
      <c r="B9" s="5" t="s">
        <v>5</v>
      </c>
      <c r="C9" s="70"/>
      <c r="D9" s="70"/>
      <c r="E9" s="70"/>
      <c r="F9" s="70"/>
      <c r="G9" s="70"/>
      <c r="H9" s="33"/>
    </row>
    <row r="10" spans="1:8" ht="14.25">
      <c r="A10" s="14"/>
      <c r="B10" s="5" t="s">
        <v>6</v>
      </c>
      <c r="C10" s="70"/>
      <c r="D10" s="70"/>
      <c r="E10" s="70"/>
      <c r="F10" s="70"/>
      <c r="G10" s="70"/>
      <c r="H10" s="33"/>
    </row>
    <row r="11" spans="1:8" ht="16.5" customHeight="1">
      <c r="A11" s="14"/>
      <c r="B11" s="5" t="s">
        <v>7</v>
      </c>
      <c r="C11" s="70" t="s">
        <v>8</v>
      </c>
      <c r="D11" s="70"/>
      <c r="E11" s="70"/>
      <c r="F11" s="70"/>
      <c r="G11" s="70"/>
      <c r="H11" s="33"/>
    </row>
    <row r="12" spans="1:8" ht="15" customHeight="1">
      <c r="A12" s="14"/>
      <c r="B12" s="5" t="s">
        <v>9</v>
      </c>
      <c r="C12" s="37" t="s">
        <v>26</v>
      </c>
      <c r="D12" s="38"/>
      <c r="E12" s="39"/>
      <c r="F12" s="51"/>
      <c r="G12" s="51"/>
      <c r="H12" s="33"/>
    </row>
    <row r="13" spans="1:8" ht="16.7" customHeight="1">
      <c r="A13" s="14"/>
      <c r="B13" s="5" t="s">
        <v>10</v>
      </c>
      <c r="C13" s="18" t="s">
        <v>11</v>
      </c>
      <c r="D13" s="38"/>
      <c r="E13" s="39"/>
      <c r="F13" s="51"/>
      <c r="G13" s="51"/>
      <c r="H13" s="33"/>
    </row>
    <row r="14" spans="1:8" ht="15" customHeight="1">
      <c r="A14" s="15"/>
      <c r="B14" s="58"/>
      <c r="C14" s="59"/>
      <c r="D14" s="59"/>
      <c r="E14" s="59"/>
      <c r="F14" s="59"/>
      <c r="G14" s="60"/>
    </row>
    <row r="15" spans="1:8" s="2" customFormat="1" ht="31.5" customHeight="1">
      <c r="A15" s="10" t="s">
        <v>12</v>
      </c>
      <c r="B15" s="28" t="s">
        <v>27</v>
      </c>
      <c r="C15" s="28" t="s">
        <v>28</v>
      </c>
      <c r="D15" s="29" t="s">
        <v>13</v>
      </c>
      <c r="E15" s="10" t="s">
        <v>67</v>
      </c>
      <c r="F15" s="10" t="s">
        <v>64</v>
      </c>
      <c r="G15" s="10" t="s">
        <v>14</v>
      </c>
      <c r="H15" s="34"/>
    </row>
    <row r="16" spans="1:8" s="2" customFormat="1" ht="178.5">
      <c r="A16" s="47" t="s">
        <v>15</v>
      </c>
      <c r="B16" s="49" t="s">
        <v>29</v>
      </c>
      <c r="C16" s="50" t="s">
        <v>65</v>
      </c>
      <c r="D16" s="45"/>
      <c r="E16" s="48"/>
      <c r="F16" s="48"/>
      <c r="G16" s="46"/>
      <c r="H16" s="34"/>
    </row>
    <row r="17" spans="1:8" s="2" customFormat="1">
      <c r="A17" s="53">
        <v>1</v>
      </c>
      <c r="B17" s="40" t="s">
        <v>31</v>
      </c>
      <c r="C17" s="42"/>
      <c r="D17" s="41">
        <v>0</v>
      </c>
      <c r="E17" s="32"/>
      <c r="F17" s="32"/>
      <c r="G17" s="54">
        <f t="shared" ref="G17:G45" si="0">SUM(E17:F17)*D17</f>
        <v>0</v>
      </c>
      <c r="H17" s="34"/>
    </row>
    <row r="18" spans="1:8" s="2" customFormat="1">
      <c r="A18" s="53">
        <v>2</v>
      </c>
      <c r="B18" s="43" t="s">
        <v>32</v>
      </c>
      <c r="C18" s="42"/>
      <c r="D18" s="41">
        <v>1</v>
      </c>
      <c r="E18" s="32">
        <v>2000000</v>
      </c>
      <c r="F18" s="32">
        <v>500000</v>
      </c>
      <c r="G18" s="54">
        <f t="shared" si="0"/>
        <v>2500000</v>
      </c>
      <c r="H18" s="34"/>
    </row>
    <row r="19" spans="1:8" s="2" customFormat="1">
      <c r="A19" s="53">
        <v>3</v>
      </c>
      <c r="B19" s="43" t="s">
        <v>33</v>
      </c>
      <c r="C19" s="42"/>
      <c r="D19" s="41">
        <v>1</v>
      </c>
      <c r="E19" s="32">
        <v>2000000</v>
      </c>
      <c r="F19" s="32">
        <v>500000</v>
      </c>
      <c r="G19" s="54">
        <f t="shared" si="0"/>
        <v>2500000</v>
      </c>
      <c r="H19" s="34"/>
    </row>
    <row r="20" spans="1:8" s="2" customFormat="1">
      <c r="A20" s="53">
        <v>4</v>
      </c>
      <c r="B20" s="43" t="s">
        <v>34</v>
      </c>
      <c r="C20" s="42"/>
      <c r="D20" s="41">
        <v>1</v>
      </c>
      <c r="E20" s="32">
        <v>2000000</v>
      </c>
      <c r="F20" s="32">
        <v>500000</v>
      </c>
      <c r="G20" s="54">
        <f t="shared" si="0"/>
        <v>2500000</v>
      </c>
      <c r="H20" s="34"/>
    </row>
    <row r="21" spans="1:8" s="2" customFormat="1">
      <c r="A21" s="53">
        <v>5</v>
      </c>
      <c r="B21" s="43" t="s">
        <v>35</v>
      </c>
      <c r="C21" s="42"/>
      <c r="D21" s="41">
        <v>1</v>
      </c>
      <c r="E21" s="32">
        <v>2000000</v>
      </c>
      <c r="F21" s="32">
        <v>500000</v>
      </c>
      <c r="G21" s="54">
        <f t="shared" si="0"/>
        <v>2500000</v>
      </c>
      <c r="H21" s="34"/>
    </row>
    <row r="22" spans="1:8" s="2" customFormat="1">
      <c r="A22" s="53">
        <v>6</v>
      </c>
      <c r="B22" s="43" t="s">
        <v>36</v>
      </c>
      <c r="C22" s="42"/>
      <c r="D22" s="41">
        <v>1</v>
      </c>
      <c r="E22" s="32">
        <v>2000000</v>
      </c>
      <c r="F22" s="32">
        <v>500000</v>
      </c>
      <c r="G22" s="54">
        <f t="shared" si="0"/>
        <v>2500000</v>
      </c>
      <c r="H22" s="34"/>
    </row>
    <row r="23" spans="1:8" s="2" customFormat="1">
      <c r="A23" s="53">
        <v>7</v>
      </c>
      <c r="B23" s="43" t="s">
        <v>37</v>
      </c>
      <c r="C23" s="42"/>
      <c r="D23" s="41">
        <v>1</v>
      </c>
      <c r="E23" s="32">
        <v>2000000</v>
      </c>
      <c r="F23" s="32">
        <v>500000</v>
      </c>
      <c r="G23" s="54">
        <f t="shared" si="0"/>
        <v>2500000</v>
      </c>
      <c r="H23" s="34"/>
    </row>
    <row r="24" spans="1:8" s="2" customFormat="1">
      <c r="A24" s="53">
        <v>8</v>
      </c>
      <c r="B24" s="43" t="s">
        <v>38</v>
      </c>
      <c r="C24" s="42"/>
      <c r="D24" s="41">
        <v>1</v>
      </c>
      <c r="E24" s="32">
        <v>2000000</v>
      </c>
      <c r="F24" s="32">
        <v>500000</v>
      </c>
      <c r="G24" s="54">
        <f t="shared" si="0"/>
        <v>2500000</v>
      </c>
      <c r="H24" s="34"/>
    </row>
    <row r="25" spans="1:8" s="2" customFormat="1">
      <c r="A25" s="53">
        <v>9</v>
      </c>
      <c r="B25" s="43" t="s">
        <v>39</v>
      </c>
      <c r="C25" s="42"/>
      <c r="D25" s="41">
        <v>1</v>
      </c>
      <c r="E25" s="32">
        <v>2000000</v>
      </c>
      <c r="F25" s="32">
        <v>500000</v>
      </c>
      <c r="G25" s="54">
        <f t="shared" si="0"/>
        <v>2500000</v>
      </c>
      <c r="H25" s="34"/>
    </row>
    <row r="26" spans="1:8" s="2" customFormat="1">
      <c r="A26" s="53">
        <v>10</v>
      </c>
      <c r="B26" s="43" t="s">
        <v>40</v>
      </c>
      <c r="C26" s="42"/>
      <c r="D26" s="41">
        <v>1</v>
      </c>
      <c r="E26" s="32">
        <v>2000000</v>
      </c>
      <c r="F26" s="32">
        <v>500000</v>
      </c>
      <c r="G26" s="54">
        <f t="shared" si="0"/>
        <v>2500000</v>
      </c>
      <c r="H26" s="34"/>
    </row>
    <row r="27" spans="1:8" s="2" customFormat="1">
      <c r="A27" s="53">
        <v>11</v>
      </c>
      <c r="B27" s="43" t="s">
        <v>41</v>
      </c>
      <c r="C27" s="42"/>
      <c r="D27" s="41">
        <v>1</v>
      </c>
      <c r="E27" s="32">
        <v>2000000</v>
      </c>
      <c r="F27" s="32">
        <v>500000</v>
      </c>
      <c r="G27" s="54">
        <f t="shared" si="0"/>
        <v>2500000</v>
      </c>
      <c r="H27" s="34"/>
    </row>
    <row r="28" spans="1:8" s="2" customFormat="1">
      <c r="A28" s="53">
        <v>12</v>
      </c>
      <c r="B28" s="43" t="s">
        <v>42</v>
      </c>
      <c r="C28" s="42"/>
      <c r="D28" s="41">
        <v>1</v>
      </c>
      <c r="E28" s="32">
        <v>2000000</v>
      </c>
      <c r="F28" s="32">
        <v>500000</v>
      </c>
      <c r="G28" s="54">
        <f t="shared" si="0"/>
        <v>2500000</v>
      </c>
      <c r="H28" s="34"/>
    </row>
    <row r="29" spans="1:8" s="2" customFormat="1">
      <c r="A29" s="53">
        <v>13</v>
      </c>
      <c r="B29" s="43" t="s">
        <v>43</v>
      </c>
      <c r="C29" s="42"/>
      <c r="D29" s="41">
        <v>1</v>
      </c>
      <c r="E29" s="32">
        <v>2000000</v>
      </c>
      <c r="F29" s="32">
        <v>500000</v>
      </c>
      <c r="G29" s="54">
        <f t="shared" si="0"/>
        <v>2500000</v>
      </c>
      <c r="H29" s="34"/>
    </row>
    <row r="30" spans="1:8" s="2" customFormat="1">
      <c r="A30" s="53">
        <v>14</v>
      </c>
      <c r="B30" s="43" t="s">
        <v>44</v>
      </c>
      <c r="C30" s="42"/>
      <c r="D30" s="41">
        <v>1</v>
      </c>
      <c r="E30" s="32">
        <v>2000000</v>
      </c>
      <c r="F30" s="32">
        <v>500000</v>
      </c>
      <c r="G30" s="54">
        <f t="shared" si="0"/>
        <v>2500000</v>
      </c>
      <c r="H30" s="34"/>
    </row>
    <row r="31" spans="1:8" s="2" customFormat="1">
      <c r="A31" s="53">
        <v>15</v>
      </c>
      <c r="B31" s="43" t="s">
        <v>45</v>
      </c>
      <c r="C31" s="42"/>
      <c r="D31" s="41">
        <v>1</v>
      </c>
      <c r="E31" s="32">
        <v>2000000</v>
      </c>
      <c r="F31" s="32">
        <v>500000</v>
      </c>
      <c r="G31" s="54">
        <f t="shared" si="0"/>
        <v>2500000</v>
      </c>
      <c r="H31" s="34"/>
    </row>
    <row r="32" spans="1:8" s="2" customFormat="1">
      <c r="A32" s="53">
        <v>16</v>
      </c>
      <c r="B32" s="43" t="s">
        <v>46</v>
      </c>
      <c r="C32" s="42"/>
      <c r="D32" s="41">
        <v>1</v>
      </c>
      <c r="E32" s="32">
        <v>2000000</v>
      </c>
      <c r="F32" s="32">
        <v>500000</v>
      </c>
      <c r="G32" s="54">
        <f t="shared" si="0"/>
        <v>2500000</v>
      </c>
      <c r="H32" s="34"/>
    </row>
    <row r="33" spans="1:8" s="2" customFormat="1">
      <c r="A33" s="53">
        <v>17</v>
      </c>
      <c r="B33" s="43" t="s">
        <v>47</v>
      </c>
      <c r="C33" s="42"/>
      <c r="D33" s="41">
        <v>0</v>
      </c>
      <c r="E33" s="32"/>
      <c r="F33" s="32"/>
      <c r="G33" s="54">
        <f t="shared" si="0"/>
        <v>0</v>
      </c>
      <c r="H33" s="34"/>
    </row>
    <row r="34" spans="1:8" s="2" customFormat="1">
      <c r="A34" s="53">
        <v>18</v>
      </c>
      <c r="B34" s="43" t="s">
        <v>48</v>
      </c>
      <c r="C34" s="42"/>
      <c r="D34" s="41">
        <v>0</v>
      </c>
      <c r="E34" s="32"/>
      <c r="F34" s="32"/>
      <c r="G34" s="54">
        <f t="shared" si="0"/>
        <v>0</v>
      </c>
      <c r="H34" s="34"/>
    </row>
    <row r="35" spans="1:8" s="2" customFormat="1">
      <c r="A35" s="53">
        <v>19</v>
      </c>
      <c r="B35" s="43" t="s">
        <v>49</v>
      </c>
      <c r="C35" s="42"/>
      <c r="D35" s="41">
        <v>0</v>
      </c>
      <c r="E35" s="32"/>
      <c r="F35" s="32"/>
      <c r="G35" s="54">
        <f t="shared" si="0"/>
        <v>0</v>
      </c>
      <c r="H35" s="34"/>
    </row>
    <row r="36" spans="1:8" s="2" customFormat="1">
      <c r="A36" s="53">
        <v>20</v>
      </c>
      <c r="B36" s="43" t="s">
        <v>50</v>
      </c>
      <c r="C36" s="42"/>
      <c r="D36" s="41">
        <v>0</v>
      </c>
      <c r="E36" s="32"/>
      <c r="F36" s="32"/>
      <c r="G36" s="54">
        <f t="shared" si="0"/>
        <v>0</v>
      </c>
      <c r="H36" s="34"/>
    </row>
    <row r="37" spans="1:8" s="2" customFormat="1">
      <c r="A37" s="53">
        <v>21</v>
      </c>
      <c r="B37" s="43" t="s">
        <v>51</v>
      </c>
      <c r="C37" s="42"/>
      <c r="D37" s="41">
        <v>1</v>
      </c>
      <c r="E37" s="32">
        <v>2000000</v>
      </c>
      <c r="F37" s="32">
        <v>500000</v>
      </c>
      <c r="G37" s="54">
        <f t="shared" si="0"/>
        <v>2500000</v>
      </c>
      <c r="H37" s="34"/>
    </row>
    <row r="38" spans="1:8" s="2" customFormat="1">
      <c r="A38" s="53">
        <v>22</v>
      </c>
      <c r="B38" s="43" t="s">
        <v>52</v>
      </c>
      <c r="C38" s="42"/>
      <c r="D38" s="41">
        <v>1</v>
      </c>
      <c r="E38" s="32">
        <v>2000000</v>
      </c>
      <c r="F38" s="32">
        <v>500000</v>
      </c>
      <c r="G38" s="54">
        <f t="shared" si="0"/>
        <v>2500000</v>
      </c>
      <c r="H38" s="34"/>
    </row>
    <row r="39" spans="1:8" s="2" customFormat="1">
      <c r="A39" s="53">
        <v>23</v>
      </c>
      <c r="B39" s="43" t="s">
        <v>53</v>
      </c>
      <c r="C39" s="42"/>
      <c r="D39" s="41">
        <v>0</v>
      </c>
      <c r="E39" s="32"/>
      <c r="F39" s="32"/>
      <c r="G39" s="54">
        <f t="shared" si="0"/>
        <v>0</v>
      </c>
      <c r="H39" s="34"/>
    </row>
    <row r="40" spans="1:8" s="2" customFormat="1">
      <c r="A40" s="53">
        <v>24</v>
      </c>
      <c r="B40" s="43" t="s">
        <v>54</v>
      </c>
      <c r="C40" s="42"/>
      <c r="D40" s="41">
        <v>0</v>
      </c>
      <c r="E40" s="32"/>
      <c r="F40" s="32"/>
      <c r="G40" s="54">
        <f t="shared" si="0"/>
        <v>0</v>
      </c>
      <c r="H40" s="34"/>
    </row>
    <row r="41" spans="1:8" s="2" customFormat="1">
      <c r="A41" s="53">
        <v>25</v>
      </c>
      <c r="B41" s="43" t="s">
        <v>55</v>
      </c>
      <c r="C41" s="42"/>
      <c r="D41" s="41">
        <v>0</v>
      </c>
      <c r="E41" s="32"/>
      <c r="F41" s="32"/>
      <c r="G41" s="54">
        <f t="shared" si="0"/>
        <v>0</v>
      </c>
      <c r="H41" s="34"/>
    </row>
    <row r="42" spans="1:8" s="2" customFormat="1">
      <c r="A42" s="53">
        <v>26</v>
      </c>
      <c r="B42" s="43" t="s">
        <v>56</v>
      </c>
      <c r="C42" s="42"/>
      <c r="D42" s="41">
        <v>0</v>
      </c>
      <c r="E42" s="32"/>
      <c r="F42" s="32"/>
      <c r="G42" s="54">
        <f t="shared" si="0"/>
        <v>0</v>
      </c>
      <c r="H42" s="34"/>
    </row>
    <row r="43" spans="1:8" s="2" customFormat="1">
      <c r="A43" s="53">
        <v>27</v>
      </c>
      <c r="B43" s="43" t="s">
        <v>57</v>
      </c>
      <c r="C43" s="42"/>
      <c r="D43" s="41">
        <v>0</v>
      </c>
      <c r="E43" s="32"/>
      <c r="F43" s="32"/>
      <c r="G43" s="54">
        <f t="shared" si="0"/>
        <v>0</v>
      </c>
      <c r="H43" s="34"/>
    </row>
    <row r="44" spans="1:8" s="2" customFormat="1">
      <c r="A44" s="53">
        <v>28</v>
      </c>
      <c r="B44" s="43" t="s">
        <v>58</v>
      </c>
      <c r="C44" s="42"/>
      <c r="D44" s="41">
        <v>1</v>
      </c>
      <c r="E44" s="32">
        <v>2000000</v>
      </c>
      <c r="F44" s="32">
        <v>500000</v>
      </c>
      <c r="G44" s="54">
        <f t="shared" si="0"/>
        <v>2500000</v>
      </c>
      <c r="H44" s="34"/>
    </row>
    <row r="45" spans="1:8" s="2" customFormat="1">
      <c r="A45" s="53">
        <v>29</v>
      </c>
      <c r="B45" s="43" t="s">
        <v>59</v>
      </c>
      <c r="C45" s="42"/>
      <c r="D45" s="41">
        <v>1</v>
      </c>
      <c r="E45" s="32">
        <v>2000000</v>
      </c>
      <c r="F45" s="32">
        <v>500000</v>
      </c>
      <c r="G45" s="54">
        <f t="shared" si="0"/>
        <v>2500000</v>
      </c>
      <c r="H45" s="34"/>
    </row>
    <row r="46" spans="1:8" s="2" customFormat="1" ht="178.5">
      <c r="A46" s="47" t="s">
        <v>16</v>
      </c>
      <c r="B46" s="49" t="s">
        <v>30</v>
      </c>
      <c r="C46" s="50" t="s">
        <v>65</v>
      </c>
      <c r="D46" s="45"/>
      <c r="E46" s="48"/>
      <c r="F46" s="48"/>
      <c r="G46" s="46"/>
      <c r="H46" s="34"/>
    </row>
    <row r="47" spans="1:8" s="2" customFormat="1">
      <c r="A47" s="53">
        <v>30</v>
      </c>
      <c r="B47" s="40" t="s">
        <v>60</v>
      </c>
      <c r="C47" s="44"/>
      <c r="D47" s="41">
        <v>0</v>
      </c>
      <c r="E47" s="27"/>
      <c r="F47" s="27"/>
      <c r="G47" s="54">
        <f t="shared" ref="G47:G78" si="1">SUM(E47:F47)*D47</f>
        <v>0</v>
      </c>
      <c r="H47" s="34"/>
    </row>
    <row r="48" spans="1:8" s="2" customFormat="1">
      <c r="A48" s="53">
        <v>31</v>
      </c>
      <c r="B48" s="43" t="s">
        <v>32</v>
      </c>
      <c r="C48" s="44"/>
      <c r="D48" s="41">
        <v>1</v>
      </c>
      <c r="E48" s="32">
        <v>2000000</v>
      </c>
      <c r="F48" s="32">
        <v>500000</v>
      </c>
      <c r="G48" s="54">
        <f t="shared" si="1"/>
        <v>2500000</v>
      </c>
      <c r="H48" s="34"/>
    </row>
    <row r="49" spans="1:8" s="2" customFormat="1">
      <c r="A49" s="53">
        <v>32</v>
      </c>
      <c r="B49" s="43" t="s">
        <v>33</v>
      </c>
      <c r="C49" s="44"/>
      <c r="D49" s="41">
        <v>1</v>
      </c>
      <c r="E49" s="32">
        <v>2000000</v>
      </c>
      <c r="F49" s="32">
        <v>500000</v>
      </c>
      <c r="G49" s="54">
        <f t="shared" si="1"/>
        <v>2500000</v>
      </c>
      <c r="H49" s="34"/>
    </row>
    <row r="50" spans="1:8" s="2" customFormat="1">
      <c r="A50" s="53">
        <v>33</v>
      </c>
      <c r="B50" s="43" t="s">
        <v>34</v>
      </c>
      <c r="C50" s="44"/>
      <c r="D50" s="41">
        <v>1</v>
      </c>
      <c r="E50" s="32">
        <v>2000000</v>
      </c>
      <c r="F50" s="32">
        <v>500000</v>
      </c>
      <c r="G50" s="54">
        <f t="shared" si="1"/>
        <v>2500000</v>
      </c>
      <c r="H50" s="34"/>
    </row>
    <row r="51" spans="1:8" s="2" customFormat="1">
      <c r="A51" s="53">
        <v>34</v>
      </c>
      <c r="B51" s="43" t="s">
        <v>35</v>
      </c>
      <c r="C51" s="44"/>
      <c r="D51" s="41">
        <v>1</v>
      </c>
      <c r="E51" s="32">
        <v>2000000</v>
      </c>
      <c r="F51" s="32">
        <v>500000</v>
      </c>
      <c r="G51" s="54">
        <f t="shared" si="1"/>
        <v>2500000</v>
      </c>
      <c r="H51" s="34"/>
    </row>
    <row r="52" spans="1:8" s="2" customFormat="1">
      <c r="A52" s="53">
        <v>35</v>
      </c>
      <c r="B52" s="43" t="s">
        <v>36</v>
      </c>
      <c r="C52" s="44"/>
      <c r="D52" s="41">
        <v>1</v>
      </c>
      <c r="E52" s="32">
        <v>2000000</v>
      </c>
      <c r="F52" s="32">
        <v>500000</v>
      </c>
      <c r="G52" s="54">
        <f t="shared" si="1"/>
        <v>2500000</v>
      </c>
      <c r="H52" s="34"/>
    </row>
    <row r="53" spans="1:8" s="2" customFormat="1">
      <c r="A53" s="53">
        <v>36</v>
      </c>
      <c r="B53" s="43" t="s">
        <v>37</v>
      </c>
      <c r="C53" s="44"/>
      <c r="D53" s="41">
        <v>1</v>
      </c>
      <c r="E53" s="32">
        <v>2000000</v>
      </c>
      <c r="F53" s="32">
        <v>500000</v>
      </c>
      <c r="G53" s="54">
        <f t="shared" si="1"/>
        <v>2500000</v>
      </c>
      <c r="H53" s="34"/>
    </row>
    <row r="54" spans="1:8" s="2" customFormat="1">
      <c r="A54" s="53">
        <v>37</v>
      </c>
      <c r="B54" s="43" t="s">
        <v>38</v>
      </c>
      <c r="C54" s="44"/>
      <c r="D54" s="41">
        <v>1</v>
      </c>
      <c r="E54" s="32">
        <v>2000000</v>
      </c>
      <c r="F54" s="32">
        <v>500000</v>
      </c>
      <c r="G54" s="54">
        <f t="shared" si="1"/>
        <v>2500000</v>
      </c>
      <c r="H54" s="34"/>
    </row>
    <row r="55" spans="1:8" s="2" customFormat="1">
      <c r="A55" s="53">
        <v>38</v>
      </c>
      <c r="B55" s="43" t="s">
        <v>39</v>
      </c>
      <c r="C55" s="44"/>
      <c r="D55" s="41">
        <v>1</v>
      </c>
      <c r="E55" s="32">
        <v>2000000</v>
      </c>
      <c r="F55" s="32">
        <v>500000</v>
      </c>
      <c r="G55" s="54">
        <f t="shared" si="1"/>
        <v>2500000</v>
      </c>
      <c r="H55" s="34"/>
    </row>
    <row r="56" spans="1:8" s="2" customFormat="1">
      <c r="A56" s="53">
        <v>39</v>
      </c>
      <c r="B56" s="43" t="s">
        <v>40</v>
      </c>
      <c r="C56" s="44"/>
      <c r="D56" s="41">
        <v>1</v>
      </c>
      <c r="E56" s="32">
        <v>2000000</v>
      </c>
      <c r="F56" s="32">
        <v>500000</v>
      </c>
      <c r="G56" s="54">
        <f t="shared" si="1"/>
        <v>2500000</v>
      </c>
      <c r="H56" s="34"/>
    </row>
    <row r="57" spans="1:8" s="2" customFormat="1">
      <c r="A57" s="53">
        <v>40</v>
      </c>
      <c r="B57" s="43" t="s">
        <v>41</v>
      </c>
      <c r="C57" s="44"/>
      <c r="D57" s="41">
        <v>1</v>
      </c>
      <c r="E57" s="32">
        <v>2000000</v>
      </c>
      <c r="F57" s="32">
        <v>500000</v>
      </c>
      <c r="G57" s="54">
        <f t="shared" si="1"/>
        <v>2500000</v>
      </c>
      <c r="H57" s="34"/>
    </row>
    <row r="58" spans="1:8" s="2" customFormat="1">
      <c r="A58" s="53">
        <v>41</v>
      </c>
      <c r="B58" s="43" t="s">
        <v>42</v>
      </c>
      <c r="C58" s="44"/>
      <c r="D58" s="41">
        <v>1</v>
      </c>
      <c r="E58" s="32">
        <v>2000000</v>
      </c>
      <c r="F58" s="32">
        <v>500000</v>
      </c>
      <c r="G58" s="54">
        <f t="shared" si="1"/>
        <v>2500000</v>
      </c>
      <c r="H58" s="34"/>
    </row>
    <row r="59" spans="1:8" s="2" customFormat="1">
      <c r="A59" s="53">
        <v>42</v>
      </c>
      <c r="B59" s="43" t="s">
        <v>43</v>
      </c>
      <c r="C59" s="44"/>
      <c r="D59" s="41">
        <v>1</v>
      </c>
      <c r="E59" s="32">
        <v>2000000</v>
      </c>
      <c r="F59" s="32">
        <v>500000</v>
      </c>
      <c r="G59" s="54">
        <f t="shared" si="1"/>
        <v>2500000</v>
      </c>
      <c r="H59" s="34"/>
    </row>
    <row r="60" spans="1:8" s="2" customFormat="1">
      <c r="A60" s="53">
        <v>43</v>
      </c>
      <c r="B60" s="43" t="s">
        <v>44</v>
      </c>
      <c r="C60" s="44"/>
      <c r="D60" s="41">
        <v>1</v>
      </c>
      <c r="E60" s="32">
        <v>2000000</v>
      </c>
      <c r="F60" s="32">
        <v>500000</v>
      </c>
      <c r="G60" s="54">
        <f t="shared" si="1"/>
        <v>2500000</v>
      </c>
      <c r="H60" s="34"/>
    </row>
    <row r="61" spans="1:8" s="2" customFormat="1">
      <c r="A61" s="53">
        <v>44</v>
      </c>
      <c r="B61" s="43" t="s">
        <v>45</v>
      </c>
      <c r="C61" s="44"/>
      <c r="D61" s="41">
        <v>1</v>
      </c>
      <c r="E61" s="32">
        <v>2000000</v>
      </c>
      <c r="F61" s="32">
        <v>500000</v>
      </c>
      <c r="G61" s="54">
        <f t="shared" si="1"/>
        <v>2500000</v>
      </c>
      <c r="H61" s="34"/>
    </row>
    <row r="62" spans="1:8" s="2" customFormat="1">
      <c r="A62" s="53">
        <v>45</v>
      </c>
      <c r="B62" s="43" t="s">
        <v>46</v>
      </c>
      <c r="C62" s="44"/>
      <c r="D62" s="41">
        <v>1</v>
      </c>
      <c r="E62" s="32">
        <v>2000000</v>
      </c>
      <c r="F62" s="32">
        <v>500000</v>
      </c>
      <c r="G62" s="54">
        <f t="shared" si="1"/>
        <v>2500000</v>
      </c>
      <c r="H62" s="34"/>
    </row>
    <row r="63" spans="1:8" s="2" customFormat="1">
      <c r="A63" s="53">
        <v>46</v>
      </c>
      <c r="B63" s="43" t="s">
        <v>47</v>
      </c>
      <c r="C63" s="44"/>
      <c r="D63" s="41">
        <v>1</v>
      </c>
      <c r="E63" s="32">
        <v>2000000</v>
      </c>
      <c r="F63" s="32">
        <v>500000</v>
      </c>
      <c r="G63" s="54">
        <f t="shared" si="1"/>
        <v>2500000</v>
      </c>
      <c r="H63" s="34"/>
    </row>
    <row r="64" spans="1:8" s="2" customFormat="1">
      <c r="A64" s="53">
        <v>47</v>
      </c>
      <c r="B64" s="43" t="s">
        <v>48</v>
      </c>
      <c r="C64" s="44"/>
      <c r="D64" s="41">
        <v>1</v>
      </c>
      <c r="E64" s="32">
        <v>2000000</v>
      </c>
      <c r="F64" s="32">
        <v>500000</v>
      </c>
      <c r="G64" s="54">
        <f t="shared" si="1"/>
        <v>2500000</v>
      </c>
      <c r="H64" s="34"/>
    </row>
    <row r="65" spans="1:9" s="2" customFormat="1">
      <c r="A65" s="53">
        <v>48</v>
      </c>
      <c r="B65" s="43" t="s">
        <v>49</v>
      </c>
      <c r="C65" s="44"/>
      <c r="D65" s="41">
        <v>1</v>
      </c>
      <c r="E65" s="32">
        <v>2000000</v>
      </c>
      <c r="F65" s="32">
        <v>500000</v>
      </c>
      <c r="G65" s="54">
        <f t="shared" si="1"/>
        <v>2500000</v>
      </c>
      <c r="H65" s="34"/>
    </row>
    <row r="66" spans="1:9" s="2" customFormat="1">
      <c r="A66" s="53">
        <v>49</v>
      </c>
      <c r="B66" s="43" t="s">
        <v>50</v>
      </c>
      <c r="C66" s="44"/>
      <c r="D66" s="41">
        <v>1</v>
      </c>
      <c r="E66" s="32">
        <v>2000000</v>
      </c>
      <c r="F66" s="32">
        <v>500000</v>
      </c>
      <c r="G66" s="54">
        <f t="shared" si="1"/>
        <v>2500000</v>
      </c>
      <c r="H66" s="34"/>
    </row>
    <row r="67" spans="1:9" s="2" customFormat="1">
      <c r="A67" s="53">
        <v>50</v>
      </c>
      <c r="B67" s="43" t="s">
        <v>51</v>
      </c>
      <c r="C67" s="44"/>
      <c r="D67" s="41">
        <v>1</v>
      </c>
      <c r="E67" s="32">
        <v>2000000</v>
      </c>
      <c r="F67" s="32">
        <v>500000</v>
      </c>
      <c r="G67" s="54">
        <f t="shared" si="1"/>
        <v>2500000</v>
      </c>
      <c r="H67" s="34"/>
    </row>
    <row r="68" spans="1:9" s="2" customFormat="1">
      <c r="A68" s="53">
        <v>51</v>
      </c>
      <c r="B68" s="43" t="s">
        <v>52</v>
      </c>
      <c r="C68" s="44"/>
      <c r="D68" s="41">
        <v>1</v>
      </c>
      <c r="E68" s="32">
        <v>2000000</v>
      </c>
      <c r="F68" s="32">
        <v>500000</v>
      </c>
      <c r="G68" s="54">
        <f t="shared" si="1"/>
        <v>2500000</v>
      </c>
      <c r="H68" s="34"/>
    </row>
    <row r="69" spans="1:9" s="2" customFormat="1">
      <c r="A69" s="53">
        <v>52</v>
      </c>
      <c r="B69" s="43" t="s">
        <v>53</v>
      </c>
      <c r="C69" s="44"/>
      <c r="D69" s="41">
        <v>1</v>
      </c>
      <c r="E69" s="32">
        <v>2000000</v>
      </c>
      <c r="F69" s="32">
        <v>500000</v>
      </c>
      <c r="G69" s="54">
        <f t="shared" si="1"/>
        <v>2500000</v>
      </c>
      <c r="H69" s="34"/>
    </row>
    <row r="70" spans="1:9" s="2" customFormat="1">
      <c r="A70" s="53">
        <v>53</v>
      </c>
      <c r="B70" s="43" t="s">
        <v>54</v>
      </c>
      <c r="C70" s="44"/>
      <c r="D70" s="41">
        <v>1</v>
      </c>
      <c r="E70" s="32">
        <v>2000000</v>
      </c>
      <c r="F70" s="32">
        <v>500000</v>
      </c>
      <c r="G70" s="54">
        <f t="shared" si="1"/>
        <v>2500000</v>
      </c>
      <c r="H70" s="34"/>
    </row>
    <row r="71" spans="1:9" s="2" customFormat="1">
      <c r="A71" s="53">
        <v>54</v>
      </c>
      <c r="B71" s="43" t="s">
        <v>55</v>
      </c>
      <c r="C71" s="44"/>
      <c r="D71" s="41">
        <v>1</v>
      </c>
      <c r="E71" s="32">
        <v>2000000</v>
      </c>
      <c r="F71" s="32">
        <v>500000</v>
      </c>
      <c r="G71" s="54">
        <f t="shared" si="1"/>
        <v>2500000</v>
      </c>
      <c r="H71" s="34"/>
    </row>
    <row r="72" spans="1:9" s="2" customFormat="1">
      <c r="A72" s="53">
        <v>55</v>
      </c>
      <c r="B72" s="43" t="s">
        <v>56</v>
      </c>
      <c r="C72" s="44"/>
      <c r="D72" s="41">
        <v>1</v>
      </c>
      <c r="E72" s="32">
        <v>2000000</v>
      </c>
      <c r="F72" s="32">
        <v>500000</v>
      </c>
      <c r="G72" s="54">
        <f t="shared" si="1"/>
        <v>2500000</v>
      </c>
      <c r="H72" s="34"/>
    </row>
    <row r="73" spans="1:9" s="2" customFormat="1">
      <c r="A73" s="53">
        <v>56</v>
      </c>
      <c r="B73" s="43" t="s">
        <v>57</v>
      </c>
      <c r="C73" s="44"/>
      <c r="D73" s="41">
        <v>1</v>
      </c>
      <c r="E73" s="32">
        <v>2000000</v>
      </c>
      <c r="F73" s="32">
        <v>500000</v>
      </c>
      <c r="G73" s="54">
        <f t="shared" si="1"/>
        <v>2500000</v>
      </c>
      <c r="H73" s="34"/>
    </row>
    <row r="74" spans="1:9" s="2" customFormat="1">
      <c r="A74" s="53">
        <v>57</v>
      </c>
      <c r="B74" s="43" t="s">
        <v>58</v>
      </c>
      <c r="C74" s="44"/>
      <c r="D74" s="41">
        <v>1</v>
      </c>
      <c r="E74" s="32">
        <v>2000000</v>
      </c>
      <c r="F74" s="32">
        <v>500000</v>
      </c>
      <c r="G74" s="54">
        <f t="shared" si="1"/>
        <v>2500000</v>
      </c>
      <c r="H74" s="34"/>
    </row>
    <row r="75" spans="1:9" s="2" customFormat="1">
      <c r="A75" s="53">
        <v>58</v>
      </c>
      <c r="B75" s="43" t="s">
        <v>59</v>
      </c>
      <c r="C75" s="44"/>
      <c r="D75" s="41">
        <v>1</v>
      </c>
      <c r="E75" s="32">
        <v>2000000</v>
      </c>
      <c r="F75" s="32">
        <v>500000</v>
      </c>
      <c r="G75" s="54">
        <f t="shared" si="1"/>
        <v>2500000</v>
      </c>
      <c r="H75" s="34"/>
    </row>
    <row r="76" spans="1:9" s="2" customFormat="1">
      <c r="A76" s="53">
        <v>59</v>
      </c>
      <c r="B76" s="43" t="s">
        <v>61</v>
      </c>
      <c r="C76" s="44"/>
      <c r="D76" s="41">
        <v>2</v>
      </c>
      <c r="E76" s="32">
        <v>2000000</v>
      </c>
      <c r="F76" s="32">
        <v>500000</v>
      </c>
      <c r="G76" s="54">
        <f t="shared" si="1"/>
        <v>5000000</v>
      </c>
      <c r="H76" s="34"/>
    </row>
    <row r="77" spans="1:9" s="2" customFormat="1">
      <c r="A77" s="53">
        <v>60</v>
      </c>
      <c r="B77" s="43" t="s">
        <v>62</v>
      </c>
      <c r="C77" s="44"/>
      <c r="D77" s="41">
        <v>1</v>
      </c>
      <c r="E77" s="32">
        <v>2000000</v>
      </c>
      <c r="F77" s="32">
        <v>500000</v>
      </c>
      <c r="G77" s="54">
        <f t="shared" si="1"/>
        <v>2500000</v>
      </c>
      <c r="H77" s="34"/>
    </row>
    <row r="78" spans="1:9" s="2" customFormat="1">
      <c r="A78" s="53">
        <v>61</v>
      </c>
      <c r="B78" s="43" t="s">
        <v>63</v>
      </c>
      <c r="C78" s="44"/>
      <c r="D78" s="41">
        <v>1</v>
      </c>
      <c r="E78" s="32">
        <v>2000000</v>
      </c>
      <c r="F78" s="32">
        <v>500000</v>
      </c>
      <c r="G78" s="54">
        <f t="shared" si="1"/>
        <v>2500000</v>
      </c>
      <c r="H78" s="34"/>
    </row>
    <row r="79" spans="1:9" s="4" customFormat="1" ht="21.75" customHeight="1">
      <c r="A79" s="19"/>
      <c r="B79" s="55" t="s">
        <v>17</v>
      </c>
      <c r="C79" s="56"/>
      <c r="D79" s="56"/>
      <c r="E79" s="57"/>
      <c r="F79" s="52"/>
      <c r="G79" s="20">
        <f>SUM(G16:G78)</f>
        <v>127500000</v>
      </c>
      <c r="H79" s="35"/>
      <c r="I79" s="26"/>
    </row>
    <row r="80" spans="1:9" s="4" customFormat="1" ht="21.75" customHeight="1">
      <c r="A80" s="19"/>
      <c r="B80" s="55" t="s">
        <v>18</v>
      </c>
      <c r="C80" s="56"/>
      <c r="D80" s="56"/>
      <c r="E80" s="57"/>
      <c r="F80" s="52"/>
      <c r="G80" s="20">
        <f>G79*0.1</f>
        <v>12750000</v>
      </c>
      <c r="H80" s="36"/>
      <c r="I80" s="26"/>
    </row>
    <row r="81" spans="1:9" s="4" customFormat="1" ht="21.75" customHeight="1">
      <c r="A81" s="19"/>
      <c r="B81" s="55" t="s">
        <v>19</v>
      </c>
      <c r="C81" s="56"/>
      <c r="D81" s="56"/>
      <c r="E81" s="57"/>
      <c r="F81" s="52"/>
      <c r="G81" s="20">
        <f>SUM(G79:G80)</f>
        <v>140250000</v>
      </c>
      <c r="H81" s="36"/>
      <c r="I81" s="26"/>
    </row>
    <row r="82" spans="1:9" s="4" customFormat="1" ht="21.75" customHeight="1">
      <c r="A82" s="21"/>
      <c r="B82" s="30"/>
      <c r="C82" s="30"/>
      <c r="D82" s="30"/>
      <c r="E82" s="30"/>
      <c r="F82" s="30"/>
      <c r="G82" s="31"/>
      <c r="I82" s="26"/>
    </row>
    <row r="83" spans="1:9" s="4" customFormat="1" ht="10.35" customHeight="1">
      <c r="A83" s="21"/>
      <c r="B83" s="22"/>
      <c r="C83" s="22"/>
      <c r="D83" s="21"/>
      <c r="E83" s="22"/>
      <c r="F83" s="22"/>
      <c r="G83" s="23"/>
    </row>
    <row r="84" spans="1:9" ht="17.25" customHeight="1">
      <c r="A84" s="16"/>
      <c r="B84" s="7" t="s">
        <v>20</v>
      </c>
      <c r="C84" s="17"/>
      <c r="D84" s="25"/>
      <c r="E84" s="8"/>
      <c r="F84" s="8"/>
      <c r="G84" s="8"/>
    </row>
    <row r="85" spans="1:9" ht="16.5" customHeight="1">
      <c r="B85" s="6" t="s">
        <v>21</v>
      </c>
      <c r="C85" s="6"/>
      <c r="E85" s="6"/>
      <c r="F85" s="6"/>
      <c r="G85" s="6"/>
    </row>
    <row r="86" spans="1:9" ht="14.25">
      <c r="B86" s="6" t="s">
        <v>22</v>
      </c>
      <c r="C86" s="6"/>
      <c r="E86" s="6"/>
      <c r="F86" s="6"/>
      <c r="G86" s="6"/>
    </row>
    <row r="87" spans="1:9" ht="14.25" customHeight="1">
      <c r="B87" s="9" t="s">
        <v>68</v>
      </c>
      <c r="C87" s="6"/>
      <c r="E87" s="6"/>
      <c r="F87" s="6"/>
      <c r="G87" s="6"/>
    </row>
    <row r="88" spans="1:9" ht="15.6" customHeight="1">
      <c r="B88" s="6" t="s">
        <v>23</v>
      </c>
      <c r="C88" s="6"/>
      <c r="E88" s="6"/>
      <c r="F88" s="6"/>
      <c r="G88" s="6"/>
    </row>
    <row r="89" spans="1:9" ht="13.5" customHeight="1">
      <c r="B89" s="6" t="s">
        <v>66</v>
      </c>
      <c r="C89" s="6"/>
    </row>
    <row r="90" spans="1:9" ht="13.5" customHeight="1">
      <c r="B90" s="6"/>
      <c r="C90" s="6"/>
      <c r="G90" s="6"/>
    </row>
    <row r="91" spans="1:9" ht="13.5" customHeight="1">
      <c r="B91" s="6"/>
      <c r="C91" s="6"/>
      <c r="G91" s="6"/>
    </row>
    <row r="92" spans="1:9" ht="13.5" customHeight="1">
      <c r="B92" s="6"/>
      <c r="C92" s="6"/>
      <c r="G92" s="6"/>
    </row>
    <row r="93" spans="1:9" ht="15">
      <c r="C93" s="9"/>
      <c r="E93" s="6"/>
      <c r="F93" s="6"/>
      <c r="G93" s="6"/>
    </row>
    <row r="94" spans="1:9" ht="13.5" customHeight="1">
      <c r="B94" s="9"/>
      <c r="C94" s="9"/>
      <c r="E94" s="6"/>
      <c r="F94" s="6"/>
      <c r="G94" s="6"/>
    </row>
    <row r="95" spans="1:9" ht="15">
      <c r="B95" s="9"/>
      <c r="C95" s="9"/>
      <c r="E95" s="6"/>
      <c r="F95" s="6"/>
      <c r="G95" s="6"/>
    </row>
    <row r="96" spans="1:9" ht="15">
      <c r="B96" s="9"/>
      <c r="C96" s="6"/>
      <c r="E96" s="6"/>
      <c r="F96" s="6"/>
      <c r="G96" s="6"/>
    </row>
    <row r="97" spans="2:7" ht="14.25">
      <c r="B97" s="6"/>
      <c r="C97" s="6"/>
      <c r="E97" s="6"/>
      <c r="F97" s="6"/>
      <c r="G97" s="6"/>
    </row>
  </sheetData>
  <mergeCells count="12">
    <mergeCell ref="B81:E81"/>
    <mergeCell ref="B80:E80"/>
    <mergeCell ref="B79:E79"/>
    <mergeCell ref="B14:G14"/>
    <mergeCell ref="C1:G4"/>
    <mergeCell ref="C11:G11"/>
    <mergeCell ref="C10:G10"/>
    <mergeCell ref="C6:G6"/>
    <mergeCell ref="C7:G7"/>
    <mergeCell ref="C8:G8"/>
    <mergeCell ref="C9:G9"/>
    <mergeCell ref="B5:G5"/>
  </mergeCells>
  <phoneticPr fontId="0" type="noConversion"/>
  <printOptions horizontalCentered="1" verticalCentered="1"/>
  <pageMargins left="0" right="0" top="0" bottom="0" header="0" footer="0"/>
  <pageSetup paperSize="9" scale="6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Manager/>
  <Company>innotel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thanh hai</dc:creator>
  <cp:keywords/>
  <dc:description/>
  <cp:lastModifiedBy>Huynh Trong Hieu</cp:lastModifiedBy>
  <cp:revision/>
  <dcterms:created xsi:type="dcterms:W3CDTF">2001-06-27T18:38:16Z</dcterms:created>
  <dcterms:modified xsi:type="dcterms:W3CDTF">2022-09-17T04:44:19Z</dcterms:modified>
  <cp:category/>
  <cp:contentStatus/>
</cp:coreProperties>
</file>