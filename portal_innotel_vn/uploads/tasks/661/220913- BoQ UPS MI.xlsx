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 TỔNG HỢP\2. MARRIOTT ĐN\UPS\UPS -NEW T10.2022\"/>
    </mc:Choice>
  </mc:AlternateContent>
  <xr:revisionPtr revIDLastSave="0" documentId="13_ncr:1_{2C1070C0-3975-49A8-B85F-6FA1102843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Q Tổng" sheetId="10" r:id="rId1"/>
    <sheet name="SPEC" sheetId="5" state="hidden" r:id="rId2"/>
    <sheet name="DC" sheetId="4" state="hidden" r:id="rId3"/>
    <sheet name="UPS CAL" sheetId="8" state="hidden" r:id="rId4"/>
    <sheet name="maximum size UPS" sheetId="9" state="hidden" r:id="rId5"/>
  </sheets>
  <definedNames>
    <definedName name="_xlnm.Print_Area" localSheetId="0">'BOQ Tổng'!$A$1:$I$65</definedName>
    <definedName name="_xlnm.Print_Area" localSheetId="2">DC!$A$1:$E$27</definedName>
  </definedNames>
  <calcPr calcId="191029"/>
</workbook>
</file>

<file path=xl/calcChain.xml><?xml version="1.0" encoding="utf-8"?>
<calcChain xmlns="http://schemas.openxmlformats.org/spreadsheetml/2006/main">
  <c r="D65" i="10" l="1"/>
  <c r="D64" i="10"/>
  <c r="D63" i="10"/>
  <c r="AK60" i="8" l="1"/>
  <c r="AK54" i="8"/>
  <c r="AK48" i="8"/>
  <c r="AK39" i="8" l="1"/>
  <c r="AK33" i="8"/>
  <c r="AK27" i="8"/>
  <c r="AK19" i="8"/>
  <c r="AK14" i="8"/>
  <c r="AK10" i="8"/>
  <c r="X4" i="8" l="1"/>
  <c r="D24" i="4" l="1"/>
  <c r="D23" i="4"/>
  <c r="D26" i="4"/>
  <c r="D27" i="4" l="1"/>
  <c r="E27" i="4" l="1"/>
  <c r="D34" i="10"/>
  <c r="AJ7" i="8"/>
  <c r="I20" i="8" l="1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19" i="8"/>
  <c r="H5" i="8"/>
  <c r="H10" i="8"/>
  <c r="AI62" i="8" l="1"/>
  <c r="AH62" i="8"/>
  <c r="AE62" i="8"/>
  <c r="AF62" i="8" s="1"/>
  <c r="T62" i="8"/>
  <c r="S62" i="8"/>
  <c r="H62" i="8"/>
  <c r="R62" i="8" s="1"/>
  <c r="AI61" i="8"/>
  <c r="AH61" i="8"/>
  <c r="AE61" i="8"/>
  <c r="AF61" i="8" s="1"/>
  <c r="T61" i="8"/>
  <c r="S61" i="8"/>
  <c r="H61" i="8"/>
  <c r="R61" i="8" s="1"/>
  <c r="AI60" i="8"/>
  <c r="AH60" i="8"/>
  <c r="AE60" i="8"/>
  <c r="AF60" i="8" s="1"/>
  <c r="T60" i="8"/>
  <c r="S60" i="8"/>
  <c r="H60" i="8"/>
  <c r="R60" i="8" s="1"/>
  <c r="AI59" i="8"/>
  <c r="AH59" i="8"/>
  <c r="AE59" i="8"/>
  <c r="AF59" i="8" s="1"/>
  <c r="W59" i="8"/>
  <c r="T59" i="8"/>
  <c r="S59" i="8"/>
  <c r="H59" i="8"/>
  <c r="R59" i="8" s="1"/>
  <c r="AI58" i="8"/>
  <c r="AH58" i="8"/>
  <c r="AE58" i="8"/>
  <c r="AF58" i="8" s="1"/>
  <c r="T58" i="8"/>
  <c r="S58" i="8"/>
  <c r="H58" i="8"/>
  <c r="R58" i="8" s="1"/>
  <c r="AI57" i="8"/>
  <c r="AH57" i="8"/>
  <c r="AE57" i="8"/>
  <c r="AF57" i="8" s="1"/>
  <c r="T57" i="8"/>
  <c r="S57" i="8"/>
  <c r="H57" i="8"/>
  <c r="R57" i="8" s="1"/>
  <c r="AI56" i="8"/>
  <c r="AH56" i="8"/>
  <c r="AE56" i="8"/>
  <c r="AF56" i="8" s="1"/>
  <c r="W56" i="8"/>
  <c r="T56" i="8"/>
  <c r="S56" i="8"/>
  <c r="H56" i="8"/>
  <c r="R56" i="8" s="1"/>
  <c r="AI55" i="8"/>
  <c r="AH55" i="8"/>
  <c r="AE55" i="8"/>
  <c r="AF55" i="8" s="1"/>
  <c r="T55" i="8"/>
  <c r="S55" i="8"/>
  <c r="H55" i="8"/>
  <c r="R55" i="8" s="1"/>
  <c r="AI54" i="8"/>
  <c r="AH54" i="8"/>
  <c r="AE54" i="8"/>
  <c r="AF54" i="8" s="1"/>
  <c r="T54" i="8"/>
  <c r="S54" i="8"/>
  <c r="H54" i="8"/>
  <c r="R54" i="8" s="1"/>
  <c r="AI53" i="8"/>
  <c r="AH53" i="8"/>
  <c r="AE53" i="8"/>
  <c r="AF53" i="8" s="1"/>
  <c r="W53" i="8"/>
  <c r="T53" i="8"/>
  <c r="S53" i="8"/>
  <c r="H53" i="8"/>
  <c r="R53" i="8" s="1"/>
  <c r="AI52" i="8"/>
  <c r="AH52" i="8"/>
  <c r="AE52" i="8"/>
  <c r="AF52" i="8" s="1"/>
  <c r="T52" i="8"/>
  <c r="S52" i="8"/>
  <c r="H52" i="8"/>
  <c r="N52" i="8" s="1"/>
  <c r="O52" i="8" s="1"/>
  <c r="AI51" i="8"/>
  <c r="AH51" i="8"/>
  <c r="AE51" i="8"/>
  <c r="AF51" i="8" s="1"/>
  <c r="T51" i="8"/>
  <c r="S51" i="8"/>
  <c r="H51" i="8"/>
  <c r="R51" i="8" s="1"/>
  <c r="AI50" i="8"/>
  <c r="AH50" i="8"/>
  <c r="AE50" i="8"/>
  <c r="AF50" i="8" s="1"/>
  <c r="W50" i="8"/>
  <c r="T50" i="8"/>
  <c r="S50" i="8"/>
  <c r="H50" i="8"/>
  <c r="N50" i="8" s="1"/>
  <c r="O50" i="8" s="1"/>
  <c r="AI49" i="8"/>
  <c r="AH49" i="8"/>
  <c r="AE49" i="8"/>
  <c r="AF49" i="8" s="1"/>
  <c r="T49" i="8"/>
  <c r="S49" i="8"/>
  <c r="H49" i="8"/>
  <c r="R49" i="8" s="1"/>
  <c r="AI48" i="8"/>
  <c r="AH48" i="8"/>
  <c r="AE48" i="8"/>
  <c r="AF48" i="8" s="1"/>
  <c r="T48" i="8"/>
  <c r="S48" i="8"/>
  <c r="H48" i="8"/>
  <c r="R48" i="8" s="1"/>
  <c r="AI47" i="8"/>
  <c r="AH47" i="8"/>
  <c r="AE47" i="8"/>
  <c r="AF47" i="8" s="1"/>
  <c r="W47" i="8"/>
  <c r="T47" i="8"/>
  <c r="S47" i="8"/>
  <c r="H47" i="8"/>
  <c r="AI46" i="8"/>
  <c r="AH46" i="8"/>
  <c r="AE46" i="8"/>
  <c r="AF46" i="8" s="1"/>
  <c r="T46" i="8"/>
  <c r="S46" i="8"/>
  <c r="H46" i="8"/>
  <c r="R46" i="8" s="1"/>
  <c r="AI45" i="8"/>
  <c r="AH45" i="8"/>
  <c r="AE45" i="8"/>
  <c r="AF45" i="8" s="1"/>
  <c r="W45" i="8"/>
  <c r="T45" i="8"/>
  <c r="S45" i="8"/>
  <c r="H45" i="8"/>
  <c r="R45" i="8" s="1"/>
  <c r="AI44" i="8"/>
  <c r="AH44" i="8"/>
  <c r="AE44" i="8"/>
  <c r="AF44" i="8" s="1"/>
  <c r="T44" i="8"/>
  <c r="S44" i="8"/>
  <c r="H44" i="8"/>
  <c r="R44" i="8" s="1"/>
  <c r="AI43" i="8"/>
  <c r="AH43" i="8"/>
  <c r="AE43" i="8"/>
  <c r="AF43" i="8" s="1"/>
  <c r="T43" i="8"/>
  <c r="S43" i="8"/>
  <c r="H43" i="8"/>
  <c r="R43" i="8" s="1"/>
  <c r="AI42" i="8"/>
  <c r="AH42" i="8"/>
  <c r="AE42" i="8"/>
  <c r="AF42" i="8" s="1"/>
  <c r="T42" i="8"/>
  <c r="S42" i="8"/>
  <c r="H42" i="8"/>
  <c r="N42" i="8" s="1"/>
  <c r="O42" i="8" s="1"/>
  <c r="AI41" i="8"/>
  <c r="AH41" i="8"/>
  <c r="AE41" i="8"/>
  <c r="AF41" i="8" s="1"/>
  <c r="W41" i="8"/>
  <c r="T41" i="8"/>
  <c r="S41" i="8"/>
  <c r="H41" i="8"/>
  <c r="R41" i="8" s="1"/>
  <c r="AI40" i="8"/>
  <c r="AH40" i="8"/>
  <c r="AE40" i="8"/>
  <c r="AF40" i="8" s="1"/>
  <c r="T40" i="8"/>
  <c r="S40" i="8"/>
  <c r="H40" i="8"/>
  <c r="R40" i="8" s="1"/>
  <c r="AI39" i="8"/>
  <c r="AH39" i="8"/>
  <c r="AE39" i="8"/>
  <c r="AF39" i="8" s="1"/>
  <c r="T39" i="8"/>
  <c r="S39" i="8"/>
  <c r="H39" i="8"/>
  <c r="R39" i="8" s="1"/>
  <c r="AI38" i="8"/>
  <c r="AH38" i="8"/>
  <c r="AE38" i="8"/>
  <c r="AF38" i="8" s="1"/>
  <c r="W38" i="8"/>
  <c r="T38" i="8"/>
  <c r="S38" i="8"/>
  <c r="H38" i="8"/>
  <c r="R38" i="8" s="1"/>
  <c r="AI37" i="8"/>
  <c r="AH37" i="8"/>
  <c r="AB37" i="8"/>
  <c r="AE37" i="8" s="1"/>
  <c r="AF37" i="8" s="1"/>
  <c r="T37" i="8"/>
  <c r="S37" i="8"/>
  <c r="H37" i="8"/>
  <c r="N37" i="8" s="1"/>
  <c r="O37" i="8" s="1"/>
  <c r="AI36" i="8"/>
  <c r="AH36" i="8"/>
  <c r="AE36" i="8"/>
  <c r="AF36" i="8" s="1"/>
  <c r="T36" i="8"/>
  <c r="S36" i="8"/>
  <c r="H36" i="8"/>
  <c r="R36" i="8" s="1"/>
  <c r="AI35" i="8"/>
  <c r="AH35" i="8"/>
  <c r="AE35" i="8"/>
  <c r="AF35" i="8" s="1"/>
  <c r="W35" i="8"/>
  <c r="T35" i="8"/>
  <c r="S35" i="8"/>
  <c r="H35" i="8"/>
  <c r="N35" i="8" s="1"/>
  <c r="O35" i="8" s="1"/>
  <c r="AI34" i="8"/>
  <c r="AH34" i="8"/>
  <c r="AE34" i="8"/>
  <c r="AF34" i="8" s="1"/>
  <c r="T34" i="8"/>
  <c r="S34" i="8"/>
  <c r="H34" i="8"/>
  <c r="R34" i="8" s="1"/>
  <c r="AI33" i="8"/>
  <c r="AH33" i="8"/>
  <c r="AE33" i="8"/>
  <c r="AF33" i="8" s="1"/>
  <c r="T33" i="8"/>
  <c r="S33" i="8"/>
  <c r="H33" i="8"/>
  <c r="R33" i="8" s="1"/>
  <c r="AI32" i="8"/>
  <c r="AH32" i="8"/>
  <c r="AE32" i="8"/>
  <c r="AF32" i="8" s="1"/>
  <c r="W32" i="8"/>
  <c r="T32" i="8"/>
  <c r="S32" i="8"/>
  <c r="H32" i="8"/>
  <c r="R32" i="8" s="1"/>
  <c r="AI31" i="8"/>
  <c r="AH31" i="8"/>
  <c r="AE31" i="8"/>
  <c r="AF31" i="8" s="1"/>
  <c r="T31" i="8"/>
  <c r="S31" i="8"/>
  <c r="H31" i="8"/>
  <c r="R31" i="8" s="1"/>
  <c r="AI30" i="8"/>
  <c r="AH30" i="8"/>
  <c r="AE30" i="8"/>
  <c r="AF30" i="8" s="1"/>
  <c r="T30" i="8"/>
  <c r="J30" i="8"/>
  <c r="S30" i="8" s="1"/>
  <c r="H30" i="8"/>
  <c r="R30" i="8" s="1"/>
  <c r="AI29" i="8"/>
  <c r="AH29" i="8"/>
  <c r="AE29" i="8"/>
  <c r="AF29" i="8" s="1"/>
  <c r="W29" i="8"/>
  <c r="T29" i="8"/>
  <c r="J29" i="8"/>
  <c r="S29" i="8" s="1"/>
  <c r="H29" i="8"/>
  <c r="AI28" i="8"/>
  <c r="AH28" i="8"/>
  <c r="AE28" i="8"/>
  <c r="AF28" i="8" s="1"/>
  <c r="T28" i="8"/>
  <c r="J28" i="8"/>
  <c r="S28" i="8" s="1"/>
  <c r="H28" i="8"/>
  <c r="R28" i="8" s="1"/>
  <c r="AI27" i="8"/>
  <c r="AH27" i="8"/>
  <c r="AE27" i="8"/>
  <c r="AF27" i="8" s="1"/>
  <c r="W27" i="8"/>
  <c r="T27" i="8"/>
  <c r="J27" i="8"/>
  <c r="S27" i="8" s="1"/>
  <c r="H27" i="8"/>
  <c r="N27" i="8" s="1"/>
  <c r="O27" i="8" s="1"/>
  <c r="AI26" i="8"/>
  <c r="AH26" i="8"/>
  <c r="AE26" i="8"/>
  <c r="AF26" i="8" s="1"/>
  <c r="T26" i="8"/>
  <c r="J26" i="8"/>
  <c r="S26" i="8" s="1"/>
  <c r="H26" i="8"/>
  <c r="AI25" i="8"/>
  <c r="AH25" i="8"/>
  <c r="AE25" i="8"/>
  <c r="AF25" i="8" s="1"/>
  <c r="W25" i="8"/>
  <c r="T25" i="8"/>
  <c r="J25" i="8"/>
  <c r="S25" i="8" s="1"/>
  <c r="H25" i="8"/>
  <c r="R25" i="8" s="1"/>
  <c r="AI24" i="8"/>
  <c r="AH24" i="8"/>
  <c r="AE24" i="8"/>
  <c r="AF24" i="8" s="1"/>
  <c r="T24" i="8"/>
  <c r="J24" i="8"/>
  <c r="S24" i="8" s="1"/>
  <c r="H24" i="8"/>
  <c r="R24" i="8" s="1"/>
  <c r="AI23" i="8"/>
  <c r="AH23" i="8"/>
  <c r="AE23" i="8"/>
  <c r="AF23" i="8" s="1"/>
  <c r="W23" i="8"/>
  <c r="T23" i="8"/>
  <c r="J23" i="8"/>
  <c r="S23" i="8" s="1"/>
  <c r="H23" i="8"/>
  <c r="AI22" i="8"/>
  <c r="AH22" i="8"/>
  <c r="AE22" i="8"/>
  <c r="AF22" i="8" s="1"/>
  <c r="T22" i="8"/>
  <c r="J22" i="8"/>
  <c r="S22" i="8" s="1"/>
  <c r="H22" i="8"/>
  <c r="R22" i="8" s="1"/>
  <c r="AI21" i="8"/>
  <c r="AH21" i="8"/>
  <c r="AE21" i="8"/>
  <c r="AF21" i="8" s="1"/>
  <c r="W21" i="8"/>
  <c r="T21" i="8"/>
  <c r="J21" i="8"/>
  <c r="S21" i="8" s="1"/>
  <c r="H21" i="8"/>
  <c r="N21" i="8" s="1"/>
  <c r="O21" i="8" s="1"/>
  <c r="AI20" i="8"/>
  <c r="AH20" i="8"/>
  <c r="AE20" i="8"/>
  <c r="AF20" i="8" s="1"/>
  <c r="T20" i="8"/>
  <c r="J20" i="8"/>
  <c r="S20" i="8" s="1"/>
  <c r="H20" i="8"/>
  <c r="AI19" i="8"/>
  <c r="AH19" i="8"/>
  <c r="AE19" i="8"/>
  <c r="AF19" i="8" s="1"/>
  <c r="W19" i="8"/>
  <c r="T19" i="8"/>
  <c r="J19" i="8"/>
  <c r="S19" i="8" s="1"/>
  <c r="H19" i="8"/>
  <c r="AI18" i="8"/>
  <c r="AH18" i="8"/>
  <c r="AE18" i="8"/>
  <c r="AF18" i="8" s="1"/>
  <c r="T18" i="8"/>
  <c r="J18" i="8"/>
  <c r="S18" i="8" s="1"/>
  <c r="I18" i="8"/>
  <c r="H18" i="8" s="1"/>
  <c r="R18" i="8" s="1"/>
  <c r="AI17" i="8"/>
  <c r="AH17" i="8"/>
  <c r="AE17" i="8"/>
  <c r="AF17" i="8" s="1"/>
  <c r="W17" i="8"/>
  <c r="T17" i="8"/>
  <c r="J17" i="8"/>
  <c r="S17" i="8" s="1"/>
  <c r="I17" i="8"/>
  <c r="H17" i="8" s="1"/>
  <c r="AI16" i="8"/>
  <c r="AH16" i="8"/>
  <c r="AE16" i="8"/>
  <c r="AF16" i="8" s="1"/>
  <c r="W16" i="8"/>
  <c r="T16" i="8"/>
  <c r="S16" i="8"/>
  <c r="H16" i="8"/>
  <c r="N16" i="8" s="1"/>
  <c r="O16" i="8" s="1"/>
  <c r="AI15" i="8"/>
  <c r="AH15" i="8"/>
  <c r="AE15" i="8"/>
  <c r="AF15" i="8" s="1"/>
  <c r="W15" i="8"/>
  <c r="T15" i="8"/>
  <c r="S15" i="8"/>
  <c r="H15" i="8"/>
  <c r="R15" i="8" s="1"/>
  <c r="AI14" i="8"/>
  <c r="AH14" i="8"/>
  <c r="AE14" i="8"/>
  <c r="AF14" i="8" s="1"/>
  <c r="W14" i="8"/>
  <c r="T14" i="8"/>
  <c r="S14" i="8"/>
  <c r="H14" i="8"/>
  <c r="R14" i="8" s="1"/>
  <c r="AI13" i="8"/>
  <c r="AH13" i="8"/>
  <c r="AE13" i="8"/>
  <c r="AF13" i="8" s="1"/>
  <c r="W13" i="8"/>
  <c r="T13" i="8"/>
  <c r="S13" i="8"/>
  <c r="H13" i="8"/>
  <c r="AI12" i="8"/>
  <c r="AH12" i="8"/>
  <c r="AB12" i="8"/>
  <c r="AE12" i="8" s="1"/>
  <c r="AF12" i="8" s="1"/>
  <c r="W12" i="8"/>
  <c r="T12" i="8"/>
  <c r="S12" i="8"/>
  <c r="H12" i="8"/>
  <c r="N12" i="8" s="1"/>
  <c r="O12" i="8" s="1"/>
  <c r="AI11" i="8"/>
  <c r="AH11" i="8"/>
  <c r="AB11" i="8"/>
  <c r="AE11" i="8" s="1"/>
  <c r="AF11" i="8" s="1"/>
  <c r="X11" i="8"/>
  <c r="W11" i="8"/>
  <c r="T11" i="8"/>
  <c r="S11" i="8"/>
  <c r="H11" i="8"/>
  <c r="AI10" i="8"/>
  <c r="AH10" i="8"/>
  <c r="AB10" i="8"/>
  <c r="AE10" i="8" s="1"/>
  <c r="AF10" i="8" s="1"/>
  <c r="W10" i="8"/>
  <c r="T10" i="8"/>
  <c r="S10" i="8"/>
  <c r="R10" i="8"/>
  <c r="AI9" i="8"/>
  <c r="AH9" i="8"/>
  <c r="AE9" i="8"/>
  <c r="AF9" i="8" s="1"/>
  <c r="T9" i="8"/>
  <c r="S9" i="8"/>
  <c r="H9" i="8"/>
  <c r="N9" i="8" s="1"/>
  <c r="O9" i="8" s="1"/>
  <c r="AI8" i="8"/>
  <c r="AH8" i="8"/>
  <c r="AE8" i="8"/>
  <c r="AF8" i="8" s="1"/>
  <c r="W8" i="8"/>
  <c r="T8" i="8"/>
  <c r="S8" i="8"/>
  <c r="H8" i="8"/>
  <c r="R8" i="8" s="1"/>
  <c r="U8" i="8" s="1"/>
  <c r="AI7" i="8"/>
  <c r="AH7" i="8"/>
  <c r="AE7" i="8"/>
  <c r="AF7" i="8" s="1"/>
  <c r="T7" i="8"/>
  <c r="S7" i="8"/>
  <c r="H7" i="8"/>
  <c r="R7" i="8" s="1"/>
  <c r="AE6" i="8"/>
  <c r="AF6" i="8" s="1"/>
  <c r="AL6" i="8" s="1"/>
  <c r="T6" i="8"/>
  <c r="S6" i="8"/>
  <c r="H6" i="8"/>
  <c r="AE5" i="8"/>
  <c r="AF5" i="8" s="1"/>
  <c r="AL5" i="8" s="1"/>
  <c r="W5" i="8"/>
  <c r="T5" i="8"/>
  <c r="S5" i="8"/>
  <c r="R5" i="8"/>
  <c r="Y4" i="8"/>
  <c r="Y29" i="8" s="1"/>
  <c r="X60" i="8"/>
  <c r="Y11" i="8" l="1"/>
  <c r="AL23" i="8"/>
  <c r="AL50" i="8"/>
  <c r="AL52" i="8"/>
  <c r="AL57" i="8"/>
  <c r="U62" i="8"/>
  <c r="AL16" i="8"/>
  <c r="AL8" i="8"/>
  <c r="AL13" i="8"/>
  <c r="AL45" i="8"/>
  <c r="AL11" i="8"/>
  <c r="AM11" i="8" s="1"/>
  <c r="D38" i="10" s="1"/>
  <c r="AL51" i="8"/>
  <c r="AL18" i="8"/>
  <c r="AL38" i="8"/>
  <c r="AL40" i="8"/>
  <c r="AL55" i="8"/>
  <c r="Y33" i="8"/>
  <c r="AL24" i="8"/>
  <c r="AM23" i="8" s="1"/>
  <c r="D47" i="10" s="1"/>
  <c r="AL33" i="8"/>
  <c r="AL46" i="8"/>
  <c r="U54" i="8"/>
  <c r="U56" i="8"/>
  <c r="U32" i="8"/>
  <c r="AL48" i="8"/>
  <c r="Y28" i="8"/>
  <c r="AL7" i="8"/>
  <c r="AL28" i="8"/>
  <c r="AL39" i="8"/>
  <c r="AL54" i="8"/>
  <c r="AL9" i="8"/>
  <c r="AM8" i="8" s="1"/>
  <c r="D36" i="10" s="1"/>
  <c r="AL19" i="8"/>
  <c r="AL14" i="8"/>
  <c r="AM14" i="8" s="1"/>
  <c r="D41" i="10" s="1"/>
  <c r="AL21" i="8"/>
  <c r="AL32" i="8"/>
  <c r="U36" i="8"/>
  <c r="AL62" i="8"/>
  <c r="N30" i="8"/>
  <c r="O30" i="8" s="1"/>
  <c r="U10" i="8"/>
  <c r="V10" i="8" s="1"/>
  <c r="AL35" i="8"/>
  <c r="AL37" i="8"/>
  <c r="Y50" i="8"/>
  <c r="N54" i="8"/>
  <c r="O54" i="8" s="1"/>
  <c r="AL59" i="8"/>
  <c r="AL61" i="8"/>
  <c r="R13" i="8"/>
  <c r="N13" i="8"/>
  <c r="Y8" i="8"/>
  <c r="AL25" i="8"/>
  <c r="AL30" i="8"/>
  <c r="AL41" i="8"/>
  <c r="AL43" i="8"/>
  <c r="U49" i="8"/>
  <c r="U58" i="8"/>
  <c r="R27" i="8"/>
  <c r="U27" i="8" s="1"/>
  <c r="U7" i="8"/>
  <c r="AG10" i="8"/>
  <c r="AL10" i="8"/>
  <c r="AM10" i="8" s="1"/>
  <c r="D37" i="10" s="1"/>
  <c r="AL20" i="8"/>
  <c r="AL27" i="8"/>
  <c r="AM27" i="8" s="1"/>
  <c r="D49" i="10" s="1"/>
  <c r="N62" i="8"/>
  <c r="O62" i="8" s="1"/>
  <c r="Y15" i="8"/>
  <c r="Y22" i="8"/>
  <c r="AL34" i="8"/>
  <c r="U44" i="8"/>
  <c r="AL47" i="8"/>
  <c r="AL49" i="8"/>
  <c r="AL56" i="8"/>
  <c r="AL58" i="8"/>
  <c r="AL15" i="8"/>
  <c r="AL22" i="8"/>
  <c r="AM21" i="8" s="1"/>
  <c r="D46" i="10" s="1"/>
  <c r="AL29" i="8"/>
  <c r="AL36" i="8"/>
  <c r="AL60" i="8"/>
  <c r="AL12" i="8"/>
  <c r="AL17" i="8"/>
  <c r="AL26" i="8"/>
  <c r="AL31" i="8"/>
  <c r="AL42" i="8"/>
  <c r="AL53" i="8"/>
  <c r="AL44" i="8"/>
  <c r="AG23" i="8"/>
  <c r="U46" i="8"/>
  <c r="N51" i="8"/>
  <c r="O51" i="8" s="1"/>
  <c r="U53" i="8"/>
  <c r="V53" i="8" s="1"/>
  <c r="X22" i="8"/>
  <c r="U34" i="8"/>
  <c r="U39" i="8"/>
  <c r="U60" i="8"/>
  <c r="AG32" i="8"/>
  <c r="N7" i="8"/>
  <c r="O7" i="8" s="1"/>
  <c r="Y19" i="8"/>
  <c r="U31" i="8"/>
  <c r="Y53" i="8"/>
  <c r="U55" i="8"/>
  <c r="U15" i="8"/>
  <c r="V15" i="8" s="1"/>
  <c r="U18" i="8"/>
  <c r="U38" i="8"/>
  <c r="Y48" i="8"/>
  <c r="U59" i="8"/>
  <c r="AG45" i="8"/>
  <c r="Y10" i="8"/>
  <c r="Y16" i="8"/>
  <c r="Y36" i="8"/>
  <c r="N38" i="8"/>
  <c r="O38" i="8" s="1"/>
  <c r="Y43" i="8"/>
  <c r="N59" i="8"/>
  <c r="O59" i="8" s="1"/>
  <c r="U25" i="8"/>
  <c r="U40" i="8"/>
  <c r="X28" i="8"/>
  <c r="R21" i="8"/>
  <c r="U21" i="8" s="1"/>
  <c r="N14" i="8"/>
  <c r="O14" i="8" s="1"/>
  <c r="U5" i="8"/>
  <c r="R16" i="8"/>
  <c r="U16" i="8" s="1"/>
  <c r="V16" i="8" s="1"/>
  <c r="N39" i="8"/>
  <c r="O39" i="8" s="1"/>
  <c r="R42" i="8"/>
  <c r="U42" i="8" s="1"/>
  <c r="N55" i="8"/>
  <c r="O55" i="8" s="1"/>
  <c r="Y20" i="8"/>
  <c r="Y25" i="8"/>
  <c r="R35" i="8"/>
  <c r="U35" i="8" s="1"/>
  <c r="N45" i="8"/>
  <c r="O45" i="8" s="1"/>
  <c r="Y58" i="8"/>
  <c r="N8" i="8"/>
  <c r="O8" i="8" s="1"/>
  <c r="U28" i="8"/>
  <c r="R52" i="8"/>
  <c r="U52" i="8" s="1"/>
  <c r="N24" i="8"/>
  <c r="O24" i="8" s="1"/>
  <c r="U41" i="8"/>
  <c r="Y46" i="8"/>
  <c r="U48" i="8"/>
  <c r="U57" i="8"/>
  <c r="N15" i="8"/>
  <c r="O15" i="8" s="1"/>
  <c r="N41" i="8"/>
  <c r="O41" i="8" s="1"/>
  <c r="N48" i="8"/>
  <c r="O48" i="8" s="1"/>
  <c r="U51" i="8"/>
  <c r="Y55" i="8"/>
  <c r="N57" i="8"/>
  <c r="O57" i="8" s="1"/>
  <c r="Y60" i="8"/>
  <c r="N10" i="8"/>
  <c r="O10" i="8" s="1"/>
  <c r="U22" i="8"/>
  <c r="Z22" i="8" s="1"/>
  <c r="U45" i="8"/>
  <c r="Y57" i="8"/>
  <c r="Y38" i="8"/>
  <c r="N40" i="8"/>
  <c r="O40" i="8" s="1"/>
  <c r="Y41" i="8"/>
  <c r="Y44" i="8"/>
  <c r="R50" i="8"/>
  <c r="U50" i="8" s="1"/>
  <c r="N53" i="8"/>
  <c r="O53" i="8" s="1"/>
  <c r="R37" i="8"/>
  <c r="U37" i="8" s="1"/>
  <c r="X5" i="8"/>
  <c r="U13" i="8"/>
  <c r="V13" i="8" s="1"/>
  <c r="N18" i="8"/>
  <c r="O18" i="8" s="1"/>
  <c r="Y31" i="8"/>
  <c r="Y34" i="8"/>
  <c r="Y5" i="8"/>
  <c r="O13" i="8"/>
  <c r="Y26" i="8"/>
  <c r="U33" i="8"/>
  <c r="U43" i="8"/>
  <c r="U61" i="8"/>
  <c r="N61" i="8"/>
  <c r="O61" i="8" s="1"/>
  <c r="N49" i="8"/>
  <c r="O49" i="8" s="1"/>
  <c r="AM16" i="8"/>
  <c r="D43" i="10" s="1"/>
  <c r="AG16" i="8"/>
  <c r="AG53" i="8"/>
  <c r="AM15" i="8"/>
  <c r="D42" i="10" s="1"/>
  <c r="AG15" i="8"/>
  <c r="AG21" i="8"/>
  <c r="AG25" i="8"/>
  <c r="AG47" i="8"/>
  <c r="AG14" i="8"/>
  <c r="N23" i="8"/>
  <c r="O23" i="8" s="1"/>
  <c r="R23" i="8"/>
  <c r="U23" i="8" s="1"/>
  <c r="U24" i="8"/>
  <c r="AG29" i="8"/>
  <c r="R19" i="8"/>
  <c r="U19" i="8" s="1"/>
  <c r="N19" i="8"/>
  <c r="O19" i="8" s="1"/>
  <c r="AG50" i="8"/>
  <c r="AG8" i="8"/>
  <c r="R11" i="8"/>
  <c r="U11" i="8" s="1"/>
  <c r="N11" i="8"/>
  <c r="O11" i="8" s="1"/>
  <c r="AG5" i="8"/>
  <c r="N17" i="8"/>
  <c r="O17" i="8" s="1"/>
  <c r="R17" i="8"/>
  <c r="U17" i="8" s="1"/>
  <c r="AG13" i="8"/>
  <c r="AM13" i="8"/>
  <c r="D40" i="10" s="1"/>
  <c r="R26" i="8"/>
  <c r="U26" i="8" s="1"/>
  <c r="N26" i="8"/>
  <c r="O26" i="8" s="1"/>
  <c r="AG19" i="8"/>
  <c r="R47" i="8"/>
  <c r="U47" i="8" s="1"/>
  <c r="N47" i="8"/>
  <c r="O47" i="8" s="1"/>
  <c r="AG38" i="8"/>
  <c r="AG27" i="8"/>
  <c r="AG17" i="8"/>
  <c r="AG56" i="8"/>
  <c r="N6" i="8"/>
  <c r="O6" i="8" s="1"/>
  <c r="R6" i="8"/>
  <c r="U6" i="8" s="1"/>
  <c r="AM12" i="8"/>
  <c r="D39" i="10" s="1"/>
  <c r="AG12" i="8"/>
  <c r="AG11" i="8"/>
  <c r="U14" i="8"/>
  <c r="R20" i="8"/>
  <c r="U20" i="8" s="1"/>
  <c r="N20" i="8"/>
  <c r="O20" i="8" s="1"/>
  <c r="R29" i="8"/>
  <c r="U29" i="8" s="1"/>
  <c r="N29" i="8"/>
  <c r="O29" i="8" s="1"/>
  <c r="U30" i="8"/>
  <c r="AG59" i="8"/>
  <c r="X14" i="8"/>
  <c r="N31" i="8"/>
  <c r="O31" i="8" s="1"/>
  <c r="Y32" i="8"/>
  <c r="N33" i="8"/>
  <c r="O33" i="8" s="1"/>
  <c r="X37" i="8"/>
  <c r="N43" i="8"/>
  <c r="O43" i="8" s="1"/>
  <c r="X56" i="8"/>
  <c r="Y14" i="8"/>
  <c r="N25" i="8"/>
  <c r="O25" i="8" s="1"/>
  <c r="X27" i="8"/>
  <c r="Y37" i="8"/>
  <c r="X39" i="8"/>
  <c r="X49" i="8"/>
  <c r="X51" i="8"/>
  <c r="Y56" i="8"/>
  <c r="X61" i="8"/>
  <c r="X32" i="8"/>
  <c r="N5" i="8"/>
  <c r="O5" i="8" s="1"/>
  <c r="X18" i="8"/>
  <c r="Y21" i="8"/>
  <c r="X24" i="8"/>
  <c r="Y27" i="8"/>
  <c r="X30" i="8"/>
  <c r="X35" i="8"/>
  <c r="Y39" i="8"/>
  <c r="X45" i="8"/>
  <c r="Y49" i="8"/>
  <c r="Y51" i="8"/>
  <c r="Y61" i="8"/>
  <c r="AM45" i="8"/>
  <c r="D55" i="10" s="1"/>
  <c r="X6" i="8"/>
  <c r="X9" i="8"/>
  <c r="X13" i="8"/>
  <c r="Y18" i="8"/>
  <c r="Y24" i="8"/>
  <c r="Y30" i="8"/>
  <c r="N32" i="8"/>
  <c r="O32" i="8" s="1"/>
  <c r="N34" i="8"/>
  <c r="O34" i="8" s="1"/>
  <c r="Y35" i="8"/>
  <c r="N36" i="8"/>
  <c r="O36" i="8" s="1"/>
  <c r="X42" i="8"/>
  <c r="N44" i="8"/>
  <c r="O44" i="8" s="1"/>
  <c r="Y45" i="8"/>
  <c r="N46" i="8"/>
  <c r="O46" i="8" s="1"/>
  <c r="X47" i="8"/>
  <c r="X59" i="8"/>
  <c r="R9" i="8"/>
  <c r="U9" i="8" s="1"/>
  <c r="Y13" i="8"/>
  <c r="N22" i="8"/>
  <c r="O22" i="8" s="1"/>
  <c r="N28" i="8"/>
  <c r="O28" i="8" s="1"/>
  <c r="X40" i="8"/>
  <c r="Y42" i="8"/>
  <c r="Y47" i="8"/>
  <c r="X52" i="8"/>
  <c r="X54" i="8"/>
  <c r="N56" i="8"/>
  <c r="O56" i="8" s="1"/>
  <c r="N58" i="8"/>
  <c r="O58" i="8" s="1"/>
  <c r="Y59" i="8"/>
  <c r="N60" i="8"/>
  <c r="O60" i="8" s="1"/>
  <c r="X62" i="8"/>
  <c r="X7" i="8"/>
  <c r="Y9" i="8"/>
  <c r="Y7" i="8"/>
  <c r="X12" i="8"/>
  <c r="X17" i="8"/>
  <c r="X23" i="8"/>
  <c r="X29" i="8"/>
  <c r="Y40" i="8"/>
  <c r="Y52" i="8"/>
  <c r="Y54" i="8"/>
  <c r="Y62" i="8"/>
  <c r="R12" i="8"/>
  <c r="U12" i="8" s="1"/>
  <c r="X21" i="8"/>
  <c r="Y6" i="8"/>
  <c r="Y12" i="8"/>
  <c r="X16" i="8"/>
  <c r="Y17" i="8"/>
  <c r="X20" i="8"/>
  <c r="Y23" i="8"/>
  <c r="X26" i="8"/>
  <c r="X31" i="8"/>
  <c r="Z31" i="8" s="1"/>
  <c r="X33" i="8"/>
  <c r="X38" i="8"/>
  <c r="X43" i="8"/>
  <c r="X50" i="8"/>
  <c r="X55" i="8"/>
  <c r="X57" i="8"/>
  <c r="AG35" i="8"/>
  <c r="X8" i="8"/>
  <c r="X10" i="8"/>
  <c r="X15" i="8"/>
  <c r="X19" i="8"/>
  <c r="X25" i="8"/>
  <c r="X34" i="8"/>
  <c r="X36" i="8"/>
  <c r="Z36" i="8" s="1"/>
  <c r="X41" i="8"/>
  <c r="X44" i="8"/>
  <c r="X46" i="8"/>
  <c r="X53" i="8"/>
  <c r="X48" i="8"/>
  <c r="X58" i="8"/>
  <c r="AM41" i="8" l="1"/>
  <c r="D54" i="10" s="1"/>
  <c r="Z60" i="8"/>
  <c r="AM29" i="8"/>
  <c r="D50" i="10" s="1"/>
  <c r="AM17" i="8"/>
  <c r="D44" i="10" s="1"/>
  <c r="AM35" i="8"/>
  <c r="D52" i="10" s="1"/>
  <c r="AM47" i="8"/>
  <c r="D56" i="10" s="1"/>
  <c r="Z50" i="8"/>
  <c r="Z56" i="8"/>
  <c r="V56" i="8"/>
  <c r="Z52" i="8"/>
  <c r="Z10" i="8"/>
  <c r="AA10" i="8" s="1"/>
  <c r="D7" i="10" s="1"/>
  <c r="Z58" i="8"/>
  <c r="AM19" i="8"/>
  <c r="D45" i="10" s="1"/>
  <c r="V45" i="8"/>
  <c r="Z32" i="8"/>
  <c r="Z8" i="8"/>
  <c r="Z46" i="8"/>
  <c r="Z55" i="8"/>
  <c r="Z18" i="8"/>
  <c r="Z53" i="8"/>
  <c r="V41" i="8"/>
  <c r="Z37" i="8"/>
  <c r="Z5" i="8"/>
  <c r="V25" i="8"/>
  <c r="Z25" i="8"/>
  <c r="Z15" i="8"/>
  <c r="AA15" i="8" s="1"/>
  <c r="D12" i="10" s="1"/>
  <c r="V38" i="8"/>
  <c r="AM25" i="8"/>
  <c r="D48" i="10" s="1"/>
  <c r="Z59" i="8"/>
  <c r="Z33" i="8"/>
  <c r="Z27" i="8"/>
  <c r="Z49" i="8"/>
  <c r="AM32" i="8"/>
  <c r="D51" i="10" s="1"/>
  <c r="V50" i="8"/>
  <c r="Z48" i="8"/>
  <c r="Z57" i="8"/>
  <c r="AA56" i="8" s="1"/>
  <c r="D29" i="10" s="1"/>
  <c r="Z39" i="8"/>
  <c r="V59" i="8"/>
  <c r="Z28" i="8"/>
  <c r="Z54" i="8"/>
  <c r="V21" i="8"/>
  <c r="AM5" i="8"/>
  <c r="D35" i="10" s="1"/>
  <c r="Z16" i="8"/>
  <c r="AA16" i="8" s="1"/>
  <c r="D13" i="10" s="1"/>
  <c r="V5" i="8"/>
  <c r="V35" i="8"/>
  <c r="Z42" i="8"/>
  <c r="AM50" i="8"/>
  <c r="D57" i="10" s="1"/>
  <c r="Z45" i="8"/>
  <c r="AA45" i="8" s="1"/>
  <c r="D25" i="10" s="1"/>
  <c r="Z61" i="8"/>
  <c r="V32" i="8"/>
  <c r="Z44" i="8"/>
  <c r="Z21" i="8"/>
  <c r="AA21" i="8" s="1"/>
  <c r="D16" i="10" s="1"/>
  <c r="Z7" i="8"/>
  <c r="Z41" i="8"/>
  <c r="Z43" i="8"/>
  <c r="Z62" i="8"/>
  <c r="Z13" i="8"/>
  <c r="AA13" i="8" s="1"/>
  <c r="D10" i="10" s="1"/>
  <c r="Z35" i="8"/>
  <c r="AA35" i="8" s="1"/>
  <c r="D22" i="10" s="1"/>
  <c r="Z51" i="8"/>
  <c r="AA50" i="8" s="1"/>
  <c r="D27" i="10" s="1"/>
  <c r="AM38" i="8"/>
  <c r="D53" i="10" s="1"/>
  <c r="V27" i="8"/>
  <c r="AM53" i="8"/>
  <c r="D58" i="10" s="1"/>
  <c r="Z34" i="8"/>
  <c r="AM59" i="8"/>
  <c r="D60" i="10" s="1"/>
  <c r="Z40" i="8"/>
  <c r="Z38" i="8"/>
  <c r="AM56" i="8"/>
  <c r="D59" i="10" s="1"/>
  <c r="Z9" i="8"/>
  <c r="V8" i="8"/>
  <c r="Z11" i="8"/>
  <c r="AA11" i="8" s="1"/>
  <c r="D8" i="10" s="1"/>
  <c r="V11" i="8"/>
  <c r="Z6" i="8"/>
  <c r="Z26" i="8"/>
  <c r="AA25" i="8" s="1"/>
  <c r="D18" i="10" s="1"/>
  <c r="Z30" i="8"/>
  <c r="Z29" i="8"/>
  <c r="V29" i="8"/>
  <c r="Z24" i="8"/>
  <c r="V17" i="8"/>
  <c r="Z17" i="8"/>
  <c r="AA17" i="8" s="1"/>
  <c r="D14" i="10" s="1"/>
  <c r="Z23" i="8"/>
  <c r="V23" i="8"/>
  <c r="Z20" i="8"/>
  <c r="Z14" i="8"/>
  <c r="AA14" i="8" s="1"/>
  <c r="D11" i="10" s="1"/>
  <c r="V14" i="8"/>
  <c r="Z47" i="8"/>
  <c r="V47" i="8"/>
  <c r="V12" i="8"/>
  <c r="Z12" i="8"/>
  <c r="AA12" i="8" s="1"/>
  <c r="D9" i="10" s="1"/>
  <c r="Z19" i="8"/>
  <c r="V19" i="8"/>
  <c r="AA8" i="8" l="1"/>
  <c r="D6" i="10" s="1"/>
  <c r="AA53" i="8"/>
  <c r="D28" i="10" s="1"/>
  <c r="AA32" i="8"/>
  <c r="D21" i="10" s="1"/>
  <c r="AA27" i="8"/>
  <c r="D19" i="10" s="1"/>
  <c r="AA47" i="8"/>
  <c r="D26" i="10" s="1"/>
  <c r="AA59" i="8"/>
  <c r="D30" i="10" s="1"/>
  <c r="AA38" i="8"/>
  <c r="D23" i="10" s="1"/>
  <c r="AA5" i="8"/>
  <c r="D5" i="10" s="1"/>
  <c r="AA41" i="8"/>
  <c r="D24" i="10" s="1"/>
  <c r="AA19" i="8"/>
  <c r="D15" i="10" s="1"/>
  <c r="AA23" i="8"/>
  <c r="D17" i="10" s="1"/>
  <c r="AA29" i="8"/>
  <c r="D20" i="10" s="1"/>
  <c r="D7" i="4" l="1"/>
  <c r="D16" i="4" l="1"/>
  <c r="D10" i="4"/>
  <c r="D6" i="4"/>
  <c r="D12" i="4"/>
  <c r="D15" i="4"/>
  <c r="D14" i="4"/>
  <c r="D13" i="4"/>
  <c r="D9" i="4"/>
  <c r="D5" i="4"/>
  <c r="D17" i="4" l="1"/>
  <c r="E17" i="4" l="1"/>
  <c r="D4" i="10"/>
</calcChain>
</file>

<file path=xl/sharedStrings.xml><?xml version="1.0" encoding="utf-8"?>
<sst xmlns="http://schemas.openxmlformats.org/spreadsheetml/2006/main" count="593" uniqueCount="185">
  <si>
    <t>Thiết bị</t>
  </si>
  <si>
    <t>Số lượng</t>
  </si>
  <si>
    <t>Power(W)</t>
  </si>
  <si>
    <t>Total(W)</t>
  </si>
  <si>
    <t>Máy chủ</t>
  </si>
  <si>
    <t>Thiết bị lưu trữ</t>
  </si>
  <si>
    <t>Thiết bị mạng trung tâm</t>
  </si>
  <si>
    <t>Thiết bị Wireless Controller</t>
  </si>
  <si>
    <t>Thiết bị Internet Gateway</t>
  </si>
  <si>
    <t xml:space="preserve">Thiết bị Firewall </t>
  </si>
  <si>
    <t>Máy chủ vật lý</t>
  </si>
  <si>
    <t>Backup tape driver</t>
  </si>
  <si>
    <t>Máy chủ IPTV</t>
  </si>
  <si>
    <t>Router</t>
  </si>
  <si>
    <t>Output</t>
  </si>
  <si>
    <t>Output Connections</t>
  </si>
  <si>
    <t>380 V/220V</t>
  </si>
  <si>
    <t>Bypass</t>
  </si>
  <si>
    <t>Built-in Maintenance Bypass</t>
  </si>
  <si>
    <t>Output Frequency</t>
  </si>
  <si>
    <t>50 Hz</t>
  </si>
  <si>
    <t>Input</t>
  </si>
  <si>
    <t>Nominal Input Voltage</t>
  </si>
  <si>
    <t>400 3PH</t>
  </si>
  <si>
    <t>Input Frequency</t>
  </si>
  <si>
    <t>30 mins</t>
  </si>
  <si>
    <t>Runtime (full load)</t>
  </si>
  <si>
    <t>Communications</t>
  </si>
  <si>
    <t>Interface Port(s)</t>
  </si>
  <si>
    <t>Modbus</t>
  </si>
  <si>
    <t>UPS</t>
  </si>
  <si>
    <t>220V</t>
  </si>
  <si>
    <t>220 V</t>
  </si>
  <si>
    <t>Installation Type</t>
  </si>
  <si>
    <t>RACK</t>
  </si>
  <si>
    <t>Total</t>
  </si>
  <si>
    <t>STT</t>
  </si>
  <si>
    <t>Ghi chú</t>
  </si>
  <si>
    <t>Output Power Capacity</t>
  </si>
  <si>
    <t>San Storage</t>
  </si>
  <si>
    <t>Thiết bị KVM</t>
  </si>
  <si>
    <t>Dự phòng 10%</t>
  </si>
  <si>
    <t>IDF-M.B1F</t>
  </si>
  <si>
    <t>IDF-M.4F</t>
  </si>
  <si>
    <t>IDF-M.1F</t>
  </si>
  <si>
    <t>IDF-M.2F</t>
  </si>
  <si>
    <t>IDF-M.3F</t>
  </si>
  <si>
    <t>IDF-M.3AF</t>
  </si>
  <si>
    <t>IDF-M.4AF</t>
  </si>
  <si>
    <t>IDF-M.4BF</t>
  </si>
  <si>
    <t>IDF-M.5F</t>
  </si>
  <si>
    <t>IDF-M.7F</t>
  </si>
  <si>
    <t>IDF-M.9F</t>
  </si>
  <si>
    <t>IDF-M.11F</t>
  </si>
  <si>
    <t>IDF-M.13F</t>
  </si>
  <si>
    <t>IDF-M.15F</t>
  </si>
  <si>
    <t>IDF-M.18F</t>
  </si>
  <si>
    <t>IDF-M.21F</t>
  </si>
  <si>
    <t>IDF-M.23F</t>
  </si>
  <si>
    <t>IDF-M.39F</t>
  </si>
  <si>
    <t>220v</t>
  </si>
  <si>
    <t>IDF-A.2F</t>
  </si>
  <si>
    <t>IDF-A.24AF</t>
  </si>
  <si>
    <t>IDF-A.26F</t>
  </si>
  <si>
    <t>IDF-A.29F</t>
  </si>
  <si>
    <t>IDF-A.32F</t>
  </si>
  <si>
    <t>IDF-A.35F</t>
  </si>
  <si>
    <t>IDF-A.38F</t>
  </si>
  <si>
    <t>IDF-M.B3F</t>
  </si>
  <si>
    <t>IDF-AV.2F</t>
  </si>
  <si>
    <t>UPS PHÒNG DATA CENTER IT</t>
  </si>
  <si>
    <t>GPNS NETWORK (lưu 2H)</t>
  </si>
  <si>
    <t>IDF name</t>
  </si>
  <si>
    <t>Floor</t>
  </si>
  <si>
    <t>GPNS</t>
  </si>
  <si>
    <t>Engineer</t>
  </si>
  <si>
    <t>Wifi</t>
  </si>
  <si>
    <t>Q.ty</t>
  </si>
  <si>
    <t>Power</t>
  </si>
  <si>
    <t xml:space="preserve">
Wifi Updated</t>
  </si>
  <si>
    <t xml:space="preserve">
Wifi for Corridor, public</t>
  </si>
  <si>
    <t xml:space="preserve">
IP Phone</t>
  </si>
  <si>
    <t xml:space="preserve">
Access Control</t>
  </si>
  <si>
    <t xml:space="preserve">
Wifi for Elevator</t>
  </si>
  <si>
    <t xml:space="preserve">
Internet Data</t>
  </si>
  <si>
    <t xml:space="preserve">
Total
PoE Port</t>
  </si>
  <si>
    <t xml:space="preserve">
Total Port</t>
  </si>
  <si>
    <t xml:space="preserve">
IT Switch 48port
</t>
  </si>
  <si>
    <t xml:space="preserve">
IT Switch 24port
</t>
  </si>
  <si>
    <t>Power WiFi
(Max 9.7 W)</t>
  </si>
  <si>
    <t>IP Phone
(Max 5.35 W)</t>
  </si>
  <si>
    <t>Access Control Max 5W</t>
  </si>
  <si>
    <t>Total PoE of Headend device
 (W)</t>
  </si>
  <si>
    <t>Power POE of Switch</t>
  </si>
  <si>
    <t>IT Switch 48port</t>
  </si>
  <si>
    <t>IT Switch 24port</t>
  </si>
  <si>
    <t>Camera</t>
  </si>
  <si>
    <t xml:space="preserve">MEP Switch 48GE </t>
  </si>
  <si>
    <t xml:space="preserve">MEP Switch24GE </t>
  </si>
  <si>
    <t>CAMERA
Max 7,5W</t>
  </si>
  <si>
    <t>MEP Switch 48GE 730W</t>
  </si>
  <si>
    <t>MEP Switch24GE 370W</t>
  </si>
  <si>
    <t>BMS</t>
  </si>
  <si>
    <t>(1)</t>
  </si>
  <si>
    <t>(2)</t>
  </si>
  <si>
    <t>(3)=(4)+(7)</t>
  </si>
  <si>
    <t>(4)</t>
  </si>
  <si>
    <t>(5)</t>
  </si>
  <si>
    <t>(6)</t>
  </si>
  <si>
    <t>(7)</t>
  </si>
  <si>
    <t>(8)</t>
  </si>
  <si>
    <t>(10)=(9)+(8)</t>
  </si>
  <si>
    <t>(11)</t>
  </si>
  <si>
    <t>(12)</t>
  </si>
  <si>
    <t>B5</t>
  </si>
  <si>
    <t>B4</t>
  </si>
  <si>
    <t>B3</t>
  </si>
  <si>
    <t>B2</t>
  </si>
  <si>
    <t>B1</t>
  </si>
  <si>
    <t>3A</t>
  </si>
  <si>
    <t>4A</t>
  </si>
  <si>
    <t>4B</t>
  </si>
  <si>
    <t>24A</t>
  </si>
  <si>
    <t>PL</t>
  </si>
  <si>
    <t>RF</t>
  </si>
  <si>
    <t>2F</t>
  </si>
  <si>
    <t>FR</t>
  </si>
  <si>
    <t>Thiết bị IT Core Switch</t>
  </si>
  <si>
    <t>UPS Online for DC</t>
  </si>
  <si>
    <t>UPS PHÒNG DATA CENTER MEP</t>
  </si>
  <si>
    <t>Máy chủ ảo hóa CCTV &amp; BMS</t>
  </si>
  <si>
    <t>Thiết bị ELV Core Switch</t>
  </si>
  <si>
    <t>Máy chủ BGM, AV</t>
  </si>
  <si>
    <t>Size</t>
  </si>
  <si>
    <t>MEP NETWORK(lưu 30 phút)</t>
  </si>
  <si>
    <t>(9)=(3)+(5)+(6)</t>
  </si>
  <si>
    <t>VA</t>
  </si>
  <si>
    <t>2 hours</t>
  </si>
  <si>
    <t xml:space="preserve">Rack </t>
  </si>
  <si>
    <t>ODF 12F</t>
  </si>
  <si>
    <t>Switch 48 Ports POE</t>
  </si>
  <si>
    <t>1RU Cable Management</t>
  </si>
  <si>
    <t>48 Port RJ45 Patch Panel</t>
  </si>
  <si>
    <t>Sheet "DC"</t>
  </si>
  <si>
    <t>UPS Online for IT</t>
  </si>
  <si>
    <t>UPS Online for MEP</t>
  </si>
  <si>
    <t>Switch 24 Ports POE</t>
  </si>
  <si>
    <t>24 Port RJ45 Patch Panel</t>
  </si>
  <si>
    <t>RACK IT</t>
  </si>
  <si>
    <t>RACK MEP</t>
  </si>
  <si>
    <t>Rack IDF</t>
  </si>
  <si>
    <t>Specification</t>
  </si>
  <si>
    <t>&lt; 14U</t>
  </si>
  <si>
    <t>&lt; 8U</t>
  </si>
  <si>
    <t>Total UPS for MEP network
(W) - 30 minutes</t>
  </si>
  <si>
    <t>Total UPS for GPNS network
(W) - 2 hours</t>
  </si>
  <si>
    <t>Sheet "UPS CAL" column AA</t>
  </si>
  <si>
    <t>Sheet "UPS CAL" column AM</t>
  </si>
  <si>
    <t>Thời gian lưu điện</t>
  </si>
  <si>
    <t>UPS CHO HỆ THỐNG IT</t>
  </si>
  <si>
    <t>Công suất yêu cầu (W)</t>
  </si>
  <si>
    <t>SERVER 4BF</t>
  </si>
  <si>
    <t>SERVER B1F</t>
  </si>
  <si>
    <t>30 phút</t>
  </si>
  <si>
    <t xml:space="preserve">UPS CHO HỆ THỐNG MEP </t>
  </si>
  <si>
    <t>BOQ UPS DỰ ÁN MARRIOTT</t>
  </si>
  <si>
    <t>IDF-AV.3AF</t>
  </si>
  <si>
    <t>Phòng trực cháy 1F</t>
  </si>
  <si>
    <t>Phòng bảo vệ B1F</t>
  </si>
  <si>
    <t>Phòng BMS B1F</t>
  </si>
  <si>
    <t xml:space="preserve">Dạng </t>
  </si>
  <si>
    <t>Tower</t>
  </si>
  <si>
    <t>Gắn rack</t>
  </si>
  <si>
    <t>Tower/Rack</t>
  </si>
  <si>
    <t>Kích thước không quá 14U</t>
  </si>
  <si>
    <t>Kích thước không quá 8U</t>
  </si>
  <si>
    <t>15 phút</t>
  </si>
  <si>
    <t>UPS cũ</t>
  </si>
  <si>
    <t>new</t>
  </si>
  <si>
    <t>Điện áp</t>
  </si>
  <si>
    <t>3P 380V/220VAC</t>
  </si>
  <si>
    <t>220 VAC</t>
  </si>
  <si>
    <t>Kết nối Modbus</t>
  </si>
  <si>
    <t>Có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</si>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</sst>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C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color rgb="FFC0000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5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i/>
      <sz val="11"/>
      <color theme="1"/>
      <name val="Arial"/>
      <family val="2"/>
    </font>
    <font>
      <i/>
      <sz val="11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C0C0C0"/>
        <bgColor rgb="FFFFFFCC"/>
      </patternFill>
    </fill>
    <fill>
      <patternFill patternType="solid">
        <fgColor rgb="FFFFFF00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99CC00"/>
        <bgColor rgb="FF99CCFF"/>
      </patternFill>
    </fill>
    <fill>
      <patternFill patternType="solid">
        <fgColor rgb="FF99CC00"/>
        <bgColor indexed="64"/>
      </patternFill>
    </fill>
    <fill>
      <patternFill patternType="solid">
        <fgColor rgb="FFC0C0C0"/>
        <bgColor rgb="FF99CCFF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5" tint="0.59999389629810485"/>
        <bgColor rgb="FFFFFFCC"/>
      </patternFill>
    </fill>
    <fill>
      <patternFill patternType="solid">
        <fgColor rgb="FFFFFF00"/>
        <bgColor rgb="FF99C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0" borderId="0" xfId="0" applyFont="1" applyBorder="1" applyAlignment="1">
      <alignment vertical="center"/>
    </xf>
    <xf numFmtId="0" fontId="2" fillId="0" borderId="1" xfId="0" applyFont="1" applyBorder="1"/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/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5" borderId="1" xfId="0" quotePrefix="1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vertical="center" wrapText="1"/>
    </xf>
    <xf numFmtId="0" fontId="11" fillId="0" borderId="0" xfId="0" applyFont="1" applyAlignment="1"/>
    <xf numFmtId="49" fontId="10" fillId="8" borderId="1" xfId="0" quotePrefix="1" applyNumberFormat="1" applyFont="1" applyFill="1" applyBorder="1" applyAlignment="1">
      <alignment horizontal="center" vertical="center" wrapText="1"/>
    </xf>
    <xf numFmtId="49" fontId="11" fillId="8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 wrapText="1"/>
    </xf>
    <xf numFmtId="49" fontId="0" fillId="8" borderId="1" xfId="0" quotePrefix="1" applyNumberFormat="1" applyFill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horizontal="center" vertical="center" wrapText="1"/>
    </xf>
    <xf numFmtId="49" fontId="13" fillId="8" borderId="1" xfId="0" quotePrefix="1" applyNumberFormat="1" applyFont="1" applyFill="1" applyBorder="1" applyAlignment="1">
      <alignment horizontal="center" vertical="center" wrapText="1"/>
    </xf>
    <xf numFmtId="49" fontId="14" fillId="8" borderId="1" xfId="0" applyNumberFormat="1" applyFont="1" applyFill="1" applyBorder="1" applyAlignment="1">
      <alignment vertical="center"/>
    </xf>
    <xf numFmtId="49" fontId="12" fillId="8" borderId="1" xfId="0" quotePrefix="1" applyNumberFormat="1" applyFont="1" applyFill="1" applyBorder="1" applyAlignment="1">
      <alignment horizontal="center" vertical="center" wrapText="1"/>
    </xf>
    <xf numFmtId="49" fontId="0" fillId="0" borderId="0" xfId="0" applyNumberFormat="1" applyAlignment="1"/>
    <xf numFmtId="0" fontId="1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12" fillId="9" borderId="1" xfId="1" applyNumberFormat="1" applyFont="1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vertical="center"/>
    </xf>
    <xf numFmtId="165" fontId="0" fillId="9" borderId="1" xfId="1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65" fontId="13" fillId="9" borderId="1" xfId="1" applyNumberFormat="1" applyFont="1" applyFill="1" applyBorder="1" applyAlignment="1">
      <alignment horizontal="center" vertical="center"/>
    </xf>
    <xf numFmtId="0" fontId="0" fillId="0" borderId="0" xfId="0" applyAlignment="1"/>
    <xf numFmtId="0" fontId="15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12" fillId="10" borderId="1" xfId="1" applyNumberFormat="1" applyFont="1" applyFill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0" fillId="10" borderId="1" xfId="1" applyNumberFormat="1" applyFont="1" applyFill="1" applyBorder="1" applyAlignment="1">
      <alignment vertical="center"/>
    </xf>
    <xf numFmtId="165" fontId="0" fillId="10" borderId="1" xfId="1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64" fontId="12" fillId="10" borderId="1" xfId="1" applyNumberFormat="1" applyFont="1" applyFill="1" applyBorder="1" applyAlignment="1"/>
    <xf numFmtId="165" fontId="13" fillId="10" borderId="1" xfId="1" applyNumberFormat="1" applyFont="1" applyFill="1" applyBorder="1" applyAlignment="1">
      <alignment horizontal="center" vertical="center"/>
    </xf>
    <xf numFmtId="165" fontId="12" fillId="10" borderId="1" xfId="1" applyNumberFormat="1" applyFont="1" applyFill="1" applyBorder="1" applyAlignment="1">
      <alignment horizontal="center"/>
    </xf>
    <xf numFmtId="0" fontId="0" fillId="11" borderId="0" xfId="0" applyFill="1" applyAlignment="1"/>
    <xf numFmtId="0" fontId="10" fillId="10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5" fontId="12" fillId="9" borderId="1" xfId="1" applyNumberFormat="1" applyFont="1" applyFill="1" applyBorder="1" applyAlignment="1">
      <alignment horizontal="center" vertical="center"/>
    </xf>
    <xf numFmtId="164" fontId="13" fillId="9" borderId="1" xfId="1" applyNumberFormat="1" applyFont="1" applyFill="1" applyBorder="1" applyAlignment="1">
      <alignment horizontal="center" vertical="center"/>
    </xf>
    <xf numFmtId="165" fontId="16" fillId="9" borderId="1" xfId="1" applyNumberFormat="1" applyFont="1" applyFill="1" applyBorder="1" applyAlignment="1">
      <alignment horizontal="center" vertical="center"/>
    </xf>
    <xf numFmtId="164" fontId="12" fillId="9" borderId="1" xfId="1" applyNumberFormat="1" applyFont="1" applyFill="1" applyBorder="1" applyAlignment="1"/>
    <xf numFmtId="165" fontId="12" fillId="9" borderId="1" xfId="1" applyNumberFormat="1" applyFont="1" applyFill="1" applyBorder="1" applyAlignment="1"/>
    <xf numFmtId="0" fontId="10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12" fillId="2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/>
    </xf>
    <xf numFmtId="165" fontId="16" fillId="2" borderId="1" xfId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12" fillId="2" borderId="1" xfId="1" applyNumberFormat="1" applyFont="1" applyFill="1" applyBorder="1" applyAlignment="1"/>
    <xf numFmtId="165" fontId="13" fillId="2" borderId="1" xfId="1" applyNumberFormat="1" applyFont="1" applyFill="1" applyBorder="1" applyAlignment="1">
      <alignment horizontal="center" vertical="center"/>
    </xf>
    <xf numFmtId="165" fontId="12" fillId="2" borderId="1" xfId="1" applyNumberFormat="1" applyFont="1" applyFill="1" applyBorder="1" applyAlignment="1"/>
    <xf numFmtId="0" fontId="10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64" fontId="12" fillId="12" borderId="1" xfId="1" applyNumberFormat="1" applyFont="1" applyFill="1" applyBorder="1" applyAlignment="1">
      <alignment horizontal="center" vertical="center"/>
    </xf>
    <xf numFmtId="164" fontId="0" fillId="12" borderId="1" xfId="1" applyNumberFormat="1" applyFont="1" applyFill="1" applyBorder="1" applyAlignment="1">
      <alignment horizontal="center" vertical="center"/>
    </xf>
    <xf numFmtId="165" fontId="0" fillId="12" borderId="1" xfId="1" applyNumberFormat="1" applyFont="1" applyFill="1" applyBorder="1" applyAlignment="1">
      <alignment horizontal="center" vertical="center"/>
    </xf>
    <xf numFmtId="164" fontId="13" fillId="12" borderId="1" xfId="1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164" fontId="12" fillId="12" borderId="1" xfId="1" applyNumberFormat="1" applyFont="1" applyFill="1" applyBorder="1" applyAlignment="1"/>
    <xf numFmtId="165" fontId="13" fillId="12" borderId="1" xfId="1" applyNumberFormat="1" applyFont="1" applyFill="1" applyBorder="1" applyAlignment="1">
      <alignment horizontal="center" vertical="center"/>
    </xf>
    <xf numFmtId="165" fontId="12" fillId="12" borderId="1" xfId="1" applyNumberFormat="1" applyFont="1" applyFill="1" applyBorder="1" applyAlignment="1"/>
    <xf numFmtId="0" fontId="0" fillId="13" borderId="0" xfId="0" applyFill="1" applyAlignment="1"/>
    <xf numFmtId="0" fontId="10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4" fontId="12" fillId="14" borderId="1" xfId="1" applyNumberFormat="1" applyFont="1" applyFill="1" applyBorder="1" applyAlignment="1">
      <alignment horizontal="center" vertical="center"/>
    </xf>
    <xf numFmtId="164" fontId="0" fillId="14" borderId="1" xfId="1" applyNumberFormat="1" applyFont="1" applyFill="1" applyBorder="1" applyAlignment="1">
      <alignment horizontal="center" vertical="center"/>
    </xf>
    <xf numFmtId="165" fontId="0" fillId="14" borderId="1" xfId="1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4" fontId="13" fillId="14" borderId="1" xfId="1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164" fontId="12" fillId="14" borderId="1" xfId="1" applyNumberFormat="1" applyFont="1" applyFill="1" applyBorder="1" applyAlignment="1"/>
    <xf numFmtId="165" fontId="13" fillId="14" borderId="1" xfId="1" applyNumberFormat="1" applyFont="1" applyFill="1" applyBorder="1" applyAlignment="1">
      <alignment horizontal="center" vertical="center"/>
    </xf>
    <xf numFmtId="165" fontId="12" fillId="14" borderId="1" xfId="1" applyNumberFormat="1" applyFont="1" applyFill="1" applyBorder="1" applyAlignment="1"/>
    <xf numFmtId="164" fontId="0" fillId="15" borderId="1" xfId="1" applyNumberFormat="1" applyFont="1" applyFill="1" applyBorder="1" applyAlignment="1">
      <alignment horizontal="center" vertical="center"/>
    </xf>
    <xf numFmtId="164" fontId="12" fillId="15" borderId="1" xfId="1" applyNumberFormat="1" applyFont="1" applyFill="1" applyBorder="1" applyAlignment="1">
      <alignment horizontal="center" vertical="center"/>
    </xf>
    <xf numFmtId="165" fontId="0" fillId="15" borderId="1" xfId="1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165" fontId="13" fillId="15" borderId="1" xfId="1" applyNumberFormat="1" applyFont="1" applyFill="1" applyBorder="1" applyAlignment="1">
      <alignment horizontal="center" vertical="center"/>
    </xf>
    <xf numFmtId="165" fontId="12" fillId="15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15" borderId="1" xfId="0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4" fontId="12" fillId="18" borderId="1" xfId="1" applyNumberFormat="1" applyFont="1" applyFill="1" applyBorder="1" applyAlignment="1">
      <alignment horizontal="center" vertical="center"/>
    </xf>
    <xf numFmtId="164" fontId="0" fillId="17" borderId="1" xfId="1" applyNumberFormat="1" applyFont="1" applyFill="1" applyBorder="1" applyAlignment="1">
      <alignment horizontal="center" vertical="center"/>
    </xf>
    <xf numFmtId="164" fontId="0" fillId="16" borderId="1" xfId="1" applyNumberFormat="1" applyFont="1" applyFill="1" applyBorder="1" applyAlignment="1">
      <alignment horizontal="center" vertical="center"/>
    </xf>
    <xf numFmtId="164" fontId="12" fillId="16" borderId="1" xfId="1" applyNumberFormat="1" applyFont="1" applyFill="1" applyBorder="1" applyAlignment="1">
      <alignment horizontal="center" vertical="center"/>
    </xf>
    <xf numFmtId="165" fontId="0" fillId="16" borderId="1" xfId="1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165" fontId="13" fillId="16" borderId="1" xfId="1" applyNumberFormat="1" applyFont="1" applyFill="1" applyBorder="1" applyAlignment="1">
      <alignment horizontal="center" vertical="center"/>
    </xf>
    <xf numFmtId="165" fontId="12" fillId="16" borderId="1" xfId="1" applyNumberFormat="1" applyFont="1" applyFill="1" applyBorder="1" applyAlignment="1">
      <alignment horizontal="center" vertical="center"/>
    </xf>
    <xf numFmtId="0" fontId="0" fillId="19" borderId="0" xfId="0" applyFill="1" applyAlignment="1"/>
    <xf numFmtId="0" fontId="0" fillId="16" borderId="1" xfId="0" applyFill="1" applyBorder="1" applyAlignment="1">
      <alignment horizontal="center" vertical="center"/>
    </xf>
    <xf numFmtId="164" fontId="2" fillId="16" borderId="1" xfId="1" applyNumberFormat="1" applyFont="1" applyFill="1" applyBorder="1" applyAlignment="1">
      <alignment horizontal="center" vertical="center"/>
    </xf>
    <xf numFmtId="165" fontId="2" fillId="16" borderId="1" xfId="1" applyNumberFormat="1" applyFont="1" applyFill="1" applyBorder="1" applyAlignment="1">
      <alignment horizontal="center" vertical="center"/>
    </xf>
    <xf numFmtId="164" fontId="2" fillId="15" borderId="1" xfId="1" applyNumberFormat="1" applyFont="1" applyFill="1" applyBorder="1" applyAlignment="1">
      <alignment horizontal="center" vertical="center"/>
    </xf>
    <xf numFmtId="165" fontId="2" fillId="15" borderId="1" xfId="1" applyNumberFormat="1" applyFont="1" applyFill="1" applyBorder="1" applyAlignment="1">
      <alignment horizontal="center" vertical="center"/>
    </xf>
    <xf numFmtId="164" fontId="11" fillId="15" borderId="1" xfId="1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64" fontId="12" fillId="21" borderId="1" xfId="1" applyNumberFormat="1" applyFont="1" applyFill="1" applyBorder="1" applyAlignment="1">
      <alignment horizontal="center" vertical="center"/>
    </xf>
    <xf numFmtId="164" fontId="0" fillId="20" borderId="1" xfId="1" applyNumberFormat="1" applyFont="1" applyFill="1" applyBorder="1" applyAlignment="1">
      <alignment horizontal="center" vertical="center"/>
    </xf>
    <xf numFmtId="164" fontId="12" fillId="20" borderId="1" xfId="1" applyNumberFormat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5" fontId="0" fillId="20" borderId="1" xfId="1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164" fontId="2" fillId="20" borderId="1" xfId="1" applyNumberFormat="1" applyFont="1" applyFill="1" applyBorder="1" applyAlignment="1">
      <alignment horizontal="center" vertical="center"/>
    </xf>
    <xf numFmtId="165" fontId="13" fillId="20" borderId="1" xfId="1" applyNumberFormat="1" applyFont="1" applyFill="1" applyBorder="1" applyAlignment="1">
      <alignment horizontal="center" vertical="center"/>
    </xf>
    <xf numFmtId="165" fontId="12" fillId="20" borderId="1" xfId="1" applyNumberFormat="1" applyFont="1" applyFill="1" applyBorder="1" applyAlignment="1">
      <alignment horizontal="center" vertical="center"/>
    </xf>
    <xf numFmtId="165" fontId="2" fillId="20" borderId="1" xfId="1" applyNumberFormat="1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164" fontId="12" fillId="23" borderId="1" xfId="1" applyNumberFormat="1" applyFont="1" applyFill="1" applyBorder="1" applyAlignment="1">
      <alignment horizontal="center" vertical="center"/>
    </xf>
    <xf numFmtId="164" fontId="0" fillId="22" borderId="1" xfId="1" applyNumberFormat="1" applyFont="1" applyFill="1" applyBorder="1" applyAlignment="1">
      <alignment horizontal="center" vertical="center"/>
    </xf>
    <xf numFmtId="164" fontId="12" fillId="22" borderId="1" xfId="1" applyNumberFormat="1" applyFont="1" applyFill="1" applyBorder="1" applyAlignment="1">
      <alignment horizontal="center" vertical="center"/>
    </xf>
    <xf numFmtId="165" fontId="0" fillId="22" borderId="1" xfId="1" applyNumberFormat="1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164" fontId="2" fillId="22" borderId="1" xfId="1" applyNumberFormat="1" applyFont="1" applyFill="1" applyBorder="1" applyAlignment="1">
      <alignment horizontal="center" vertical="center"/>
    </xf>
    <xf numFmtId="165" fontId="13" fillId="22" borderId="1" xfId="1" applyNumberFormat="1" applyFont="1" applyFill="1" applyBorder="1" applyAlignment="1">
      <alignment horizontal="center" vertical="center"/>
    </xf>
    <xf numFmtId="165" fontId="2" fillId="22" borderId="1" xfId="1" applyNumberFormat="1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64" fontId="0" fillId="24" borderId="1" xfId="1" applyNumberFormat="1" applyFont="1" applyFill="1" applyBorder="1" applyAlignment="1">
      <alignment horizontal="center" vertical="center"/>
    </xf>
    <xf numFmtId="164" fontId="17" fillId="20" borderId="1" xfId="1" applyNumberFormat="1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164" fontId="0" fillId="25" borderId="1" xfId="1" applyNumberFormat="1" applyFont="1" applyFill="1" applyBorder="1" applyAlignment="1">
      <alignment horizontal="center" vertical="center"/>
    </xf>
    <xf numFmtId="164" fontId="17" fillId="22" borderId="1" xfId="1" applyNumberFormat="1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0" xfId="0" applyFont="1" applyAlignment="1"/>
    <xf numFmtId="0" fontId="10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0" fillId="26" borderId="1" xfId="1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2" fillId="0" borderId="0" xfId="0" applyFont="1" applyBorder="1"/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9" borderId="0" xfId="0" applyFont="1" applyFill="1"/>
    <xf numFmtId="0" fontId="5" fillId="0" borderId="0" xfId="0" applyFont="1" applyBorder="1" applyAlignment="1">
      <alignment vertical="center" wrapText="1"/>
    </xf>
    <xf numFmtId="165" fontId="12" fillId="21" borderId="1" xfId="1" applyNumberFormat="1" applyFont="1" applyFill="1" applyBorder="1" applyAlignment="1"/>
    <xf numFmtId="165" fontId="12" fillId="23" borderId="1" xfId="1" applyNumberFormat="1" applyFont="1" applyFill="1" applyBorder="1" applyAlignment="1"/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8" borderId="13" xfId="0" applyFont="1" applyFill="1" applyBorder="1" applyAlignment="1">
      <alignment horizontal="center" vertical="center"/>
    </xf>
    <xf numFmtId="0" fontId="18" fillId="28" borderId="14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0" fillId="29" borderId="1" xfId="0" applyFont="1" applyFill="1" applyBorder="1" applyAlignment="1">
      <alignment horizontal="left" vertical="center"/>
    </xf>
    <xf numFmtId="0" fontId="10" fillId="31" borderId="1" xfId="0" applyFont="1" applyFill="1" applyBorder="1" applyAlignment="1">
      <alignment horizontal="left" vertical="center"/>
    </xf>
    <xf numFmtId="0" fontId="10" fillId="30" borderId="1" xfId="0" applyFont="1" applyFill="1" applyBorder="1" applyAlignment="1">
      <alignment horizontal="left" vertical="center"/>
    </xf>
    <xf numFmtId="0" fontId="10" fillId="32" borderId="1" xfId="0" applyFont="1" applyFill="1" applyBorder="1" applyAlignment="1">
      <alignment horizontal="left" vertical="center"/>
    </xf>
    <xf numFmtId="2" fontId="12" fillId="8" borderId="1" xfId="0" applyNumberFormat="1" applyFont="1" applyFill="1" applyBorder="1" applyAlignment="1">
      <alignment horizontal="center" vertical="center" wrapText="1"/>
    </xf>
    <xf numFmtId="2" fontId="16" fillId="9" borderId="1" xfId="1" applyNumberFormat="1" applyFont="1" applyFill="1" applyBorder="1" applyAlignment="1">
      <alignment horizontal="center" vertical="center"/>
    </xf>
    <xf numFmtId="2" fontId="16" fillId="2" borderId="1" xfId="1" applyNumberFormat="1" applyFont="1" applyFill="1" applyBorder="1" applyAlignment="1">
      <alignment horizontal="center" vertical="center"/>
    </xf>
    <xf numFmtId="2" fontId="16" fillId="12" borderId="1" xfId="1" applyNumberFormat="1" applyFont="1" applyFill="1" applyBorder="1" applyAlignment="1">
      <alignment horizontal="center" vertical="center"/>
    </xf>
    <xf numFmtId="2" fontId="16" fillId="14" borderId="1" xfId="1" applyNumberFormat="1" applyFont="1" applyFill="1" applyBorder="1" applyAlignment="1">
      <alignment horizontal="center" vertical="center"/>
    </xf>
    <xf numFmtId="2" fontId="12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16" fillId="9" borderId="8" xfId="1" applyNumberFormat="1" applyFont="1" applyFill="1" applyBorder="1" applyAlignment="1">
      <alignment horizontal="center" vertical="center"/>
    </xf>
    <xf numFmtId="2" fontId="16" fillId="9" borderId="9" xfId="1" applyNumberFormat="1" applyFont="1" applyFill="1" applyBorder="1" applyAlignment="1">
      <alignment horizontal="center" vertical="center"/>
    </xf>
    <xf numFmtId="2" fontId="16" fillId="9" borderId="10" xfId="1" applyNumberFormat="1" applyFont="1" applyFill="1" applyBorder="1" applyAlignment="1">
      <alignment horizontal="center" vertical="center"/>
    </xf>
    <xf numFmtId="2" fontId="16" fillId="10" borderId="8" xfId="1" applyNumberFormat="1" applyFont="1" applyFill="1" applyBorder="1" applyAlignment="1">
      <alignment horizontal="center" vertical="center"/>
    </xf>
    <xf numFmtId="2" fontId="16" fillId="10" borderId="10" xfId="1" applyNumberFormat="1" applyFont="1" applyFill="1" applyBorder="1" applyAlignment="1">
      <alignment horizontal="center" vertical="center"/>
    </xf>
    <xf numFmtId="2" fontId="16" fillId="16" borderId="8" xfId="1" applyNumberFormat="1" applyFont="1" applyFill="1" applyBorder="1" applyAlignment="1">
      <alignment horizontal="center" vertical="center"/>
    </xf>
    <xf numFmtId="2" fontId="16" fillId="16" borderId="10" xfId="1" applyNumberFormat="1" applyFont="1" applyFill="1" applyBorder="1" applyAlignment="1">
      <alignment horizontal="center" vertical="center"/>
    </xf>
    <xf numFmtId="2" fontId="16" fillId="15" borderId="8" xfId="1" applyNumberFormat="1" applyFont="1" applyFill="1" applyBorder="1" applyAlignment="1">
      <alignment horizontal="center" vertical="center"/>
    </xf>
    <xf numFmtId="2" fontId="16" fillId="15" borderId="10" xfId="1" applyNumberFormat="1" applyFont="1" applyFill="1" applyBorder="1" applyAlignment="1">
      <alignment horizontal="center" vertical="center"/>
    </xf>
    <xf numFmtId="2" fontId="16" fillId="15" borderId="9" xfId="1" applyNumberFormat="1" applyFont="1" applyFill="1" applyBorder="1" applyAlignment="1">
      <alignment horizontal="center" vertical="center"/>
    </xf>
    <xf numFmtId="2" fontId="16" fillId="16" borderId="9" xfId="1" applyNumberFormat="1" applyFont="1" applyFill="1" applyBorder="1" applyAlignment="1">
      <alignment horizontal="center" vertical="center"/>
    </xf>
    <xf numFmtId="2" fontId="16" fillId="20" borderId="8" xfId="1" applyNumberFormat="1" applyFont="1" applyFill="1" applyBorder="1" applyAlignment="1">
      <alignment horizontal="center" vertical="center"/>
    </xf>
    <xf numFmtId="2" fontId="16" fillId="20" borderId="9" xfId="1" applyNumberFormat="1" applyFont="1" applyFill="1" applyBorder="1" applyAlignment="1">
      <alignment horizontal="center" vertical="center"/>
    </xf>
    <xf numFmtId="2" fontId="16" fillId="20" borderId="10" xfId="1" applyNumberFormat="1" applyFont="1" applyFill="1" applyBorder="1" applyAlignment="1">
      <alignment horizontal="center" vertical="center"/>
    </xf>
    <xf numFmtId="2" fontId="16" fillId="22" borderId="8" xfId="1" applyNumberFormat="1" applyFont="1" applyFill="1" applyBorder="1" applyAlignment="1">
      <alignment horizontal="center" vertical="center"/>
    </xf>
    <xf numFmtId="2" fontId="16" fillId="22" borderId="10" xfId="1" applyNumberFormat="1" applyFont="1" applyFill="1" applyBorder="1" applyAlignment="1">
      <alignment horizontal="center" vertical="center"/>
    </xf>
    <xf numFmtId="2" fontId="16" fillId="22" borderId="9" xfId="1" applyNumberFormat="1" applyFont="1" applyFill="1" applyBorder="1" applyAlignment="1">
      <alignment horizontal="center" vertical="center"/>
    </xf>
    <xf numFmtId="165" fontId="16" fillId="9" borderId="8" xfId="1" applyNumberFormat="1" applyFont="1" applyFill="1" applyBorder="1" applyAlignment="1">
      <alignment vertical="center"/>
    </xf>
    <xf numFmtId="165" fontId="16" fillId="9" borderId="9" xfId="1" applyNumberFormat="1" applyFont="1" applyFill="1" applyBorder="1" applyAlignment="1">
      <alignment vertical="center"/>
    </xf>
    <xf numFmtId="165" fontId="16" fillId="9" borderId="10" xfId="1" applyNumberFormat="1" applyFont="1" applyFill="1" applyBorder="1" applyAlignment="1">
      <alignment vertical="center"/>
    </xf>
    <xf numFmtId="165" fontId="16" fillId="10" borderId="8" xfId="1" applyNumberFormat="1" applyFont="1" applyFill="1" applyBorder="1" applyAlignment="1">
      <alignment vertical="center"/>
    </xf>
    <xf numFmtId="165" fontId="16" fillId="10" borderId="10" xfId="1" applyNumberFormat="1" applyFont="1" applyFill="1" applyBorder="1" applyAlignment="1">
      <alignment vertical="center"/>
    </xf>
    <xf numFmtId="165" fontId="16" fillId="15" borderId="8" xfId="1" applyNumberFormat="1" applyFont="1" applyFill="1" applyBorder="1" applyAlignment="1">
      <alignment vertical="center"/>
    </xf>
    <xf numFmtId="165" fontId="16" fillId="15" borderId="10" xfId="1" applyNumberFormat="1" applyFont="1" applyFill="1" applyBorder="1" applyAlignment="1">
      <alignment vertical="center"/>
    </xf>
    <xf numFmtId="165" fontId="16" fillId="16" borderId="8" xfId="1" applyNumberFormat="1" applyFont="1" applyFill="1" applyBorder="1" applyAlignment="1">
      <alignment vertical="center"/>
    </xf>
    <xf numFmtId="165" fontId="16" fillId="16" borderId="10" xfId="1" applyNumberFormat="1" applyFont="1" applyFill="1" applyBorder="1" applyAlignment="1">
      <alignment vertical="center"/>
    </xf>
    <xf numFmtId="165" fontId="16" fillId="15" borderId="9" xfId="1" applyNumberFormat="1" applyFont="1" applyFill="1" applyBorder="1" applyAlignment="1">
      <alignment vertical="center"/>
    </xf>
    <xf numFmtId="165" fontId="16" fillId="16" borderId="9" xfId="1" applyNumberFormat="1" applyFont="1" applyFill="1" applyBorder="1" applyAlignment="1">
      <alignment vertical="center"/>
    </xf>
    <xf numFmtId="165" fontId="16" fillId="20" borderId="8" xfId="1" applyNumberFormat="1" applyFont="1" applyFill="1" applyBorder="1" applyAlignment="1">
      <alignment vertical="center"/>
    </xf>
    <xf numFmtId="165" fontId="16" fillId="20" borderId="9" xfId="1" applyNumberFormat="1" applyFont="1" applyFill="1" applyBorder="1" applyAlignment="1">
      <alignment vertical="center"/>
    </xf>
    <xf numFmtId="165" fontId="16" fillId="20" borderId="10" xfId="1" applyNumberFormat="1" applyFont="1" applyFill="1" applyBorder="1" applyAlignment="1">
      <alignment vertical="center"/>
    </xf>
    <xf numFmtId="165" fontId="16" fillId="22" borderId="8" xfId="1" applyNumberFormat="1" applyFont="1" applyFill="1" applyBorder="1" applyAlignment="1">
      <alignment vertical="center"/>
    </xf>
    <xf numFmtId="165" fontId="16" fillId="22" borderId="10" xfId="1" applyNumberFormat="1" applyFont="1" applyFill="1" applyBorder="1" applyAlignment="1">
      <alignment vertical="center"/>
    </xf>
    <xf numFmtId="165" fontId="16" fillId="22" borderId="9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left" vertical="center"/>
    </xf>
    <xf numFmtId="0" fontId="23" fillId="33" borderId="1" xfId="0" applyFont="1" applyFill="1" applyBorder="1" applyAlignment="1">
      <alignment horizontal="left" vertical="center"/>
    </xf>
    <xf numFmtId="0" fontId="11" fillId="33" borderId="1" xfId="0" applyFont="1" applyFill="1" applyBorder="1" applyAlignment="1">
      <alignment horizontal="center" vertical="center"/>
    </xf>
    <xf numFmtId="1" fontId="0" fillId="33" borderId="1" xfId="0" applyNumberFormat="1" applyFill="1" applyBorder="1" applyAlignment="1">
      <alignment horizontal="center" vertical="center"/>
    </xf>
    <xf numFmtId="2" fontId="0" fillId="33" borderId="1" xfId="0" applyNumberFormat="1" applyFill="1" applyBorder="1" applyAlignment="1">
      <alignment horizontal="center" vertical="center"/>
    </xf>
    <xf numFmtId="0" fontId="23" fillId="34" borderId="1" xfId="0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24" xfId="0" applyFon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2" fontId="0" fillId="33" borderId="24" xfId="0" applyNumberForma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left" vertical="center"/>
    </xf>
    <xf numFmtId="1" fontId="2" fillId="33" borderId="1" xfId="0" applyNumberFormat="1" applyFont="1" applyFill="1" applyBorder="1" applyAlignment="1">
      <alignment horizontal="center" vertical="center"/>
    </xf>
    <xf numFmtId="2" fontId="19" fillId="33" borderId="1" xfId="0" applyNumberFormat="1" applyFont="1" applyFill="1" applyBorder="1" applyAlignment="1">
      <alignment horizontal="center" vertical="center"/>
    </xf>
    <xf numFmtId="2" fontId="19" fillId="33" borderId="24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2" fontId="0" fillId="0" borderId="4" xfId="0" applyNumberFormat="1" applyBorder="1" applyAlignment="1">
      <alignment horizontal="center" vertical="center"/>
    </xf>
    <xf numFmtId="2" fontId="0" fillId="33" borderId="4" xfId="0" applyNumberFormat="1" applyFill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 vertical="center"/>
    </xf>
    <xf numFmtId="0" fontId="18" fillId="27" borderId="21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center" vertical="center" wrapText="1"/>
    </xf>
    <xf numFmtId="0" fontId="22" fillId="27" borderId="4" xfId="0" applyFont="1" applyFill="1" applyBorder="1" applyAlignment="1">
      <alignment horizontal="center" vertical="center" wrapText="1"/>
    </xf>
    <xf numFmtId="0" fontId="22" fillId="27" borderId="2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29" borderId="25" xfId="0" applyFont="1" applyFill="1" applyBorder="1" applyAlignment="1">
      <alignment horizontal="center" vertical="center"/>
    </xf>
    <xf numFmtId="0" fontId="20" fillId="29" borderId="26" xfId="0" applyFont="1" applyFill="1" applyBorder="1" applyAlignment="1">
      <alignment horizontal="center" vertical="center"/>
    </xf>
    <xf numFmtId="0" fontId="20" fillId="29" borderId="29" xfId="0" applyFont="1" applyFill="1" applyBorder="1" applyAlignment="1">
      <alignment horizontal="center" vertical="center"/>
    </xf>
    <xf numFmtId="0" fontId="20" fillId="29" borderId="27" xfId="0" applyFont="1" applyFill="1" applyBorder="1" applyAlignment="1">
      <alignment horizontal="center" vertical="center"/>
    </xf>
    <xf numFmtId="0" fontId="22" fillId="9" borderId="2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/>
    </xf>
    <xf numFmtId="0" fontId="22" fillId="9" borderId="4" xfId="0" applyFont="1" applyFill="1" applyBorder="1" applyAlignment="1">
      <alignment horizontal="left" vertical="center"/>
    </xf>
    <xf numFmtId="0" fontId="22" fillId="9" borderId="2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9" borderId="0" xfId="0" applyFont="1" applyFill="1" applyBorder="1" applyAlignment="1">
      <alignment horizontal="left"/>
    </xf>
    <xf numFmtId="0" fontId="9" fillId="4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5" borderId="8" xfId="0" quotePrefix="1" applyFont="1" applyFill="1" applyBorder="1" applyAlignment="1">
      <alignment horizontal="center" vertical="center" wrapText="1"/>
    </xf>
    <xf numFmtId="0" fontId="10" fillId="5" borderId="10" xfId="0" quotePrefix="1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8" fillId="5" borderId="4" xfId="0" quotePrefix="1" applyFont="1" applyFill="1" applyBorder="1" applyAlignment="1">
      <alignment horizontal="center" vertical="center" wrapText="1"/>
    </xf>
    <xf numFmtId="0" fontId="8" fillId="5" borderId="5" xfId="0" quotePrefix="1" applyFont="1" applyFill="1" applyBorder="1" applyAlignment="1">
      <alignment horizontal="center" vertical="center" wrapText="1"/>
    </xf>
    <xf numFmtId="0" fontId="8" fillId="5" borderId="3" xfId="0" quotePrefix="1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165" fontId="12" fillId="10" borderId="8" xfId="1" applyNumberFormat="1" applyFont="1" applyFill="1" applyBorder="1" applyAlignment="1">
      <alignment horizontal="center" vertical="center"/>
    </xf>
    <xf numFmtId="165" fontId="12" fillId="10" borderId="10" xfId="1" applyNumberFormat="1" applyFont="1" applyFill="1" applyBorder="1" applyAlignment="1">
      <alignment horizontal="center" vertical="center"/>
    </xf>
    <xf numFmtId="164" fontId="13" fillId="10" borderId="8" xfId="1" applyNumberFormat="1" applyFont="1" applyFill="1" applyBorder="1" applyAlignment="1">
      <alignment horizontal="center" vertical="center"/>
    </xf>
    <xf numFmtId="164" fontId="13" fillId="10" borderId="10" xfId="1" applyNumberFormat="1" applyFont="1" applyFill="1" applyBorder="1" applyAlignment="1">
      <alignment horizontal="center" vertical="center"/>
    </xf>
    <xf numFmtId="0" fontId="10" fillId="5" borderId="4" xfId="0" quotePrefix="1" applyFont="1" applyFill="1" applyBorder="1" applyAlignment="1">
      <alignment horizontal="center" vertical="center" wrapText="1"/>
    </xf>
    <xf numFmtId="0" fontId="10" fillId="5" borderId="5" xfId="0" quotePrefix="1" applyFont="1" applyFill="1" applyBorder="1" applyAlignment="1">
      <alignment horizontal="center" vertical="center" wrapText="1"/>
    </xf>
    <xf numFmtId="0" fontId="10" fillId="5" borderId="3" xfId="0" quotePrefix="1" applyFont="1" applyFill="1" applyBorder="1" applyAlignment="1">
      <alignment horizontal="center" vertical="center" wrapText="1"/>
    </xf>
    <xf numFmtId="0" fontId="11" fillId="5" borderId="4" xfId="0" quotePrefix="1" applyFont="1" applyFill="1" applyBorder="1" applyAlignment="1">
      <alignment horizontal="center" vertical="center" wrapText="1"/>
    </xf>
    <xf numFmtId="0" fontId="11" fillId="5" borderId="3" xfId="0" quotePrefix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165" fontId="12" fillId="9" borderId="8" xfId="1" applyNumberFormat="1" applyFont="1" applyFill="1" applyBorder="1" applyAlignment="1">
      <alignment horizontal="center" vertical="center"/>
    </xf>
    <xf numFmtId="165" fontId="12" fillId="9" borderId="9" xfId="1" applyNumberFormat="1" applyFont="1" applyFill="1" applyBorder="1" applyAlignment="1">
      <alignment horizontal="center" vertical="center"/>
    </xf>
    <xf numFmtId="165" fontId="12" fillId="9" borderId="10" xfId="1" applyNumberFormat="1" applyFont="1" applyFill="1" applyBorder="1" applyAlignment="1">
      <alignment horizontal="center" vertical="center"/>
    </xf>
    <xf numFmtId="164" fontId="13" fillId="9" borderId="8" xfId="1" applyNumberFormat="1" applyFont="1" applyFill="1" applyBorder="1" applyAlignment="1">
      <alignment horizontal="center" vertical="center"/>
    </xf>
    <xf numFmtId="164" fontId="13" fillId="9" borderId="9" xfId="1" applyNumberFormat="1" applyFont="1" applyFill="1" applyBorder="1" applyAlignment="1">
      <alignment horizontal="center" vertical="center"/>
    </xf>
    <xf numFmtId="164" fontId="13" fillId="9" borderId="10" xfId="1" applyNumberFormat="1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164" fontId="13" fillId="16" borderId="8" xfId="1" applyNumberFormat="1" applyFont="1" applyFill="1" applyBorder="1" applyAlignment="1">
      <alignment horizontal="center" vertical="center"/>
    </xf>
    <xf numFmtId="164" fontId="13" fillId="16" borderId="10" xfId="1" applyNumberFormat="1" applyFont="1" applyFill="1" applyBorder="1" applyAlignment="1">
      <alignment horizontal="center" vertical="center"/>
    </xf>
    <xf numFmtId="165" fontId="12" fillId="16" borderId="8" xfId="1" applyNumberFormat="1" applyFont="1" applyFill="1" applyBorder="1" applyAlignment="1">
      <alignment horizontal="center" vertical="center"/>
    </xf>
    <xf numFmtId="165" fontId="12" fillId="16" borderId="10" xfId="1" applyNumberFormat="1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165" fontId="12" fillId="15" borderId="8" xfId="1" applyNumberFormat="1" applyFont="1" applyFill="1" applyBorder="1" applyAlignment="1">
      <alignment horizontal="center" vertical="center"/>
    </xf>
    <xf numFmtId="165" fontId="12" fillId="15" borderId="10" xfId="1" applyNumberFormat="1" applyFont="1" applyFill="1" applyBorder="1" applyAlignment="1">
      <alignment horizontal="center" vertical="center"/>
    </xf>
    <xf numFmtId="0" fontId="10" fillId="16" borderId="9" xfId="0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  <xf numFmtId="164" fontId="13" fillId="18" borderId="8" xfId="1" applyNumberFormat="1" applyFont="1" applyFill="1" applyBorder="1" applyAlignment="1">
      <alignment horizontal="center" vertical="center"/>
    </xf>
    <xf numFmtId="164" fontId="13" fillId="18" borderId="9" xfId="1" applyNumberFormat="1" applyFont="1" applyFill="1" applyBorder="1" applyAlignment="1">
      <alignment horizontal="center" vertical="center"/>
    </xf>
    <xf numFmtId="164" fontId="13" fillId="18" borderId="10" xfId="1" applyNumberFormat="1" applyFont="1" applyFill="1" applyBorder="1" applyAlignment="1">
      <alignment horizontal="center" vertical="center"/>
    </xf>
    <xf numFmtId="165" fontId="12" fillId="16" borderId="9" xfId="1" applyNumberFormat="1" applyFont="1" applyFill="1" applyBorder="1" applyAlignment="1">
      <alignment horizontal="center" vertical="center"/>
    </xf>
    <xf numFmtId="0" fontId="10" fillId="15" borderId="9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164" fontId="13" fillId="2" borderId="8" xfId="1" applyNumberFormat="1" applyFont="1" applyFill="1" applyBorder="1" applyAlignment="1">
      <alignment horizontal="center" vertical="center"/>
    </xf>
    <xf numFmtId="164" fontId="13" fillId="2" borderId="9" xfId="1" applyNumberFormat="1" applyFont="1" applyFill="1" applyBorder="1" applyAlignment="1">
      <alignment horizontal="center" vertical="center"/>
    </xf>
    <xf numFmtId="164" fontId="13" fillId="2" borderId="10" xfId="1" applyNumberFormat="1" applyFont="1" applyFill="1" applyBorder="1" applyAlignment="1">
      <alignment horizontal="center" vertical="center"/>
    </xf>
    <xf numFmtId="165" fontId="12" fillId="15" borderId="9" xfId="1" applyNumberFormat="1" applyFont="1" applyFill="1" applyBorder="1" applyAlignment="1">
      <alignment horizontal="center" vertical="center"/>
    </xf>
    <xf numFmtId="0" fontId="10" fillId="20" borderId="8" xfId="0" applyFont="1" applyFill="1" applyBorder="1" applyAlignment="1">
      <alignment horizontal="center" vertical="center"/>
    </xf>
    <xf numFmtId="0" fontId="10" fillId="20" borderId="9" xfId="0" applyFont="1" applyFill="1" applyBorder="1" applyAlignment="1">
      <alignment horizontal="center" vertical="center"/>
    </xf>
    <xf numFmtId="0" fontId="10" fillId="20" borderId="10" xfId="0" applyFont="1" applyFill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0" fontId="12" fillId="20" borderId="9" xfId="0" applyFont="1" applyFill="1" applyBorder="1" applyAlignment="1">
      <alignment horizontal="center" vertical="center"/>
    </xf>
    <xf numFmtId="0" fontId="12" fillId="20" borderId="10" xfId="0" applyFont="1" applyFill="1" applyBorder="1" applyAlignment="1">
      <alignment horizontal="center" vertical="center"/>
    </xf>
    <xf numFmtId="164" fontId="13" fillId="20" borderId="8" xfId="1" applyNumberFormat="1" applyFont="1" applyFill="1" applyBorder="1" applyAlignment="1">
      <alignment horizontal="center" vertical="center"/>
    </xf>
    <xf numFmtId="164" fontId="13" fillId="20" borderId="9" xfId="1" applyNumberFormat="1" applyFont="1" applyFill="1" applyBorder="1" applyAlignment="1">
      <alignment horizontal="center" vertical="center"/>
    </xf>
    <xf numFmtId="164" fontId="13" fillId="20" borderId="10" xfId="1" applyNumberFormat="1" applyFont="1" applyFill="1" applyBorder="1" applyAlignment="1">
      <alignment horizontal="center" vertical="center"/>
    </xf>
    <xf numFmtId="165" fontId="12" fillId="20" borderId="8" xfId="1" applyNumberFormat="1" applyFont="1" applyFill="1" applyBorder="1" applyAlignment="1">
      <alignment horizontal="center" vertical="center"/>
    </xf>
    <xf numFmtId="165" fontId="12" fillId="20" borderId="9" xfId="1" applyNumberFormat="1" applyFont="1" applyFill="1" applyBorder="1" applyAlignment="1">
      <alignment horizontal="center" vertical="center"/>
    </xf>
    <xf numFmtId="165" fontId="12" fillId="20" borderId="10" xfId="1" applyNumberFormat="1" applyFont="1" applyFill="1" applyBorder="1" applyAlignment="1">
      <alignment horizontal="center" vertical="center"/>
    </xf>
    <xf numFmtId="164" fontId="13" fillId="21" borderId="8" xfId="1" applyNumberFormat="1" applyFont="1" applyFill="1" applyBorder="1" applyAlignment="1">
      <alignment horizontal="center" vertical="center"/>
    </xf>
    <xf numFmtId="164" fontId="13" fillId="21" borderId="9" xfId="1" applyNumberFormat="1" applyFont="1" applyFill="1" applyBorder="1" applyAlignment="1">
      <alignment horizontal="center" vertical="center"/>
    </xf>
    <xf numFmtId="164" fontId="13" fillId="21" borderId="10" xfId="1" applyNumberFormat="1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center"/>
    </xf>
    <xf numFmtId="0" fontId="10" fillId="22" borderId="10" xfId="0" applyFont="1" applyFill="1" applyBorder="1" applyAlignment="1">
      <alignment horizontal="center" vertical="center"/>
    </xf>
    <xf numFmtId="0" fontId="12" fillId="22" borderId="8" xfId="0" applyFont="1" applyFill="1" applyBorder="1" applyAlignment="1">
      <alignment horizontal="center" vertical="center"/>
    </xf>
    <xf numFmtId="0" fontId="12" fillId="22" borderId="10" xfId="0" applyFont="1" applyFill="1" applyBorder="1" applyAlignment="1">
      <alignment horizontal="center" vertical="center"/>
    </xf>
    <xf numFmtId="164" fontId="13" fillId="22" borderId="8" xfId="1" applyNumberFormat="1" applyFont="1" applyFill="1" applyBorder="1" applyAlignment="1">
      <alignment horizontal="center" vertical="center"/>
    </xf>
    <xf numFmtId="164" fontId="13" fillId="22" borderId="10" xfId="1" applyNumberFormat="1" applyFont="1" applyFill="1" applyBorder="1" applyAlignment="1">
      <alignment horizontal="center" vertical="center"/>
    </xf>
    <xf numFmtId="165" fontId="12" fillId="22" borderId="8" xfId="1" applyNumberFormat="1" applyFont="1" applyFill="1" applyBorder="1" applyAlignment="1">
      <alignment horizontal="center" vertical="center"/>
    </xf>
    <xf numFmtId="165" fontId="12" fillId="22" borderId="10" xfId="1" applyNumberFormat="1" applyFont="1" applyFill="1" applyBorder="1" applyAlignment="1">
      <alignment horizontal="center" vertical="center"/>
    </xf>
    <xf numFmtId="0" fontId="10" fillId="22" borderId="9" xfId="0" applyFont="1" applyFill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0" fontId="13" fillId="22" borderId="8" xfId="0" applyFont="1" applyFill="1" applyBorder="1" applyAlignment="1">
      <alignment horizontal="center" vertical="center"/>
    </xf>
    <xf numFmtId="0" fontId="13" fillId="22" borderId="9" xfId="0" applyFont="1" applyFill="1" applyBorder="1" applyAlignment="1">
      <alignment horizontal="center" vertical="center"/>
    </xf>
    <xf numFmtId="0" fontId="13" fillId="22" borderId="10" xfId="0" applyFont="1" applyFill="1" applyBorder="1" applyAlignment="1">
      <alignment horizontal="center" vertical="center"/>
    </xf>
    <xf numFmtId="165" fontId="12" fillId="22" borderId="9" xfId="1" applyNumberFormat="1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28" borderId="14" xfId="0" applyFont="1" applyFill="1" applyBorder="1" applyAlignment="1">
      <alignment horizontal="center" vertical="center"/>
    </xf>
    <xf numFmtId="0" fontId="18" fillId="28" borderId="15" xfId="0" applyFont="1" applyFill="1" applyBorder="1" applyAlignment="1">
      <alignment horizontal="center" vertical="center"/>
    </xf>
    <xf numFmtId="0" fontId="18" fillId="28" borderId="12" xfId="0" applyFont="1" applyFill="1" applyBorder="1" applyAlignment="1">
      <alignment horizontal="center" vertical="center"/>
    </xf>
    <xf numFmtId="0" fontId="18" fillId="28" borderId="17" xfId="0" applyFon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2" fontId="26" fillId="0" borderId="4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27" fillId="27" borderId="4" xfId="0" applyFont="1" applyFill="1" applyBorder="1" applyAlignment="1">
      <alignment horizontal="center" vertical="center" wrapText="1"/>
    </xf>
    <xf numFmtId="2" fontId="26" fillId="33" borderId="4" xfId="0" applyNumberFormat="1" applyFont="1" applyFill="1" applyBorder="1" applyAlignment="1">
      <alignment horizontal="center" vertical="center"/>
    </xf>
    <xf numFmtId="2" fontId="26" fillId="33" borderId="24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7" fillId="33" borderId="22" xfId="0" applyFont="1" applyFill="1" applyBorder="1" applyAlignment="1">
      <alignment horizontal="center" vertical="center"/>
    </xf>
    <xf numFmtId="0" fontId="29" fillId="33" borderId="22" xfId="0" applyFont="1" applyFill="1" applyBorder="1" applyAlignment="1">
      <alignment horizontal="center" vertical="center"/>
    </xf>
    <xf numFmtId="0" fontId="2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view="pageBreakPreview" topLeftCell="A10" zoomScaleNormal="100" zoomScaleSheetLayoutView="100" workbookViewId="0">
      <selection activeCell="I16" sqref="I16"/>
    </sheetView>
  </sheetViews>
  <sheetFormatPr defaultRowHeight="15" x14ac:dyDescent="0.25"/>
  <cols>
    <col min="1" max="1" width="6.42578125" style="199" customWidth="1"/>
    <col min="2" max="2" width="24.7109375" customWidth="1"/>
    <col min="3" max="3" width="15.42578125" customWidth="1"/>
    <col min="4" max="4" width="19" style="199" customWidth="1"/>
    <col min="5" max="5" width="16.28515625" style="199" customWidth="1"/>
    <col min="6" max="6" width="16.42578125" style="199" customWidth="1"/>
    <col min="7" max="7" width="19.5703125" style="199" customWidth="1"/>
    <col min="8" max="8" width="16.5703125" style="415" customWidth="1"/>
    <col min="9" max="9" width="34.140625" style="425" customWidth="1"/>
    <col min="10" max="10" width="17.28515625" customWidth="1"/>
  </cols>
  <sheetData>
    <row r="1" spans="1:10" ht="42.75" customHeight="1" x14ac:dyDescent="0.25">
      <c r="A1" s="284" t="s">
        <v>165</v>
      </c>
      <c r="B1" s="285"/>
      <c r="C1" s="285"/>
      <c r="D1" s="285"/>
      <c r="E1" s="285"/>
      <c r="F1" s="285"/>
      <c r="G1" s="286"/>
      <c r="H1" s="286"/>
      <c r="I1" s="287"/>
    </row>
    <row r="2" spans="1:10" s="283" customFormat="1" ht="45" customHeight="1" x14ac:dyDescent="0.25">
      <c r="A2" s="279" t="s">
        <v>36</v>
      </c>
      <c r="B2" s="280" t="s">
        <v>138</v>
      </c>
      <c r="C2" s="280" t="s">
        <v>1</v>
      </c>
      <c r="D2" s="280" t="s">
        <v>160</v>
      </c>
      <c r="E2" s="280" t="s">
        <v>158</v>
      </c>
      <c r="F2" s="280" t="s">
        <v>170</v>
      </c>
      <c r="G2" s="281" t="s">
        <v>179</v>
      </c>
      <c r="H2" s="412" t="s">
        <v>182</v>
      </c>
      <c r="I2" s="420" t="s">
        <v>37</v>
      </c>
      <c r="J2" s="282" t="s">
        <v>177</v>
      </c>
    </row>
    <row r="3" spans="1:10" ht="19.5" x14ac:dyDescent="0.25">
      <c r="A3" s="288" t="s">
        <v>159</v>
      </c>
      <c r="B3" s="289"/>
      <c r="C3" s="289"/>
      <c r="D3" s="289"/>
      <c r="E3" s="289"/>
      <c r="F3" s="289"/>
      <c r="G3" s="290"/>
      <c r="H3" s="290"/>
      <c r="I3" s="291"/>
    </row>
    <row r="4" spans="1:10" ht="19.5" customHeight="1" x14ac:dyDescent="0.25">
      <c r="A4" s="417">
        <v>1</v>
      </c>
      <c r="B4" s="253" t="s">
        <v>161</v>
      </c>
      <c r="C4" s="20">
        <v>2</v>
      </c>
      <c r="D4" s="254">
        <f>DC!D17</f>
        <v>15150</v>
      </c>
      <c r="E4" s="218" t="s">
        <v>163</v>
      </c>
      <c r="F4" s="218" t="s">
        <v>173</v>
      </c>
      <c r="G4" s="278" t="s">
        <v>180</v>
      </c>
      <c r="H4" s="410" t="s">
        <v>183</v>
      </c>
      <c r="I4" s="421"/>
    </row>
    <row r="5" spans="1:10" x14ac:dyDescent="0.25">
      <c r="A5" s="417">
        <v>2</v>
      </c>
      <c r="B5" s="206" t="s">
        <v>68</v>
      </c>
      <c r="C5" s="257">
        <v>1</v>
      </c>
      <c r="D5" s="255">
        <f>'UPS CAL'!AA5</f>
        <v>119.15</v>
      </c>
      <c r="E5" s="218" t="s">
        <v>163</v>
      </c>
      <c r="F5" s="218" t="s">
        <v>172</v>
      </c>
      <c r="G5" s="276" t="s">
        <v>181</v>
      </c>
      <c r="H5" s="410" t="s">
        <v>184</v>
      </c>
      <c r="I5" s="422" t="s">
        <v>174</v>
      </c>
      <c r="J5">
        <v>500</v>
      </c>
    </row>
    <row r="6" spans="1:10" x14ac:dyDescent="0.25">
      <c r="A6" s="417">
        <v>3</v>
      </c>
      <c r="B6" s="258" t="s">
        <v>42</v>
      </c>
      <c r="C6" s="20">
        <v>1</v>
      </c>
      <c r="D6" s="255">
        <f>'UPS CAL'!AA8</f>
        <v>740.8</v>
      </c>
      <c r="E6" s="218" t="s">
        <v>163</v>
      </c>
      <c r="F6" s="218" t="s">
        <v>172</v>
      </c>
      <c r="G6" s="276" t="s">
        <v>181</v>
      </c>
      <c r="H6" s="410" t="s">
        <v>184</v>
      </c>
      <c r="I6" s="422" t="s">
        <v>174</v>
      </c>
      <c r="J6">
        <v>1000</v>
      </c>
    </row>
    <row r="7" spans="1:10" x14ac:dyDescent="0.25">
      <c r="A7" s="417">
        <v>4</v>
      </c>
      <c r="B7" s="259" t="s">
        <v>44</v>
      </c>
      <c r="C7" s="257">
        <v>1</v>
      </c>
      <c r="D7" s="255">
        <f>'UPS CAL'!AA10</f>
        <v>1070.0999999999999</v>
      </c>
      <c r="E7" s="218" t="s">
        <v>163</v>
      </c>
      <c r="F7" s="218" t="s">
        <v>172</v>
      </c>
      <c r="G7" s="276" t="s">
        <v>181</v>
      </c>
      <c r="H7" s="410" t="s">
        <v>184</v>
      </c>
      <c r="I7" s="422" t="s">
        <v>174</v>
      </c>
      <c r="J7">
        <v>1500</v>
      </c>
    </row>
    <row r="8" spans="1:10" x14ac:dyDescent="0.25">
      <c r="A8" s="417">
        <v>5</v>
      </c>
      <c r="B8" s="259" t="s">
        <v>45</v>
      </c>
      <c r="C8" s="20">
        <v>1</v>
      </c>
      <c r="D8" s="255">
        <f>'UPS CAL'!AA11</f>
        <v>570.84999999999991</v>
      </c>
      <c r="E8" s="218" t="s">
        <v>163</v>
      </c>
      <c r="F8" s="218" t="s">
        <v>172</v>
      </c>
      <c r="G8" s="276" t="s">
        <v>181</v>
      </c>
      <c r="H8" s="410" t="s">
        <v>184</v>
      </c>
      <c r="I8" s="422" t="s">
        <v>174</v>
      </c>
      <c r="J8">
        <v>1000</v>
      </c>
    </row>
    <row r="9" spans="1:10" x14ac:dyDescent="0.25">
      <c r="A9" s="417">
        <v>6</v>
      </c>
      <c r="B9" s="259" t="s">
        <v>46</v>
      </c>
      <c r="C9" s="257">
        <v>1</v>
      </c>
      <c r="D9" s="255">
        <f>'UPS CAL'!AA12</f>
        <v>510.65</v>
      </c>
      <c r="E9" s="218" t="s">
        <v>163</v>
      </c>
      <c r="F9" s="218" t="s">
        <v>172</v>
      </c>
      <c r="G9" s="276" t="s">
        <v>181</v>
      </c>
      <c r="H9" s="410" t="s">
        <v>184</v>
      </c>
      <c r="I9" s="422" t="s">
        <v>174</v>
      </c>
      <c r="J9">
        <v>1000</v>
      </c>
    </row>
    <row r="10" spans="1:10" x14ac:dyDescent="0.25">
      <c r="A10" s="417">
        <v>7</v>
      </c>
      <c r="B10" s="259" t="s">
        <v>47</v>
      </c>
      <c r="C10" s="20">
        <v>1</v>
      </c>
      <c r="D10" s="255">
        <f>'UPS CAL'!AA13</f>
        <v>512.29999999999995</v>
      </c>
      <c r="E10" s="218" t="s">
        <v>163</v>
      </c>
      <c r="F10" s="218" t="s">
        <v>172</v>
      </c>
      <c r="G10" s="276" t="s">
        <v>181</v>
      </c>
      <c r="H10" s="410" t="s">
        <v>184</v>
      </c>
      <c r="I10" s="422" t="s">
        <v>174</v>
      </c>
      <c r="J10">
        <v>1000</v>
      </c>
    </row>
    <row r="11" spans="1:10" x14ac:dyDescent="0.25">
      <c r="A11" s="417">
        <v>8</v>
      </c>
      <c r="B11" s="259" t="s">
        <v>43</v>
      </c>
      <c r="C11" s="257">
        <v>1</v>
      </c>
      <c r="D11" s="255">
        <f>'UPS CAL'!AA14</f>
        <v>547.4</v>
      </c>
      <c r="E11" s="218" t="s">
        <v>163</v>
      </c>
      <c r="F11" s="218" t="s">
        <v>172</v>
      </c>
      <c r="G11" s="276" t="s">
        <v>181</v>
      </c>
      <c r="H11" s="410" t="s">
        <v>184</v>
      </c>
      <c r="I11" s="422" t="s">
        <v>174</v>
      </c>
      <c r="J11">
        <v>1000</v>
      </c>
    </row>
    <row r="12" spans="1:10" x14ac:dyDescent="0.25">
      <c r="A12" s="417">
        <v>9</v>
      </c>
      <c r="B12" s="260" t="s">
        <v>48</v>
      </c>
      <c r="C12" s="20">
        <v>1</v>
      </c>
      <c r="D12" s="255">
        <f>'UPS CAL'!AA15</f>
        <v>545.4</v>
      </c>
      <c r="E12" s="218" t="s">
        <v>163</v>
      </c>
      <c r="F12" s="218" t="s">
        <v>172</v>
      </c>
      <c r="G12" s="276" t="s">
        <v>181</v>
      </c>
      <c r="H12" s="410" t="s">
        <v>184</v>
      </c>
      <c r="I12" s="422" t="s">
        <v>174</v>
      </c>
      <c r="J12">
        <v>1000</v>
      </c>
    </row>
    <row r="13" spans="1:10" x14ac:dyDescent="0.25">
      <c r="A13" s="417">
        <v>10</v>
      </c>
      <c r="B13" s="260" t="s">
        <v>49</v>
      </c>
      <c r="C13" s="257">
        <v>1</v>
      </c>
      <c r="D13" s="255">
        <f>'UPS CAL'!AA16</f>
        <v>1440.85</v>
      </c>
      <c r="E13" s="218" t="s">
        <v>163</v>
      </c>
      <c r="F13" s="218" t="s">
        <v>172</v>
      </c>
      <c r="G13" s="276" t="s">
        <v>181</v>
      </c>
      <c r="H13" s="410" t="s">
        <v>184</v>
      </c>
      <c r="I13" s="422" t="s">
        <v>174</v>
      </c>
      <c r="J13">
        <v>1500</v>
      </c>
    </row>
    <row r="14" spans="1:10" x14ac:dyDescent="0.25">
      <c r="A14" s="417">
        <v>11</v>
      </c>
      <c r="B14" s="261" t="s">
        <v>50</v>
      </c>
      <c r="C14" s="20">
        <v>1</v>
      </c>
      <c r="D14" s="255">
        <f>'UPS CAL'!AA17</f>
        <v>1406.25</v>
      </c>
      <c r="E14" s="218" t="s">
        <v>163</v>
      </c>
      <c r="F14" s="218" t="s">
        <v>172</v>
      </c>
      <c r="G14" s="276" t="s">
        <v>181</v>
      </c>
      <c r="H14" s="410" t="s">
        <v>184</v>
      </c>
      <c r="I14" s="422" t="s">
        <v>174</v>
      </c>
      <c r="J14">
        <v>1500</v>
      </c>
    </row>
    <row r="15" spans="1:10" x14ac:dyDescent="0.25">
      <c r="A15" s="417">
        <v>12</v>
      </c>
      <c r="B15" s="261" t="s">
        <v>51</v>
      </c>
      <c r="C15" s="257">
        <v>1</v>
      </c>
      <c r="D15" s="255">
        <f>'UPS CAL'!AA19</f>
        <v>1420.3</v>
      </c>
      <c r="E15" s="218" t="s">
        <v>163</v>
      </c>
      <c r="F15" s="218" t="s">
        <v>172</v>
      </c>
      <c r="G15" s="276" t="s">
        <v>181</v>
      </c>
      <c r="H15" s="410" t="s">
        <v>184</v>
      </c>
      <c r="I15" s="422" t="s">
        <v>174</v>
      </c>
      <c r="J15">
        <v>1500</v>
      </c>
    </row>
    <row r="16" spans="1:10" x14ac:dyDescent="0.25">
      <c r="A16" s="417">
        <v>13</v>
      </c>
      <c r="B16" s="261" t="s">
        <v>52</v>
      </c>
      <c r="C16" s="20">
        <v>1</v>
      </c>
      <c r="D16" s="255">
        <f>'UPS CAL'!AA21</f>
        <v>1420.3</v>
      </c>
      <c r="E16" s="218" t="s">
        <v>163</v>
      </c>
      <c r="F16" s="218" t="s">
        <v>172</v>
      </c>
      <c r="G16" s="276" t="s">
        <v>181</v>
      </c>
      <c r="H16" s="410" t="s">
        <v>184</v>
      </c>
      <c r="I16" s="422" t="s">
        <v>174</v>
      </c>
      <c r="J16">
        <v>1500</v>
      </c>
    </row>
    <row r="17" spans="1:10" x14ac:dyDescent="0.25">
      <c r="A17" s="417">
        <v>14</v>
      </c>
      <c r="B17" s="261" t="s">
        <v>53</v>
      </c>
      <c r="C17" s="257">
        <v>1</v>
      </c>
      <c r="D17" s="255">
        <f>'UPS CAL'!AA23</f>
        <v>1420.3</v>
      </c>
      <c r="E17" s="218" t="s">
        <v>163</v>
      </c>
      <c r="F17" s="218" t="s">
        <v>172</v>
      </c>
      <c r="G17" s="276" t="s">
        <v>181</v>
      </c>
      <c r="H17" s="410" t="s">
        <v>184</v>
      </c>
      <c r="I17" s="422" t="s">
        <v>174</v>
      </c>
      <c r="J17">
        <v>1500</v>
      </c>
    </row>
    <row r="18" spans="1:10" x14ac:dyDescent="0.25">
      <c r="A18" s="417">
        <v>15</v>
      </c>
      <c r="B18" s="261" t="s">
        <v>54</v>
      </c>
      <c r="C18" s="20">
        <v>1</v>
      </c>
      <c r="D18" s="255">
        <f>'UPS CAL'!AA25</f>
        <v>1420.3</v>
      </c>
      <c r="E18" s="218" t="s">
        <v>163</v>
      </c>
      <c r="F18" s="218" t="s">
        <v>172</v>
      </c>
      <c r="G18" s="276" t="s">
        <v>181</v>
      </c>
      <c r="H18" s="410" t="s">
        <v>184</v>
      </c>
      <c r="I18" s="422" t="s">
        <v>174</v>
      </c>
      <c r="J18">
        <v>1500</v>
      </c>
    </row>
    <row r="19" spans="1:10" x14ac:dyDescent="0.25">
      <c r="A19" s="417">
        <v>16</v>
      </c>
      <c r="B19" s="261" t="s">
        <v>55</v>
      </c>
      <c r="C19" s="257">
        <v>1</v>
      </c>
      <c r="D19" s="255">
        <f>'UPS CAL'!AA27</f>
        <v>1420.3</v>
      </c>
      <c r="E19" s="218" t="s">
        <v>163</v>
      </c>
      <c r="F19" s="218" t="s">
        <v>172</v>
      </c>
      <c r="G19" s="276" t="s">
        <v>181</v>
      </c>
      <c r="H19" s="410" t="s">
        <v>184</v>
      </c>
      <c r="I19" s="422" t="s">
        <v>174</v>
      </c>
      <c r="J19">
        <v>1500</v>
      </c>
    </row>
    <row r="20" spans="1:10" x14ac:dyDescent="0.25">
      <c r="A20" s="417">
        <v>17</v>
      </c>
      <c r="B20" s="261" t="s">
        <v>56</v>
      </c>
      <c r="C20" s="416">
        <v>0</v>
      </c>
      <c r="D20" s="255">
        <f>'UPS CAL'!AA29</f>
        <v>2104.75</v>
      </c>
      <c r="E20" s="218" t="s">
        <v>163</v>
      </c>
      <c r="F20" s="218" t="s">
        <v>172</v>
      </c>
      <c r="G20" s="276" t="s">
        <v>181</v>
      </c>
      <c r="H20" s="410" t="s">
        <v>184</v>
      </c>
      <c r="I20" s="422" t="s">
        <v>174</v>
      </c>
      <c r="J20">
        <v>2500</v>
      </c>
    </row>
    <row r="21" spans="1:10" x14ac:dyDescent="0.25">
      <c r="A21" s="417">
        <v>18</v>
      </c>
      <c r="B21" s="261" t="s">
        <v>57</v>
      </c>
      <c r="C21" s="416">
        <v>0</v>
      </c>
      <c r="D21" s="255">
        <f>'UPS CAL'!AA32</f>
        <v>2099.3999999999996</v>
      </c>
      <c r="E21" s="218" t="s">
        <v>163</v>
      </c>
      <c r="F21" s="218" t="s">
        <v>172</v>
      </c>
      <c r="G21" s="276" t="s">
        <v>181</v>
      </c>
      <c r="H21" s="410" t="s">
        <v>184</v>
      </c>
      <c r="I21" s="422" t="s">
        <v>174</v>
      </c>
      <c r="J21">
        <v>2500</v>
      </c>
    </row>
    <row r="22" spans="1:10" x14ac:dyDescent="0.25">
      <c r="A22" s="417">
        <v>19</v>
      </c>
      <c r="B22" s="209" t="s">
        <v>58</v>
      </c>
      <c r="C22" s="416">
        <v>0</v>
      </c>
      <c r="D22" s="255">
        <f>'UPS CAL'!AA35</f>
        <v>1151.8500000000001</v>
      </c>
      <c r="E22" s="218" t="s">
        <v>163</v>
      </c>
      <c r="F22" s="218" t="s">
        <v>172</v>
      </c>
      <c r="G22" s="276" t="s">
        <v>181</v>
      </c>
      <c r="H22" s="410" t="s">
        <v>184</v>
      </c>
      <c r="I22" s="422" t="s">
        <v>174</v>
      </c>
      <c r="J22">
        <v>1500</v>
      </c>
    </row>
    <row r="23" spans="1:10" x14ac:dyDescent="0.25">
      <c r="A23" s="417">
        <v>20</v>
      </c>
      <c r="B23" s="209" t="s">
        <v>59</v>
      </c>
      <c r="C23" s="416">
        <v>0</v>
      </c>
      <c r="D23" s="255">
        <f>'UPS CAL'!AA38</f>
        <v>611.99999999999989</v>
      </c>
      <c r="E23" s="218" t="s">
        <v>163</v>
      </c>
      <c r="F23" s="218" t="s">
        <v>172</v>
      </c>
      <c r="G23" s="276" t="s">
        <v>181</v>
      </c>
      <c r="H23" s="410" t="s">
        <v>184</v>
      </c>
      <c r="I23" s="422" t="s">
        <v>174</v>
      </c>
      <c r="J23">
        <v>1000</v>
      </c>
    </row>
    <row r="24" spans="1:10" x14ac:dyDescent="0.25">
      <c r="A24" s="417">
        <v>21</v>
      </c>
      <c r="B24" s="209" t="s">
        <v>61</v>
      </c>
      <c r="C24" s="20">
        <v>1</v>
      </c>
      <c r="D24" s="255">
        <f>'UPS CAL'!AA41</f>
        <v>174</v>
      </c>
      <c r="E24" s="218" t="s">
        <v>163</v>
      </c>
      <c r="F24" s="218" t="s">
        <v>172</v>
      </c>
      <c r="G24" s="276" t="s">
        <v>181</v>
      </c>
      <c r="H24" s="410" t="s">
        <v>184</v>
      </c>
      <c r="I24" s="422" t="s">
        <v>174</v>
      </c>
      <c r="J24">
        <v>500</v>
      </c>
    </row>
    <row r="25" spans="1:10" x14ac:dyDescent="0.25">
      <c r="A25" s="417">
        <v>22</v>
      </c>
      <c r="B25" s="209" t="s">
        <v>62</v>
      </c>
      <c r="C25" s="257">
        <v>1</v>
      </c>
      <c r="D25" s="255">
        <f>'UPS CAL'!AA45</f>
        <v>482.09999999999997</v>
      </c>
      <c r="E25" s="218" t="s">
        <v>163</v>
      </c>
      <c r="F25" s="218" t="s">
        <v>172</v>
      </c>
      <c r="G25" s="276" t="s">
        <v>181</v>
      </c>
      <c r="H25" s="410" t="s">
        <v>184</v>
      </c>
      <c r="I25" s="422" t="s">
        <v>174</v>
      </c>
      <c r="J25">
        <v>500</v>
      </c>
    </row>
    <row r="26" spans="1:10" x14ac:dyDescent="0.25">
      <c r="A26" s="417">
        <v>23</v>
      </c>
      <c r="B26" s="209" t="s">
        <v>63</v>
      </c>
      <c r="C26" s="416">
        <v>0</v>
      </c>
      <c r="D26" s="255">
        <f>'UPS CAL'!AA47</f>
        <v>2204.7000000000003</v>
      </c>
      <c r="E26" s="218" t="s">
        <v>163</v>
      </c>
      <c r="F26" s="218" t="s">
        <v>172</v>
      </c>
      <c r="G26" s="276" t="s">
        <v>181</v>
      </c>
      <c r="H26" s="410" t="s">
        <v>184</v>
      </c>
      <c r="I26" s="422" t="s">
        <v>174</v>
      </c>
      <c r="J26">
        <v>2500</v>
      </c>
    </row>
    <row r="27" spans="1:10" x14ac:dyDescent="0.25">
      <c r="A27" s="417">
        <v>24</v>
      </c>
      <c r="B27" s="209" t="s">
        <v>64</v>
      </c>
      <c r="C27" s="416">
        <v>0</v>
      </c>
      <c r="D27" s="255">
        <f>'UPS CAL'!AA50</f>
        <v>2204.7000000000003</v>
      </c>
      <c r="E27" s="218" t="s">
        <v>163</v>
      </c>
      <c r="F27" s="218" t="s">
        <v>172</v>
      </c>
      <c r="G27" s="276" t="s">
        <v>181</v>
      </c>
      <c r="H27" s="410" t="s">
        <v>184</v>
      </c>
      <c r="I27" s="422" t="s">
        <v>174</v>
      </c>
      <c r="J27">
        <v>2500</v>
      </c>
    </row>
    <row r="28" spans="1:10" x14ac:dyDescent="0.25">
      <c r="A28" s="417">
        <v>25</v>
      </c>
      <c r="B28" s="209" t="s">
        <v>65</v>
      </c>
      <c r="C28" s="416">
        <v>0</v>
      </c>
      <c r="D28" s="255">
        <f>'UPS CAL'!AA53</f>
        <v>2204.7000000000003</v>
      </c>
      <c r="E28" s="218" t="s">
        <v>163</v>
      </c>
      <c r="F28" s="218" t="s">
        <v>172</v>
      </c>
      <c r="G28" s="276" t="s">
        <v>181</v>
      </c>
      <c r="H28" s="410" t="s">
        <v>184</v>
      </c>
      <c r="I28" s="422" t="s">
        <v>174</v>
      </c>
      <c r="J28">
        <v>2500</v>
      </c>
    </row>
    <row r="29" spans="1:10" x14ac:dyDescent="0.25">
      <c r="A29" s="417">
        <v>26</v>
      </c>
      <c r="B29" s="209" t="s">
        <v>66</v>
      </c>
      <c r="C29" s="416">
        <v>0</v>
      </c>
      <c r="D29" s="255">
        <f>'UPS CAL'!AA56</f>
        <v>2204.7000000000003</v>
      </c>
      <c r="E29" s="218" t="s">
        <v>163</v>
      </c>
      <c r="F29" s="218" t="s">
        <v>172</v>
      </c>
      <c r="G29" s="276" t="s">
        <v>181</v>
      </c>
      <c r="H29" s="410" t="s">
        <v>184</v>
      </c>
      <c r="I29" s="422" t="s">
        <v>174</v>
      </c>
      <c r="J29">
        <v>2500</v>
      </c>
    </row>
    <row r="30" spans="1:10" x14ac:dyDescent="0.25">
      <c r="A30" s="417">
        <v>27</v>
      </c>
      <c r="B30" s="209" t="s">
        <v>67</v>
      </c>
      <c r="C30" s="416">
        <v>0</v>
      </c>
      <c r="D30" s="255">
        <f>'UPS CAL'!AA59</f>
        <v>1598.65</v>
      </c>
      <c r="E30" s="218" t="s">
        <v>163</v>
      </c>
      <c r="F30" s="218" t="s">
        <v>172</v>
      </c>
      <c r="G30" s="276" t="s">
        <v>181</v>
      </c>
      <c r="H30" s="410" t="s">
        <v>184</v>
      </c>
      <c r="I30" s="422" t="s">
        <v>174</v>
      </c>
      <c r="J30">
        <v>2000</v>
      </c>
    </row>
    <row r="31" spans="1:10" x14ac:dyDescent="0.25">
      <c r="A31" s="417">
        <v>28</v>
      </c>
      <c r="B31" s="209" t="s">
        <v>69</v>
      </c>
      <c r="C31" s="257">
        <v>1</v>
      </c>
      <c r="D31" s="255">
        <v>700</v>
      </c>
      <c r="E31" s="218" t="s">
        <v>163</v>
      </c>
      <c r="F31" s="218" t="s">
        <v>172</v>
      </c>
      <c r="G31" s="276" t="s">
        <v>181</v>
      </c>
      <c r="H31" s="410" t="s">
        <v>184</v>
      </c>
      <c r="I31" s="422" t="s">
        <v>174</v>
      </c>
      <c r="J31" s="275" t="s">
        <v>178</v>
      </c>
    </row>
    <row r="32" spans="1:10" x14ac:dyDescent="0.25">
      <c r="A32" s="417">
        <v>29</v>
      </c>
      <c r="B32" s="209" t="s">
        <v>166</v>
      </c>
      <c r="C32" s="20">
        <v>1</v>
      </c>
      <c r="D32" s="255">
        <v>700</v>
      </c>
      <c r="E32" s="218" t="s">
        <v>163</v>
      </c>
      <c r="F32" s="218" t="s">
        <v>172</v>
      </c>
      <c r="G32" s="276" t="s">
        <v>181</v>
      </c>
      <c r="H32" s="410" t="s">
        <v>184</v>
      </c>
      <c r="I32" s="422" t="s">
        <v>174</v>
      </c>
      <c r="J32" s="275" t="s">
        <v>178</v>
      </c>
    </row>
    <row r="33" spans="1:10" ht="19.5" x14ac:dyDescent="0.25">
      <c r="A33" s="288" t="s">
        <v>164</v>
      </c>
      <c r="B33" s="289"/>
      <c r="C33" s="289"/>
      <c r="D33" s="289"/>
      <c r="E33" s="289"/>
      <c r="F33" s="289"/>
      <c r="G33" s="290"/>
      <c r="H33" s="290"/>
      <c r="I33" s="291"/>
    </row>
    <row r="34" spans="1:10" ht="19.5" x14ac:dyDescent="0.25">
      <c r="A34" s="418">
        <v>30</v>
      </c>
      <c r="B34" s="271" t="s">
        <v>162</v>
      </c>
      <c r="C34" s="267">
        <v>2</v>
      </c>
      <c r="D34" s="272">
        <f>DC!D27</f>
        <v>4250</v>
      </c>
      <c r="E34" s="273" t="s">
        <v>176</v>
      </c>
      <c r="F34" s="265" t="s">
        <v>173</v>
      </c>
      <c r="G34" s="277" t="s">
        <v>181</v>
      </c>
      <c r="H34" s="413" t="s">
        <v>183</v>
      </c>
      <c r="I34" s="423"/>
    </row>
    <row r="35" spans="1:10" x14ac:dyDescent="0.25">
      <c r="A35" s="417">
        <v>31</v>
      </c>
      <c r="B35" s="206" t="s">
        <v>68</v>
      </c>
      <c r="C35" s="257">
        <v>1</v>
      </c>
      <c r="D35" s="255">
        <f>'UPS CAL'!AM5</f>
        <v>915</v>
      </c>
      <c r="E35" s="218" t="s">
        <v>176</v>
      </c>
      <c r="F35" s="218" t="s">
        <v>172</v>
      </c>
      <c r="G35" s="276" t="s">
        <v>181</v>
      </c>
      <c r="H35" s="410" t="s">
        <v>184</v>
      </c>
      <c r="I35" s="422" t="s">
        <v>175</v>
      </c>
      <c r="J35">
        <v>1000</v>
      </c>
    </row>
    <row r="36" spans="1:10" x14ac:dyDescent="0.25">
      <c r="A36" s="417">
        <v>32</v>
      </c>
      <c r="B36" s="208" t="s">
        <v>42</v>
      </c>
      <c r="C36" s="20">
        <v>1</v>
      </c>
      <c r="D36" s="255">
        <f>'UPS CAL'!AM8</f>
        <v>747.5</v>
      </c>
      <c r="E36" s="218" t="s">
        <v>176</v>
      </c>
      <c r="F36" s="218" t="s">
        <v>172</v>
      </c>
      <c r="G36" s="218" t="s">
        <v>181</v>
      </c>
      <c r="H36" s="410" t="s">
        <v>184</v>
      </c>
      <c r="I36" s="422" t="s">
        <v>175</v>
      </c>
      <c r="J36">
        <v>1000</v>
      </c>
    </row>
    <row r="37" spans="1:10" x14ac:dyDescent="0.25">
      <c r="A37" s="418">
        <v>33</v>
      </c>
      <c r="B37" s="262" t="s">
        <v>44</v>
      </c>
      <c r="C37" s="263">
        <v>1</v>
      </c>
      <c r="D37" s="264">
        <f>'UPS CAL'!AM10</f>
        <v>989.5</v>
      </c>
      <c r="E37" s="273" t="s">
        <v>163</v>
      </c>
      <c r="F37" s="265" t="s">
        <v>172</v>
      </c>
      <c r="G37" s="265" t="s">
        <v>181</v>
      </c>
      <c r="H37" s="413" t="s">
        <v>184</v>
      </c>
      <c r="I37" s="424" t="s">
        <v>175</v>
      </c>
      <c r="J37">
        <v>1000</v>
      </c>
    </row>
    <row r="38" spans="1:10" x14ac:dyDescent="0.25">
      <c r="A38" s="417">
        <v>34</v>
      </c>
      <c r="B38" s="206" t="s">
        <v>45</v>
      </c>
      <c r="C38" s="20">
        <v>1</v>
      </c>
      <c r="D38" s="255">
        <f>'UPS CAL'!AM11</f>
        <v>352.5</v>
      </c>
      <c r="E38" s="218" t="s">
        <v>176</v>
      </c>
      <c r="F38" s="218" t="s">
        <v>172</v>
      </c>
      <c r="G38" s="218" t="s">
        <v>181</v>
      </c>
      <c r="H38" s="410" t="s">
        <v>184</v>
      </c>
      <c r="I38" s="422" t="s">
        <v>175</v>
      </c>
      <c r="J38">
        <v>500</v>
      </c>
    </row>
    <row r="39" spans="1:10" x14ac:dyDescent="0.25">
      <c r="A39" s="417">
        <v>35</v>
      </c>
      <c r="B39" s="206" t="s">
        <v>46</v>
      </c>
      <c r="C39" s="257">
        <v>1</v>
      </c>
      <c r="D39" s="255">
        <f>'UPS CAL'!AM12</f>
        <v>375</v>
      </c>
      <c r="E39" s="218" t="s">
        <v>176</v>
      </c>
      <c r="F39" s="218" t="s">
        <v>172</v>
      </c>
      <c r="G39" s="218" t="s">
        <v>181</v>
      </c>
      <c r="H39" s="410" t="s">
        <v>184</v>
      </c>
      <c r="I39" s="422" t="s">
        <v>175</v>
      </c>
      <c r="J39">
        <v>500</v>
      </c>
    </row>
    <row r="40" spans="1:10" x14ac:dyDescent="0.25">
      <c r="A40" s="417">
        <v>36</v>
      </c>
      <c r="B40" s="206" t="s">
        <v>47</v>
      </c>
      <c r="C40" s="20">
        <v>1</v>
      </c>
      <c r="D40" s="255">
        <f>'UPS CAL'!AM13</f>
        <v>377.5</v>
      </c>
      <c r="E40" s="218" t="s">
        <v>176</v>
      </c>
      <c r="F40" s="218" t="s">
        <v>172</v>
      </c>
      <c r="G40" s="218" t="s">
        <v>181</v>
      </c>
      <c r="H40" s="410" t="s">
        <v>184</v>
      </c>
      <c r="I40" s="422" t="s">
        <v>175</v>
      </c>
      <c r="J40">
        <v>500</v>
      </c>
    </row>
    <row r="41" spans="1:10" x14ac:dyDescent="0.25">
      <c r="A41" s="418">
        <v>37</v>
      </c>
      <c r="B41" s="262" t="s">
        <v>43</v>
      </c>
      <c r="C41" s="263">
        <v>1</v>
      </c>
      <c r="D41" s="264">
        <f>'UPS CAL'!AM14</f>
        <v>818</v>
      </c>
      <c r="E41" s="273" t="s">
        <v>163</v>
      </c>
      <c r="F41" s="265" t="s">
        <v>172</v>
      </c>
      <c r="G41" s="265" t="s">
        <v>181</v>
      </c>
      <c r="H41" s="413" t="s">
        <v>184</v>
      </c>
      <c r="I41" s="424" t="s">
        <v>175</v>
      </c>
      <c r="J41">
        <v>1000</v>
      </c>
    </row>
    <row r="42" spans="1:10" x14ac:dyDescent="0.25">
      <c r="A42" s="417">
        <v>38</v>
      </c>
      <c r="B42" s="207" t="s">
        <v>48</v>
      </c>
      <c r="C42" s="20">
        <v>1</v>
      </c>
      <c r="D42" s="255">
        <f>'UPS CAL'!AM15</f>
        <v>487.5</v>
      </c>
      <c r="E42" s="218" t="s">
        <v>176</v>
      </c>
      <c r="F42" s="218" t="s">
        <v>172</v>
      </c>
      <c r="G42" s="218" t="s">
        <v>181</v>
      </c>
      <c r="H42" s="410" t="s">
        <v>184</v>
      </c>
      <c r="I42" s="422" t="s">
        <v>175</v>
      </c>
      <c r="J42">
        <v>500</v>
      </c>
    </row>
    <row r="43" spans="1:10" x14ac:dyDescent="0.25">
      <c r="A43" s="417">
        <v>39</v>
      </c>
      <c r="B43" s="207" t="s">
        <v>49</v>
      </c>
      <c r="C43" s="257">
        <v>1</v>
      </c>
      <c r="D43" s="255">
        <f>'UPS CAL'!AM16</f>
        <v>422.5</v>
      </c>
      <c r="E43" s="218" t="s">
        <v>176</v>
      </c>
      <c r="F43" s="218" t="s">
        <v>172</v>
      </c>
      <c r="G43" s="218" t="s">
        <v>181</v>
      </c>
      <c r="H43" s="410" t="s">
        <v>184</v>
      </c>
      <c r="I43" s="422" t="s">
        <v>175</v>
      </c>
      <c r="J43">
        <v>500</v>
      </c>
    </row>
    <row r="44" spans="1:10" x14ac:dyDescent="0.25">
      <c r="A44" s="417">
        <v>40</v>
      </c>
      <c r="B44" s="209" t="s">
        <v>50</v>
      </c>
      <c r="C44" s="20">
        <v>1</v>
      </c>
      <c r="D44" s="255">
        <f>'UPS CAL'!AM17</f>
        <v>315</v>
      </c>
      <c r="E44" s="218" t="s">
        <v>176</v>
      </c>
      <c r="F44" s="218" t="s">
        <v>172</v>
      </c>
      <c r="G44" s="218" t="s">
        <v>181</v>
      </c>
      <c r="H44" s="410" t="s">
        <v>184</v>
      </c>
      <c r="I44" s="422" t="s">
        <v>175</v>
      </c>
      <c r="J44">
        <v>500</v>
      </c>
    </row>
    <row r="45" spans="1:10" x14ac:dyDescent="0.25">
      <c r="A45" s="418">
        <v>41</v>
      </c>
      <c r="B45" s="266" t="s">
        <v>51</v>
      </c>
      <c r="C45" s="263">
        <v>1</v>
      </c>
      <c r="D45" s="264">
        <f>'UPS CAL'!AM19</f>
        <v>336</v>
      </c>
      <c r="E45" s="273" t="s">
        <v>163</v>
      </c>
      <c r="F45" s="265" t="s">
        <v>172</v>
      </c>
      <c r="G45" s="265" t="s">
        <v>181</v>
      </c>
      <c r="H45" s="413" t="s">
        <v>184</v>
      </c>
      <c r="I45" s="424" t="s">
        <v>175</v>
      </c>
      <c r="J45">
        <v>500</v>
      </c>
    </row>
    <row r="46" spans="1:10" x14ac:dyDescent="0.25">
      <c r="A46" s="417">
        <v>42</v>
      </c>
      <c r="B46" s="209" t="s">
        <v>52</v>
      </c>
      <c r="C46" s="20">
        <v>1</v>
      </c>
      <c r="D46" s="255">
        <f>'UPS CAL'!AM21</f>
        <v>315</v>
      </c>
      <c r="E46" s="218" t="s">
        <v>176</v>
      </c>
      <c r="F46" s="411" t="s">
        <v>172</v>
      </c>
      <c r="G46" s="409" t="s">
        <v>181</v>
      </c>
      <c r="H46" s="410" t="s">
        <v>184</v>
      </c>
      <c r="I46" s="422" t="s">
        <v>175</v>
      </c>
      <c r="J46">
        <v>500</v>
      </c>
    </row>
    <row r="47" spans="1:10" x14ac:dyDescent="0.25">
      <c r="A47" s="417">
        <v>43</v>
      </c>
      <c r="B47" s="209" t="s">
        <v>53</v>
      </c>
      <c r="C47" s="257">
        <v>1</v>
      </c>
      <c r="D47" s="255">
        <f>'UPS CAL'!AM23</f>
        <v>315</v>
      </c>
      <c r="E47" s="218" t="s">
        <v>176</v>
      </c>
      <c r="F47" s="411" t="s">
        <v>172</v>
      </c>
      <c r="G47" s="409" t="s">
        <v>181</v>
      </c>
      <c r="H47" s="410" t="s">
        <v>184</v>
      </c>
      <c r="I47" s="422" t="s">
        <v>175</v>
      </c>
      <c r="J47">
        <v>500</v>
      </c>
    </row>
    <row r="48" spans="1:10" x14ac:dyDescent="0.25">
      <c r="A48" s="417">
        <v>44</v>
      </c>
      <c r="B48" s="209" t="s">
        <v>54</v>
      </c>
      <c r="C48" s="20">
        <v>1</v>
      </c>
      <c r="D48" s="255">
        <f>'UPS CAL'!AM25</f>
        <v>165</v>
      </c>
      <c r="E48" s="218" t="s">
        <v>176</v>
      </c>
      <c r="F48" s="411" t="s">
        <v>172</v>
      </c>
      <c r="G48" s="409" t="s">
        <v>181</v>
      </c>
      <c r="H48" s="410" t="s">
        <v>184</v>
      </c>
      <c r="I48" s="422" t="s">
        <v>175</v>
      </c>
      <c r="J48">
        <v>500</v>
      </c>
    </row>
    <row r="49" spans="1:10" x14ac:dyDescent="0.25">
      <c r="A49" s="418">
        <v>45</v>
      </c>
      <c r="B49" s="266" t="s">
        <v>55</v>
      </c>
      <c r="C49" s="263">
        <v>1</v>
      </c>
      <c r="D49" s="264">
        <f>'UPS CAL'!AM27</f>
        <v>498</v>
      </c>
      <c r="E49" s="273" t="s">
        <v>163</v>
      </c>
      <c r="F49" s="265" t="s">
        <v>172</v>
      </c>
      <c r="G49" s="265" t="s">
        <v>181</v>
      </c>
      <c r="H49" s="413" t="s">
        <v>184</v>
      </c>
      <c r="I49" s="424" t="s">
        <v>175</v>
      </c>
      <c r="J49">
        <v>500</v>
      </c>
    </row>
    <row r="50" spans="1:10" x14ac:dyDescent="0.25">
      <c r="A50" s="417">
        <v>46</v>
      </c>
      <c r="B50" s="209" t="s">
        <v>56</v>
      </c>
      <c r="C50" s="20">
        <v>1</v>
      </c>
      <c r="D50" s="255">
        <f>'UPS CAL'!AM29</f>
        <v>360</v>
      </c>
      <c r="E50" s="218" t="s">
        <v>176</v>
      </c>
      <c r="F50" s="218" t="s">
        <v>172</v>
      </c>
      <c r="G50" s="409" t="s">
        <v>181</v>
      </c>
      <c r="H50" s="410" t="s">
        <v>184</v>
      </c>
      <c r="I50" s="422" t="s">
        <v>175</v>
      </c>
      <c r="J50">
        <v>500</v>
      </c>
    </row>
    <row r="51" spans="1:10" x14ac:dyDescent="0.25">
      <c r="A51" s="418">
        <v>47</v>
      </c>
      <c r="B51" s="266" t="s">
        <v>57</v>
      </c>
      <c r="C51" s="263">
        <v>1</v>
      </c>
      <c r="D51" s="264">
        <f>'UPS CAL'!AM32</f>
        <v>698</v>
      </c>
      <c r="E51" s="273" t="s">
        <v>163</v>
      </c>
      <c r="F51" s="265" t="s">
        <v>172</v>
      </c>
      <c r="G51" s="265" t="s">
        <v>181</v>
      </c>
      <c r="H51" s="413" t="s">
        <v>184</v>
      </c>
      <c r="I51" s="424" t="s">
        <v>175</v>
      </c>
      <c r="J51">
        <v>1000</v>
      </c>
    </row>
    <row r="52" spans="1:10" x14ac:dyDescent="0.25">
      <c r="A52" s="417">
        <v>48</v>
      </c>
      <c r="B52" s="209" t="s">
        <v>58</v>
      </c>
      <c r="C52" s="20">
        <v>1</v>
      </c>
      <c r="D52" s="255">
        <f>'UPS CAL'!AM35</f>
        <v>445</v>
      </c>
      <c r="E52" s="218" t="s">
        <v>176</v>
      </c>
      <c r="F52" s="218" t="s">
        <v>172</v>
      </c>
      <c r="G52" s="409" t="s">
        <v>181</v>
      </c>
      <c r="H52" s="410" t="s">
        <v>184</v>
      </c>
      <c r="I52" s="422" t="s">
        <v>175</v>
      </c>
      <c r="J52">
        <v>500</v>
      </c>
    </row>
    <row r="53" spans="1:10" x14ac:dyDescent="0.25">
      <c r="A53" s="418">
        <v>49</v>
      </c>
      <c r="B53" s="266" t="s">
        <v>59</v>
      </c>
      <c r="C53" s="263">
        <v>1</v>
      </c>
      <c r="D53" s="264">
        <f>'UPS CAL'!AM38</f>
        <v>832.5</v>
      </c>
      <c r="E53" s="273" t="s">
        <v>163</v>
      </c>
      <c r="F53" s="265" t="s">
        <v>172</v>
      </c>
      <c r="G53" s="265" t="s">
        <v>181</v>
      </c>
      <c r="H53" s="413" t="s">
        <v>184</v>
      </c>
      <c r="I53" s="424" t="s">
        <v>175</v>
      </c>
      <c r="J53">
        <v>1000</v>
      </c>
    </row>
    <row r="54" spans="1:10" x14ac:dyDescent="0.25">
      <c r="A54" s="417">
        <v>50</v>
      </c>
      <c r="B54" s="209" t="s">
        <v>61</v>
      </c>
      <c r="C54" s="20">
        <v>1</v>
      </c>
      <c r="D54" s="255">
        <f>'UPS CAL'!AM41</f>
        <v>262.5</v>
      </c>
      <c r="E54" s="218" t="s">
        <v>176</v>
      </c>
      <c r="F54" s="218" t="s">
        <v>172</v>
      </c>
      <c r="G54" s="409" t="s">
        <v>181</v>
      </c>
      <c r="H54" s="410" t="s">
        <v>184</v>
      </c>
      <c r="I54" s="422" t="s">
        <v>175</v>
      </c>
      <c r="J54">
        <v>500</v>
      </c>
    </row>
    <row r="55" spans="1:10" x14ac:dyDescent="0.25">
      <c r="A55" s="417">
        <v>51</v>
      </c>
      <c r="B55" s="209" t="s">
        <v>62</v>
      </c>
      <c r="C55" s="257">
        <v>1</v>
      </c>
      <c r="D55" s="255">
        <f>'UPS CAL'!AM45</f>
        <v>330</v>
      </c>
      <c r="E55" s="218" t="s">
        <v>176</v>
      </c>
      <c r="F55" s="218" t="s">
        <v>172</v>
      </c>
      <c r="G55" s="409" t="s">
        <v>181</v>
      </c>
      <c r="H55" s="410" t="s">
        <v>184</v>
      </c>
      <c r="I55" s="422" t="s">
        <v>175</v>
      </c>
      <c r="J55">
        <v>500</v>
      </c>
    </row>
    <row r="56" spans="1:10" x14ac:dyDescent="0.25">
      <c r="A56" s="418">
        <v>52</v>
      </c>
      <c r="B56" s="266" t="s">
        <v>63</v>
      </c>
      <c r="C56" s="267">
        <v>1</v>
      </c>
      <c r="D56" s="264">
        <f>'UPS CAL'!AM47</f>
        <v>627.5</v>
      </c>
      <c r="E56" s="273" t="s">
        <v>163</v>
      </c>
      <c r="F56" s="265" t="s">
        <v>172</v>
      </c>
      <c r="G56" s="277" t="s">
        <v>181</v>
      </c>
      <c r="H56" s="413" t="s">
        <v>184</v>
      </c>
      <c r="I56" s="424" t="s">
        <v>175</v>
      </c>
      <c r="J56">
        <v>500</v>
      </c>
    </row>
    <row r="57" spans="1:10" x14ac:dyDescent="0.25">
      <c r="A57" s="417">
        <v>53</v>
      </c>
      <c r="B57" s="209" t="s">
        <v>64</v>
      </c>
      <c r="C57" s="257">
        <v>1</v>
      </c>
      <c r="D57" s="255">
        <f>'UPS CAL'!AM50</f>
        <v>187.5</v>
      </c>
      <c r="E57" s="218" t="s">
        <v>176</v>
      </c>
      <c r="F57" s="218" t="s">
        <v>172</v>
      </c>
      <c r="G57" s="276" t="s">
        <v>181</v>
      </c>
      <c r="H57" s="410" t="s">
        <v>184</v>
      </c>
      <c r="I57" s="422" t="s">
        <v>175</v>
      </c>
      <c r="J57">
        <v>500</v>
      </c>
    </row>
    <row r="58" spans="1:10" x14ac:dyDescent="0.25">
      <c r="A58" s="418">
        <v>54</v>
      </c>
      <c r="B58" s="266" t="s">
        <v>65</v>
      </c>
      <c r="C58" s="267">
        <v>1</v>
      </c>
      <c r="D58" s="264">
        <f>'UPS CAL'!AM53</f>
        <v>627.5</v>
      </c>
      <c r="E58" s="273" t="s">
        <v>163</v>
      </c>
      <c r="F58" s="265" t="s">
        <v>172</v>
      </c>
      <c r="G58" s="277" t="s">
        <v>181</v>
      </c>
      <c r="H58" s="413" t="s">
        <v>184</v>
      </c>
      <c r="I58" s="424" t="s">
        <v>175</v>
      </c>
      <c r="J58">
        <v>500</v>
      </c>
    </row>
    <row r="59" spans="1:10" x14ac:dyDescent="0.25">
      <c r="A59" s="417">
        <v>55</v>
      </c>
      <c r="B59" s="209" t="s">
        <v>66</v>
      </c>
      <c r="C59" s="257">
        <v>1</v>
      </c>
      <c r="D59" s="255">
        <f>'UPS CAL'!AM56</f>
        <v>187.5</v>
      </c>
      <c r="E59" s="218" t="s">
        <v>176</v>
      </c>
      <c r="F59" s="218" t="s">
        <v>172</v>
      </c>
      <c r="G59" s="276" t="s">
        <v>181</v>
      </c>
      <c r="H59" s="410" t="s">
        <v>184</v>
      </c>
      <c r="I59" s="422" t="s">
        <v>175</v>
      </c>
      <c r="J59">
        <v>500</v>
      </c>
    </row>
    <row r="60" spans="1:10" x14ac:dyDescent="0.25">
      <c r="A60" s="418">
        <v>56</v>
      </c>
      <c r="B60" s="266" t="s">
        <v>67</v>
      </c>
      <c r="C60" s="267">
        <v>1</v>
      </c>
      <c r="D60" s="264">
        <f>'UPS CAL'!AM59</f>
        <v>625</v>
      </c>
      <c r="E60" s="273" t="s">
        <v>163</v>
      </c>
      <c r="F60" s="265" t="s">
        <v>172</v>
      </c>
      <c r="G60" s="277" t="s">
        <v>181</v>
      </c>
      <c r="H60" s="413" t="s">
        <v>184</v>
      </c>
      <c r="I60" s="424" t="s">
        <v>175</v>
      </c>
      <c r="J60">
        <v>500</v>
      </c>
    </row>
    <row r="61" spans="1:10" x14ac:dyDescent="0.25">
      <c r="A61" s="417">
        <v>57</v>
      </c>
      <c r="B61" s="209" t="s">
        <v>69</v>
      </c>
      <c r="C61" s="257">
        <v>1</v>
      </c>
      <c r="D61" s="255">
        <v>700</v>
      </c>
      <c r="E61" s="218" t="s">
        <v>176</v>
      </c>
      <c r="F61" s="218" t="s">
        <v>172</v>
      </c>
      <c r="G61" s="409" t="s">
        <v>181</v>
      </c>
      <c r="H61" s="410" t="s">
        <v>184</v>
      </c>
      <c r="I61" s="422" t="s">
        <v>175</v>
      </c>
      <c r="J61" s="275" t="s">
        <v>178</v>
      </c>
    </row>
    <row r="62" spans="1:10" x14ac:dyDescent="0.25">
      <c r="A62" s="417">
        <v>58</v>
      </c>
      <c r="B62" s="209" t="s">
        <v>166</v>
      </c>
      <c r="C62" s="20">
        <v>1</v>
      </c>
      <c r="D62" s="255">
        <v>700</v>
      </c>
      <c r="E62" s="218" t="s">
        <v>176</v>
      </c>
      <c r="F62" s="218" t="s">
        <v>172</v>
      </c>
      <c r="G62" s="409" t="s">
        <v>181</v>
      </c>
      <c r="H62" s="410" t="s">
        <v>184</v>
      </c>
      <c r="I62" s="422" t="s">
        <v>175</v>
      </c>
      <c r="J62" s="275" t="s">
        <v>178</v>
      </c>
    </row>
    <row r="63" spans="1:10" x14ac:dyDescent="0.25">
      <c r="A63" s="417">
        <v>59</v>
      </c>
      <c r="B63" s="209" t="s">
        <v>168</v>
      </c>
      <c r="C63" s="20">
        <v>2</v>
      </c>
      <c r="D63" s="256">
        <f>150+450</f>
        <v>600</v>
      </c>
      <c r="E63" s="218" t="s">
        <v>176</v>
      </c>
      <c r="F63" s="218" t="s">
        <v>171</v>
      </c>
      <c r="G63" s="409" t="s">
        <v>181</v>
      </c>
      <c r="H63" s="410" t="s">
        <v>184</v>
      </c>
      <c r="I63" s="422" t="s">
        <v>175</v>
      </c>
      <c r="J63" s="275" t="s">
        <v>178</v>
      </c>
    </row>
    <row r="64" spans="1:10" x14ac:dyDescent="0.25">
      <c r="A64" s="417">
        <v>60</v>
      </c>
      <c r="B64" s="209" t="s">
        <v>169</v>
      </c>
      <c r="C64" s="20">
        <v>1</v>
      </c>
      <c r="D64" s="256">
        <f>150+450</f>
        <v>600</v>
      </c>
      <c r="E64" s="218" t="s">
        <v>176</v>
      </c>
      <c r="F64" s="218" t="s">
        <v>171</v>
      </c>
      <c r="G64" s="409" t="s">
        <v>181</v>
      </c>
      <c r="H64" s="410" t="s">
        <v>184</v>
      </c>
      <c r="I64" s="422" t="s">
        <v>175</v>
      </c>
      <c r="J64" s="275" t="s">
        <v>178</v>
      </c>
    </row>
    <row r="65" spans="1:10" ht="15.75" thickBot="1" x14ac:dyDescent="0.3">
      <c r="A65" s="419">
        <v>61</v>
      </c>
      <c r="B65" s="266" t="s">
        <v>167</v>
      </c>
      <c r="C65" s="268">
        <v>1</v>
      </c>
      <c r="D65" s="269">
        <f>600+300</f>
        <v>900</v>
      </c>
      <c r="E65" s="274" t="s">
        <v>163</v>
      </c>
      <c r="F65" s="270" t="s">
        <v>171</v>
      </c>
      <c r="G65" s="270" t="s">
        <v>181</v>
      </c>
      <c r="H65" s="414" t="s">
        <v>184</v>
      </c>
      <c r="I65" s="424" t="s">
        <v>175</v>
      </c>
      <c r="J65" s="275" t="s">
        <v>178</v>
      </c>
    </row>
  </sheetData>
  <mergeCells count="3">
    <mergeCell ref="A1:I1"/>
    <mergeCell ref="A3:I3"/>
    <mergeCell ref="A33:I33"/>
  </mergeCells>
  <phoneticPr fontId="25" type="noConversion"/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view="pageBreakPreview" zoomScale="130" zoomScaleNormal="130" zoomScaleSheetLayoutView="130" workbookViewId="0">
      <selection activeCell="A9" sqref="A9"/>
    </sheetView>
  </sheetViews>
  <sheetFormatPr defaultColWidth="9.140625" defaultRowHeight="14.25" x14ac:dyDescent="0.2"/>
  <cols>
    <col min="1" max="1" width="28.85546875" style="1" customWidth="1"/>
    <col min="2" max="2" width="49" style="1" customWidth="1"/>
    <col min="3" max="3" width="5" style="1" customWidth="1"/>
    <col min="4" max="4" width="6.28515625" style="1" customWidth="1"/>
    <col min="5" max="5" width="4.42578125" style="1" customWidth="1"/>
    <col min="6" max="16384" width="9.140625" style="1"/>
  </cols>
  <sheetData>
    <row r="1" spans="1:4" ht="20.25" x14ac:dyDescent="0.3">
      <c r="A1" s="294" t="s">
        <v>151</v>
      </c>
      <c r="B1" s="294"/>
    </row>
    <row r="2" spans="1:4" ht="14.25" customHeight="1" x14ac:dyDescent="0.25">
      <c r="A2" s="292" t="s">
        <v>128</v>
      </c>
      <c r="B2" s="292"/>
      <c r="C2" s="14"/>
      <c r="D2" s="2"/>
    </row>
    <row r="3" spans="1:4" ht="15" x14ac:dyDescent="0.2">
      <c r="A3" s="15" t="s">
        <v>14</v>
      </c>
      <c r="B3" s="16"/>
      <c r="C3" s="14"/>
      <c r="D3" s="2"/>
    </row>
    <row r="4" spans="1:4" ht="13.5" customHeight="1" x14ac:dyDescent="0.2">
      <c r="A4" s="17" t="s">
        <v>38</v>
      </c>
      <c r="B4" s="198" t="s">
        <v>143</v>
      </c>
      <c r="C4" s="14"/>
      <c r="D4" s="2"/>
    </row>
    <row r="5" spans="1:4" ht="15" x14ac:dyDescent="0.2">
      <c r="A5" s="17" t="s">
        <v>15</v>
      </c>
      <c r="B5" s="13" t="s">
        <v>16</v>
      </c>
      <c r="C5" s="18"/>
      <c r="D5" s="2"/>
    </row>
    <row r="6" spans="1:4" ht="29.25" customHeight="1" x14ac:dyDescent="0.2">
      <c r="A6" s="16" t="s">
        <v>17</v>
      </c>
      <c r="B6" s="13" t="s">
        <v>18</v>
      </c>
      <c r="D6" s="2"/>
    </row>
    <row r="7" spans="1:4" x14ac:dyDescent="0.2">
      <c r="A7" s="17" t="s">
        <v>19</v>
      </c>
      <c r="B7" s="13" t="s">
        <v>20</v>
      </c>
      <c r="D7" s="2"/>
    </row>
    <row r="8" spans="1:4" ht="15" x14ac:dyDescent="0.2">
      <c r="A8" s="19" t="s">
        <v>21</v>
      </c>
      <c r="B8" s="13"/>
      <c r="D8" s="2"/>
    </row>
    <row r="9" spans="1:4" x14ac:dyDescent="0.2">
      <c r="A9" s="17" t="s">
        <v>22</v>
      </c>
      <c r="B9" s="13" t="s">
        <v>23</v>
      </c>
      <c r="D9" s="2"/>
    </row>
    <row r="10" spans="1:4" x14ac:dyDescent="0.2">
      <c r="A10" s="17" t="s">
        <v>24</v>
      </c>
      <c r="B10" s="20" t="s">
        <v>20</v>
      </c>
      <c r="D10" s="2"/>
    </row>
    <row r="11" spans="1:4" ht="15" x14ac:dyDescent="0.2">
      <c r="A11" s="19" t="s">
        <v>26</v>
      </c>
      <c r="B11" s="13" t="s">
        <v>137</v>
      </c>
      <c r="D11" s="2"/>
    </row>
    <row r="12" spans="1:4" ht="15" x14ac:dyDescent="0.2">
      <c r="A12" s="21" t="s">
        <v>27</v>
      </c>
      <c r="B12" s="16"/>
      <c r="D12" s="2"/>
    </row>
    <row r="13" spans="1:4" x14ac:dyDescent="0.2">
      <c r="A13" s="16" t="s">
        <v>28</v>
      </c>
      <c r="B13" s="13" t="s">
        <v>29</v>
      </c>
      <c r="D13" s="2"/>
    </row>
    <row r="14" spans="1:4" x14ac:dyDescent="0.2">
      <c r="A14" s="25"/>
      <c r="B14" s="14"/>
      <c r="D14" s="2"/>
    </row>
    <row r="15" spans="1:4" ht="14.25" customHeight="1" x14ac:dyDescent="0.25">
      <c r="A15" s="293" t="s">
        <v>144</v>
      </c>
      <c r="B15" s="293"/>
      <c r="C15" s="14"/>
      <c r="D15" s="2"/>
    </row>
    <row r="16" spans="1:4" ht="15" x14ac:dyDescent="0.2">
      <c r="A16" s="15" t="s">
        <v>14</v>
      </c>
      <c r="B16" s="16"/>
      <c r="C16" s="14"/>
      <c r="D16" s="2"/>
    </row>
    <row r="17" spans="1:4" ht="13.5" customHeight="1" x14ac:dyDescent="0.2">
      <c r="A17" s="17" t="s">
        <v>38</v>
      </c>
      <c r="B17" s="198" t="s">
        <v>156</v>
      </c>
      <c r="C17" s="14"/>
      <c r="D17" s="2"/>
    </row>
    <row r="18" spans="1:4" ht="15" x14ac:dyDescent="0.2">
      <c r="A18" s="17" t="s">
        <v>15</v>
      </c>
      <c r="B18" s="13" t="s">
        <v>31</v>
      </c>
      <c r="C18" s="18"/>
      <c r="D18" s="2"/>
    </row>
    <row r="19" spans="1:4" x14ac:dyDescent="0.2">
      <c r="A19" s="17" t="s">
        <v>19</v>
      </c>
      <c r="B19" s="13" t="s">
        <v>20</v>
      </c>
      <c r="D19" s="2"/>
    </row>
    <row r="20" spans="1:4" ht="15" x14ac:dyDescent="0.2">
      <c r="A20" s="19" t="s">
        <v>21</v>
      </c>
      <c r="B20" s="13"/>
      <c r="D20" s="2"/>
    </row>
    <row r="21" spans="1:4" x14ac:dyDescent="0.2">
      <c r="A21" s="17" t="s">
        <v>22</v>
      </c>
      <c r="B21" s="13" t="s">
        <v>60</v>
      </c>
      <c r="D21" s="2"/>
    </row>
    <row r="22" spans="1:4" x14ac:dyDescent="0.2">
      <c r="A22" s="17" t="s">
        <v>24</v>
      </c>
      <c r="B22" s="20" t="s">
        <v>20</v>
      </c>
      <c r="D22" s="2"/>
    </row>
    <row r="23" spans="1:4" ht="15" x14ac:dyDescent="0.2">
      <c r="A23" s="19" t="s">
        <v>26</v>
      </c>
      <c r="B23" s="13" t="s">
        <v>137</v>
      </c>
      <c r="D23" s="2"/>
    </row>
    <row r="24" spans="1:4" ht="15" x14ac:dyDescent="0.2">
      <c r="A24" s="19" t="s">
        <v>33</v>
      </c>
      <c r="B24" s="13" t="s">
        <v>34</v>
      </c>
      <c r="D24" s="2"/>
    </row>
    <row r="25" spans="1:4" ht="15" x14ac:dyDescent="0.2">
      <c r="A25" s="195" t="s">
        <v>133</v>
      </c>
      <c r="B25" s="14" t="s">
        <v>152</v>
      </c>
      <c r="D25" s="2"/>
    </row>
    <row r="26" spans="1:4" ht="15" x14ac:dyDescent="0.25">
      <c r="A26" s="293" t="s">
        <v>145</v>
      </c>
      <c r="B26" s="293"/>
      <c r="D26" s="2"/>
    </row>
    <row r="27" spans="1:4" ht="15" x14ac:dyDescent="0.2">
      <c r="A27" s="15" t="s">
        <v>14</v>
      </c>
      <c r="B27" s="16"/>
      <c r="D27" s="2"/>
    </row>
    <row r="28" spans="1:4" ht="22.5" customHeight="1" x14ac:dyDescent="0.2">
      <c r="A28" s="17" t="s">
        <v>38</v>
      </c>
      <c r="B28" s="198" t="s">
        <v>157</v>
      </c>
      <c r="D28" s="2"/>
    </row>
    <row r="29" spans="1:4" x14ac:dyDescent="0.2">
      <c r="A29" s="17" t="s">
        <v>15</v>
      </c>
      <c r="B29" s="13" t="s">
        <v>31</v>
      </c>
      <c r="D29" s="2"/>
    </row>
    <row r="30" spans="1:4" x14ac:dyDescent="0.2">
      <c r="A30" s="17" t="s">
        <v>19</v>
      </c>
      <c r="B30" s="13" t="s">
        <v>20</v>
      </c>
      <c r="D30" s="2"/>
    </row>
    <row r="31" spans="1:4" ht="15" x14ac:dyDescent="0.2">
      <c r="A31" s="19" t="s">
        <v>21</v>
      </c>
      <c r="B31" s="13"/>
      <c r="D31" s="2"/>
    </row>
    <row r="32" spans="1:4" x14ac:dyDescent="0.2">
      <c r="A32" s="17" t="s">
        <v>22</v>
      </c>
      <c r="B32" s="13" t="s">
        <v>32</v>
      </c>
      <c r="D32" s="2"/>
    </row>
    <row r="33" spans="1:4" x14ac:dyDescent="0.2">
      <c r="A33" s="17" t="s">
        <v>24</v>
      </c>
      <c r="B33" s="13" t="s">
        <v>20</v>
      </c>
      <c r="D33" s="2"/>
    </row>
    <row r="34" spans="1:4" ht="15" x14ac:dyDescent="0.2">
      <c r="A34" s="19" t="s">
        <v>26</v>
      </c>
      <c r="B34" s="13" t="s">
        <v>25</v>
      </c>
      <c r="D34" s="2"/>
    </row>
    <row r="35" spans="1:4" ht="15" x14ac:dyDescent="0.2">
      <c r="A35" s="19" t="s">
        <v>33</v>
      </c>
      <c r="B35" s="13" t="s">
        <v>34</v>
      </c>
      <c r="D35" s="2"/>
    </row>
    <row r="36" spans="1:4" ht="15" x14ac:dyDescent="0.2">
      <c r="A36" s="195" t="s">
        <v>133</v>
      </c>
      <c r="B36" s="14" t="s">
        <v>153</v>
      </c>
      <c r="D36" s="2"/>
    </row>
    <row r="56" spans="1:1" ht="15" x14ac:dyDescent="0.2">
      <c r="A56" s="22"/>
    </row>
  </sheetData>
  <mergeCells count="4">
    <mergeCell ref="A2:B2"/>
    <mergeCell ref="A26:B26"/>
    <mergeCell ref="A15:B15"/>
    <mergeCell ref="A1:B1"/>
  </mergeCells>
  <printOptions horizontalCentere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view="pageBreakPreview" zoomScaleNormal="115" zoomScaleSheetLayoutView="100" workbookViewId="0">
      <selection activeCell="H24" sqref="H24"/>
    </sheetView>
  </sheetViews>
  <sheetFormatPr defaultColWidth="9.140625" defaultRowHeight="14.25" x14ac:dyDescent="0.2"/>
  <cols>
    <col min="1" max="1" width="33.85546875" style="1" customWidth="1"/>
    <col min="2" max="2" width="15.85546875" style="1" customWidth="1"/>
    <col min="3" max="3" width="14.42578125" style="1" customWidth="1"/>
    <col min="4" max="4" width="16.140625" style="1" customWidth="1"/>
    <col min="5" max="5" width="16.28515625" style="1" customWidth="1"/>
    <col min="6" max="6" width="11.28515625" style="1" bestFit="1" customWidth="1"/>
    <col min="7" max="7" width="4.42578125" style="1" customWidth="1"/>
    <col min="8" max="16384" width="9.140625" style="1"/>
  </cols>
  <sheetData>
    <row r="1" spans="1:6" ht="16.5" x14ac:dyDescent="0.25">
      <c r="A1" s="298" t="s">
        <v>70</v>
      </c>
      <c r="B1" s="298"/>
      <c r="C1" s="194"/>
      <c r="D1" s="194"/>
      <c r="E1" s="194"/>
    </row>
    <row r="2" spans="1:6" ht="12.75" customHeight="1" x14ac:dyDescent="0.2">
      <c r="A2" s="3"/>
      <c r="B2" s="3"/>
      <c r="C2" s="3"/>
      <c r="D2" s="3"/>
      <c r="E2" s="3"/>
      <c r="F2" s="2"/>
    </row>
    <row r="3" spans="1:6" ht="14.25" customHeight="1" x14ac:dyDescent="0.2">
      <c r="A3" s="4" t="s">
        <v>0</v>
      </c>
      <c r="B3" s="5" t="s">
        <v>1</v>
      </c>
      <c r="C3" s="5" t="s">
        <v>2</v>
      </c>
      <c r="D3" s="5" t="s">
        <v>3</v>
      </c>
      <c r="E3" s="5" t="s">
        <v>37</v>
      </c>
      <c r="F3" s="2"/>
    </row>
    <row r="4" spans="1:6" ht="15.75" x14ac:dyDescent="0.25">
      <c r="A4" s="6" t="s">
        <v>4</v>
      </c>
      <c r="B4" s="295"/>
      <c r="C4" s="296"/>
      <c r="D4" s="296"/>
      <c r="E4" s="297"/>
      <c r="F4" s="2"/>
    </row>
    <row r="5" spans="1:6" ht="15" x14ac:dyDescent="0.2">
      <c r="A5" s="8" t="s">
        <v>10</v>
      </c>
      <c r="B5" s="5">
        <v>12</v>
      </c>
      <c r="C5" s="5">
        <v>750</v>
      </c>
      <c r="D5" s="5">
        <f>C5*B5</f>
        <v>9000</v>
      </c>
      <c r="E5" s="26"/>
      <c r="F5" s="2"/>
    </row>
    <row r="6" spans="1:6" ht="15" x14ac:dyDescent="0.2">
      <c r="A6" s="8" t="s">
        <v>12</v>
      </c>
      <c r="B6" s="5">
        <v>1</v>
      </c>
      <c r="C6" s="5">
        <v>550</v>
      </c>
      <c r="D6" s="5">
        <f t="shared" ref="D6:D7" si="0">C6*B6</f>
        <v>550</v>
      </c>
      <c r="E6" s="26"/>
      <c r="F6" s="2"/>
    </row>
    <row r="7" spans="1:6" ht="15" x14ac:dyDescent="0.2">
      <c r="A7" s="8" t="s">
        <v>40</v>
      </c>
      <c r="B7" s="5">
        <v>1</v>
      </c>
      <c r="C7" s="5">
        <v>350</v>
      </c>
      <c r="D7" s="5">
        <f t="shared" si="0"/>
        <v>350</v>
      </c>
      <c r="E7" s="26"/>
      <c r="F7" s="2"/>
    </row>
    <row r="8" spans="1:6" ht="15.75" x14ac:dyDescent="0.2">
      <c r="A8" s="9" t="s">
        <v>5</v>
      </c>
      <c r="B8" s="7"/>
      <c r="C8" s="7"/>
      <c r="D8" s="7"/>
      <c r="E8" s="26"/>
      <c r="F8" s="2"/>
    </row>
    <row r="9" spans="1:6" ht="15" x14ac:dyDescent="0.2">
      <c r="A9" s="8" t="s">
        <v>11</v>
      </c>
      <c r="B9" s="5">
        <v>1</v>
      </c>
      <c r="C9" s="5">
        <v>750</v>
      </c>
      <c r="D9" s="5">
        <f>C9*B9</f>
        <v>750</v>
      </c>
      <c r="E9" s="26"/>
      <c r="F9" s="2"/>
    </row>
    <row r="10" spans="1:6" ht="15" x14ac:dyDescent="0.2">
      <c r="A10" s="8" t="s">
        <v>39</v>
      </c>
      <c r="B10" s="5">
        <v>1</v>
      </c>
      <c r="C10" s="5">
        <v>750</v>
      </c>
      <c r="D10" s="5">
        <f>C10*B10</f>
        <v>750</v>
      </c>
      <c r="E10" s="26"/>
      <c r="F10" s="2"/>
    </row>
    <row r="11" spans="1:6" ht="15.75" x14ac:dyDescent="0.2">
      <c r="A11" s="10" t="s">
        <v>6</v>
      </c>
      <c r="B11" s="295"/>
      <c r="C11" s="296"/>
      <c r="D11" s="296"/>
      <c r="E11" s="297"/>
      <c r="F11" s="2"/>
    </row>
    <row r="12" spans="1:6" ht="15" x14ac:dyDescent="0.2">
      <c r="A12" s="8" t="s">
        <v>127</v>
      </c>
      <c r="B12" s="5">
        <v>2</v>
      </c>
      <c r="C12" s="5">
        <v>750</v>
      </c>
      <c r="D12" s="5">
        <f t="shared" ref="D12" si="1">C12*B12</f>
        <v>1500</v>
      </c>
      <c r="E12" s="26"/>
      <c r="F12" s="2"/>
    </row>
    <row r="13" spans="1:6" ht="15" x14ac:dyDescent="0.2">
      <c r="A13" s="8" t="s">
        <v>7</v>
      </c>
      <c r="B13" s="5">
        <v>2</v>
      </c>
      <c r="C13" s="5">
        <v>250</v>
      </c>
      <c r="D13" s="5">
        <f t="shared" ref="D13:D16" si="2">C13*B13</f>
        <v>500</v>
      </c>
      <c r="E13" s="26"/>
      <c r="F13" s="2"/>
    </row>
    <row r="14" spans="1:6" ht="15" x14ac:dyDescent="0.2">
      <c r="A14" s="8" t="s">
        <v>8</v>
      </c>
      <c r="B14" s="5">
        <v>1</v>
      </c>
      <c r="C14" s="5">
        <v>350</v>
      </c>
      <c r="D14" s="5">
        <f t="shared" si="2"/>
        <v>350</v>
      </c>
      <c r="E14" s="26"/>
      <c r="F14" s="2"/>
    </row>
    <row r="15" spans="1:6" ht="15" x14ac:dyDescent="0.2">
      <c r="A15" s="8" t="s">
        <v>9</v>
      </c>
      <c r="B15" s="5">
        <v>1</v>
      </c>
      <c r="C15" s="5">
        <v>700</v>
      </c>
      <c r="D15" s="5">
        <f t="shared" si="2"/>
        <v>700</v>
      </c>
      <c r="E15" s="26"/>
      <c r="F15" s="2"/>
    </row>
    <row r="16" spans="1:6" ht="15" x14ac:dyDescent="0.25">
      <c r="A16" s="8" t="s">
        <v>13</v>
      </c>
      <c r="B16" s="5">
        <v>2</v>
      </c>
      <c r="C16" s="5">
        <v>350</v>
      </c>
      <c r="D16" s="5">
        <f t="shared" si="2"/>
        <v>700</v>
      </c>
      <c r="E16" s="24" t="s">
        <v>41</v>
      </c>
      <c r="F16" s="2"/>
    </row>
    <row r="17" spans="1:6" ht="15.75" x14ac:dyDescent="0.25">
      <c r="A17" s="24" t="s">
        <v>35</v>
      </c>
      <c r="B17" s="26"/>
      <c r="C17" s="26"/>
      <c r="D17" s="11">
        <f>SUM(D4:D16)</f>
        <v>15150</v>
      </c>
      <c r="E17" s="23">
        <f>D17*1.1</f>
        <v>16665</v>
      </c>
      <c r="F17" s="2"/>
    </row>
    <row r="18" spans="1:6" ht="15.75" x14ac:dyDescent="0.25">
      <c r="A18" s="190"/>
      <c r="B18" s="191"/>
      <c r="C18" s="191"/>
      <c r="D18" s="192"/>
      <c r="E18" s="193"/>
      <c r="F18" s="2"/>
    </row>
    <row r="19" spans="1:6" ht="16.5" x14ac:dyDescent="0.25">
      <c r="A19" s="298" t="s">
        <v>129</v>
      </c>
      <c r="B19" s="298"/>
      <c r="C19" s="194"/>
      <c r="D19" s="194"/>
      <c r="E19" s="194"/>
      <c r="F19" s="2"/>
    </row>
    <row r="20" spans="1:6" ht="18" x14ac:dyDescent="0.2">
      <c r="A20" s="3"/>
      <c r="B20" s="3"/>
      <c r="C20" s="3"/>
      <c r="D20" s="3"/>
      <c r="E20" s="3"/>
      <c r="F20" s="2"/>
    </row>
    <row r="21" spans="1:6" ht="15.75" x14ac:dyDescent="0.2">
      <c r="A21" s="4" t="s">
        <v>0</v>
      </c>
      <c r="B21" s="5" t="s">
        <v>1</v>
      </c>
      <c r="C21" s="5" t="s">
        <v>2</v>
      </c>
      <c r="D21" s="5" t="s">
        <v>3</v>
      </c>
      <c r="E21" s="5" t="s">
        <v>37</v>
      </c>
      <c r="F21" s="2"/>
    </row>
    <row r="22" spans="1:6" ht="15.75" x14ac:dyDescent="0.25">
      <c r="A22" s="6" t="s">
        <v>4</v>
      </c>
      <c r="B22" s="295"/>
      <c r="C22" s="296"/>
      <c r="D22" s="296"/>
      <c r="E22" s="297"/>
      <c r="F22" s="2"/>
    </row>
    <row r="23" spans="1:6" ht="17.25" customHeight="1" x14ac:dyDescent="0.2">
      <c r="A23" s="8" t="s">
        <v>130</v>
      </c>
      <c r="B23" s="5">
        <v>4</v>
      </c>
      <c r="C23" s="5">
        <v>550</v>
      </c>
      <c r="D23" s="5">
        <f t="shared" ref="D23" si="3">C23*B23</f>
        <v>2200</v>
      </c>
      <c r="E23" s="26"/>
      <c r="F23" s="2"/>
    </row>
    <row r="24" spans="1:6" ht="17.25" customHeight="1" x14ac:dyDescent="0.2">
      <c r="A24" s="8" t="s">
        <v>132</v>
      </c>
      <c r="B24" s="5">
        <v>1</v>
      </c>
      <c r="C24" s="5">
        <v>550</v>
      </c>
      <c r="D24" s="5">
        <f t="shared" ref="D24" si="4">C24*B24</f>
        <v>550</v>
      </c>
      <c r="E24" s="26"/>
      <c r="F24" s="2"/>
    </row>
    <row r="25" spans="1:6" ht="15.75" x14ac:dyDescent="0.2">
      <c r="A25" s="10" t="s">
        <v>6</v>
      </c>
      <c r="B25" s="295"/>
      <c r="C25" s="296"/>
      <c r="D25" s="296"/>
      <c r="E25" s="297"/>
      <c r="F25" s="2"/>
    </row>
    <row r="26" spans="1:6" ht="15" x14ac:dyDescent="0.2">
      <c r="A26" s="8" t="s">
        <v>131</v>
      </c>
      <c r="B26" s="5">
        <v>2</v>
      </c>
      <c r="C26" s="5">
        <v>750</v>
      </c>
      <c r="D26" s="5">
        <f t="shared" ref="D26" si="5">C26*B26</f>
        <v>1500</v>
      </c>
      <c r="E26" s="26"/>
      <c r="F26" s="2"/>
    </row>
    <row r="27" spans="1:6" ht="15.75" x14ac:dyDescent="0.25">
      <c r="A27" s="24" t="s">
        <v>35</v>
      </c>
      <c r="B27" s="26"/>
      <c r="C27" s="26"/>
      <c r="D27" s="11">
        <f>SUM(D22:D26)</f>
        <v>4250</v>
      </c>
      <c r="E27" s="23">
        <f>D27*1.1</f>
        <v>4675</v>
      </c>
    </row>
    <row r="44" spans="1:1" ht="18" x14ac:dyDescent="0.2">
      <c r="A44" s="12"/>
    </row>
  </sheetData>
  <mergeCells count="6">
    <mergeCell ref="B25:E25"/>
    <mergeCell ref="A1:B1"/>
    <mergeCell ref="A19:B19"/>
    <mergeCell ref="B11:E11"/>
    <mergeCell ref="B4:E4"/>
    <mergeCell ref="B22:E22"/>
  </mergeCells>
  <printOptions horizontalCentered="1"/>
  <pageMargins left="0.45" right="0.45" top="0.25" bottom="0.75" header="0.3" footer="0.3"/>
  <pageSetup scale="80" orientation="portrait" r:id="rId1"/>
  <colBreaks count="1" manualBreakCount="1">
    <brk id="6" max="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33"/>
  <sheetViews>
    <sheetView zoomScale="70" zoomScaleNormal="7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L48" sqref="AL48"/>
    </sheetView>
  </sheetViews>
  <sheetFormatPr defaultRowHeight="15" x14ac:dyDescent="0.25"/>
  <cols>
    <col min="1" max="1" width="16.28515625" style="183" customWidth="1"/>
    <col min="2" max="2" width="7.42578125" style="184" customWidth="1"/>
    <col min="3" max="6" width="3.85546875" style="184" bestFit="1" customWidth="1"/>
    <col min="7" max="7" width="5.85546875" style="184" bestFit="1" customWidth="1"/>
    <col min="8" max="8" width="9.42578125" style="185" customWidth="1"/>
    <col min="9" max="13" width="9.7109375" style="184" customWidth="1"/>
    <col min="14" max="14" width="9.5703125" style="184" customWidth="1"/>
    <col min="15" max="15" width="9.5703125" style="185" customWidth="1"/>
    <col min="16" max="17" width="9.5703125" style="184" customWidth="1"/>
    <col min="18" max="19" width="9.42578125" style="184" customWidth="1"/>
    <col min="20" max="21" width="9.42578125" style="186" customWidth="1"/>
    <col min="22" max="22" width="8.140625" style="187" customWidth="1"/>
    <col min="23" max="23" width="9.42578125" style="188" customWidth="1"/>
    <col min="24" max="26" width="9.42578125" style="186" customWidth="1"/>
    <col min="27" max="27" width="12.140625" style="217" bestFit="1" customWidth="1"/>
    <col min="28" max="28" width="9.42578125" style="188" customWidth="1"/>
    <col min="29" max="29" width="7.7109375" style="182" bestFit="1" customWidth="1"/>
    <col min="30" max="30" width="8.85546875" style="182" bestFit="1" customWidth="1"/>
    <col min="31" max="31" width="10.5703125" style="188" bestFit="1" customWidth="1"/>
    <col min="32" max="32" width="8.5703125" style="188" customWidth="1"/>
    <col min="33" max="33" width="8.140625" style="187" bestFit="1" customWidth="1"/>
    <col min="34" max="35" width="8.85546875" style="182" customWidth="1"/>
    <col min="36" max="37" width="8.42578125" style="182" customWidth="1"/>
    <col min="38" max="38" width="9.5703125" style="182" customWidth="1"/>
    <col min="39" max="39" width="9.85546875" style="182" customWidth="1"/>
    <col min="40" max="1041" width="9.7109375" style="63" customWidth="1"/>
    <col min="1042" max="16384" width="9.140625" style="63"/>
  </cols>
  <sheetData>
    <row r="1" spans="1:39" s="29" customFormat="1" ht="15.75" x14ac:dyDescent="0.25">
      <c r="A1" s="27"/>
      <c r="B1" s="28"/>
      <c r="C1" s="28"/>
      <c r="D1" s="28"/>
      <c r="E1" s="28"/>
      <c r="F1" s="28"/>
      <c r="G1" s="28"/>
      <c r="H1" s="299" t="s">
        <v>71</v>
      </c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1" t="s">
        <v>134</v>
      </c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</row>
    <row r="2" spans="1:39" s="30" customFormat="1" x14ac:dyDescent="0.25">
      <c r="A2" s="302" t="s">
        <v>72</v>
      </c>
      <c r="B2" s="304" t="s">
        <v>73</v>
      </c>
      <c r="C2" s="306" t="s">
        <v>74</v>
      </c>
      <c r="D2" s="307"/>
      <c r="E2" s="306" t="s">
        <v>75</v>
      </c>
      <c r="F2" s="307"/>
      <c r="G2" s="304" t="s">
        <v>76</v>
      </c>
      <c r="H2" s="308" t="s">
        <v>77</v>
      </c>
      <c r="I2" s="309"/>
      <c r="J2" s="309"/>
      <c r="K2" s="309"/>
      <c r="L2" s="309"/>
      <c r="M2" s="309"/>
      <c r="N2" s="309"/>
      <c r="O2" s="309"/>
      <c r="P2" s="309"/>
      <c r="Q2" s="310"/>
      <c r="R2" s="311" t="s">
        <v>78</v>
      </c>
      <c r="S2" s="312"/>
      <c r="T2" s="312"/>
      <c r="U2" s="312"/>
      <c r="V2" s="312"/>
      <c r="W2" s="312"/>
      <c r="X2" s="312"/>
      <c r="Y2" s="312"/>
      <c r="Z2" s="312"/>
      <c r="AA2" s="313"/>
      <c r="AB2" s="314" t="s">
        <v>77</v>
      </c>
      <c r="AC2" s="315"/>
      <c r="AD2" s="316"/>
      <c r="AE2" s="323" t="s">
        <v>78</v>
      </c>
      <c r="AF2" s="324"/>
      <c r="AG2" s="324"/>
      <c r="AH2" s="324"/>
      <c r="AI2" s="324"/>
      <c r="AJ2" s="324"/>
      <c r="AK2" s="324"/>
      <c r="AL2" s="324"/>
      <c r="AM2" s="325"/>
    </row>
    <row r="3" spans="1:39" s="41" customFormat="1" ht="71.25" customHeight="1" x14ac:dyDescent="0.2">
      <c r="A3" s="303"/>
      <c r="B3" s="305"/>
      <c r="C3" s="31">
        <v>48</v>
      </c>
      <c r="D3" s="31">
        <v>24</v>
      </c>
      <c r="E3" s="31">
        <v>48</v>
      </c>
      <c r="F3" s="31">
        <v>24</v>
      </c>
      <c r="G3" s="305"/>
      <c r="H3" s="32" t="s">
        <v>79</v>
      </c>
      <c r="I3" s="33" t="s">
        <v>80</v>
      </c>
      <c r="J3" s="33" t="s">
        <v>81</v>
      </c>
      <c r="K3" s="33" t="s">
        <v>82</v>
      </c>
      <c r="L3" s="33" t="s">
        <v>83</v>
      </c>
      <c r="M3" s="33" t="s">
        <v>84</v>
      </c>
      <c r="N3" s="34" t="s">
        <v>85</v>
      </c>
      <c r="O3" s="35" t="s">
        <v>86</v>
      </c>
      <c r="P3" s="34" t="s">
        <v>87</v>
      </c>
      <c r="Q3" s="34" t="s">
        <v>88</v>
      </c>
      <c r="R3" s="36" t="s">
        <v>89</v>
      </c>
      <c r="S3" s="36" t="s">
        <v>90</v>
      </c>
      <c r="T3" s="36" t="s">
        <v>91</v>
      </c>
      <c r="U3" s="326" t="s">
        <v>92</v>
      </c>
      <c r="V3" s="327"/>
      <c r="W3" s="37" t="s">
        <v>93</v>
      </c>
      <c r="X3" s="34" t="s">
        <v>94</v>
      </c>
      <c r="Y3" s="34" t="s">
        <v>95</v>
      </c>
      <c r="Z3" s="328" t="s">
        <v>155</v>
      </c>
      <c r="AA3" s="329"/>
      <c r="AB3" s="38" t="s">
        <v>96</v>
      </c>
      <c r="AC3" s="39" t="s">
        <v>97</v>
      </c>
      <c r="AD3" s="39" t="s">
        <v>98</v>
      </c>
      <c r="AE3" s="39" t="s">
        <v>99</v>
      </c>
      <c r="AF3" s="326" t="s">
        <v>92</v>
      </c>
      <c r="AG3" s="327"/>
      <c r="AH3" s="39" t="s">
        <v>100</v>
      </c>
      <c r="AI3" s="39" t="s">
        <v>101</v>
      </c>
      <c r="AJ3" s="40" t="s">
        <v>102</v>
      </c>
      <c r="AK3" s="40" t="s">
        <v>136</v>
      </c>
      <c r="AL3" s="330" t="s">
        <v>154</v>
      </c>
      <c r="AM3" s="331"/>
    </row>
    <row r="4" spans="1:39" s="54" customFormat="1" ht="28.5" x14ac:dyDescent="0.25">
      <c r="A4" s="42" t="s">
        <v>103</v>
      </c>
      <c r="B4" s="43" t="s">
        <v>104</v>
      </c>
      <c r="C4" s="44"/>
      <c r="D4" s="44"/>
      <c r="E4" s="44"/>
      <c r="F4" s="44"/>
      <c r="G4" s="44"/>
      <c r="H4" s="45" t="s">
        <v>105</v>
      </c>
      <c r="I4" s="46" t="s">
        <v>106</v>
      </c>
      <c r="J4" s="46" t="s">
        <v>107</v>
      </c>
      <c r="K4" s="46" t="s">
        <v>108</v>
      </c>
      <c r="L4" s="46" t="s">
        <v>109</v>
      </c>
      <c r="M4" s="46" t="s">
        <v>110</v>
      </c>
      <c r="N4" s="46" t="s">
        <v>135</v>
      </c>
      <c r="O4" s="45" t="s">
        <v>111</v>
      </c>
      <c r="P4" s="47" t="s">
        <v>112</v>
      </c>
      <c r="Q4" s="47" t="s">
        <v>113</v>
      </c>
      <c r="R4" s="44">
        <v>9.6999999999999993</v>
      </c>
      <c r="S4" s="44">
        <v>5.35</v>
      </c>
      <c r="T4" s="48">
        <v>5</v>
      </c>
      <c r="U4" s="49"/>
      <c r="V4" s="49"/>
      <c r="W4" s="50"/>
      <c r="X4" s="48">
        <f>980-740</f>
        <v>240</v>
      </c>
      <c r="Y4" s="48">
        <f>445-370</f>
        <v>75</v>
      </c>
      <c r="Z4" s="48"/>
      <c r="AA4" s="210"/>
      <c r="AB4" s="51"/>
      <c r="AC4" s="52"/>
      <c r="AD4" s="52"/>
      <c r="AE4" s="50">
        <v>7.5</v>
      </c>
      <c r="AF4" s="49"/>
      <c r="AG4" s="49"/>
      <c r="AH4" s="52"/>
      <c r="AI4" s="52"/>
      <c r="AJ4" s="52"/>
      <c r="AK4" s="52"/>
      <c r="AL4" s="52"/>
      <c r="AM4" s="53"/>
    </row>
    <row r="5" spans="1:39" x14ac:dyDescent="0.25">
      <c r="A5" s="332" t="s">
        <v>68</v>
      </c>
      <c r="B5" s="55" t="s">
        <v>114</v>
      </c>
      <c r="C5" s="56"/>
      <c r="D5" s="56"/>
      <c r="E5" s="56"/>
      <c r="F5" s="56"/>
      <c r="G5" s="56">
        <v>1</v>
      </c>
      <c r="H5" s="57">
        <f t="shared" ref="H5:H15" si="0">I5+L5</f>
        <v>2</v>
      </c>
      <c r="I5" s="58">
        <v>2</v>
      </c>
      <c r="J5" s="58">
        <v>1</v>
      </c>
      <c r="K5" s="58">
        <v>0</v>
      </c>
      <c r="L5" s="58">
        <v>0</v>
      </c>
      <c r="M5" s="58">
        <v>1</v>
      </c>
      <c r="N5" s="58">
        <f>H5+J5+K5</f>
        <v>3</v>
      </c>
      <c r="O5" s="57">
        <f>N5+M5</f>
        <v>4</v>
      </c>
      <c r="P5" s="59"/>
      <c r="Q5" s="59"/>
      <c r="R5" s="60">
        <f>H5*$R$4</f>
        <v>19.399999999999999</v>
      </c>
      <c r="S5" s="60">
        <f>J5*$S$4</f>
        <v>5.35</v>
      </c>
      <c r="T5" s="60">
        <f>K5*5</f>
        <v>0</v>
      </c>
      <c r="U5" s="60">
        <f>SUM(R5:T5)</f>
        <v>24.75</v>
      </c>
      <c r="V5" s="335">
        <f>SUM(U5:U7)</f>
        <v>44.150000000000006</v>
      </c>
      <c r="W5" s="338">
        <f>SUM(P5:P7)*730+SUM(Q5:Q7)*370</f>
        <v>370</v>
      </c>
      <c r="X5" s="60">
        <f t="shared" ref="X5:X62" si="1">P5*$X$4</f>
        <v>0</v>
      </c>
      <c r="Y5" s="60">
        <f t="shared" ref="Y5:Y62" si="2">Q5*$Y$4</f>
        <v>0</v>
      </c>
      <c r="Z5" s="60">
        <f>U5+SUM(X5:Y5)</f>
        <v>24.75</v>
      </c>
      <c r="AA5" s="219">
        <f>SUM(Z5:Z7)</f>
        <v>119.15</v>
      </c>
      <c r="AB5" s="61">
        <v>10</v>
      </c>
      <c r="AC5" s="59"/>
      <c r="AD5" s="59"/>
      <c r="AE5" s="62">
        <f t="shared" ref="AE5:AE16" si="3">AB5*7.5</f>
        <v>75</v>
      </c>
      <c r="AF5" s="62">
        <f t="shared" ref="AF5:AG36" si="4">AE5</f>
        <v>75</v>
      </c>
      <c r="AG5" s="335">
        <f>SUM(AF5:AF7)</f>
        <v>225</v>
      </c>
      <c r="AH5" s="60"/>
      <c r="AI5" s="60"/>
      <c r="AJ5" s="60"/>
      <c r="AK5" s="60"/>
      <c r="AL5" s="60">
        <f>AF5+AH5+AI5+AJ5+AK5</f>
        <v>75</v>
      </c>
      <c r="AM5" s="236">
        <f>SUM(AL5:AL7)</f>
        <v>915</v>
      </c>
    </row>
    <row r="6" spans="1:39" x14ac:dyDescent="0.25">
      <c r="A6" s="333"/>
      <c r="B6" s="55" t="s">
        <v>115</v>
      </c>
      <c r="C6" s="56">
        <v>1</v>
      </c>
      <c r="D6" s="56"/>
      <c r="E6" s="56">
        <v>1</v>
      </c>
      <c r="F6" s="56"/>
      <c r="G6" s="56">
        <v>1</v>
      </c>
      <c r="H6" s="57">
        <f t="shared" si="0"/>
        <v>1</v>
      </c>
      <c r="I6" s="58">
        <v>1</v>
      </c>
      <c r="J6" s="58">
        <v>0</v>
      </c>
      <c r="K6" s="58">
        <v>0</v>
      </c>
      <c r="L6" s="58">
        <v>0</v>
      </c>
      <c r="M6" s="58">
        <v>0</v>
      </c>
      <c r="N6" s="58">
        <f t="shared" ref="N6:N16" si="5">H6+J6+K6</f>
        <v>1</v>
      </c>
      <c r="O6" s="57">
        <f t="shared" ref="O6:O62" si="6">N6+M6</f>
        <v>1</v>
      </c>
      <c r="P6" s="59"/>
      <c r="Q6" s="59"/>
      <c r="R6" s="60">
        <f t="shared" ref="R6:R16" si="7">H6*$R$4</f>
        <v>9.6999999999999993</v>
      </c>
      <c r="S6" s="60">
        <f t="shared" ref="S6:S16" si="8">J6*$S$4</f>
        <v>0</v>
      </c>
      <c r="T6" s="60">
        <f t="shared" ref="T6:T62" si="9">K6*5</f>
        <v>0</v>
      </c>
      <c r="U6" s="60">
        <f t="shared" ref="U6:U16" si="10">SUM(R6:T6)</f>
        <v>9.6999999999999993</v>
      </c>
      <c r="V6" s="336"/>
      <c r="W6" s="339"/>
      <c r="X6" s="60">
        <f t="shared" si="1"/>
        <v>0</v>
      </c>
      <c r="Y6" s="60">
        <f t="shared" si="2"/>
        <v>0</v>
      </c>
      <c r="Z6" s="60">
        <f t="shared" ref="Z6:Z62" si="11">U6+SUM(X6:Y6)</f>
        <v>9.6999999999999993</v>
      </c>
      <c r="AA6" s="220"/>
      <c r="AB6" s="61">
        <v>10</v>
      </c>
      <c r="AC6" s="59"/>
      <c r="AD6" s="59"/>
      <c r="AE6" s="62">
        <f t="shared" si="3"/>
        <v>75</v>
      </c>
      <c r="AF6" s="62">
        <f t="shared" si="4"/>
        <v>75</v>
      </c>
      <c r="AG6" s="336"/>
      <c r="AH6" s="60"/>
      <c r="AI6" s="60"/>
      <c r="AJ6" s="60"/>
      <c r="AK6" s="60"/>
      <c r="AL6" s="60">
        <f t="shared" ref="AL6:AL7" si="12">AF6+AH6+AI6+AJ6+AK6</f>
        <v>75</v>
      </c>
      <c r="AM6" s="237"/>
    </row>
    <row r="7" spans="1:39" x14ac:dyDescent="0.25">
      <c r="A7" s="334"/>
      <c r="B7" s="55" t="s">
        <v>116</v>
      </c>
      <c r="C7" s="56"/>
      <c r="D7" s="56"/>
      <c r="E7" s="56"/>
      <c r="F7" s="56"/>
      <c r="G7" s="56">
        <v>1</v>
      </c>
      <c r="H7" s="57">
        <f t="shared" si="0"/>
        <v>1</v>
      </c>
      <c r="I7" s="58">
        <v>1</v>
      </c>
      <c r="J7" s="58">
        <v>0</v>
      </c>
      <c r="K7" s="58">
        <v>0</v>
      </c>
      <c r="L7" s="58">
        <v>0</v>
      </c>
      <c r="M7" s="58">
        <v>0</v>
      </c>
      <c r="N7" s="58">
        <f t="shared" si="5"/>
        <v>1</v>
      </c>
      <c r="O7" s="57">
        <f t="shared" si="6"/>
        <v>1</v>
      </c>
      <c r="P7" s="59">
        <v>0</v>
      </c>
      <c r="Q7" s="59">
        <v>1</v>
      </c>
      <c r="R7" s="60">
        <f t="shared" si="7"/>
        <v>9.6999999999999993</v>
      </c>
      <c r="S7" s="60">
        <f t="shared" si="8"/>
        <v>0</v>
      </c>
      <c r="T7" s="60">
        <f t="shared" si="9"/>
        <v>0</v>
      </c>
      <c r="U7" s="60">
        <f>SUM(R7:T7)</f>
        <v>9.6999999999999993</v>
      </c>
      <c r="V7" s="337"/>
      <c r="W7" s="340"/>
      <c r="X7" s="60">
        <f t="shared" si="1"/>
        <v>0</v>
      </c>
      <c r="Y7" s="60">
        <f t="shared" si="2"/>
        <v>75</v>
      </c>
      <c r="Z7" s="60">
        <f t="shared" si="11"/>
        <v>84.7</v>
      </c>
      <c r="AA7" s="221"/>
      <c r="AB7" s="61">
        <v>10</v>
      </c>
      <c r="AC7" s="59">
        <v>1</v>
      </c>
      <c r="AD7" s="59">
        <v>0</v>
      </c>
      <c r="AE7" s="62">
        <f t="shared" si="3"/>
        <v>75</v>
      </c>
      <c r="AF7" s="62">
        <f t="shared" si="4"/>
        <v>75</v>
      </c>
      <c r="AG7" s="337"/>
      <c r="AH7" s="60">
        <f>AC7*240</f>
        <v>240</v>
      </c>
      <c r="AI7" s="60">
        <f>AD7*75</f>
        <v>0</v>
      </c>
      <c r="AJ7" s="60">
        <f>150+150+150</f>
        <v>450</v>
      </c>
      <c r="AK7" s="60"/>
      <c r="AL7" s="60">
        <f t="shared" si="12"/>
        <v>765</v>
      </c>
      <c r="AM7" s="238"/>
    </row>
    <row r="8" spans="1:39" s="74" customFormat="1" x14ac:dyDescent="0.25">
      <c r="A8" s="317" t="s">
        <v>42</v>
      </c>
      <c r="B8" s="64" t="s">
        <v>117</v>
      </c>
      <c r="C8" s="65"/>
      <c r="D8" s="65"/>
      <c r="E8" s="65"/>
      <c r="F8" s="65"/>
      <c r="G8" s="65">
        <v>1</v>
      </c>
      <c r="H8" s="66">
        <f t="shared" si="0"/>
        <v>3</v>
      </c>
      <c r="I8" s="67">
        <v>3</v>
      </c>
      <c r="J8" s="67">
        <v>2</v>
      </c>
      <c r="K8" s="67">
        <v>0</v>
      </c>
      <c r="L8" s="67">
        <v>0</v>
      </c>
      <c r="M8" s="67">
        <v>2</v>
      </c>
      <c r="N8" s="67">
        <f t="shared" si="5"/>
        <v>5</v>
      </c>
      <c r="O8" s="66">
        <f t="shared" si="6"/>
        <v>7</v>
      </c>
      <c r="P8" s="68"/>
      <c r="Q8" s="68"/>
      <c r="R8" s="69">
        <f t="shared" si="7"/>
        <v>29.099999999999998</v>
      </c>
      <c r="S8" s="69">
        <f t="shared" si="8"/>
        <v>10.7</v>
      </c>
      <c r="T8" s="69">
        <f t="shared" si="9"/>
        <v>0</v>
      </c>
      <c r="U8" s="69">
        <f t="shared" si="10"/>
        <v>39.799999999999997</v>
      </c>
      <c r="V8" s="319">
        <f>SUM(U8:U9)</f>
        <v>260.79999999999995</v>
      </c>
      <c r="W8" s="321">
        <f>SUM(P8:P9)*730+SUM(Q8:Q9)*370</f>
        <v>1460</v>
      </c>
      <c r="X8" s="69">
        <f t="shared" si="1"/>
        <v>0</v>
      </c>
      <c r="Y8" s="69">
        <f t="shared" si="2"/>
        <v>0</v>
      </c>
      <c r="Z8" s="69">
        <f t="shared" si="11"/>
        <v>39.799999999999997</v>
      </c>
      <c r="AA8" s="222">
        <f>SUM(Z8:Z9)</f>
        <v>740.8</v>
      </c>
      <c r="AB8" s="70">
        <v>11</v>
      </c>
      <c r="AC8" s="71"/>
      <c r="AD8" s="71"/>
      <c r="AE8" s="72">
        <f t="shared" si="3"/>
        <v>82.5</v>
      </c>
      <c r="AF8" s="72">
        <f t="shared" si="4"/>
        <v>82.5</v>
      </c>
      <c r="AG8" s="319">
        <f>SUM(AF8:AF9)</f>
        <v>157.5</v>
      </c>
      <c r="AH8" s="73">
        <f t="shared" ref="AH8:AH62" si="13">AC8*240</f>
        <v>0</v>
      </c>
      <c r="AI8" s="73">
        <f t="shared" ref="AI8:AI62" si="14">AD8*75</f>
        <v>0</v>
      </c>
      <c r="AJ8" s="73"/>
      <c r="AK8" s="73"/>
      <c r="AL8" s="73">
        <f>AF8+AH8+AI8+AJ8+AK8</f>
        <v>82.5</v>
      </c>
      <c r="AM8" s="239">
        <f>SUM(AL8:AL9)</f>
        <v>747.5</v>
      </c>
    </row>
    <row r="9" spans="1:39" s="74" customFormat="1" x14ac:dyDescent="0.25">
      <c r="A9" s="318"/>
      <c r="B9" s="75" t="s">
        <v>118</v>
      </c>
      <c r="C9" s="65">
        <v>2</v>
      </c>
      <c r="D9" s="65"/>
      <c r="E9" s="65">
        <v>1</v>
      </c>
      <c r="F9" s="65"/>
      <c r="G9" s="65">
        <v>5</v>
      </c>
      <c r="H9" s="66">
        <f t="shared" si="0"/>
        <v>8</v>
      </c>
      <c r="I9" s="67">
        <v>8</v>
      </c>
      <c r="J9" s="67">
        <v>24</v>
      </c>
      <c r="K9" s="67">
        <v>3</v>
      </c>
      <c r="L9" s="67">
        <v>0</v>
      </c>
      <c r="M9" s="67">
        <v>28</v>
      </c>
      <c r="N9" s="67">
        <f t="shared" si="5"/>
        <v>35</v>
      </c>
      <c r="O9" s="66">
        <f t="shared" si="6"/>
        <v>63</v>
      </c>
      <c r="P9" s="68">
        <v>2</v>
      </c>
      <c r="Q9" s="68">
        <v>0</v>
      </c>
      <c r="R9" s="69">
        <f t="shared" si="7"/>
        <v>77.599999999999994</v>
      </c>
      <c r="S9" s="69">
        <f t="shared" si="8"/>
        <v>128.39999999999998</v>
      </c>
      <c r="T9" s="69">
        <f t="shared" si="9"/>
        <v>15</v>
      </c>
      <c r="U9" s="69">
        <f t="shared" si="10"/>
        <v>220.99999999999997</v>
      </c>
      <c r="V9" s="320"/>
      <c r="W9" s="322"/>
      <c r="X9" s="69">
        <f t="shared" si="1"/>
        <v>480</v>
      </c>
      <c r="Y9" s="69">
        <f t="shared" si="2"/>
        <v>0</v>
      </c>
      <c r="Z9" s="69">
        <f t="shared" si="11"/>
        <v>701</v>
      </c>
      <c r="AA9" s="223"/>
      <c r="AB9" s="70">
        <v>10</v>
      </c>
      <c r="AC9" s="71">
        <v>1</v>
      </c>
      <c r="AD9" s="71">
        <v>0</v>
      </c>
      <c r="AE9" s="72">
        <f t="shared" si="3"/>
        <v>75</v>
      </c>
      <c r="AF9" s="72">
        <f t="shared" si="4"/>
        <v>75</v>
      </c>
      <c r="AG9" s="320"/>
      <c r="AH9" s="73">
        <f t="shared" si="13"/>
        <v>240</v>
      </c>
      <c r="AI9" s="73">
        <f t="shared" si="14"/>
        <v>0</v>
      </c>
      <c r="AJ9" s="73">
        <v>350</v>
      </c>
      <c r="AK9" s="73"/>
      <c r="AL9" s="73">
        <f>AF9+AH9+AI9+AJ9+AK9</f>
        <v>665</v>
      </c>
      <c r="AM9" s="240"/>
    </row>
    <row r="10" spans="1:39" x14ac:dyDescent="0.25">
      <c r="A10" s="76" t="s">
        <v>44</v>
      </c>
      <c r="B10" s="55">
        <v>1</v>
      </c>
      <c r="C10" s="56">
        <v>4</v>
      </c>
      <c r="D10" s="56"/>
      <c r="E10" s="56">
        <v>1</v>
      </c>
      <c r="F10" s="56"/>
      <c r="G10" s="56">
        <v>9</v>
      </c>
      <c r="H10" s="57">
        <f t="shared" si="0"/>
        <v>13</v>
      </c>
      <c r="I10" s="58">
        <v>13</v>
      </c>
      <c r="J10" s="58">
        <v>40</v>
      </c>
      <c r="K10" s="58">
        <v>2</v>
      </c>
      <c r="L10" s="58">
        <v>0</v>
      </c>
      <c r="M10" s="58">
        <v>64</v>
      </c>
      <c r="N10" s="58">
        <f t="shared" si="5"/>
        <v>55</v>
      </c>
      <c r="O10" s="57">
        <f t="shared" si="6"/>
        <v>119</v>
      </c>
      <c r="P10" s="58">
        <v>3</v>
      </c>
      <c r="Q10" s="58">
        <v>0</v>
      </c>
      <c r="R10" s="60">
        <f t="shared" si="7"/>
        <v>126.1</v>
      </c>
      <c r="S10" s="60">
        <f t="shared" si="8"/>
        <v>214</v>
      </c>
      <c r="T10" s="60">
        <f t="shared" si="9"/>
        <v>10</v>
      </c>
      <c r="U10" s="60">
        <f t="shared" si="10"/>
        <v>350.1</v>
      </c>
      <c r="V10" s="77">
        <f>U10</f>
        <v>350.1</v>
      </c>
      <c r="W10" s="78">
        <f>P10*730+Q10*370</f>
        <v>2190</v>
      </c>
      <c r="X10" s="60">
        <f t="shared" si="1"/>
        <v>720</v>
      </c>
      <c r="Y10" s="60">
        <f t="shared" si="2"/>
        <v>0</v>
      </c>
      <c r="Z10" s="60">
        <f t="shared" si="11"/>
        <v>1070.0999999999999</v>
      </c>
      <c r="AA10" s="211">
        <f>Z10</f>
        <v>1070.0999999999999</v>
      </c>
      <c r="AB10" s="61">
        <f>13+16</f>
        <v>29</v>
      </c>
      <c r="AC10" s="80">
        <v>1</v>
      </c>
      <c r="AD10" s="80">
        <v>0</v>
      </c>
      <c r="AE10" s="62">
        <f t="shared" si="3"/>
        <v>217.5</v>
      </c>
      <c r="AF10" s="62">
        <f t="shared" si="4"/>
        <v>217.5</v>
      </c>
      <c r="AG10" s="77">
        <f>AF10</f>
        <v>217.5</v>
      </c>
      <c r="AH10" s="81">
        <f t="shared" si="13"/>
        <v>240</v>
      </c>
      <c r="AI10" s="81">
        <f t="shared" si="14"/>
        <v>0</v>
      </c>
      <c r="AJ10" s="81">
        <v>200</v>
      </c>
      <c r="AK10" s="81">
        <f>132+200</f>
        <v>332</v>
      </c>
      <c r="AL10" s="81">
        <f>AF10+AH10+AI10+AJ10+AK10</f>
        <v>989.5</v>
      </c>
      <c r="AM10" s="79">
        <f>AL10</f>
        <v>989.5</v>
      </c>
    </row>
    <row r="11" spans="1:39" x14ac:dyDescent="0.25">
      <c r="A11" s="82" t="s">
        <v>45</v>
      </c>
      <c r="B11" s="83">
        <v>2</v>
      </c>
      <c r="C11" s="84">
        <v>1</v>
      </c>
      <c r="D11" s="84">
        <v>1</v>
      </c>
      <c r="E11" s="84"/>
      <c r="F11" s="84">
        <v>2</v>
      </c>
      <c r="G11" s="84">
        <v>11</v>
      </c>
      <c r="H11" s="85">
        <f t="shared" si="0"/>
        <v>17</v>
      </c>
      <c r="I11" s="86">
        <v>15</v>
      </c>
      <c r="J11" s="86">
        <v>17</v>
      </c>
      <c r="K11" s="86">
        <v>0</v>
      </c>
      <c r="L11" s="86">
        <v>2</v>
      </c>
      <c r="M11" s="86">
        <v>21</v>
      </c>
      <c r="N11" s="86">
        <f t="shared" si="5"/>
        <v>34</v>
      </c>
      <c r="O11" s="85">
        <f t="shared" si="6"/>
        <v>55</v>
      </c>
      <c r="P11" s="86">
        <v>1</v>
      </c>
      <c r="Q11" s="86">
        <v>1</v>
      </c>
      <c r="R11" s="87">
        <f t="shared" si="7"/>
        <v>164.89999999999998</v>
      </c>
      <c r="S11" s="87">
        <f t="shared" si="8"/>
        <v>90.949999999999989</v>
      </c>
      <c r="T11" s="87">
        <f t="shared" si="9"/>
        <v>0</v>
      </c>
      <c r="U11" s="87">
        <f t="shared" si="10"/>
        <v>255.84999999999997</v>
      </c>
      <c r="V11" s="88">
        <f>U11</f>
        <v>255.84999999999997</v>
      </c>
      <c r="W11" s="89">
        <f t="shared" ref="W11:W16" si="15">P11*730+Q11*370</f>
        <v>1100</v>
      </c>
      <c r="X11" s="87">
        <f t="shared" si="1"/>
        <v>240</v>
      </c>
      <c r="Y11" s="87">
        <f t="shared" si="2"/>
        <v>75</v>
      </c>
      <c r="Z11" s="87">
        <f t="shared" si="11"/>
        <v>570.84999999999991</v>
      </c>
      <c r="AA11" s="212">
        <f>Z11</f>
        <v>570.84999999999991</v>
      </c>
      <c r="AB11" s="91">
        <f>15+2</f>
        <v>17</v>
      </c>
      <c r="AC11" s="92">
        <v>0</v>
      </c>
      <c r="AD11" s="92">
        <v>1</v>
      </c>
      <c r="AE11" s="93">
        <f t="shared" si="3"/>
        <v>127.5</v>
      </c>
      <c r="AF11" s="93">
        <f t="shared" si="4"/>
        <v>127.5</v>
      </c>
      <c r="AG11" s="88">
        <f>AF11</f>
        <v>127.5</v>
      </c>
      <c r="AH11" s="94">
        <f t="shared" si="13"/>
        <v>0</v>
      </c>
      <c r="AI11" s="94">
        <f t="shared" si="14"/>
        <v>75</v>
      </c>
      <c r="AJ11" s="94">
        <v>150</v>
      </c>
      <c r="AK11" s="94"/>
      <c r="AL11" s="94">
        <f t="shared" ref="AL11:AL62" si="16">AF11+AH11+AI11+AJ11+AK11</f>
        <v>352.5</v>
      </c>
      <c r="AM11" s="90">
        <f>AL11</f>
        <v>352.5</v>
      </c>
    </row>
    <row r="12" spans="1:39" x14ac:dyDescent="0.25">
      <c r="A12" s="76" t="s">
        <v>46</v>
      </c>
      <c r="B12" s="55">
        <v>3</v>
      </c>
      <c r="C12" s="56">
        <v>2</v>
      </c>
      <c r="D12" s="56"/>
      <c r="E12" s="56"/>
      <c r="F12" s="56">
        <v>2</v>
      </c>
      <c r="G12" s="56">
        <v>10</v>
      </c>
      <c r="H12" s="57">
        <f t="shared" si="0"/>
        <v>13</v>
      </c>
      <c r="I12" s="58">
        <v>13</v>
      </c>
      <c r="J12" s="58">
        <v>13</v>
      </c>
      <c r="K12" s="58">
        <v>0</v>
      </c>
      <c r="L12" s="58">
        <v>0</v>
      </c>
      <c r="M12" s="58">
        <v>22</v>
      </c>
      <c r="N12" s="58">
        <f t="shared" si="5"/>
        <v>26</v>
      </c>
      <c r="O12" s="57">
        <f t="shared" si="6"/>
        <v>48</v>
      </c>
      <c r="P12" s="58">
        <v>1</v>
      </c>
      <c r="Q12" s="58">
        <v>1</v>
      </c>
      <c r="R12" s="60">
        <f>H12*$R$4</f>
        <v>126.1</v>
      </c>
      <c r="S12" s="60">
        <f>J12*$S$4</f>
        <v>69.55</v>
      </c>
      <c r="T12" s="60">
        <f t="shared" si="9"/>
        <v>0</v>
      </c>
      <c r="U12" s="60">
        <f>SUM(R12:T12)</f>
        <v>195.64999999999998</v>
      </c>
      <c r="V12" s="77">
        <f>U12</f>
        <v>195.64999999999998</v>
      </c>
      <c r="W12" s="78">
        <f t="shared" si="15"/>
        <v>1100</v>
      </c>
      <c r="X12" s="60">
        <f t="shared" si="1"/>
        <v>240</v>
      </c>
      <c r="Y12" s="60">
        <f t="shared" si="2"/>
        <v>75</v>
      </c>
      <c r="Z12" s="60">
        <f t="shared" si="11"/>
        <v>510.65</v>
      </c>
      <c r="AA12" s="211">
        <f t="shared" ref="AA12:AA16" si="17">Z12</f>
        <v>510.65</v>
      </c>
      <c r="AB12" s="61">
        <f>2+8</f>
        <v>10</v>
      </c>
      <c r="AC12" s="80">
        <v>0</v>
      </c>
      <c r="AD12" s="80">
        <v>2</v>
      </c>
      <c r="AE12" s="62">
        <f t="shared" si="3"/>
        <v>75</v>
      </c>
      <c r="AF12" s="62">
        <f t="shared" si="4"/>
        <v>75</v>
      </c>
      <c r="AG12" s="77">
        <f t="shared" si="4"/>
        <v>75</v>
      </c>
      <c r="AH12" s="81">
        <f t="shared" si="13"/>
        <v>0</v>
      </c>
      <c r="AI12" s="81">
        <f t="shared" si="14"/>
        <v>150</v>
      </c>
      <c r="AJ12" s="81">
        <v>150</v>
      </c>
      <c r="AK12" s="81"/>
      <c r="AL12" s="81">
        <f t="shared" si="16"/>
        <v>375</v>
      </c>
      <c r="AM12" s="79">
        <f t="shared" ref="AM12:AM16" si="18">AL12</f>
        <v>375</v>
      </c>
    </row>
    <row r="13" spans="1:39" x14ac:dyDescent="0.25">
      <c r="A13" s="82" t="s">
        <v>47</v>
      </c>
      <c r="B13" s="83" t="s">
        <v>119</v>
      </c>
      <c r="C13" s="84">
        <v>1</v>
      </c>
      <c r="D13" s="84">
        <v>1</v>
      </c>
      <c r="E13" s="84"/>
      <c r="F13" s="84">
        <v>2</v>
      </c>
      <c r="G13" s="84">
        <v>10</v>
      </c>
      <c r="H13" s="85">
        <f t="shared" si="0"/>
        <v>11</v>
      </c>
      <c r="I13" s="86">
        <v>11</v>
      </c>
      <c r="J13" s="86">
        <v>16</v>
      </c>
      <c r="K13" s="86">
        <v>1</v>
      </c>
      <c r="L13" s="86">
        <v>0</v>
      </c>
      <c r="M13" s="86">
        <v>21</v>
      </c>
      <c r="N13" s="86">
        <f>H13+J13+K13</f>
        <v>28</v>
      </c>
      <c r="O13" s="85">
        <f t="shared" si="6"/>
        <v>49</v>
      </c>
      <c r="P13" s="86">
        <v>1</v>
      </c>
      <c r="Q13" s="86">
        <v>1</v>
      </c>
      <c r="R13" s="87">
        <f t="shared" si="7"/>
        <v>106.69999999999999</v>
      </c>
      <c r="S13" s="87">
        <f t="shared" si="8"/>
        <v>85.6</v>
      </c>
      <c r="T13" s="87">
        <f t="shared" si="9"/>
        <v>5</v>
      </c>
      <c r="U13" s="87">
        <f t="shared" si="10"/>
        <v>197.29999999999998</v>
      </c>
      <c r="V13" s="88">
        <f t="shared" ref="V13:V16" si="19">U13</f>
        <v>197.29999999999998</v>
      </c>
      <c r="W13" s="89">
        <f t="shared" si="15"/>
        <v>1100</v>
      </c>
      <c r="X13" s="87">
        <f t="shared" si="1"/>
        <v>240</v>
      </c>
      <c r="Y13" s="87">
        <f t="shared" si="2"/>
        <v>75</v>
      </c>
      <c r="Z13" s="87">
        <f t="shared" si="11"/>
        <v>512.29999999999995</v>
      </c>
      <c r="AA13" s="212">
        <f t="shared" si="17"/>
        <v>512.29999999999995</v>
      </c>
      <c r="AB13" s="91">
        <v>7</v>
      </c>
      <c r="AC13" s="92">
        <v>0</v>
      </c>
      <c r="AD13" s="92">
        <v>1</v>
      </c>
      <c r="AE13" s="93">
        <f t="shared" si="3"/>
        <v>52.5</v>
      </c>
      <c r="AF13" s="93">
        <f t="shared" si="4"/>
        <v>52.5</v>
      </c>
      <c r="AG13" s="88">
        <f t="shared" si="4"/>
        <v>52.5</v>
      </c>
      <c r="AH13" s="94">
        <f t="shared" si="13"/>
        <v>0</v>
      </c>
      <c r="AI13" s="94">
        <f t="shared" si="14"/>
        <v>75</v>
      </c>
      <c r="AJ13" s="94">
        <v>250</v>
      </c>
      <c r="AK13" s="94"/>
      <c r="AL13" s="94">
        <f t="shared" si="16"/>
        <v>377.5</v>
      </c>
      <c r="AM13" s="90">
        <f t="shared" si="18"/>
        <v>377.5</v>
      </c>
    </row>
    <row r="14" spans="1:39" x14ac:dyDescent="0.25">
      <c r="A14" s="76" t="s">
        <v>43</v>
      </c>
      <c r="B14" s="55">
        <v>4</v>
      </c>
      <c r="C14" s="56">
        <v>1</v>
      </c>
      <c r="D14" s="56">
        <v>1</v>
      </c>
      <c r="E14" s="56"/>
      <c r="F14" s="56">
        <v>1</v>
      </c>
      <c r="G14" s="56">
        <v>8</v>
      </c>
      <c r="H14" s="57">
        <f t="shared" si="0"/>
        <v>13</v>
      </c>
      <c r="I14" s="58">
        <v>13</v>
      </c>
      <c r="J14" s="58">
        <v>18</v>
      </c>
      <c r="K14" s="58">
        <v>2</v>
      </c>
      <c r="L14" s="58">
        <v>0</v>
      </c>
      <c r="M14" s="58">
        <v>25</v>
      </c>
      <c r="N14" s="58">
        <f t="shared" si="5"/>
        <v>33</v>
      </c>
      <c r="O14" s="57">
        <f t="shared" si="6"/>
        <v>58</v>
      </c>
      <c r="P14" s="58">
        <v>1</v>
      </c>
      <c r="Q14" s="58">
        <v>1</v>
      </c>
      <c r="R14" s="60">
        <f t="shared" si="7"/>
        <v>126.1</v>
      </c>
      <c r="S14" s="60">
        <f t="shared" si="8"/>
        <v>96.3</v>
      </c>
      <c r="T14" s="60">
        <f t="shared" si="9"/>
        <v>10</v>
      </c>
      <c r="U14" s="60">
        <f t="shared" si="10"/>
        <v>232.39999999999998</v>
      </c>
      <c r="V14" s="77">
        <f t="shared" si="19"/>
        <v>232.39999999999998</v>
      </c>
      <c r="W14" s="78">
        <f t="shared" si="15"/>
        <v>1100</v>
      </c>
      <c r="X14" s="60">
        <f t="shared" si="1"/>
        <v>240</v>
      </c>
      <c r="Y14" s="60">
        <f t="shared" si="2"/>
        <v>75</v>
      </c>
      <c r="Z14" s="60">
        <f t="shared" si="11"/>
        <v>547.4</v>
      </c>
      <c r="AA14" s="211">
        <f t="shared" si="17"/>
        <v>547.4</v>
      </c>
      <c r="AB14" s="61">
        <v>6</v>
      </c>
      <c r="AC14" s="80">
        <v>0</v>
      </c>
      <c r="AD14" s="80">
        <v>1</v>
      </c>
      <c r="AE14" s="62">
        <f t="shared" si="3"/>
        <v>45</v>
      </c>
      <c r="AF14" s="62">
        <f t="shared" si="4"/>
        <v>45</v>
      </c>
      <c r="AG14" s="77">
        <f t="shared" si="4"/>
        <v>45</v>
      </c>
      <c r="AH14" s="81">
        <f t="shared" si="13"/>
        <v>0</v>
      </c>
      <c r="AI14" s="81">
        <f t="shared" si="14"/>
        <v>75</v>
      </c>
      <c r="AJ14" s="81">
        <v>400</v>
      </c>
      <c r="AK14" s="81">
        <f>98+200</f>
        <v>298</v>
      </c>
      <c r="AL14" s="81">
        <f t="shared" si="16"/>
        <v>818</v>
      </c>
      <c r="AM14" s="79">
        <f t="shared" si="18"/>
        <v>818</v>
      </c>
    </row>
    <row r="15" spans="1:39" s="106" customFormat="1" x14ac:dyDescent="0.25">
      <c r="A15" s="95" t="s">
        <v>48</v>
      </c>
      <c r="B15" s="96" t="s">
        <v>120</v>
      </c>
      <c r="C15" s="97">
        <v>1</v>
      </c>
      <c r="D15" s="97">
        <v>1</v>
      </c>
      <c r="E15" s="97"/>
      <c r="F15" s="97">
        <v>1</v>
      </c>
      <c r="G15" s="97">
        <v>11</v>
      </c>
      <c r="H15" s="98">
        <f t="shared" si="0"/>
        <v>15</v>
      </c>
      <c r="I15" s="99">
        <v>15</v>
      </c>
      <c r="J15" s="99">
        <v>14</v>
      </c>
      <c r="K15" s="99">
        <v>2</v>
      </c>
      <c r="L15" s="99">
        <v>0</v>
      </c>
      <c r="M15" s="99">
        <v>32</v>
      </c>
      <c r="N15" s="99">
        <f t="shared" si="5"/>
        <v>31</v>
      </c>
      <c r="O15" s="98">
        <f t="shared" si="6"/>
        <v>63</v>
      </c>
      <c r="P15" s="99">
        <v>1</v>
      </c>
      <c r="Q15" s="99">
        <v>1</v>
      </c>
      <c r="R15" s="100">
        <f t="shared" si="7"/>
        <v>145.5</v>
      </c>
      <c r="S15" s="100">
        <f t="shared" si="8"/>
        <v>74.899999999999991</v>
      </c>
      <c r="T15" s="100">
        <f t="shared" si="9"/>
        <v>10</v>
      </c>
      <c r="U15" s="100">
        <f t="shared" si="10"/>
        <v>230.39999999999998</v>
      </c>
      <c r="V15" s="88">
        <f t="shared" si="19"/>
        <v>230.39999999999998</v>
      </c>
      <c r="W15" s="101">
        <f t="shared" si="15"/>
        <v>1100</v>
      </c>
      <c r="X15" s="100">
        <f t="shared" si="1"/>
        <v>240</v>
      </c>
      <c r="Y15" s="100">
        <f t="shared" si="2"/>
        <v>75</v>
      </c>
      <c r="Z15" s="100">
        <f t="shared" si="11"/>
        <v>545.4</v>
      </c>
      <c r="AA15" s="213">
        <f t="shared" si="17"/>
        <v>545.4</v>
      </c>
      <c r="AB15" s="102">
        <v>15</v>
      </c>
      <c r="AC15" s="103">
        <v>0</v>
      </c>
      <c r="AD15" s="103">
        <v>1</v>
      </c>
      <c r="AE15" s="104">
        <f t="shared" si="3"/>
        <v>112.5</v>
      </c>
      <c r="AF15" s="104">
        <f t="shared" si="4"/>
        <v>112.5</v>
      </c>
      <c r="AG15" s="88">
        <f t="shared" si="4"/>
        <v>112.5</v>
      </c>
      <c r="AH15" s="105">
        <f t="shared" si="13"/>
        <v>0</v>
      </c>
      <c r="AI15" s="105">
        <f t="shared" si="14"/>
        <v>75</v>
      </c>
      <c r="AJ15" s="105">
        <v>300</v>
      </c>
      <c r="AK15" s="105"/>
      <c r="AL15" s="94">
        <f t="shared" si="16"/>
        <v>487.5</v>
      </c>
      <c r="AM15" s="90">
        <f t="shared" si="18"/>
        <v>487.5</v>
      </c>
    </row>
    <row r="16" spans="1:39" s="106" customFormat="1" x14ac:dyDescent="0.25">
      <c r="A16" s="107" t="s">
        <v>49</v>
      </c>
      <c r="B16" s="108" t="s">
        <v>121</v>
      </c>
      <c r="C16" s="109">
        <v>4</v>
      </c>
      <c r="D16" s="109"/>
      <c r="E16" s="109"/>
      <c r="F16" s="109">
        <v>1</v>
      </c>
      <c r="G16" s="109">
        <v>11</v>
      </c>
      <c r="H16" s="110">
        <f>I16+L16</f>
        <v>16</v>
      </c>
      <c r="I16" s="111">
        <v>13</v>
      </c>
      <c r="J16" s="111">
        <v>59</v>
      </c>
      <c r="K16" s="111">
        <v>2</v>
      </c>
      <c r="L16" s="111">
        <v>3</v>
      </c>
      <c r="M16" s="111">
        <v>83</v>
      </c>
      <c r="N16" s="111">
        <f t="shared" si="5"/>
        <v>77</v>
      </c>
      <c r="O16" s="110">
        <f t="shared" si="6"/>
        <v>160</v>
      </c>
      <c r="P16" s="111">
        <v>4</v>
      </c>
      <c r="Q16" s="111">
        <v>0</v>
      </c>
      <c r="R16" s="112">
        <f t="shared" si="7"/>
        <v>155.19999999999999</v>
      </c>
      <c r="S16" s="112">
        <f t="shared" si="8"/>
        <v>315.64999999999998</v>
      </c>
      <c r="T16" s="112">
        <f t="shared" si="9"/>
        <v>10</v>
      </c>
      <c r="U16" s="109">
        <f t="shared" si="10"/>
        <v>480.84999999999997</v>
      </c>
      <c r="V16" s="113">
        <f t="shared" si="19"/>
        <v>480.84999999999997</v>
      </c>
      <c r="W16" s="114">
        <f t="shared" si="15"/>
        <v>2920</v>
      </c>
      <c r="X16" s="112">
        <f t="shared" si="1"/>
        <v>960</v>
      </c>
      <c r="Y16" s="112">
        <f t="shared" si="2"/>
        <v>0</v>
      </c>
      <c r="Z16" s="112">
        <f t="shared" si="11"/>
        <v>1440.85</v>
      </c>
      <c r="AA16" s="214">
        <f t="shared" si="17"/>
        <v>1440.85</v>
      </c>
      <c r="AB16" s="115">
        <v>13</v>
      </c>
      <c r="AC16" s="116">
        <v>0</v>
      </c>
      <c r="AD16" s="116">
        <v>1</v>
      </c>
      <c r="AE16" s="117">
        <f t="shared" si="3"/>
        <v>97.5</v>
      </c>
      <c r="AF16" s="117">
        <f t="shared" si="4"/>
        <v>97.5</v>
      </c>
      <c r="AG16" s="77">
        <f t="shared" si="4"/>
        <v>97.5</v>
      </c>
      <c r="AH16" s="118">
        <f t="shared" si="13"/>
        <v>0</v>
      </c>
      <c r="AI16" s="118">
        <f t="shared" si="14"/>
        <v>75</v>
      </c>
      <c r="AJ16" s="118">
        <v>250</v>
      </c>
      <c r="AK16" s="118"/>
      <c r="AL16" s="81">
        <f t="shared" si="16"/>
        <v>422.5</v>
      </c>
      <c r="AM16" s="79">
        <f t="shared" si="18"/>
        <v>422.5</v>
      </c>
    </row>
    <row r="17" spans="1:39" x14ac:dyDescent="0.25">
      <c r="A17" s="349" t="s">
        <v>50</v>
      </c>
      <c r="B17" s="83">
        <v>5</v>
      </c>
      <c r="C17" s="84">
        <v>2</v>
      </c>
      <c r="D17" s="84"/>
      <c r="E17" s="84"/>
      <c r="F17" s="84">
        <v>1</v>
      </c>
      <c r="G17" s="84">
        <v>31</v>
      </c>
      <c r="H17" s="85">
        <f t="shared" ref="H17:H62" si="20">I17+L17</f>
        <v>30</v>
      </c>
      <c r="I17" s="119">
        <f t="shared" ref="I17:I18" si="21">5+25</f>
        <v>30</v>
      </c>
      <c r="J17" s="119">
        <f>25+1+1</f>
        <v>27</v>
      </c>
      <c r="K17" s="119">
        <v>5</v>
      </c>
      <c r="L17" s="119">
        <v>0</v>
      </c>
      <c r="M17" s="119">
        <v>0</v>
      </c>
      <c r="N17" s="119">
        <f t="shared" ref="N17:N58" si="22">H17+K17</f>
        <v>35</v>
      </c>
      <c r="O17" s="120">
        <f>N17+M17</f>
        <v>35</v>
      </c>
      <c r="P17" s="119">
        <v>2</v>
      </c>
      <c r="Q17" s="119">
        <v>0</v>
      </c>
      <c r="R17" s="121">
        <f t="shared" ref="R17:R62" si="23">H17*9.7</f>
        <v>291</v>
      </c>
      <c r="S17" s="121">
        <f t="shared" ref="S17:S62" si="24">J17*5.35</f>
        <v>144.44999999999999</v>
      </c>
      <c r="T17" s="121">
        <f t="shared" si="9"/>
        <v>25</v>
      </c>
      <c r="U17" s="121">
        <f t="shared" ref="U17:U62" si="25">R17+S17+T17</f>
        <v>460.45</v>
      </c>
      <c r="V17" s="351">
        <f>U17+U18</f>
        <v>926.25</v>
      </c>
      <c r="W17" s="321">
        <f>SUM(P17:P18)*730+SUM(Q17:Q18)*370</f>
        <v>1460</v>
      </c>
      <c r="X17" s="121">
        <f t="shared" si="1"/>
        <v>480</v>
      </c>
      <c r="Y17" s="121">
        <f t="shared" si="2"/>
        <v>0</v>
      </c>
      <c r="Z17" s="121">
        <f t="shared" si="11"/>
        <v>940.45</v>
      </c>
      <c r="AA17" s="222">
        <f>SUM(Z17:Z18)</f>
        <v>1406.25</v>
      </c>
      <c r="AB17" s="122">
        <v>6</v>
      </c>
      <c r="AC17" s="120">
        <v>0</v>
      </c>
      <c r="AD17" s="120">
        <v>1</v>
      </c>
      <c r="AE17" s="123">
        <f t="shared" ref="AE17:AE62" si="26">AB17*$AE$4</f>
        <v>45</v>
      </c>
      <c r="AF17" s="123">
        <f t="shared" si="4"/>
        <v>45</v>
      </c>
      <c r="AG17" s="353">
        <f>AF17+AF18</f>
        <v>90</v>
      </c>
      <c r="AH17" s="124">
        <f t="shared" si="13"/>
        <v>0</v>
      </c>
      <c r="AI17" s="124">
        <f t="shared" si="14"/>
        <v>75</v>
      </c>
      <c r="AJ17" s="124">
        <v>150</v>
      </c>
      <c r="AK17" s="124"/>
      <c r="AL17" s="94">
        <f t="shared" si="16"/>
        <v>270</v>
      </c>
      <c r="AM17" s="241">
        <f>AL17+AL18</f>
        <v>315</v>
      </c>
    </row>
    <row r="18" spans="1:39" x14ac:dyDescent="0.25">
      <c r="A18" s="350"/>
      <c r="B18" s="83">
        <v>6</v>
      </c>
      <c r="C18" s="125"/>
      <c r="D18" s="84"/>
      <c r="E18" s="84"/>
      <c r="F18" s="125"/>
      <c r="G18" s="84">
        <v>31</v>
      </c>
      <c r="H18" s="85">
        <f t="shared" si="20"/>
        <v>30</v>
      </c>
      <c r="I18" s="119">
        <f t="shared" si="21"/>
        <v>30</v>
      </c>
      <c r="J18" s="119">
        <f>25+1+2</f>
        <v>28</v>
      </c>
      <c r="K18" s="119">
        <v>5</v>
      </c>
      <c r="L18" s="119">
        <v>0</v>
      </c>
      <c r="M18" s="119">
        <v>0</v>
      </c>
      <c r="N18" s="119">
        <f t="shared" si="22"/>
        <v>35</v>
      </c>
      <c r="O18" s="120">
        <f t="shared" si="6"/>
        <v>35</v>
      </c>
      <c r="P18" s="126"/>
      <c r="Q18" s="126"/>
      <c r="R18" s="121">
        <f t="shared" si="23"/>
        <v>291</v>
      </c>
      <c r="S18" s="121">
        <f t="shared" si="24"/>
        <v>149.79999999999998</v>
      </c>
      <c r="T18" s="121">
        <f t="shared" si="9"/>
        <v>25</v>
      </c>
      <c r="U18" s="121">
        <f t="shared" si="25"/>
        <v>465.79999999999995</v>
      </c>
      <c r="V18" s="352"/>
      <c r="W18" s="322"/>
      <c r="X18" s="121">
        <f t="shared" si="1"/>
        <v>0</v>
      </c>
      <c r="Y18" s="121">
        <f t="shared" si="2"/>
        <v>0</v>
      </c>
      <c r="Z18" s="121">
        <f t="shared" si="11"/>
        <v>465.79999999999995</v>
      </c>
      <c r="AA18" s="223"/>
      <c r="AB18" s="122">
        <v>6</v>
      </c>
      <c r="AC18" s="120"/>
      <c r="AD18" s="120"/>
      <c r="AE18" s="123">
        <f t="shared" si="26"/>
        <v>45</v>
      </c>
      <c r="AF18" s="123">
        <f t="shared" si="4"/>
        <v>45</v>
      </c>
      <c r="AG18" s="354"/>
      <c r="AH18" s="124">
        <f t="shared" si="13"/>
        <v>0</v>
      </c>
      <c r="AI18" s="124">
        <f t="shared" si="14"/>
        <v>0</v>
      </c>
      <c r="AJ18" s="124"/>
      <c r="AK18" s="124"/>
      <c r="AL18" s="94">
        <f t="shared" si="16"/>
        <v>45</v>
      </c>
      <c r="AM18" s="242"/>
    </row>
    <row r="19" spans="1:39" s="137" customFormat="1" x14ac:dyDescent="0.25">
      <c r="A19" s="341" t="s">
        <v>51</v>
      </c>
      <c r="B19" s="127">
        <v>7</v>
      </c>
      <c r="C19" s="128">
        <v>2</v>
      </c>
      <c r="D19" s="128"/>
      <c r="E19" s="128"/>
      <c r="F19" s="128">
        <v>1</v>
      </c>
      <c r="G19" s="128">
        <v>31</v>
      </c>
      <c r="H19" s="129">
        <f>I19+L19</f>
        <v>31</v>
      </c>
      <c r="I19" s="130">
        <f>5+26</f>
        <v>31</v>
      </c>
      <c r="J19" s="131">
        <f t="shared" ref="J19:J28" si="27">25+2</f>
        <v>27</v>
      </c>
      <c r="K19" s="130">
        <v>5</v>
      </c>
      <c r="L19" s="130">
        <v>0</v>
      </c>
      <c r="M19" s="130">
        <v>0</v>
      </c>
      <c r="N19" s="131">
        <f t="shared" si="22"/>
        <v>36</v>
      </c>
      <c r="O19" s="132">
        <f t="shared" si="6"/>
        <v>36</v>
      </c>
      <c r="P19" s="131">
        <v>2</v>
      </c>
      <c r="Q19" s="131">
        <v>0</v>
      </c>
      <c r="R19" s="133">
        <f t="shared" si="23"/>
        <v>300.7</v>
      </c>
      <c r="S19" s="133">
        <f t="shared" si="24"/>
        <v>144.44999999999999</v>
      </c>
      <c r="T19" s="133">
        <f t="shared" si="9"/>
        <v>25</v>
      </c>
      <c r="U19" s="133">
        <f t="shared" si="25"/>
        <v>470.15</v>
      </c>
      <c r="V19" s="343">
        <f>U19+U20</f>
        <v>940.3</v>
      </c>
      <c r="W19" s="345">
        <f>SUM(P19:P20)*730+SUM(Q19:Q20)*370</f>
        <v>1460</v>
      </c>
      <c r="X19" s="133">
        <f t="shared" si="1"/>
        <v>480</v>
      </c>
      <c r="Y19" s="133">
        <f t="shared" si="2"/>
        <v>0</v>
      </c>
      <c r="Z19" s="133">
        <f t="shared" si="11"/>
        <v>950.15</v>
      </c>
      <c r="AA19" s="224">
        <f>Z19+Z20</f>
        <v>1420.3</v>
      </c>
      <c r="AB19" s="134">
        <v>6</v>
      </c>
      <c r="AC19" s="132">
        <v>0</v>
      </c>
      <c r="AD19" s="132">
        <v>1</v>
      </c>
      <c r="AE19" s="135">
        <f t="shared" si="26"/>
        <v>45</v>
      </c>
      <c r="AF19" s="135">
        <f t="shared" si="4"/>
        <v>45</v>
      </c>
      <c r="AG19" s="347">
        <f>AF19+AF20</f>
        <v>90</v>
      </c>
      <c r="AH19" s="136">
        <f t="shared" si="13"/>
        <v>0</v>
      </c>
      <c r="AI19" s="136">
        <f t="shared" si="14"/>
        <v>75</v>
      </c>
      <c r="AJ19" s="136">
        <v>0</v>
      </c>
      <c r="AK19" s="136">
        <f>71+100</f>
        <v>171</v>
      </c>
      <c r="AL19" s="81">
        <f t="shared" si="16"/>
        <v>291</v>
      </c>
      <c r="AM19" s="243">
        <f>AL19+AL20</f>
        <v>336</v>
      </c>
    </row>
    <row r="20" spans="1:39" s="137" customFormat="1" x14ac:dyDescent="0.25">
      <c r="A20" s="342"/>
      <c r="B20" s="127">
        <v>8</v>
      </c>
      <c r="C20" s="128"/>
      <c r="D20" s="128"/>
      <c r="E20" s="128"/>
      <c r="F20" s="128"/>
      <c r="G20" s="128">
        <v>31</v>
      </c>
      <c r="H20" s="129">
        <f>I20+L20</f>
        <v>31</v>
      </c>
      <c r="I20" s="130">
        <f t="shared" ref="I20:I35" si="28">5+26</f>
        <v>31</v>
      </c>
      <c r="J20" s="131">
        <f t="shared" si="27"/>
        <v>27</v>
      </c>
      <c r="K20" s="130">
        <v>5</v>
      </c>
      <c r="L20" s="130">
        <v>0</v>
      </c>
      <c r="M20" s="130">
        <v>0</v>
      </c>
      <c r="N20" s="131">
        <f t="shared" si="22"/>
        <v>36</v>
      </c>
      <c r="O20" s="132">
        <f t="shared" si="6"/>
        <v>36</v>
      </c>
      <c r="P20" s="131"/>
      <c r="Q20" s="131"/>
      <c r="R20" s="133">
        <f t="shared" si="23"/>
        <v>300.7</v>
      </c>
      <c r="S20" s="133">
        <f t="shared" si="24"/>
        <v>144.44999999999999</v>
      </c>
      <c r="T20" s="133">
        <f t="shared" si="9"/>
        <v>25</v>
      </c>
      <c r="U20" s="133">
        <f t="shared" si="25"/>
        <v>470.15</v>
      </c>
      <c r="V20" s="344"/>
      <c r="W20" s="346"/>
      <c r="X20" s="133">
        <f t="shared" si="1"/>
        <v>0</v>
      </c>
      <c r="Y20" s="133">
        <f t="shared" si="2"/>
        <v>0</v>
      </c>
      <c r="Z20" s="133">
        <f t="shared" si="11"/>
        <v>470.15</v>
      </c>
      <c r="AA20" s="225"/>
      <c r="AB20" s="134">
        <v>6</v>
      </c>
      <c r="AC20" s="132"/>
      <c r="AD20" s="132"/>
      <c r="AE20" s="135">
        <f t="shared" si="26"/>
        <v>45</v>
      </c>
      <c r="AF20" s="135">
        <f t="shared" si="4"/>
        <v>45</v>
      </c>
      <c r="AG20" s="348"/>
      <c r="AH20" s="136">
        <f t="shared" si="13"/>
        <v>0</v>
      </c>
      <c r="AI20" s="136">
        <f t="shared" si="14"/>
        <v>0</v>
      </c>
      <c r="AJ20" s="136"/>
      <c r="AK20" s="136"/>
      <c r="AL20" s="81">
        <f t="shared" si="16"/>
        <v>45</v>
      </c>
      <c r="AM20" s="244"/>
    </row>
    <row r="21" spans="1:39" x14ac:dyDescent="0.25">
      <c r="A21" s="349" t="s">
        <v>52</v>
      </c>
      <c r="B21" s="83">
        <v>9</v>
      </c>
      <c r="C21" s="84">
        <v>2</v>
      </c>
      <c r="D21" s="84"/>
      <c r="E21" s="84"/>
      <c r="F21" s="84">
        <v>1</v>
      </c>
      <c r="G21" s="84">
        <v>31</v>
      </c>
      <c r="H21" s="85">
        <f t="shared" si="20"/>
        <v>31</v>
      </c>
      <c r="I21" s="189">
        <f t="shared" si="28"/>
        <v>31</v>
      </c>
      <c r="J21" s="119">
        <f t="shared" si="27"/>
        <v>27</v>
      </c>
      <c r="K21" s="119">
        <v>5</v>
      </c>
      <c r="L21" s="119">
        <v>0</v>
      </c>
      <c r="M21" s="119">
        <v>0</v>
      </c>
      <c r="N21" s="119">
        <f t="shared" si="22"/>
        <v>36</v>
      </c>
      <c r="O21" s="120">
        <f t="shared" si="6"/>
        <v>36</v>
      </c>
      <c r="P21" s="119">
        <v>2</v>
      </c>
      <c r="Q21" s="119">
        <v>0</v>
      </c>
      <c r="R21" s="121">
        <f t="shared" si="23"/>
        <v>300.7</v>
      </c>
      <c r="S21" s="121">
        <f t="shared" si="24"/>
        <v>144.44999999999999</v>
      </c>
      <c r="T21" s="121">
        <f t="shared" si="9"/>
        <v>25</v>
      </c>
      <c r="U21" s="121">
        <f t="shared" si="25"/>
        <v>470.15</v>
      </c>
      <c r="V21" s="351">
        <f>U21+U22</f>
        <v>940.3</v>
      </c>
      <c r="W21" s="321">
        <f>SUM(P21:P22)*730+SUM(Q21:Q22)*370</f>
        <v>1460</v>
      </c>
      <c r="X21" s="121">
        <f t="shared" si="1"/>
        <v>480</v>
      </c>
      <c r="Y21" s="121">
        <f t="shared" si="2"/>
        <v>0</v>
      </c>
      <c r="Z21" s="126">
        <f t="shared" si="11"/>
        <v>950.15</v>
      </c>
      <c r="AA21" s="226">
        <f>Z21+Z22</f>
        <v>1420.3</v>
      </c>
      <c r="AB21" s="122">
        <v>6</v>
      </c>
      <c r="AC21" s="120">
        <v>0</v>
      </c>
      <c r="AD21" s="120">
        <v>1</v>
      </c>
      <c r="AE21" s="123">
        <f t="shared" si="26"/>
        <v>45</v>
      </c>
      <c r="AF21" s="123">
        <f t="shared" si="4"/>
        <v>45</v>
      </c>
      <c r="AG21" s="353">
        <f>AF21+AF22</f>
        <v>90</v>
      </c>
      <c r="AH21" s="124">
        <f t="shared" si="13"/>
        <v>0</v>
      </c>
      <c r="AI21" s="124">
        <f t="shared" si="14"/>
        <v>75</v>
      </c>
      <c r="AJ21" s="124">
        <v>150</v>
      </c>
      <c r="AK21" s="124"/>
      <c r="AL21" s="94">
        <f t="shared" si="16"/>
        <v>270</v>
      </c>
      <c r="AM21" s="241">
        <f>AL21+AL22</f>
        <v>315</v>
      </c>
    </row>
    <row r="22" spans="1:39" x14ac:dyDescent="0.25">
      <c r="A22" s="350"/>
      <c r="B22" s="83">
        <v>10</v>
      </c>
      <c r="C22" s="84"/>
      <c r="D22" s="84"/>
      <c r="E22" s="84"/>
      <c r="F22" s="84"/>
      <c r="G22" s="84">
        <v>31</v>
      </c>
      <c r="H22" s="85">
        <f t="shared" si="20"/>
        <v>31</v>
      </c>
      <c r="I22" s="189">
        <f t="shared" si="28"/>
        <v>31</v>
      </c>
      <c r="J22" s="119">
        <f t="shared" si="27"/>
        <v>27</v>
      </c>
      <c r="K22" s="119">
        <v>5</v>
      </c>
      <c r="L22" s="119">
        <v>0</v>
      </c>
      <c r="M22" s="119">
        <v>0</v>
      </c>
      <c r="N22" s="119">
        <f t="shared" si="22"/>
        <v>36</v>
      </c>
      <c r="O22" s="120">
        <f t="shared" si="6"/>
        <v>36</v>
      </c>
      <c r="P22" s="119"/>
      <c r="Q22" s="119"/>
      <c r="R22" s="121">
        <f t="shared" si="23"/>
        <v>300.7</v>
      </c>
      <c r="S22" s="121">
        <f t="shared" si="24"/>
        <v>144.44999999999999</v>
      </c>
      <c r="T22" s="121">
        <f t="shared" si="9"/>
        <v>25</v>
      </c>
      <c r="U22" s="121">
        <f t="shared" si="25"/>
        <v>470.15</v>
      </c>
      <c r="V22" s="352"/>
      <c r="W22" s="322"/>
      <c r="X22" s="121">
        <f t="shared" si="1"/>
        <v>0</v>
      </c>
      <c r="Y22" s="121">
        <f t="shared" si="2"/>
        <v>0</v>
      </c>
      <c r="Z22" s="126">
        <f t="shared" si="11"/>
        <v>470.15</v>
      </c>
      <c r="AA22" s="227"/>
      <c r="AB22" s="122">
        <v>6</v>
      </c>
      <c r="AC22" s="120"/>
      <c r="AD22" s="120"/>
      <c r="AE22" s="123">
        <f t="shared" si="26"/>
        <v>45</v>
      </c>
      <c r="AF22" s="123">
        <f t="shared" si="4"/>
        <v>45</v>
      </c>
      <c r="AG22" s="354"/>
      <c r="AH22" s="124">
        <f t="shared" si="13"/>
        <v>0</v>
      </c>
      <c r="AI22" s="124">
        <f t="shared" si="14"/>
        <v>0</v>
      </c>
      <c r="AJ22" s="124"/>
      <c r="AK22" s="124"/>
      <c r="AL22" s="94">
        <f t="shared" si="16"/>
        <v>45</v>
      </c>
      <c r="AM22" s="242"/>
    </row>
    <row r="23" spans="1:39" s="137" customFormat="1" x14ac:dyDescent="0.25">
      <c r="A23" s="341" t="s">
        <v>53</v>
      </c>
      <c r="B23" s="127">
        <v>11</v>
      </c>
      <c r="C23" s="128">
        <v>2</v>
      </c>
      <c r="D23" s="128"/>
      <c r="E23" s="128"/>
      <c r="F23" s="128">
        <v>1</v>
      </c>
      <c r="G23" s="128">
        <v>31</v>
      </c>
      <c r="H23" s="129">
        <f>I23+L23</f>
        <v>31</v>
      </c>
      <c r="I23" s="130">
        <f t="shared" si="28"/>
        <v>31</v>
      </c>
      <c r="J23" s="131">
        <f t="shared" si="27"/>
        <v>27</v>
      </c>
      <c r="K23" s="130">
        <v>5</v>
      </c>
      <c r="L23" s="130">
        <v>0</v>
      </c>
      <c r="M23" s="130">
        <v>0</v>
      </c>
      <c r="N23" s="131">
        <f t="shared" si="22"/>
        <v>36</v>
      </c>
      <c r="O23" s="132">
        <f t="shared" si="6"/>
        <v>36</v>
      </c>
      <c r="P23" s="131">
        <v>2</v>
      </c>
      <c r="Q23" s="131">
        <v>0</v>
      </c>
      <c r="R23" s="133">
        <f t="shared" si="23"/>
        <v>300.7</v>
      </c>
      <c r="S23" s="133">
        <f t="shared" si="24"/>
        <v>144.44999999999999</v>
      </c>
      <c r="T23" s="133">
        <f t="shared" si="9"/>
        <v>25</v>
      </c>
      <c r="U23" s="133">
        <f t="shared" si="25"/>
        <v>470.15</v>
      </c>
      <c r="V23" s="343">
        <f>U23+U24</f>
        <v>940.3</v>
      </c>
      <c r="W23" s="345">
        <f>SUM(P23:P24)*730+SUM(Q23:Q24)*370</f>
        <v>1460</v>
      </c>
      <c r="X23" s="133">
        <f t="shared" si="1"/>
        <v>480</v>
      </c>
      <c r="Y23" s="133">
        <f t="shared" si="2"/>
        <v>0</v>
      </c>
      <c r="Z23" s="138">
        <f t="shared" si="11"/>
        <v>950.15</v>
      </c>
      <c r="AA23" s="224">
        <f>Z23+Z24</f>
        <v>1420.3</v>
      </c>
      <c r="AB23" s="134">
        <v>6</v>
      </c>
      <c r="AC23" s="132">
        <v>0</v>
      </c>
      <c r="AD23" s="132">
        <v>1</v>
      </c>
      <c r="AE23" s="135">
        <f t="shared" si="26"/>
        <v>45</v>
      </c>
      <c r="AF23" s="135">
        <f t="shared" si="4"/>
        <v>45</v>
      </c>
      <c r="AG23" s="347">
        <f>AF23+AF24</f>
        <v>90</v>
      </c>
      <c r="AH23" s="136">
        <f t="shared" si="13"/>
        <v>0</v>
      </c>
      <c r="AI23" s="136">
        <f t="shared" si="14"/>
        <v>75</v>
      </c>
      <c r="AJ23" s="136">
        <v>150</v>
      </c>
      <c r="AK23" s="136"/>
      <c r="AL23" s="81">
        <f t="shared" si="16"/>
        <v>270</v>
      </c>
      <c r="AM23" s="243">
        <f>AL23+AL24</f>
        <v>315</v>
      </c>
    </row>
    <row r="24" spans="1:39" s="137" customFormat="1" x14ac:dyDescent="0.25">
      <c r="A24" s="342"/>
      <c r="B24" s="127">
        <v>12</v>
      </c>
      <c r="C24" s="128"/>
      <c r="D24" s="128"/>
      <c r="E24" s="128"/>
      <c r="F24" s="128"/>
      <c r="G24" s="128">
        <v>31</v>
      </c>
      <c r="H24" s="129">
        <f>I24+L24</f>
        <v>31</v>
      </c>
      <c r="I24" s="130">
        <f t="shared" si="28"/>
        <v>31</v>
      </c>
      <c r="J24" s="131">
        <f t="shared" si="27"/>
        <v>27</v>
      </c>
      <c r="K24" s="130">
        <v>5</v>
      </c>
      <c r="L24" s="130">
        <v>0</v>
      </c>
      <c r="M24" s="130">
        <v>0</v>
      </c>
      <c r="N24" s="131">
        <f t="shared" si="22"/>
        <v>36</v>
      </c>
      <c r="O24" s="132">
        <f t="shared" si="6"/>
        <v>36</v>
      </c>
      <c r="P24" s="131"/>
      <c r="Q24" s="131"/>
      <c r="R24" s="133">
        <f t="shared" si="23"/>
        <v>300.7</v>
      </c>
      <c r="S24" s="133">
        <f t="shared" si="24"/>
        <v>144.44999999999999</v>
      </c>
      <c r="T24" s="133">
        <f t="shared" si="9"/>
        <v>25</v>
      </c>
      <c r="U24" s="133">
        <f t="shared" si="25"/>
        <v>470.15</v>
      </c>
      <c r="V24" s="344"/>
      <c r="W24" s="346"/>
      <c r="X24" s="133">
        <f t="shared" si="1"/>
        <v>0</v>
      </c>
      <c r="Y24" s="133">
        <f t="shared" si="2"/>
        <v>0</v>
      </c>
      <c r="Z24" s="138">
        <f t="shared" si="11"/>
        <v>470.15</v>
      </c>
      <c r="AA24" s="225"/>
      <c r="AB24" s="134">
        <v>6</v>
      </c>
      <c r="AC24" s="132"/>
      <c r="AD24" s="132"/>
      <c r="AE24" s="135">
        <f t="shared" si="26"/>
        <v>45</v>
      </c>
      <c r="AF24" s="135">
        <f t="shared" si="4"/>
        <v>45</v>
      </c>
      <c r="AG24" s="348"/>
      <c r="AH24" s="136">
        <f t="shared" si="13"/>
        <v>0</v>
      </c>
      <c r="AI24" s="136">
        <f t="shared" si="14"/>
        <v>0</v>
      </c>
      <c r="AJ24" s="136"/>
      <c r="AK24" s="136"/>
      <c r="AL24" s="81">
        <f t="shared" si="16"/>
        <v>45</v>
      </c>
      <c r="AM24" s="244"/>
    </row>
    <row r="25" spans="1:39" x14ac:dyDescent="0.25">
      <c r="A25" s="349" t="s">
        <v>54</v>
      </c>
      <c r="B25" s="83">
        <v>13</v>
      </c>
      <c r="C25" s="84">
        <v>2</v>
      </c>
      <c r="D25" s="84"/>
      <c r="E25" s="84"/>
      <c r="F25" s="84">
        <v>1</v>
      </c>
      <c r="G25" s="84">
        <v>31</v>
      </c>
      <c r="H25" s="85">
        <f t="shared" ref="H25:H26" si="29">I25+L25</f>
        <v>31</v>
      </c>
      <c r="I25" s="189">
        <f t="shared" si="28"/>
        <v>31</v>
      </c>
      <c r="J25" s="119">
        <f t="shared" si="27"/>
        <v>27</v>
      </c>
      <c r="K25" s="119">
        <v>5</v>
      </c>
      <c r="L25" s="119">
        <v>0</v>
      </c>
      <c r="M25" s="119">
        <v>0</v>
      </c>
      <c r="N25" s="119">
        <f t="shared" si="22"/>
        <v>36</v>
      </c>
      <c r="O25" s="120">
        <f t="shared" si="6"/>
        <v>36</v>
      </c>
      <c r="P25" s="119">
        <v>2</v>
      </c>
      <c r="Q25" s="119">
        <v>0</v>
      </c>
      <c r="R25" s="121">
        <f t="shared" si="23"/>
        <v>300.7</v>
      </c>
      <c r="S25" s="121">
        <f t="shared" si="24"/>
        <v>144.44999999999999</v>
      </c>
      <c r="T25" s="121">
        <f t="shared" si="9"/>
        <v>25</v>
      </c>
      <c r="U25" s="121">
        <f t="shared" si="25"/>
        <v>470.15</v>
      </c>
      <c r="V25" s="351">
        <f>U25+U26</f>
        <v>940.3</v>
      </c>
      <c r="W25" s="321">
        <f>SUM(P25:P26)*730+SUM(Q25:Q26)*370</f>
        <v>1460</v>
      </c>
      <c r="X25" s="121">
        <f t="shared" si="1"/>
        <v>480</v>
      </c>
      <c r="Y25" s="121">
        <f t="shared" si="2"/>
        <v>0</v>
      </c>
      <c r="Z25" s="126">
        <f t="shared" si="11"/>
        <v>950.15</v>
      </c>
      <c r="AA25" s="226">
        <f>Z25+Z26</f>
        <v>1420.3</v>
      </c>
      <c r="AB25" s="122">
        <v>6</v>
      </c>
      <c r="AC25" s="120">
        <v>0</v>
      </c>
      <c r="AD25" s="120">
        <v>1</v>
      </c>
      <c r="AE25" s="123">
        <f t="shared" si="26"/>
        <v>45</v>
      </c>
      <c r="AF25" s="123">
        <f t="shared" si="4"/>
        <v>45</v>
      </c>
      <c r="AG25" s="353">
        <f>AF25+AF26</f>
        <v>90</v>
      </c>
      <c r="AH25" s="124">
        <f t="shared" si="13"/>
        <v>0</v>
      </c>
      <c r="AI25" s="124">
        <f t="shared" si="14"/>
        <v>75</v>
      </c>
      <c r="AJ25" s="124"/>
      <c r="AK25" s="124"/>
      <c r="AL25" s="94">
        <f t="shared" si="16"/>
        <v>120</v>
      </c>
      <c r="AM25" s="241">
        <f>AL25+AL26</f>
        <v>165</v>
      </c>
    </row>
    <row r="26" spans="1:39" x14ac:dyDescent="0.25">
      <c r="A26" s="350"/>
      <c r="B26" s="83">
        <v>14</v>
      </c>
      <c r="C26" s="84"/>
      <c r="D26" s="84"/>
      <c r="E26" s="84"/>
      <c r="F26" s="84"/>
      <c r="G26" s="84">
        <v>31</v>
      </c>
      <c r="H26" s="85">
        <f t="shared" si="29"/>
        <v>31</v>
      </c>
      <c r="I26" s="189">
        <f t="shared" si="28"/>
        <v>31</v>
      </c>
      <c r="J26" s="119">
        <f t="shared" si="27"/>
        <v>27</v>
      </c>
      <c r="K26" s="119">
        <v>5</v>
      </c>
      <c r="L26" s="119">
        <v>0</v>
      </c>
      <c r="M26" s="119">
        <v>0</v>
      </c>
      <c r="N26" s="119">
        <f t="shared" si="22"/>
        <v>36</v>
      </c>
      <c r="O26" s="120">
        <f t="shared" si="6"/>
        <v>36</v>
      </c>
      <c r="P26" s="119"/>
      <c r="Q26" s="119"/>
      <c r="R26" s="121">
        <f t="shared" si="23"/>
        <v>300.7</v>
      </c>
      <c r="S26" s="121">
        <f t="shared" si="24"/>
        <v>144.44999999999999</v>
      </c>
      <c r="T26" s="121">
        <f t="shared" si="9"/>
        <v>25</v>
      </c>
      <c r="U26" s="121">
        <f t="shared" si="25"/>
        <v>470.15</v>
      </c>
      <c r="V26" s="352"/>
      <c r="W26" s="322"/>
      <c r="X26" s="121">
        <f t="shared" si="1"/>
        <v>0</v>
      </c>
      <c r="Y26" s="121">
        <f t="shared" si="2"/>
        <v>0</v>
      </c>
      <c r="Z26" s="126">
        <f t="shared" si="11"/>
        <v>470.15</v>
      </c>
      <c r="AA26" s="227"/>
      <c r="AB26" s="122">
        <v>6</v>
      </c>
      <c r="AC26" s="120"/>
      <c r="AD26" s="120"/>
      <c r="AE26" s="123">
        <f t="shared" si="26"/>
        <v>45</v>
      </c>
      <c r="AF26" s="123">
        <f t="shared" si="4"/>
        <v>45</v>
      </c>
      <c r="AG26" s="354"/>
      <c r="AH26" s="124">
        <f t="shared" si="13"/>
        <v>0</v>
      </c>
      <c r="AI26" s="124">
        <f t="shared" si="14"/>
        <v>0</v>
      </c>
      <c r="AJ26" s="124"/>
      <c r="AK26" s="124"/>
      <c r="AL26" s="94">
        <f t="shared" si="16"/>
        <v>45</v>
      </c>
      <c r="AM26" s="242"/>
    </row>
    <row r="27" spans="1:39" s="137" customFormat="1" x14ac:dyDescent="0.25">
      <c r="A27" s="341" t="s">
        <v>55</v>
      </c>
      <c r="B27" s="127">
        <v>15</v>
      </c>
      <c r="C27" s="128">
        <v>2</v>
      </c>
      <c r="D27" s="128"/>
      <c r="E27" s="128"/>
      <c r="F27" s="128">
        <v>1</v>
      </c>
      <c r="G27" s="128">
        <v>31</v>
      </c>
      <c r="H27" s="129">
        <f>I27+L27</f>
        <v>31</v>
      </c>
      <c r="I27" s="130">
        <f t="shared" si="28"/>
        <v>31</v>
      </c>
      <c r="J27" s="131">
        <f t="shared" si="27"/>
        <v>27</v>
      </c>
      <c r="K27" s="130">
        <v>5</v>
      </c>
      <c r="L27" s="130">
        <v>0</v>
      </c>
      <c r="M27" s="130">
        <v>0</v>
      </c>
      <c r="N27" s="131">
        <f t="shared" si="22"/>
        <v>36</v>
      </c>
      <c r="O27" s="132">
        <f t="shared" si="6"/>
        <v>36</v>
      </c>
      <c r="P27" s="131">
        <v>2</v>
      </c>
      <c r="Q27" s="131">
        <v>0</v>
      </c>
      <c r="R27" s="133">
        <f t="shared" si="23"/>
        <v>300.7</v>
      </c>
      <c r="S27" s="133">
        <f t="shared" si="24"/>
        <v>144.44999999999999</v>
      </c>
      <c r="T27" s="133">
        <f t="shared" si="9"/>
        <v>25</v>
      </c>
      <c r="U27" s="133">
        <f t="shared" si="25"/>
        <v>470.15</v>
      </c>
      <c r="V27" s="343">
        <f>U27+U28</f>
        <v>940.3</v>
      </c>
      <c r="W27" s="345">
        <f>SUM(P27:P28)*730+SUM(Q27:Q28)*370</f>
        <v>1460</v>
      </c>
      <c r="X27" s="133">
        <f t="shared" si="1"/>
        <v>480</v>
      </c>
      <c r="Y27" s="133">
        <f t="shared" si="2"/>
        <v>0</v>
      </c>
      <c r="Z27" s="138">
        <f t="shared" si="11"/>
        <v>950.15</v>
      </c>
      <c r="AA27" s="224">
        <f>Z27+Z28</f>
        <v>1420.3</v>
      </c>
      <c r="AB27" s="134">
        <v>6</v>
      </c>
      <c r="AC27" s="139">
        <v>0</v>
      </c>
      <c r="AD27" s="139">
        <v>1</v>
      </c>
      <c r="AE27" s="135">
        <f t="shared" si="26"/>
        <v>45</v>
      </c>
      <c r="AF27" s="135">
        <f t="shared" si="4"/>
        <v>45</v>
      </c>
      <c r="AG27" s="347">
        <f>AF27+AF28</f>
        <v>90</v>
      </c>
      <c r="AH27" s="140">
        <f t="shared" si="13"/>
        <v>0</v>
      </c>
      <c r="AI27" s="140">
        <f t="shared" si="14"/>
        <v>75</v>
      </c>
      <c r="AJ27" s="140">
        <v>150</v>
      </c>
      <c r="AK27" s="140">
        <f>83+100</f>
        <v>183</v>
      </c>
      <c r="AL27" s="81">
        <f t="shared" si="16"/>
        <v>453</v>
      </c>
      <c r="AM27" s="243">
        <f>AL27+AL28</f>
        <v>498</v>
      </c>
    </row>
    <row r="28" spans="1:39" s="137" customFormat="1" x14ac:dyDescent="0.25">
      <c r="A28" s="342"/>
      <c r="B28" s="127">
        <v>16</v>
      </c>
      <c r="C28" s="128"/>
      <c r="D28" s="128"/>
      <c r="E28" s="128"/>
      <c r="F28" s="128"/>
      <c r="G28" s="128">
        <v>31</v>
      </c>
      <c r="H28" s="129">
        <f>I28+L28</f>
        <v>31</v>
      </c>
      <c r="I28" s="130">
        <f t="shared" si="28"/>
        <v>31</v>
      </c>
      <c r="J28" s="131">
        <f t="shared" si="27"/>
        <v>27</v>
      </c>
      <c r="K28" s="130">
        <v>5</v>
      </c>
      <c r="L28" s="130">
        <v>0</v>
      </c>
      <c r="M28" s="130">
        <v>0</v>
      </c>
      <c r="N28" s="131">
        <f t="shared" si="22"/>
        <v>36</v>
      </c>
      <c r="O28" s="132">
        <f t="shared" si="6"/>
        <v>36</v>
      </c>
      <c r="P28" s="131"/>
      <c r="Q28" s="131"/>
      <c r="R28" s="133">
        <f t="shared" si="23"/>
        <v>300.7</v>
      </c>
      <c r="S28" s="133">
        <f t="shared" si="24"/>
        <v>144.44999999999999</v>
      </c>
      <c r="T28" s="133">
        <f t="shared" si="9"/>
        <v>25</v>
      </c>
      <c r="U28" s="133">
        <f t="shared" si="25"/>
        <v>470.15</v>
      </c>
      <c r="V28" s="344"/>
      <c r="W28" s="346"/>
      <c r="X28" s="133">
        <f t="shared" si="1"/>
        <v>0</v>
      </c>
      <c r="Y28" s="133">
        <f t="shared" si="2"/>
        <v>0</v>
      </c>
      <c r="Z28" s="138">
        <f t="shared" si="11"/>
        <v>470.15</v>
      </c>
      <c r="AA28" s="225"/>
      <c r="AB28" s="134">
        <v>6</v>
      </c>
      <c r="AC28" s="139"/>
      <c r="AD28" s="139"/>
      <c r="AE28" s="135">
        <f t="shared" si="26"/>
        <v>45</v>
      </c>
      <c r="AF28" s="135">
        <f t="shared" si="4"/>
        <v>45</v>
      </c>
      <c r="AG28" s="348"/>
      <c r="AH28" s="140">
        <f t="shared" si="13"/>
        <v>0</v>
      </c>
      <c r="AI28" s="140">
        <f t="shared" si="14"/>
        <v>0</v>
      </c>
      <c r="AJ28" s="140"/>
      <c r="AK28" s="140"/>
      <c r="AL28" s="81">
        <f t="shared" si="16"/>
        <v>45</v>
      </c>
      <c r="AM28" s="244"/>
    </row>
    <row r="29" spans="1:39" x14ac:dyDescent="0.25">
      <c r="A29" s="349" t="s">
        <v>56</v>
      </c>
      <c r="B29" s="83">
        <v>17</v>
      </c>
      <c r="C29" s="84"/>
      <c r="D29" s="84"/>
      <c r="E29" s="84"/>
      <c r="F29" s="84"/>
      <c r="G29" s="84">
        <v>30</v>
      </c>
      <c r="H29" s="85">
        <f t="shared" ref="H29:H35" si="30">I29+L29</f>
        <v>31</v>
      </c>
      <c r="I29" s="189">
        <f t="shared" si="28"/>
        <v>31</v>
      </c>
      <c r="J29" s="119">
        <f>25+1+1</f>
        <v>27</v>
      </c>
      <c r="K29" s="119">
        <v>4</v>
      </c>
      <c r="L29" s="119">
        <v>0</v>
      </c>
      <c r="M29" s="119">
        <v>0</v>
      </c>
      <c r="N29" s="119">
        <f t="shared" si="22"/>
        <v>35</v>
      </c>
      <c r="O29" s="120">
        <f t="shared" si="6"/>
        <v>35</v>
      </c>
      <c r="P29" s="119"/>
      <c r="Q29" s="119"/>
      <c r="R29" s="121">
        <f t="shared" si="23"/>
        <v>300.7</v>
      </c>
      <c r="S29" s="121">
        <f t="shared" si="24"/>
        <v>144.44999999999999</v>
      </c>
      <c r="T29" s="121">
        <f t="shared" si="9"/>
        <v>20</v>
      </c>
      <c r="U29" s="121">
        <f t="shared" si="25"/>
        <v>465.15</v>
      </c>
      <c r="V29" s="351">
        <f>SUM(U29:U31)</f>
        <v>1384.75</v>
      </c>
      <c r="W29" s="363">
        <f>SUM(P29:P31)*730+SUM(Q29:Q31)*370</f>
        <v>2190</v>
      </c>
      <c r="X29" s="121">
        <f t="shared" si="1"/>
        <v>0</v>
      </c>
      <c r="Y29" s="121">
        <f t="shared" si="2"/>
        <v>0</v>
      </c>
      <c r="Z29" s="126">
        <f t="shared" si="11"/>
        <v>465.15</v>
      </c>
      <c r="AA29" s="226">
        <f>SUM(Z29:Z31)</f>
        <v>2104.75</v>
      </c>
      <c r="AB29" s="122">
        <v>6</v>
      </c>
      <c r="AC29" s="141"/>
      <c r="AD29" s="141"/>
      <c r="AE29" s="123">
        <f t="shared" si="26"/>
        <v>45</v>
      </c>
      <c r="AF29" s="123">
        <f t="shared" si="4"/>
        <v>45</v>
      </c>
      <c r="AG29" s="353">
        <f>SUM(AF29:AF31)</f>
        <v>135</v>
      </c>
      <c r="AH29" s="142">
        <f t="shared" si="13"/>
        <v>0</v>
      </c>
      <c r="AI29" s="142">
        <f t="shared" si="14"/>
        <v>0</v>
      </c>
      <c r="AJ29" s="142"/>
      <c r="AK29" s="142"/>
      <c r="AL29" s="94">
        <f t="shared" si="16"/>
        <v>45</v>
      </c>
      <c r="AM29" s="241">
        <f>SUM(AL29:AL31)</f>
        <v>360</v>
      </c>
    </row>
    <row r="30" spans="1:39" x14ac:dyDescent="0.25">
      <c r="A30" s="361"/>
      <c r="B30" s="83">
        <v>18</v>
      </c>
      <c r="C30" s="84">
        <v>3</v>
      </c>
      <c r="D30" s="84"/>
      <c r="E30" s="84">
        <v>1</v>
      </c>
      <c r="F30" s="84"/>
      <c r="G30" s="84">
        <v>30</v>
      </c>
      <c r="H30" s="85">
        <f t="shared" si="30"/>
        <v>31</v>
      </c>
      <c r="I30" s="189">
        <f t="shared" si="28"/>
        <v>31</v>
      </c>
      <c r="J30" s="119">
        <f>25+1</f>
        <v>26</v>
      </c>
      <c r="K30" s="119">
        <v>4</v>
      </c>
      <c r="L30" s="119">
        <v>0</v>
      </c>
      <c r="M30" s="119">
        <v>0</v>
      </c>
      <c r="N30" s="119">
        <f t="shared" si="22"/>
        <v>35</v>
      </c>
      <c r="O30" s="120">
        <f t="shared" si="6"/>
        <v>35</v>
      </c>
      <c r="P30" s="119">
        <v>3</v>
      </c>
      <c r="Q30" s="119">
        <v>0</v>
      </c>
      <c r="R30" s="121">
        <f t="shared" si="23"/>
        <v>300.7</v>
      </c>
      <c r="S30" s="121">
        <f t="shared" si="24"/>
        <v>139.1</v>
      </c>
      <c r="T30" s="121">
        <f t="shared" si="9"/>
        <v>20</v>
      </c>
      <c r="U30" s="121">
        <f t="shared" si="25"/>
        <v>459.79999999999995</v>
      </c>
      <c r="V30" s="362"/>
      <c r="W30" s="364"/>
      <c r="X30" s="121">
        <f t="shared" si="1"/>
        <v>720</v>
      </c>
      <c r="Y30" s="121">
        <f t="shared" si="2"/>
        <v>0</v>
      </c>
      <c r="Z30" s="126">
        <f t="shared" si="11"/>
        <v>1179.8</v>
      </c>
      <c r="AA30" s="228"/>
      <c r="AB30" s="122">
        <v>6</v>
      </c>
      <c r="AC30" s="141">
        <v>0</v>
      </c>
      <c r="AD30" s="141">
        <v>1</v>
      </c>
      <c r="AE30" s="123">
        <f t="shared" si="26"/>
        <v>45</v>
      </c>
      <c r="AF30" s="123">
        <f t="shared" si="4"/>
        <v>45</v>
      </c>
      <c r="AG30" s="366"/>
      <c r="AH30" s="142">
        <f t="shared" si="13"/>
        <v>0</v>
      </c>
      <c r="AI30" s="142">
        <f t="shared" si="14"/>
        <v>75</v>
      </c>
      <c r="AJ30" s="142">
        <v>150</v>
      </c>
      <c r="AK30" s="142"/>
      <c r="AL30" s="94">
        <f t="shared" si="16"/>
        <v>270</v>
      </c>
      <c r="AM30" s="245"/>
    </row>
    <row r="31" spans="1:39" x14ac:dyDescent="0.25">
      <c r="A31" s="350"/>
      <c r="B31" s="83">
        <v>19</v>
      </c>
      <c r="C31" s="84"/>
      <c r="D31" s="84"/>
      <c r="E31" s="84"/>
      <c r="F31" s="84"/>
      <c r="G31" s="84">
        <v>30</v>
      </c>
      <c r="H31" s="85">
        <f t="shared" si="30"/>
        <v>31</v>
      </c>
      <c r="I31" s="189">
        <f t="shared" si="28"/>
        <v>31</v>
      </c>
      <c r="J31" s="119">
        <v>26</v>
      </c>
      <c r="K31" s="119">
        <v>4</v>
      </c>
      <c r="L31" s="119">
        <v>0</v>
      </c>
      <c r="M31" s="119">
        <v>0</v>
      </c>
      <c r="N31" s="119">
        <f t="shared" si="22"/>
        <v>35</v>
      </c>
      <c r="O31" s="120">
        <f t="shared" si="6"/>
        <v>35</v>
      </c>
      <c r="P31" s="119"/>
      <c r="Q31" s="119"/>
      <c r="R31" s="121">
        <f t="shared" si="23"/>
        <v>300.7</v>
      </c>
      <c r="S31" s="121">
        <f t="shared" si="24"/>
        <v>139.1</v>
      </c>
      <c r="T31" s="121">
        <f t="shared" si="9"/>
        <v>20</v>
      </c>
      <c r="U31" s="121">
        <f t="shared" si="25"/>
        <v>459.79999999999995</v>
      </c>
      <c r="V31" s="352"/>
      <c r="W31" s="365"/>
      <c r="X31" s="121">
        <f t="shared" si="1"/>
        <v>0</v>
      </c>
      <c r="Y31" s="121">
        <f t="shared" si="2"/>
        <v>0</v>
      </c>
      <c r="Z31" s="126">
        <f t="shared" si="11"/>
        <v>459.79999999999995</v>
      </c>
      <c r="AA31" s="227"/>
      <c r="AB31" s="122">
        <v>6</v>
      </c>
      <c r="AC31" s="141"/>
      <c r="AD31" s="141"/>
      <c r="AE31" s="123">
        <f t="shared" si="26"/>
        <v>45</v>
      </c>
      <c r="AF31" s="123">
        <f t="shared" si="4"/>
        <v>45</v>
      </c>
      <c r="AG31" s="354"/>
      <c r="AH31" s="142">
        <f t="shared" si="13"/>
        <v>0</v>
      </c>
      <c r="AI31" s="142">
        <f t="shared" si="14"/>
        <v>0</v>
      </c>
      <c r="AJ31" s="142"/>
      <c r="AK31" s="142"/>
      <c r="AL31" s="94">
        <f t="shared" si="16"/>
        <v>45</v>
      </c>
      <c r="AM31" s="242"/>
    </row>
    <row r="32" spans="1:39" s="137" customFormat="1" x14ac:dyDescent="0.25">
      <c r="A32" s="341" t="s">
        <v>57</v>
      </c>
      <c r="B32" s="127">
        <v>20</v>
      </c>
      <c r="C32" s="128"/>
      <c r="D32" s="128"/>
      <c r="E32" s="128"/>
      <c r="F32" s="128"/>
      <c r="G32" s="128">
        <v>30</v>
      </c>
      <c r="H32" s="129">
        <f t="shared" si="30"/>
        <v>31</v>
      </c>
      <c r="I32" s="130">
        <f t="shared" si="28"/>
        <v>31</v>
      </c>
      <c r="J32" s="131">
        <v>26</v>
      </c>
      <c r="K32" s="130">
        <v>4</v>
      </c>
      <c r="L32" s="130">
        <v>0</v>
      </c>
      <c r="M32" s="130">
        <v>0</v>
      </c>
      <c r="N32" s="131">
        <f t="shared" si="22"/>
        <v>35</v>
      </c>
      <c r="O32" s="132">
        <f t="shared" si="6"/>
        <v>35</v>
      </c>
      <c r="P32" s="131"/>
      <c r="Q32" s="131"/>
      <c r="R32" s="133">
        <f t="shared" si="23"/>
        <v>300.7</v>
      </c>
      <c r="S32" s="133">
        <f t="shared" si="24"/>
        <v>139.1</v>
      </c>
      <c r="T32" s="133">
        <f t="shared" si="9"/>
        <v>20</v>
      </c>
      <c r="U32" s="133">
        <f t="shared" si="25"/>
        <v>459.79999999999995</v>
      </c>
      <c r="V32" s="343">
        <f>SUM(U32:U34)</f>
        <v>1379.3999999999999</v>
      </c>
      <c r="W32" s="357">
        <f>SUM(P32:P34)*730+SUM(Q32:Q34)*370</f>
        <v>2190</v>
      </c>
      <c r="X32" s="133">
        <f t="shared" si="1"/>
        <v>0</v>
      </c>
      <c r="Y32" s="133">
        <f t="shared" si="2"/>
        <v>0</v>
      </c>
      <c r="Z32" s="138">
        <f t="shared" si="11"/>
        <v>459.79999999999995</v>
      </c>
      <c r="AA32" s="224">
        <f>SUM(Z32:Z34)</f>
        <v>2099.3999999999996</v>
      </c>
      <c r="AB32" s="134">
        <v>6</v>
      </c>
      <c r="AC32" s="139"/>
      <c r="AD32" s="139"/>
      <c r="AE32" s="135">
        <f t="shared" si="26"/>
        <v>45</v>
      </c>
      <c r="AF32" s="135">
        <f t="shared" si="4"/>
        <v>45</v>
      </c>
      <c r="AG32" s="347">
        <f>SUM(AF32:AF34)</f>
        <v>135</v>
      </c>
      <c r="AH32" s="140">
        <f t="shared" si="13"/>
        <v>0</v>
      </c>
      <c r="AI32" s="140">
        <f t="shared" si="14"/>
        <v>0</v>
      </c>
      <c r="AJ32" s="140"/>
      <c r="AK32" s="140"/>
      <c r="AL32" s="81">
        <f t="shared" si="16"/>
        <v>45</v>
      </c>
      <c r="AM32" s="243">
        <f>SUM(AL32:AL34)</f>
        <v>698</v>
      </c>
    </row>
    <row r="33" spans="1:39" s="137" customFormat="1" x14ac:dyDescent="0.25">
      <c r="A33" s="355"/>
      <c r="B33" s="127">
        <v>21</v>
      </c>
      <c r="C33" s="128">
        <v>3</v>
      </c>
      <c r="D33" s="128"/>
      <c r="E33" s="128">
        <v>1</v>
      </c>
      <c r="F33" s="128"/>
      <c r="G33" s="128">
        <v>30</v>
      </c>
      <c r="H33" s="129">
        <f t="shared" si="30"/>
        <v>31</v>
      </c>
      <c r="I33" s="130">
        <f t="shared" si="28"/>
        <v>31</v>
      </c>
      <c r="J33" s="131">
        <v>26</v>
      </c>
      <c r="K33" s="130">
        <v>4</v>
      </c>
      <c r="L33" s="130">
        <v>0</v>
      </c>
      <c r="M33" s="130">
        <v>0</v>
      </c>
      <c r="N33" s="131">
        <f t="shared" si="22"/>
        <v>35</v>
      </c>
      <c r="O33" s="132">
        <f t="shared" si="6"/>
        <v>35</v>
      </c>
      <c r="P33" s="131">
        <v>3</v>
      </c>
      <c r="Q33" s="131">
        <v>0</v>
      </c>
      <c r="R33" s="133">
        <f t="shared" si="23"/>
        <v>300.7</v>
      </c>
      <c r="S33" s="133">
        <f t="shared" si="24"/>
        <v>139.1</v>
      </c>
      <c r="T33" s="133">
        <f t="shared" si="9"/>
        <v>20</v>
      </c>
      <c r="U33" s="133">
        <f t="shared" si="25"/>
        <v>459.79999999999995</v>
      </c>
      <c r="V33" s="356"/>
      <c r="W33" s="358"/>
      <c r="X33" s="133">
        <f t="shared" si="1"/>
        <v>720</v>
      </c>
      <c r="Y33" s="133">
        <f t="shared" si="2"/>
        <v>0</v>
      </c>
      <c r="Z33" s="138">
        <f t="shared" si="11"/>
        <v>1179.8</v>
      </c>
      <c r="AA33" s="229"/>
      <c r="AB33" s="134">
        <v>6</v>
      </c>
      <c r="AC33" s="139">
        <v>0</v>
      </c>
      <c r="AD33" s="139">
        <v>1</v>
      </c>
      <c r="AE33" s="135">
        <f t="shared" si="26"/>
        <v>45</v>
      </c>
      <c r="AF33" s="135">
        <f t="shared" si="4"/>
        <v>45</v>
      </c>
      <c r="AG33" s="360"/>
      <c r="AH33" s="140">
        <f t="shared" si="13"/>
        <v>0</v>
      </c>
      <c r="AI33" s="140">
        <f t="shared" si="14"/>
        <v>75</v>
      </c>
      <c r="AJ33" s="140">
        <v>200</v>
      </c>
      <c r="AK33" s="140">
        <f>88+200</f>
        <v>288</v>
      </c>
      <c r="AL33" s="81">
        <f t="shared" si="16"/>
        <v>608</v>
      </c>
      <c r="AM33" s="246"/>
    </row>
    <row r="34" spans="1:39" s="137" customFormat="1" x14ac:dyDescent="0.25">
      <c r="A34" s="342"/>
      <c r="B34" s="127">
        <v>22</v>
      </c>
      <c r="C34" s="128"/>
      <c r="D34" s="128"/>
      <c r="E34" s="128"/>
      <c r="F34" s="128"/>
      <c r="G34" s="128">
        <v>30</v>
      </c>
      <c r="H34" s="129">
        <f t="shared" si="30"/>
        <v>31</v>
      </c>
      <c r="I34" s="130">
        <f t="shared" si="28"/>
        <v>31</v>
      </c>
      <c r="J34" s="131">
        <v>26</v>
      </c>
      <c r="K34" s="130">
        <v>4</v>
      </c>
      <c r="L34" s="130">
        <v>0</v>
      </c>
      <c r="M34" s="130">
        <v>0</v>
      </c>
      <c r="N34" s="131">
        <f t="shared" si="22"/>
        <v>35</v>
      </c>
      <c r="O34" s="132">
        <f t="shared" si="6"/>
        <v>35</v>
      </c>
      <c r="P34" s="131"/>
      <c r="Q34" s="131"/>
      <c r="R34" s="133">
        <f t="shared" si="23"/>
        <v>300.7</v>
      </c>
      <c r="S34" s="133">
        <f t="shared" si="24"/>
        <v>139.1</v>
      </c>
      <c r="T34" s="133">
        <f t="shared" si="9"/>
        <v>20</v>
      </c>
      <c r="U34" s="133">
        <f t="shared" si="25"/>
        <v>459.79999999999995</v>
      </c>
      <c r="V34" s="344"/>
      <c r="W34" s="359"/>
      <c r="X34" s="133">
        <f t="shared" si="1"/>
        <v>0</v>
      </c>
      <c r="Y34" s="133">
        <f t="shared" si="2"/>
        <v>0</v>
      </c>
      <c r="Z34" s="138">
        <f t="shared" si="11"/>
        <v>459.79999999999995</v>
      </c>
      <c r="AA34" s="225"/>
      <c r="AB34" s="134">
        <v>6</v>
      </c>
      <c r="AC34" s="139"/>
      <c r="AD34" s="139"/>
      <c r="AE34" s="135">
        <f t="shared" si="26"/>
        <v>45</v>
      </c>
      <c r="AF34" s="135">
        <f t="shared" si="4"/>
        <v>45</v>
      </c>
      <c r="AG34" s="348"/>
      <c r="AH34" s="140">
        <f t="shared" si="13"/>
        <v>0</v>
      </c>
      <c r="AI34" s="140">
        <f t="shared" si="14"/>
        <v>0</v>
      </c>
      <c r="AJ34" s="140"/>
      <c r="AK34" s="140"/>
      <c r="AL34" s="81">
        <f t="shared" si="16"/>
        <v>45</v>
      </c>
      <c r="AM34" s="244"/>
    </row>
    <row r="35" spans="1:39" x14ac:dyDescent="0.25">
      <c r="A35" s="349" t="s">
        <v>58</v>
      </c>
      <c r="B35" s="83">
        <v>23</v>
      </c>
      <c r="C35" s="84"/>
      <c r="D35" s="84"/>
      <c r="E35" s="84"/>
      <c r="F35" s="84"/>
      <c r="G35" s="84">
        <v>30</v>
      </c>
      <c r="H35" s="85">
        <f t="shared" si="30"/>
        <v>31</v>
      </c>
      <c r="I35" s="189">
        <f t="shared" si="28"/>
        <v>31</v>
      </c>
      <c r="J35" s="119">
        <v>26</v>
      </c>
      <c r="K35" s="119">
        <v>4</v>
      </c>
      <c r="L35" s="119"/>
      <c r="M35" s="119"/>
      <c r="N35" s="119">
        <f t="shared" si="22"/>
        <v>35</v>
      </c>
      <c r="O35" s="120">
        <f t="shared" si="6"/>
        <v>35</v>
      </c>
      <c r="P35" s="119"/>
      <c r="Q35" s="119"/>
      <c r="R35" s="121">
        <f t="shared" si="23"/>
        <v>300.7</v>
      </c>
      <c r="S35" s="121">
        <f t="shared" si="24"/>
        <v>139.1</v>
      </c>
      <c r="T35" s="121">
        <f t="shared" si="9"/>
        <v>20</v>
      </c>
      <c r="U35" s="121">
        <f t="shared" si="25"/>
        <v>459.79999999999995</v>
      </c>
      <c r="V35" s="351">
        <f>SUM(U35:U37)</f>
        <v>671.84999999999991</v>
      </c>
      <c r="W35" s="363">
        <f>SUM(P35:P37)*730+SUM(Q35:Q37)*370</f>
        <v>1460</v>
      </c>
      <c r="X35" s="121">
        <f t="shared" si="1"/>
        <v>0</v>
      </c>
      <c r="Y35" s="121">
        <f t="shared" si="2"/>
        <v>0</v>
      </c>
      <c r="Z35" s="126">
        <f t="shared" si="11"/>
        <v>459.79999999999995</v>
      </c>
      <c r="AA35" s="226">
        <f>SUM(Z35:Z37)</f>
        <v>1151.8500000000001</v>
      </c>
      <c r="AB35" s="122">
        <v>6</v>
      </c>
      <c r="AC35" s="141"/>
      <c r="AD35" s="141"/>
      <c r="AE35" s="123">
        <f t="shared" si="26"/>
        <v>45</v>
      </c>
      <c r="AF35" s="123">
        <f t="shared" si="4"/>
        <v>45</v>
      </c>
      <c r="AG35" s="353">
        <f>SUM(AF35:AF37)</f>
        <v>120</v>
      </c>
      <c r="AH35" s="142">
        <f t="shared" si="13"/>
        <v>0</v>
      </c>
      <c r="AI35" s="142">
        <f t="shared" si="14"/>
        <v>0</v>
      </c>
      <c r="AJ35" s="142">
        <v>250</v>
      </c>
      <c r="AK35" s="142"/>
      <c r="AL35" s="94">
        <f t="shared" si="16"/>
        <v>295</v>
      </c>
      <c r="AM35" s="241">
        <f>SUM(AL35:AL37)</f>
        <v>445</v>
      </c>
    </row>
    <row r="36" spans="1:39" x14ac:dyDescent="0.25">
      <c r="A36" s="361"/>
      <c r="B36" s="83">
        <v>24</v>
      </c>
      <c r="C36" s="84">
        <v>3</v>
      </c>
      <c r="D36" s="84"/>
      <c r="E36" s="84"/>
      <c r="F36" s="84">
        <v>1</v>
      </c>
      <c r="G36" s="84">
        <v>5</v>
      </c>
      <c r="H36" s="85">
        <f>I36+L36</f>
        <v>7</v>
      </c>
      <c r="I36" s="119">
        <v>7</v>
      </c>
      <c r="J36" s="119">
        <v>7</v>
      </c>
      <c r="K36" s="119">
        <v>0</v>
      </c>
      <c r="L36" s="119">
        <v>0</v>
      </c>
      <c r="M36" s="119">
        <v>5</v>
      </c>
      <c r="N36" s="119">
        <f t="shared" si="22"/>
        <v>7</v>
      </c>
      <c r="O36" s="120">
        <f t="shared" si="6"/>
        <v>12</v>
      </c>
      <c r="P36" s="119">
        <v>2</v>
      </c>
      <c r="Q36" s="119">
        <v>0</v>
      </c>
      <c r="R36" s="121">
        <f t="shared" si="23"/>
        <v>67.899999999999991</v>
      </c>
      <c r="S36" s="121">
        <f t="shared" si="24"/>
        <v>37.449999999999996</v>
      </c>
      <c r="T36" s="121">
        <f t="shared" si="9"/>
        <v>0</v>
      </c>
      <c r="U36" s="121">
        <f t="shared" si="25"/>
        <v>105.35</v>
      </c>
      <c r="V36" s="362"/>
      <c r="W36" s="364"/>
      <c r="X36" s="121">
        <f t="shared" si="1"/>
        <v>480</v>
      </c>
      <c r="Y36" s="121">
        <f t="shared" si="2"/>
        <v>0</v>
      </c>
      <c r="Z36" s="126">
        <f t="shared" si="11"/>
        <v>585.35</v>
      </c>
      <c r="AA36" s="228"/>
      <c r="AB36" s="122">
        <v>2</v>
      </c>
      <c r="AC36" s="141">
        <v>0</v>
      </c>
      <c r="AD36" s="141">
        <v>1</v>
      </c>
      <c r="AE36" s="123">
        <f t="shared" si="26"/>
        <v>15</v>
      </c>
      <c r="AF36" s="123">
        <f t="shared" si="4"/>
        <v>15</v>
      </c>
      <c r="AG36" s="366"/>
      <c r="AH36" s="142">
        <f t="shared" si="13"/>
        <v>0</v>
      </c>
      <c r="AI36" s="142">
        <f t="shared" si="14"/>
        <v>75</v>
      </c>
      <c r="AJ36" s="142"/>
      <c r="AK36" s="142"/>
      <c r="AL36" s="94">
        <f t="shared" si="16"/>
        <v>90</v>
      </c>
      <c r="AM36" s="245"/>
    </row>
    <row r="37" spans="1:39" x14ac:dyDescent="0.25">
      <c r="A37" s="350"/>
      <c r="B37" s="83" t="s">
        <v>122</v>
      </c>
      <c r="C37" s="84"/>
      <c r="D37" s="84"/>
      <c r="E37" s="84"/>
      <c r="F37" s="84"/>
      <c r="G37" s="84">
        <v>6</v>
      </c>
      <c r="H37" s="85">
        <f t="shared" si="20"/>
        <v>11</v>
      </c>
      <c r="I37" s="119">
        <v>7</v>
      </c>
      <c r="J37" s="143">
        <v>0</v>
      </c>
      <c r="K37" s="119">
        <v>0</v>
      </c>
      <c r="L37" s="119">
        <v>4</v>
      </c>
      <c r="M37" s="119">
        <v>7</v>
      </c>
      <c r="N37" s="119">
        <f t="shared" si="22"/>
        <v>11</v>
      </c>
      <c r="O37" s="120">
        <f t="shared" si="6"/>
        <v>18</v>
      </c>
      <c r="P37" s="119"/>
      <c r="Q37" s="119"/>
      <c r="R37" s="121">
        <f t="shared" si="23"/>
        <v>106.69999999999999</v>
      </c>
      <c r="S37" s="121">
        <f t="shared" si="24"/>
        <v>0</v>
      </c>
      <c r="T37" s="121">
        <f t="shared" si="9"/>
        <v>0</v>
      </c>
      <c r="U37" s="121">
        <f t="shared" si="25"/>
        <v>106.69999999999999</v>
      </c>
      <c r="V37" s="352"/>
      <c r="W37" s="365"/>
      <c r="X37" s="121">
        <f t="shared" si="1"/>
        <v>0</v>
      </c>
      <c r="Y37" s="121">
        <f t="shared" si="2"/>
        <v>0</v>
      </c>
      <c r="Z37" s="126">
        <f t="shared" si="11"/>
        <v>106.69999999999999</v>
      </c>
      <c r="AA37" s="227"/>
      <c r="AB37" s="122">
        <f>4+4</f>
        <v>8</v>
      </c>
      <c r="AC37" s="141"/>
      <c r="AD37" s="141"/>
      <c r="AE37" s="123">
        <f t="shared" si="26"/>
        <v>60</v>
      </c>
      <c r="AF37" s="123">
        <f t="shared" ref="AF37:AF62" si="31">AE37</f>
        <v>60</v>
      </c>
      <c r="AG37" s="354"/>
      <c r="AH37" s="142">
        <f t="shared" si="13"/>
        <v>0</v>
      </c>
      <c r="AI37" s="142">
        <f t="shared" si="14"/>
        <v>0</v>
      </c>
      <c r="AJ37" s="142"/>
      <c r="AK37" s="142"/>
      <c r="AL37" s="94">
        <f t="shared" si="16"/>
        <v>60</v>
      </c>
      <c r="AM37" s="242"/>
    </row>
    <row r="38" spans="1:39" x14ac:dyDescent="0.25">
      <c r="A38" s="341" t="s">
        <v>59</v>
      </c>
      <c r="B38" s="144" t="s">
        <v>123</v>
      </c>
      <c r="C38" s="145"/>
      <c r="D38" s="145"/>
      <c r="E38" s="145"/>
      <c r="F38" s="145"/>
      <c r="G38" s="145"/>
      <c r="H38" s="129">
        <f>I38+L38</f>
        <v>3</v>
      </c>
      <c r="I38" s="131">
        <v>3</v>
      </c>
      <c r="J38" s="131">
        <v>3</v>
      </c>
      <c r="K38" s="131">
        <v>0</v>
      </c>
      <c r="L38" s="131">
        <v>0</v>
      </c>
      <c r="M38" s="131">
        <v>3</v>
      </c>
      <c r="N38" s="131">
        <f t="shared" si="22"/>
        <v>3</v>
      </c>
      <c r="O38" s="132">
        <f t="shared" si="6"/>
        <v>6</v>
      </c>
      <c r="P38" s="131"/>
      <c r="Q38" s="131"/>
      <c r="R38" s="133">
        <f t="shared" si="23"/>
        <v>29.099999999999998</v>
      </c>
      <c r="S38" s="133">
        <f t="shared" si="24"/>
        <v>16.049999999999997</v>
      </c>
      <c r="T38" s="133">
        <f t="shared" si="9"/>
        <v>0</v>
      </c>
      <c r="U38" s="133">
        <f t="shared" si="25"/>
        <v>45.149999999999991</v>
      </c>
      <c r="V38" s="343">
        <f>SUM(U38:U40)</f>
        <v>297</v>
      </c>
      <c r="W38" s="357">
        <f>SUM(P38:P40)*730+SUM(Q38:Q40)*370</f>
        <v>1100</v>
      </c>
      <c r="X38" s="133">
        <f t="shared" si="1"/>
        <v>0</v>
      </c>
      <c r="Y38" s="133">
        <f t="shared" si="2"/>
        <v>0</v>
      </c>
      <c r="Z38" s="138">
        <f t="shared" si="11"/>
        <v>45.149999999999991</v>
      </c>
      <c r="AA38" s="224">
        <f>SUM(Z38:Z40)</f>
        <v>611.99999999999989</v>
      </c>
      <c r="AB38" s="134">
        <v>5</v>
      </c>
      <c r="AC38" s="139"/>
      <c r="AD38" s="139"/>
      <c r="AE38" s="135">
        <f t="shared" si="26"/>
        <v>37.5</v>
      </c>
      <c r="AF38" s="135">
        <f t="shared" si="31"/>
        <v>37.5</v>
      </c>
      <c r="AG38" s="347">
        <f>SUM(AF38:AF40)</f>
        <v>157.5</v>
      </c>
      <c r="AH38" s="140">
        <f t="shared" si="13"/>
        <v>0</v>
      </c>
      <c r="AI38" s="140">
        <f t="shared" si="14"/>
        <v>0</v>
      </c>
      <c r="AJ38" s="140"/>
      <c r="AK38" s="140"/>
      <c r="AL38" s="81">
        <f t="shared" si="16"/>
        <v>37.5</v>
      </c>
      <c r="AM38" s="243">
        <f>SUM(AL38:AL40)</f>
        <v>832.5</v>
      </c>
    </row>
    <row r="39" spans="1:39" x14ac:dyDescent="0.25">
      <c r="A39" s="355"/>
      <c r="B39" s="146">
        <v>39</v>
      </c>
      <c r="C39" s="145"/>
      <c r="D39" s="145"/>
      <c r="E39" s="145"/>
      <c r="F39" s="145"/>
      <c r="G39" s="145"/>
      <c r="H39" s="129">
        <f t="shared" si="20"/>
        <v>11</v>
      </c>
      <c r="I39" s="131">
        <v>11</v>
      </c>
      <c r="J39" s="131">
        <v>6</v>
      </c>
      <c r="K39" s="131">
        <v>0</v>
      </c>
      <c r="L39" s="131">
        <v>0</v>
      </c>
      <c r="M39" s="131">
        <v>19</v>
      </c>
      <c r="N39" s="131">
        <f t="shared" si="22"/>
        <v>11</v>
      </c>
      <c r="O39" s="132">
        <f t="shared" si="6"/>
        <v>30</v>
      </c>
      <c r="P39" s="131">
        <v>1</v>
      </c>
      <c r="Q39" s="131">
        <v>1</v>
      </c>
      <c r="R39" s="133">
        <f t="shared" si="23"/>
        <v>106.69999999999999</v>
      </c>
      <c r="S39" s="133">
        <f t="shared" si="24"/>
        <v>32.099999999999994</v>
      </c>
      <c r="T39" s="133">
        <f t="shared" si="9"/>
        <v>0</v>
      </c>
      <c r="U39" s="133">
        <f t="shared" si="25"/>
        <v>138.79999999999998</v>
      </c>
      <c r="V39" s="356"/>
      <c r="W39" s="358"/>
      <c r="X39" s="133">
        <f t="shared" si="1"/>
        <v>240</v>
      </c>
      <c r="Y39" s="133">
        <f t="shared" si="2"/>
        <v>75</v>
      </c>
      <c r="Z39" s="138">
        <f t="shared" si="11"/>
        <v>453.79999999999995</v>
      </c>
      <c r="AA39" s="229"/>
      <c r="AB39" s="134">
        <v>8</v>
      </c>
      <c r="AC39" s="139">
        <v>1</v>
      </c>
      <c r="AD39" s="139">
        <v>0</v>
      </c>
      <c r="AE39" s="135">
        <f t="shared" si="26"/>
        <v>60</v>
      </c>
      <c r="AF39" s="135">
        <f t="shared" si="31"/>
        <v>60</v>
      </c>
      <c r="AG39" s="360"/>
      <c r="AH39" s="140">
        <f t="shared" si="13"/>
        <v>240</v>
      </c>
      <c r="AI39" s="140">
        <f t="shared" si="14"/>
        <v>0</v>
      </c>
      <c r="AJ39" s="140">
        <v>300</v>
      </c>
      <c r="AK39" s="140">
        <f>35+100</f>
        <v>135</v>
      </c>
      <c r="AL39" s="81">
        <f t="shared" si="16"/>
        <v>735</v>
      </c>
      <c r="AM39" s="246"/>
    </row>
    <row r="40" spans="1:39" x14ac:dyDescent="0.25">
      <c r="A40" s="342"/>
      <c r="B40" s="144" t="s">
        <v>124</v>
      </c>
      <c r="C40" s="145"/>
      <c r="D40" s="145"/>
      <c r="E40" s="145"/>
      <c r="F40" s="145"/>
      <c r="G40" s="145"/>
      <c r="H40" s="129">
        <f t="shared" si="20"/>
        <v>10</v>
      </c>
      <c r="I40" s="131">
        <v>6</v>
      </c>
      <c r="J40" s="131">
        <v>3</v>
      </c>
      <c r="K40" s="131">
        <v>0</v>
      </c>
      <c r="L40" s="131">
        <v>4</v>
      </c>
      <c r="M40" s="131">
        <v>3</v>
      </c>
      <c r="N40" s="131">
        <f t="shared" si="22"/>
        <v>10</v>
      </c>
      <c r="O40" s="132">
        <f t="shared" si="6"/>
        <v>13</v>
      </c>
      <c r="P40" s="131"/>
      <c r="Q40" s="131"/>
      <c r="R40" s="133">
        <f t="shared" si="23"/>
        <v>97</v>
      </c>
      <c r="S40" s="133">
        <f t="shared" si="24"/>
        <v>16.049999999999997</v>
      </c>
      <c r="T40" s="133">
        <f t="shared" si="9"/>
        <v>0</v>
      </c>
      <c r="U40" s="133">
        <f t="shared" si="25"/>
        <v>113.05</v>
      </c>
      <c r="V40" s="344"/>
      <c r="W40" s="359"/>
      <c r="X40" s="133">
        <f t="shared" si="1"/>
        <v>0</v>
      </c>
      <c r="Y40" s="133">
        <f t="shared" si="2"/>
        <v>0</v>
      </c>
      <c r="Z40" s="138">
        <f t="shared" si="11"/>
        <v>113.05</v>
      </c>
      <c r="AA40" s="225"/>
      <c r="AB40" s="134">
        <v>8</v>
      </c>
      <c r="AC40" s="139"/>
      <c r="AD40" s="139"/>
      <c r="AE40" s="135">
        <f t="shared" si="26"/>
        <v>60</v>
      </c>
      <c r="AF40" s="135">
        <f t="shared" si="31"/>
        <v>60</v>
      </c>
      <c r="AG40" s="348"/>
      <c r="AH40" s="140">
        <f t="shared" si="13"/>
        <v>0</v>
      </c>
      <c r="AI40" s="140">
        <f t="shared" si="14"/>
        <v>0</v>
      </c>
      <c r="AJ40" s="140"/>
      <c r="AK40" s="140"/>
      <c r="AL40" s="81">
        <f t="shared" si="16"/>
        <v>60</v>
      </c>
      <c r="AM40" s="244"/>
    </row>
    <row r="41" spans="1:39" x14ac:dyDescent="0.25">
      <c r="A41" s="367" t="s">
        <v>61</v>
      </c>
      <c r="B41" s="147" t="s">
        <v>114</v>
      </c>
      <c r="C41" s="148"/>
      <c r="D41" s="148"/>
      <c r="E41" s="148"/>
      <c r="F41" s="148"/>
      <c r="G41" s="148"/>
      <c r="H41" s="149">
        <f t="shared" si="20"/>
        <v>2</v>
      </c>
      <c r="I41" s="150">
        <v>2</v>
      </c>
      <c r="J41" s="150">
        <v>1</v>
      </c>
      <c r="K41" s="150">
        <v>0</v>
      </c>
      <c r="L41" s="150">
        <v>0</v>
      </c>
      <c r="M41" s="150">
        <v>0</v>
      </c>
      <c r="N41" s="150">
        <f t="shared" si="22"/>
        <v>2</v>
      </c>
      <c r="O41" s="151">
        <f t="shared" si="6"/>
        <v>2</v>
      </c>
      <c r="P41" s="152"/>
      <c r="Q41" s="152"/>
      <c r="R41" s="153">
        <f t="shared" si="23"/>
        <v>19.399999999999999</v>
      </c>
      <c r="S41" s="153">
        <f t="shared" si="24"/>
        <v>5.35</v>
      </c>
      <c r="T41" s="153">
        <f t="shared" si="9"/>
        <v>0</v>
      </c>
      <c r="U41" s="153">
        <f t="shared" si="25"/>
        <v>24.75</v>
      </c>
      <c r="V41" s="370">
        <f>SUM(U41:U44)</f>
        <v>99</v>
      </c>
      <c r="W41" s="379">
        <f>SUM(P41:P44)*730+SUM(Q41:Q44)*370</f>
        <v>370</v>
      </c>
      <c r="X41" s="153">
        <f t="shared" si="1"/>
        <v>0</v>
      </c>
      <c r="Y41" s="153">
        <f t="shared" si="2"/>
        <v>0</v>
      </c>
      <c r="Z41" s="153">
        <f t="shared" si="11"/>
        <v>24.75</v>
      </c>
      <c r="AA41" s="230">
        <f>SUM(Z41:Z44)</f>
        <v>174</v>
      </c>
      <c r="AB41" s="154">
        <v>1</v>
      </c>
      <c r="AC41" s="155"/>
      <c r="AD41" s="155"/>
      <c r="AE41" s="156">
        <f t="shared" si="26"/>
        <v>7.5</v>
      </c>
      <c r="AF41" s="156">
        <f t="shared" si="31"/>
        <v>7.5</v>
      </c>
      <c r="AG41" s="157"/>
      <c r="AH41" s="158">
        <f t="shared" si="13"/>
        <v>0</v>
      </c>
      <c r="AI41" s="158">
        <f t="shared" si="14"/>
        <v>0</v>
      </c>
      <c r="AJ41" s="158"/>
      <c r="AK41" s="158"/>
      <c r="AL41" s="196">
        <f t="shared" si="16"/>
        <v>7.5</v>
      </c>
      <c r="AM41" s="247">
        <f>SUM(AL41:AL44)</f>
        <v>262.5</v>
      </c>
    </row>
    <row r="42" spans="1:39" x14ac:dyDescent="0.25">
      <c r="A42" s="368"/>
      <c r="B42" s="147" t="s">
        <v>115</v>
      </c>
      <c r="C42" s="148"/>
      <c r="D42" s="148"/>
      <c r="E42" s="148"/>
      <c r="F42" s="148"/>
      <c r="G42" s="148"/>
      <c r="H42" s="149">
        <f t="shared" si="20"/>
        <v>2</v>
      </c>
      <c r="I42" s="150">
        <v>2</v>
      </c>
      <c r="J42" s="150">
        <v>1</v>
      </c>
      <c r="K42" s="150">
        <v>0</v>
      </c>
      <c r="L42" s="150">
        <v>0</v>
      </c>
      <c r="M42" s="150">
        <v>0</v>
      </c>
      <c r="N42" s="150">
        <f t="shared" si="22"/>
        <v>2</v>
      </c>
      <c r="O42" s="151">
        <f t="shared" si="6"/>
        <v>2</v>
      </c>
      <c r="P42" s="152"/>
      <c r="Q42" s="152"/>
      <c r="R42" s="153">
        <f t="shared" si="23"/>
        <v>19.399999999999999</v>
      </c>
      <c r="S42" s="153">
        <f t="shared" si="24"/>
        <v>5.35</v>
      </c>
      <c r="T42" s="153">
        <f t="shared" si="9"/>
        <v>0</v>
      </c>
      <c r="U42" s="153">
        <f t="shared" si="25"/>
        <v>24.75</v>
      </c>
      <c r="V42" s="371"/>
      <c r="W42" s="380"/>
      <c r="X42" s="153">
        <f t="shared" si="1"/>
        <v>0</v>
      </c>
      <c r="Y42" s="153">
        <f t="shared" si="2"/>
        <v>0</v>
      </c>
      <c r="Z42" s="153">
        <f t="shared" si="11"/>
        <v>24.75</v>
      </c>
      <c r="AA42" s="231"/>
      <c r="AB42" s="154">
        <v>1</v>
      </c>
      <c r="AC42" s="155"/>
      <c r="AD42" s="155"/>
      <c r="AE42" s="156">
        <f t="shared" si="26"/>
        <v>7.5</v>
      </c>
      <c r="AF42" s="156">
        <f t="shared" si="31"/>
        <v>7.5</v>
      </c>
      <c r="AG42" s="157"/>
      <c r="AH42" s="158">
        <f t="shared" si="13"/>
        <v>0</v>
      </c>
      <c r="AI42" s="158">
        <f t="shared" si="14"/>
        <v>0</v>
      </c>
      <c r="AJ42" s="158"/>
      <c r="AK42" s="158"/>
      <c r="AL42" s="196">
        <f t="shared" si="16"/>
        <v>7.5</v>
      </c>
      <c r="AM42" s="248"/>
    </row>
    <row r="43" spans="1:39" x14ac:dyDescent="0.25">
      <c r="A43" s="368"/>
      <c r="B43" s="147" t="s">
        <v>116</v>
      </c>
      <c r="C43" s="148"/>
      <c r="D43" s="148"/>
      <c r="E43" s="148"/>
      <c r="F43" s="148"/>
      <c r="G43" s="148"/>
      <c r="H43" s="149">
        <f t="shared" si="20"/>
        <v>2</v>
      </c>
      <c r="I43" s="150">
        <v>2</v>
      </c>
      <c r="J43" s="150">
        <v>1</v>
      </c>
      <c r="K43" s="150">
        <v>0</v>
      </c>
      <c r="L43" s="150">
        <v>0</v>
      </c>
      <c r="M43" s="150">
        <v>0</v>
      </c>
      <c r="N43" s="150">
        <f t="shared" si="22"/>
        <v>2</v>
      </c>
      <c r="O43" s="151">
        <f t="shared" si="6"/>
        <v>2</v>
      </c>
      <c r="P43" s="152"/>
      <c r="Q43" s="152"/>
      <c r="R43" s="153">
        <f t="shared" si="23"/>
        <v>19.399999999999999</v>
      </c>
      <c r="S43" s="153">
        <f t="shared" si="24"/>
        <v>5.35</v>
      </c>
      <c r="T43" s="153">
        <f t="shared" si="9"/>
        <v>0</v>
      </c>
      <c r="U43" s="153">
        <f t="shared" si="25"/>
        <v>24.75</v>
      </c>
      <c r="V43" s="371"/>
      <c r="W43" s="380"/>
      <c r="X43" s="153">
        <f t="shared" si="1"/>
        <v>0</v>
      </c>
      <c r="Y43" s="153">
        <f t="shared" si="2"/>
        <v>0</v>
      </c>
      <c r="Z43" s="153">
        <f t="shared" si="11"/>
        <v>24.75</v>
      </c>
      <c r="AA43" s="231"/>
      <c r="AB43" s="154">
        <v>1</v>
      </c>
      <c r="AC43" s="155"/>
      <c r="AD43" s="155"/>
      <c r="AE43" s="156">
        <f t="shared" si="26"/>
        <v>7.5</v>
      </c>
      <c r="AF43" s="156">
        <f t="shared" si="31"/>
        <v>7.5</v>
      </c>
      <c r="AG43" s="157"/>
      <c r="AH43" s="158">
        <f t="shared" si="13"/>
        <v>0</v>
      </c>
      <c r="AI43" s="158">
        <f t="shared" si="14"/>
        <v>0</v>
      </c>
      <c r="AJ43" s="158"/>
      <c r="AK43" s="158"/>
      <c r="AL43" s="196">
        <f t="shared" si="16"/>
        <v>7.5</v>
      </c>
      <c r="AM43" s="248"/>
    </row>
    <row r="44" spans="1:39" x14ac:dyDescent="0.25">
      <c r="A44" s="369"/>
      <c r="B44" s="147" t="s">
        <v>125</v>
      </c>
      <c r="C44" s="148"/>
      <c r="D44" s="148"/>
      <c r="E44" s="148"/>
      <c r="F44" s="148"/>
      <c r="G44" s="148"/>
      <c r="H44" s="149">
        <f t="shared" si="20"/>
        <v>2</v>
      </c>
      <c r="I44" s="150">
        <v>2</v>
      </c>
      <c r="J44" s="150">
        <v>1</v>
      </c>
      <c r="K44" s="150">
        <v>0</v>
      </c>
      <c r="L44" s="150">
        <v>0</v>
      </c>
      <c r="M44" s="150">
        <v>0</v>
      </c>
      <c r="N44" s="150">
        <f t="shared" si="22"/>
        <v>2</v>
      </c>
      <c r="O44" s="151">
        <f t="shared" si="6"/>
        <v>2</v>
      </c>
      <c r="P44" s="150">
        <v>0</v>
      </c>
      <c r="Q44" s="150">
        <v>1</v>
      </c>
      <c r="R44" s="153">
        <f t="shared" si="23"/>
        <v>19.399999999999999</v>
      </c>
      <c r="S44" s="153">
        <f t="shared" si="24"/>
        <v>5.35</v>
      </c>
      <c r="T44" s="153">
        <f t="shared" si="9"/>
        <v>0</v>
      </c>
      <c r="U44" s="153">
        <f t="shared" si="25"/>
        <v>24.75</v>
      </c>
      <c r="V44" s="372"/>
      <c r="W44" s="381"/>
      <c r="X44" s="153">
        <f t="shared" si="1"/>
        <v>0</v>
      </c>
      <c r="Y44" s="153">
        <f t="shared" si="2"/>
        <v>75</v>
      </c>
      <c r="Z44" s="153">
        <f t="shared" si="11"/>
        <v>99.75</v>
      </c>
      <c r="AA44" s="232"/>
      <c r="AB44" s="154">
        <v>2</v>
      </c>
      <c r="AC44" s="155">
        <v>0</v>
      </c>
      <c r="AD44" s="155">
        <v>1</v>
      </c>
      <c r="AE44" s="156">
        <f t="shared" si="26"/>
        <v>15</v>
      </c>
      <c r="AF44" s="156">
        <f t="shared" si="31"/>
        <v>15</v>
      </c>
      <c r="AG44" s="157"/>
      <c r="AH44" s="158">
        <f t="shared" si="13"/>
        <v>0</v>
      </c>
      <c r="AI44" s="158">
        <f t="shared" si="14"/>
        <v>75</v>
      </c>
      <c r="AJ44" s="158">
        <v>150</v>
      </c>
      <c r="AK44" s="158"/>
      <c r="AL44" s="196">
        <f t="shared" si="16"/>
        <v>240</v>
      </c>
      <c r="AM44" s="249"/>
    </row>
    <row r="45" spans="1:39" x14ac:dyDescent="0.25">
      <c r="A45" s="382" t="s">
        <v>62</v>
      </c>
      <c r="B45" s="159">
        <v>24</v>
      </c>
      <c r="C45" s="160"/>
      <c r="D45" s="160"/>
      <c r="E45" s="160"/>
      <c r="F45" s="160"/>
      <c r="G45" s="160"/>
      <c r="H45" s="161">
        <f t="shared" si="20"/>
        <v>6</v>
      </c>
      <c r="I45" s="162">
        <v>6</v>
      </c>
      <c r="J45" s="162">
        <v>7</v>
      </c>
      <c r="K45" s="162">
        <v>0</v>
      </c>
      <c r="L45" s="162">
        <v>0</v>
      </c>
      <c r="M45" s="162">
        <v>7</v>
      </c>
      <c r="N45" s="162">
        <f t="shared" si="22"/>
        <v>6</v>
      </c>
      <c r="O45" s="163">
        <f t="shared" si="6"/>
        <v>13</v>
      </c>
      <c r="P45" s="162"/>
      <c r="Q45" s="162"/>
      <c r="R45" s="164">
        <f t="shared" si="23"/>
        <v>58.199999999999996</v>
      </c>
      <c r="S45" s="164">
        <f t="shared" si="24"/>
        <v>37.449999999999996</v>
      </c>
      <c r="T45" s="164">
        <f t="shared" si="9"/>
        <v>0</v>
      </c>
      <c r="U45" s="164">
        <f t="shared" si="25"/>
        <v>95.649999999999991</v>
      </c>
      <c r="V45" s="384">
        <f>SUM(U45:U46)</f>
        <v>242.09999999999997</v>
      </c>
      <c r="W45" s="386">
        <f>SUM(P45:P46)*730+SUM(Q45:Q46)*370</f>
        <v>730</v>
      </c>
      <c r="X45" s="164">
        <f t="shared" si="1"/>
        <v>0</v>
      </c>
      <c r="Y45" s="164">
        <f t="shared" si="2"/>
        <v>0</v>
      </c>
      <c r="Z45" s="164">
        <f t="shared" si="11"/>
        <v>95.649999999999991</v>
      </c>
      <c r="AA45" s="233">
        <f>SUM(Z45:Z46)</f>
        <v>482.09999999999997</v>
      </c>
      <c r="AB45" s="165">
        <v>5</v>
      </c>
      <c r="AC45" s="166"/>
      <c r="AD45" s="166"/>
      <c r="AE45" s="167">
        <f t="shared" si="26"/>
        <v>37.5</v>
      </c>
      <c r="AF45" s="167">
        <f t="shared" si="31"/>
        <v>37.5</v>
      </c>
      <c r="AG45" s="388">
        <f>SUM(AF45:AF46)</f>
        <v>105</v>
      </c>
      <c r="AH45" s="168">
        <f t="shared" si="13"/>
        <v>0</v>
      </c>
      <c r="AI45" s="168">
        <f t="shared" si="14"/>
        <v>0</v>
      </c>
      <c r="AJ45" s="168"/>
      <c r="AK45" s="168"/>
      <c r="AL45" s="197">
        <f t="shared" si="16"/>
        <v>37.5</v>
      </c>
      <c r="AM45" s="250">
        <f>SUM(AL45:AL46)</f>
        <v>330</v>
      </c>
    </row>
    <row r="46" spans="1:39" x14ac:dyDescent="0.25">
      <c r="A46" s="383"/>
      <c r="B46" s="159" t="s">
        <v>122</v>
      </c>
      <c r="C46" s="160"/>
      <c r="D46" s="160"/>
      <c r="E46" s="160"/>
      <c r="F46" s="160"/>
      <c r="G46" s="160"/>
      <c r="H46" s="161">
        <f t="shared" si="20"/>
        <v>8</v>
      </c>
      <c r="I46" s="162">
        <v>8</v>
      </c>
      <c r="J46" s="162">
        <v>11</v>
      </c>
      <c r="K46" s="162">
        <v>2</v>
      </c>
      <c r="L46" s="162">
        <v>0</v>
      </c>
      <c r="M46" s="162">
        <v>11</v>
      </c>
      <c r="N46" s="162">
        <f t="shared" si="22"/>
        <v>10</v>
      </c>
      <c r="O46" s="163">
        <f t="shared" si="6"/>
        <v>21</v>
      </c>
      <c r="P46" s="162">
        <v>1</v>
      </c>
      <c r="Q46" s="162">
        <v>0</v>
      </c>
      <c r="R46" s="164">
        <f t="shared" si="23"/>
        <v>77.599999999999994</v>
      </c>
      <c r="S46" s="164">
        <f t="shared" si="24"/>
        <v>58.849999999999994</v>
      </c>
      <c r="T46" s="164">
        <f t="shared" si="9"/>
        <v>10</v>
      </c>
      <c r="U46" s="164">
        <f t="shared" si="25"/>
        <v>146.44999999999999</v>
      </c>
      <c r="V46" s="385"/>
      <c r="W46" s="387"/>
      <c r="X46" s="164">
        <f t="shared" si="1"/>
        <v>240</v>
      </c>
      <c r="Y46" s="164">
        <f t="shared" si="2"/>
        <v>0</v>
      </c>
      <c r="Z46" s="164">
        <f t="shared" si="11"/>
        <v>386.45</v>
      </c>
      <c r="AA46" s="234"/>
      <c r="AB46" s="165">
        <v>9</v>
      </c>
      <c r="AC46" s="166">
        <v>0</v>
      </c>
      <c r="AD46" s="166">
        <v>1</v>
      </c>
      <c r="AE46" s="167">
        <f t="shared" si="26"/>
        <v>67.5</v>
      </c>
      <c r="AF46" s="167">
        <f t="shared" si="31"/>
        <v>67.5</v>
      </c>
      <c r="AG46" s="389"/>
      <c r="AH46" s="168">
        <f t="shared" si="13"/>
        <v>0</v>
      </c>
      <c r="AI46" s="168">
        <f t="shared" si="14"/>
        <v>75</v>
      </c>
      <c r="AJ46" s="168">
        <v>150</v>
      </c>
      <c r="AK46" s="168"/>
      <c r="AL46" s="197">
        <f t="shared" si="16"/>
        <v>292.5</v>
      </c>
      <c r="AM46" s="251"/>
    </row>
    <row r="47" spans="1:39" x14ac:dyDescent="0.25">
      <c r="A47" s="367" t="s">
        <v>63</v>
      </c>
      <c r="B47" s="169">
        <v>25</v>
      </c>
      <c r="C47" s="170"/>
      <c r="D47" s="170"/>
      <c r="E47" s="170"/>
      <c r="F47" s="170"/>
      <c r="G47" s="170">
        <v>2</v>
      </c>
      <c r="H47" s="149">
        <f t="shared" si="20"/>
        <v>33</v>
      </c>
      <c r="I47" s="171">
        <v>33</v>
      </c>
      <c r="J47" s="171">
        <v>28</v>
      </c>
      <c r="K47" s="171">
        <v>5</v>
      </c>
      <c r="L47" s="171">
        <v>0</v>
      </c>
      <c r="M47" s="171">
        <v>0</v>
      </c>
      <c r="N47" s="172">
        <f t="shared" si="22"/>
        <v>38</v>
      </c>
      <c r="O47" s="151">
        <f t="shared" si="6"/>
        <v>38</v>
      </c>
      <c r="P47" s="172"/>
      <c r="Q47" s="172"/>
      <c r="R47" s="153">
        <f t="shared" si="23"/>
        <v>320.09999999999997</v>
      </c>
      <c r="S47" s="153">
        <f t="shared" si="24"/>
        <v>149.79999999999998</v>
      </c>
      <c r="T47" s="153">
        <f t="shared" si="9"/>
        <v>25</v>
      </c>
      <c r="U47" s="153">
        <f t="shared" si="25"/>
        <v>494.9</v>
      </c>
      <c r="V47" s="370">
        <f>SUM(U47:U49)</f>
        <v>1484.6999999999998</v>
      </c>
      <c r="W47" s="373">
        <f>SUM(P47:P49)*730+SUM(Q47:Q49)*370</f>
        <v>2190</v>
      </c>
      <c r="X47" s="153">
        <f t="shared" si="1"/>
        <v>0</v>
      </c>
      <c r="Y47" s="153">
        <f t="shared" si="2"/>
        <v>0</v>
      </c>
      <c r="Z47" s="153">
        <f t="shared" si="11"/>
        <v>494.9</v>
      </c>
      <c r="AA47" s="230">
        <f>SUM(Z47:Z49)</f>
        <v>2204.7000000000003</v>
      </c>
      <c r="AB47" s="154">
        <v>5</v>
      </c>
      <c r="AC47" s="155"/>
      <c r="AD47" s="155"/>
      <c r="AE47" s="156">
        <f t="shared" si="26"/>
        <v>37.5</v>
      </c>
      <c r="AF47" s="156">
        <f t="shared" si="31"/>
        <v>37.5</v>
      </c>
      <c r="AG47" s="376">
        <f>SUM(AF47:AF49)</f>
        <v>112.5</v>
      </c>
      <c r="AH47" s="158">
        <f t="shared" si="13"/>
        <v>0</v>
      </c>
      <c r="AI47" s="158">
        <f t="shared" si="14"/>
        <v>0</v>
      </c>
      <c r="AJ47" s="158"/>
      <c r="AK47" s="158"/>
      <c r="AL47" s="196">
        <f t="shared" si="16"/>
        <v>37.5</v>
      </c>
      <c r="AM47" s="247">
        <f>SUM(AL47:AL49)</f>
        <v>627.5</v>
      </c>
    </row>
    <row r="48" spans="1:39" x14ac:dyDescent="0.25">
      <c r="A48" s="368"/>
      <c r="B48" s="169">
        <v>26</v>
      </c>
      <c r="C48" s="170"/>
      <c r="D48" s="170"/>
      <c r="E48" s="170"/>
      <c r="F48" s="170"/>
      <c r="G48" s="170">
        <v>2</v>
      </c>
      <c r="H48" s="149">
        <f t="shared" si="20"/>
        <v>33</v>
      </c>
      <c r="I48" s="171">
        <v>33</v>
      </c>
      <c r="J48" s="171">
        <v>28</v>
      </c>
      <c r="K48" s="171">
        <v>5</v>
      </c>
      <c r="L48" s="171">
        <v>0</v>
      </c>
      <c r="M48" s="171">
        <v>0</v>
      </c>
      <c r="N48" s="172">
        <f t="shared" si="22"/>
        <v>38</v>
      </c>
      <c r="O48" s="151">
        <f t="shared" si="6"/>
        <v>38</v>
      </c>
      <c r="P48" s="172">
        <v>3</v>
      </c>
      <c r="Q48" s="172">
        <v>0</v>
      </c>
      <c r="R48" s="153">
        <f t="shared" si="23"/>
        <v>320.09999999999997</v>
      </c>
      <c r="S48" s="153">
        <f t="shared" si="24"/>
        <v>149.79999999999998</v>
      </c>
      <c r="T48" s="153">
        <f t="shared" si="9"/>
        <v>25</v>
      </c>
      <c r="U48" s="153">
        <f t="shared" si="25"/>
        <v>494.9</v>
      </c>
      <c r="V48" s="371"/>
      <c r="W48" s="374"/>
      <c r="X48" s="153">
        <f t="shared" si="1"/>
        <v>720</v>
      </c>
      <c r="Y48" s="153">
        <f t="shared" si="2"/>
        <v>0</v>
      </c>
      <c r="Z48" s="153">
        <f t="shared" si="11"/>
        <v>1214.9000000000001</v>
      </c>
      <c r="AA48" s="231"/>
      <c r="AB48" s="154">
        <v>5</v>
      </c>
      <c r="AC48" s="155">
        <v>0</v>
      </c>
      <c r="AD48" s="155">
        <v>1</v>
      </c>
      <c r="AE48" s="156">
        <f t="shared" si="26"/>
        <v>37.5</v>
      </c>
      <c r="AF48" s="156">
        <f t="shared" si="31"/>
        <v>37.5</v>
      </c>
      <c r="AG48" s="377"/>
      <c r="AH48" s="158">
        <f t="shared" si="13"/>
        <v>0</v>
      </c>
      <c r="AI48" s="158">
        <f t="shared" si="14"/>
        <v>75</v>
      </c>
      <c r="AJ48" s="158">
        <v>150</v>
      </c>
      <c r="AK48" s="158">
        <f>90+200</f>
        <v>290</v>
      </c>
      <c r="AL48" s="196">
        <f t="shared" si="16"/>
        <v>552.5</v>
      </c>
      <c r="AM48" s="248"/>
    </row>
    <row r="49" spans="1:39" x14ac:dyDescent="0.25">
      <c r="A49" s="369"/>
      <c r="B49" s="169">
        <v>27</v>
      </c>
      <c r="C49" s="170"/>
      <c r="D49" s="170"/>
      <c r="E49" s="170"/>
      <c r="F49" s="170"/>
      <c r="G49" s="170">
        <v>2</v>
      </c>
      <c r="H49" s="149">
        <f t="shared" si="20"/>
        <v>33</v>
      </c>
      <c r="I49" s="171">
        <v>33</v>
      </c>
      <c r="J49" s="171">
        <v>28</v>
      </c>
      <c r="K49" s="171">
        <v>5</v>
      </c>
      <c r="L49" s="171">
        <v>0</v>
      </c>
      <c r="M49" s="171">
        <v>0</v>
      </c>
      <c r="N49" s="172">
        <f t="shared" si="22"/>
        <v>38</v>
      </c>
      <c r="O49" s="151">
        <f t="shared" si="6"/>
        <v>38</v>
      </c>
      <c r="P49" s="172"/>
      <c r="Q49" s="172"/>
      <c r="R49" s="153">
        <f t="shared" si="23"/>
        <v>320.09999999999997</v>
      </c>
      <c r="S49" s="153">
        <f t="shared" si="24"/>
        <v>149.79999999999998</v>
      </c>
      <c r="T49" s="153">
        <f t="shared" si="9"/>
        <v>25</v>
      </c>
      <c r="U49" s="153">
        <f t="shared" si="25"/>
        <v>494.9</v>
      </c>
      <c r="V49" s="372"/>
      <c r="W49" s="375"/>
      <c r="X49" s="153">
        <f t="shared" si="1"/>
        <v>0</v>
      </c>
      <c r="Y49" s="153">
        <f t="shared" si="2"/>
        <v>0</v>
      </c>
      <c r="Z49" s="153">
        <f t="shared" si="11"/>
        <v>494.9</v>
      </c>
      <c r="AA49" s="232"/>
      <c r="AB49" s="154">
        <v>5</v>
      </c>
      <c r="AC49" s="155"/>
      <c r="AD49" s="155"/>
      <c r="AE49" s="156">
        <f t="shared" si="26"/>
        <v>37.5</v>
      </c>
      <c r="AF49" s="156">
        <f t="shared" si="31"/>
        <v>37.5</v>
      </c>
      <c r="AG49" s="378"/>
      <c r="AH49" s="158">
        <f t="shared" si="13"/>
        <v>0</v>
      </c>
      <c r="AI49" s="158">
        <f t="shared" si="14"/>
        <v>0</v>
      </c>
      <c r="AJ49" s="158"/>
      <c r="AK49" s="158"/>
      <c r="AL49" s="196">
        <f t="shared" si="16"/>
        <v>37.5</v>
      </c>
      <c r="AM49" s="249"/>
    </row>
    <row r="50" spans="1:39" x14ac:dyDescent="0.25">
      <c r="A50" s="382" t="s">
        <v>64</v>
      </c>
      <c r="B50" s="173">
        <v>28</v>
      </c>
      <c r="C50" s="174"/>
      <c r="D50" s="174"/>
      <c r="E50" s="174"/>
      <c r="F50" s="174"/>
      <c r="G50" s="174">
        <v>2</v>
      </c>
      <c r="H50" s="161">
        <f t="shared" si="20"/>
        <v>33</v>
      </c>
      <c r="I50" s="175">
        <v>33</v>
      </c>
      <c r="J50" s="175">
        <v>28</v>
      </c>
      <c r="K50" s="175">
        <v>5</v>
      </c>
      <c r="L50" s="175">
        <v>0</v>
      </c>
      <c r="M50" s="175">
        <v>0</v>
      </c>
      <c r="N50" s="176">
        <f t="shared" si="22"/>
        <v>38</v>
      </c>
      <c r="O50" s="163">
        <f t="shared" si="6"/>
        <v>38</v>
      </c>
      <c r="P50" s="176"/>
      <c r="Q50" s="176"/>
      <c r="R50" s="164">
        <f t="shared" si="23"/>
        <v>320.09999999999997</v>
      </c>
      <c r="S50" s="164">
        <f t="shared" si="24"/>
        <v>149.79999999999998</v>
      </c>
      <c r="T50" s="164">
        <f t="shared" si="9"/>
        <v>25</v>
      </c>
      <c r="U50" s="164">
        <f t="shared" si="25"/>
        <v>494.9</v>
      </c>
      <c r="V50" s="384">
        <f>SUM(U50:U52)</f>
        <v>1484.6999999999998</v>
      </c>
      <c r="W50" s="392">
        <f>SUM(P50:P52)*730+SUM(Q50:Q52)*370</f>
        <v>2190</v>
      </c>
      <c r="X50" s="164">
        <f t="shared" si="1"/>
        <v>0</v>
      </c>
      <c r="Y50" s="164">
        <f t="shared" si="2"/>
        <v>0</v>
      </c>
      <c r="Z50" s="164">
        <f t="shared" si="11"/>
        <v>494.9</v>
      </c>
      <c r="AA50" s="233">
        <f>SUM(Z50:Z52)</f>
        <v>2204.7000000000003</v>
      </c>
      <c r="AB50" s="165">
        <v>5</v>
      </c>
      <c r="AC50" s="166"/>
      <c r="AD50" s="166"/>
      <c r="AE50" s="167">
        <f t="shared" si="26"/>
        <v>37.5</v>
      </c>
      <c r="AF50" s="167">
        <f t="shared" si="31"/>
        <v>37.5</v>
      </c>
      <c r="AG50" s="388">
        <f>SUM(AF50:AF52)</f>
        <v>112.5</v>
      </c>
      <c r="AH50" s="168">
        <f t="shared" si="13"/>
        <v>0</v>
      </c>
      <c r="AI50" s="168">
        <f t="shared" si="14"/>
        <v>0</v>
      </c>
      <c r="AJ50" s="168"/>
      <c r="AK50" s="168"/>
      <c r="AL50" s="197">
        <f t="shared" si="16"/>
        <v>37.5</v>
      </c>
      <c r="AM50" s="250">
        <f>SUM(AL50:AL52)</f>
        <v>187.5</v>
      </c>
    </row>
    <row r="51" spans="1:39" x14ac:dyDescent="0.25">
      <c r="A51" s="390"/>
      <c r="B51" s="173">
        <v>29</v>
      </c>
      <c r="C51" s="174"/>
      <c r="D51" s="174"/>
      <c r="E51" s="174"/>
      <c r="F51" s="174"/>
      <c r="G51" s="174">
        <v>2</v>
      </c>
      <c r="H51" s="161">
        <f t="shared" si="20"/>
        <v>33</v>
      </c>
      <c r="I51" s="175">
        <v>33</v>
      </c>
      <c r="J51" s="175">
        <v>28</v>
      </c>
      <c r="K51" s="175">
        <v>5</v>
      </c>
      <c r="L51" s="175">
        <v>0</v>
      </c>
      <c r="M51" s="175">
        <v>0</v>
      </c>
      <c r="N51" s="176">
        <f t="shared" si="22"/>
        <v>38</v>
      </c>
      <c r="O51" s="163">
        <f t="shared" si="6"/>
        <v>38</v>
      </c>
      <c r="P51" s="176">
        <v>3</v>
      </c>
      <c r="Q51" s="176">
        <v>0</v>
      </c>
      <c r="R51" s="164">
        <f t="shared" si="23"/>
        <v>320.09999999999997</v>
      </c>
      <c r="S51" s="164">
        <f t="shared" si="24"/>
        <v>149.79999999999998</v>
      </c>
      <c r="T51" s="164">
        <f t="shared" si="9"/>
        <v>25</v>
      </c>
      <c r="U51" s="164">
        <f t="shared" si="25"/>
        <v>494.9</v>
      </c>
      <c r="V51" s="391"/>
      <c r="W51" s="393"/>
      <c r="X51" s="164">
        <f t="shared" si="1"/>
        <v>720</v>
      </c>
      <c r="Y51" s="164">
        <f t="shared" si="2"/>
        <v>0</v>
      </c>
      <c r="Z51" s="164">
        <f t="shared" si="11"/>
        <v>1214.9000000000001</v>
      </c>
      <c r="AA51" s="235"/>
      <c r="AB51" s="165">
        <v>5</v>
      </c>
      <c r="AC51" s="166">
        <v>0</v>
      </c>
      <c r="AD51" s="166">
        <v>1</v>
      </c>
      <c r="AE51" s="167">
        <f t="shared" si="26"/>
        <v>37.5</v>
      </c>
      <c r="AF51" s="167">
        <f t="shared" si="31"/>
        <v>37.5</v>
      </c>
      <c r="AG51" s="395"/>
      <c r="AH51" s="168">
        <f t="shared" si="13"/>
        <v>0</v>
      </c>
      <c r="AI51" s="168">
        <f t="shared" si="14"/>
        <v>75</v>
      </c>
      <c r="AJ51" s="168"/>
      <c r="AK51" s="168"/>
      <c r="AL51" s="197">
        <f t="shared" si="16"/>
        <v>112.5</v>
      </c>
      <c r="AM51" s="252"/>
    </row>
    <row r="52" spans="1:39" x14ac:dyDescent="0.25">
      <c r="A52" s="383"/>
      <c r="B52" s="173">
        <v>30</v>
      </c>
      <c r="C52" s="174"/>
      <c r="D52" s="174"/>
      <c r="E52" s="174"/>
      <c r="F52" s="174"/>
      <c r="G52" s="174">
        <v>2</v>
      </c>
      <c r="H52" s="161">
        <f t="shared" si="20"/>
        <v>33</v>
      </c>
      <c r="I52" s="175">
        <v>33</v>
      </c>
      <c r="J52" s="175">
        <v>28</v>
      </c>
      <c r="K52" s="175">
        <v>5</v>
      </c>
      <c r="L52" s="175">
        <v>0</v>
      </c>
      <c r="M52" s="175">
        <v>0</v>
      </c>
      <c r="N52" s="176">
        <f t="shared" si="22"/>
        <v>38</v>
      </c>
      <c r="O52" s="163">
        <f t="shared" si="6"/>
        <v>38</v>
      </c>
      <c r="P52" s="176"/>
      <c r="Q52" s="176"/>
      <c r="R52" s="164">
        <f t="shared" si="23"/>
        <v>320.09999999999997</v>
      </c>
      <c r="S52" s="164">
        <f t="shared" si="24"/>
        <v>149.79999999999998</v>
      </c>
      <c r="T52" s="164">
        <f t="shared" si="9"/>
        <v>25</v>
      </c>
      <c r="U52" s="164">
        <f t="shared" si="25"/>
        <v>494.9</v>
      </c>
      <c r="V52" s="385"/>
      <c r="W52" s="394"/>
      <c r="X52" s="164">
        <f t="shared" si="1"/>
        <v>0</v>
      </c>
      <c r="Y52" s="164">
        <f t="shared" si="2"/>
        <v>0</v>
      </c>
      <c r="Z52" s="164">
        <f t="shared" si="11"/>
        <v>494.9</v>
      </c>
      <c r="AA52" s="234"/>
      <c r="AB52" s="165">
        <v>5</v>
      </c>
      <c r="AC52" s="166"/>
      <c r="AD52" s="166"/>
      <c r="AE52" s="167">
        <f t="shared" si="26"/>
        <v>37.5</v>
      </c>
      <c r="AF52" s="167">
        <f t="shared" si="31"/>
        <v>37.5</v>
      </c>
      <c r="AG52" s="389"/>
      <c r="AH52" s="168">
        <f t="shared" si="13"/>
        <v>0</v>
      </c>
      <c r="AI52" s="168">
        <f t="shared" si="14"/>
        <v>0</v>
      </c>
      <c r="AJ52" s="168"/>
      <c r="AK52" s="168"/>
      <c r="AL52" s="197">
        <f t="shared" si="16"/>
        <v>37.5</v>
      </c>
      <c r="AM52" s="251"/>
    </row>
    <row r="53" spans="1:39" x14ac:dyDescent="0.25">
      <c r="A53" s="367" t="s">
        <v>65</v>
      </c>
      <c r="B53" s="169">
        <v>31</v>
      </c>
      <c r="C53" s="170"/>
      <c r="D53" s="170"/>
      <c r="E53" s="170"/>
      <c r="F53" s="170"/>
      <c r="G53" s="170">
        <v>2</v>
      </c>
      <c r="H53" s="149">
        <f t="shared" si="20"/>
        <v>33</v>
      </c>
      <c r="I53" s="171">
        <v>33</v>
      </c>
      <c r="J53" s="171">
        <v>28</v>
      </c>
      <c r="K53" s="171">
        <v>5</v>
      </c>
      <c r="L53" s="171">
        <v>0</v>
      </c>
      <c r="M53" s="171">
        <v>0</v>
      </c>
      <c r="N53" s="172">
        <f t="shared" si="22"/>
        <v>38</v>
      </c>
      <c r="O53" s="151">
        <f t="shared" si="6"/>
        <v>38</v>
      </c>
      <c r="P53" s="172"/>
      <c r="Q53" s="172"/>
      <c r="R53" s="153">
        <f t="shared" si="23"/>
        <v>320.09999999999997</v>
      </c>
      <c r="S53" s="153">
        <f t="shared" si="24"/>
        <v>149.79999999999998</v>
      </c>
      <c r="T53" s="153">
        <f t="shared" si="9"/>
        <v>25</v>
      </c>
      <c r="U53" s="153">
        <f t="shared" si="25"/>
        <v>494.9</v>
      </c>
      <c r="V53" s="370">
        <f>SUM(U53:U55)</f>
        <v>1484.6999999999998</v>
      </c>
      <c r="W53" s="373">
        <f>SUM(P53:P55)*730+SUM(Q53:Q55)*370</f>
        <v>2190</v>
      </c>
      <c r="X53" s="153">
        <f t="shared" si="1"/>
        <v>0</v>
      </c>
      <c r="Y53" s="153">
        <f t="shared" si="2"/>
        <v>0</v>
      </c>
      <c r="Z53" s="153">
        <f t="shared" si="11"/>
        <v>494.9</v>
      </c>
      <c r="AA53" s="230">
        <f>SUM(Z53:Z55)</f>
        <v>2204.7000000000003</v>
      </c>
      <c r="AB53" s="154">
        <v>5</v>
      </c>
      <c r="AC53" s="155"/>
      <c r="AD53" s="155"/>
      <c r="AE53" s="156">
        <f t="shared" si="26"/>
        <v>37.5</v>
      </c>
      <c r="AF53" s="156">
        <f t="shared" si="31"/>
        <v>37.5</v>
      </c>
      <c r="AG53" s="376">
        <f>SUM(AF53:AF55)</f>
        <v>112.5</v>
      </c>
      <c r="AH53" s="158">
        <f t="shared" si="13"/>
        <v>0</v>
      </c>
      <c r="AI53" s="158">
        <f t="shared" si="14"/>
        <v>0</v>
      </c>
      <c r="AJ53" s="158"/>
      <c r="AK53" s="158"/>
      <c r="AL53" s="196">
        <f t="shared" si="16"/>
        <v>37.5</v>
      </c>
      <c r="AM53" s="247">
        <f>SUM(AL53:AL55)</f>
        <v>627.5</v>
      </c>
    </row>
    <row r="54" spans="1:39" x14ac:dyDescent="0.25">
      <c r="A54" s="368"/>
      <c r="B54" s="169">
        <v>32</v>
      </c>
      <c r="C54" s="170"/>
      <c r="D54" s="170"/>
      <c r="E54" s="170"/>
      <c r="F54" s="170"/>
      <c r="G54" s="170">
        <v>2</v>
      </c>
      <c r="H54" s="149">
        <f t="shared" si="20"/>
        <v>33</v>
      </c>
      <c r="I54" s="171">
        <v>33</v>
      </c>
      <c r="J54" s="171">
        <v>28</v>
      </c>
      <c r="K54" s="171">
        <v>5</v>
      </c>
      <c r="L54" s="171">
        <v>0</v>
      </c>
      <c r="M54" s="171">
        <v>0</v>
      </c>
      <c r="N54" s="172">
        <f t="shared" si="22"/>
        <v>38</v>
      </c>
      <c r="O54" s="151">
        <f t="shared" si="6"/>
        <v>38</v>
      </c>
      <c r="P54" s="172">
        <v>3</v>
      </c>
      <c r="Q54" s="172">
        <v>0</v>
      </c>
      <c r="R54" s="153">
        <f t="shared" si="23"/>
        <v>320.09999999999997</v>
      </c>
      <c r="S54" s="153">
        <f t="shared" si="24"/>
        <v>149.79999999999998</v>
      </c>
      <c r="T54" s="153">
        <f t="shared" si="9"/>
        <v>25</v>
      </c>
      <c r="U54" s="153">
        <f t="shared" si="25"/>
        <v>494.9</v>
      </c>
      <c r="V54" s="371"/>
      <c r="W54" s="374"/>
      <c r="X54" s="153">
        <f t="shared" si="1"/>
        <v>720</v>
      </c>
      <c r="Y54" s="153">
        <f t="shared" si="2"/>
        <v>0</v>
      </c>
      <c r="Z54" s="153">
        <f t="shared" si="11"/>
        <v>1214.9000000000001</v>
      </c>
      <c r="AA54" s="231"/>
      <c r="AB54" s="154">
        <v>5</v>
      </c>
      <c r="AC54" s="155">
        <v>0</v>
      </c>
      <c r="AD54" s="155">
        <v>1</v>
      </c>
      <c r="AE54" s="156">
        <f t="shared" si="26"/>
        <v>37.5</v>
      </c>
      <c r="AF54" s="156">
        <f t="shared" si="31"/>
        <v>37.5</v>
      </c>
      <c r="AG54" s="377"/>
      <c r="AH54" s="158">
        <f t="shared" si="13"/>
        <v>0</v>
      </c>
      <c r="AI54" s="158">
        <f t="shared" si="14"/>
        <v>75</v>
      </c>
      <c r="AJ54" s="158">
        <v>150</v>
      </c>
      <c r="AK54" s="158">
        <f>90+200</f>
        <v>290</v>
      </c>
      <c r="AL54" s="196">
        <f t="shared" si="16"/>
        <v>552.5</v>
      </c>
      <c r="AM54" s="248"/>
    </row>
    <row r="55" spans="1:39" x14ac:dyDescent="0.25">
      <c r="A55" s="369"/>
      <c r="B55" s="169">
        <v>33</v>
      </c>
      <c r="C55" s="170"/>
      <c r="D55" s="170"/>
      <c r="E55" s="170"/>
      <c r="F55" s="170"/>
      <c r="G55" s="170">
        <v>2</v>
      </c>
      <c r="H55" s="149">
        <f t="shared" si="20"/>
        <v>33</v>
      </c>
      <c r="I55" s="171">
        <v>33</v>
      </c>
      <c r="J55" s="171">
        <v>28</v>
      </c>
      <c r="K55" s="171">
        <v>5</v>
      </c>
      <c r="L55" s="171">
        <v>0</v>
      </c>
      <c r="M55" s="171">
        <v>0</v>
      </c>
      <c r="N55" s="172">
        <f t="shared" si="22"/>
        <v>38</v>
      </c>
      <c r="O55" s="151">
        <f t="shared" si="6"/>
        <v>38</v>
      </c>
      <c r="P55" s="172"/>
      <c r="Q55" s="172"/>
      <c r="R55" s="153">
        <f t="shared" si="23"/>
        <v>320.09999999999997</v>
      </c>
      <c r="S55" s="153">
        <f t="shared" si="24"/>
        <v>149.79999999999998</v>
      </c>
      <c r="T55" s="153">
        <f t="shared" si="9"/>
        <v>25</v>
      </c>
      <c r="U55" s="153">
        <f t="shared" si="25"/>
        <v>494.9</v>
      </c>
      <c r="V55" s="372"/>
      <c r="W55" s="375"/>
      <c r="X55" s="153">
        <f t="shared" si="1"/>
        <v>0</v>
      </c>
      <c r="Y55" s="153">
        <f t="shared" si="2"/>
        <v>0</v>
      </c>
      <c r="Z55" s="153">
        <f t="shared" si="11"/>
        <v>494.9</v>
      </c>
      <c r="AA55" s="232"/>
      <c r="AB55" s="154">
        <v>5</v>
      </c>
      <c r="AC55" s="155"/>
      <c r="AD55" s="155"/>
      <c r="AE55" s="156">
        <f t="shared" si="26"/>
        <v>37.5</v>
      </c>
      <c r="AF55" s="156">
        <f t="shared" si="31"/>
        <v>37.5</v>
      </c>
      <c r="AG55" s="378"/>
      <c r="AH55" s="158">
        <f t="shared" si="13"/>
        <v>0</v>
      </c>
      <c r="AI55" s="158">
        <f t="shared" si="14"/>
        <v>0</v>
      </c>
      <c r="AJ55" s="158"/>
      <c r="AK55" s="158"/>
      <c r="AL55" s="196">
        <f t="shared" si="16"/>
        <v>37.5</v>
      </c>
      <c r="AM55" s="249"/>
    </row>
    <row r="56" spans="1:39" x14ac:dyDescent="0.25">
      <c r="A56" s="382" t="s">
        <v>66</v>
      </c>
      <c r="B56" s="173">
        <v>34</v>
      </c>
      <c r="C56" s="174"/>
      <c r="D56" s="174"/>
      <c r="E56" s="174"/>
      <c r="F56" s="174"/>
      <c r="G56" s="174">
        <v>2</v>
      </c>
      <c r="H56" s="161">
        <f t="shared" si="20"/>
        <v>33</v>
      </c>
      <c r="I56" s="175">
        <v>33</v>
      </c>
      <c r="J56" s="175">
        <v>28</v>
      </c>
      <c r="K56" s="175">
        <v>5</v>
      </c>
      <c r="L56" s="175">
        <v>0</v>
      </c>
      <c r="M56" s="175">
        <v>0</v>
      </c>
      <c r="N56" s="176">
        <f t="shared" si="22"/>
        <v>38</v>
      </c>
      <c r="O56" s="163">
        <f t="shared" si="6"/>
        <v>38</v>
      </c>
      <c r="P56" s="176"/>
      <c r="Q56" s="176"/>
      <c r="R56" s="164">
        <f t="shared" si="23"/>
        <v>320.09999999999997</v>
      </c>
      <c r="S56" s="164">
        <f t="shared" si="24"/>
        <v>149.79999999999998</v>
      </c>
      <c r="T56" s="164">
        <f t="shared" si="9"/>
        <v>25</v>
      </c>
      <c r="U56" s="164">
        <f t="shared" si="25"/>
        <v>494.9</v>
      </c>
      <c r="V56" s="384">
        <f>SUM(U56:U58)</f>
        <v>1484.6999999999998</v>
      </c>
      <c r="W56" s="392">
        <f>SUM(P56:P58)*730+SUM(Q56:Q58)*370</f>
        <v>2190</v>
      </c>
      <c r="X56" s="164">
        <f t="shared" si="1"/>
        <v>0</v>
      </c>
      <c r="Y56" s="164">
        <f t="shared" si="2"/>
        <v>0</v>
      </c>
      <c r="Z56" s="164">
        <f t="shared" si="11"/>
        <v>494.9</v>
      </c>
      <c r="AA56" s="233">
        <f>SUM(Z56:Z58)</f>
        <v>2204.7000000000003</v>
      </c>
      <c r="AB56" s="165">
        <v>5</v>
      </c>
      <c r="AC56" s="166"/>
      <c r="AD56" s="166"/>
      <c r="AE56" s="167">
        <f t="shared" si="26"/>
        <v>37.5</v>
      </c>
      <c r="AF56" s="167">
        <f t="shared" si="31"/>
        <v>37.5</v>
      </c>
      <c r="AG56" s="388">
        <f>SUM(AF56:AF58)</f>
        <v>112.5</v>
      </c>
      <c r="AH56" s="168">
        <f t="shared" si="13"/>
        <v>0</v>
      </c>
      <c r="AI56" s="168">
        <f t="shared" si="14"/>
        <v>0</v>
      </c>
      <c r="AJ56" s="168"/>
      <c r="AK56" s="168"/>
      <c r="AL56" s="197">
        <f t="shared" si="16"/>
        <v>37.5</v>
      </c>
      <c r="AM56" s="250">
        <f>SUM(AL56:AL58)</f>
        <v>187.5</v>
      </c>
    </row>
    <row r="57" spans="1:39" x14ac:dyDescent="0.25">
      <c r="A57" s="390"/>
      <c r="B57" s="173">
        <v>35</v>
      </c>
      <c r="C57" s="174"/>
      <c r="D57" s="174"/>
      <c r="E57" s="174"/>
      <c r="F57" s="174"/>
      <c r="G57" s="174">
        <v>2</v>
      </c>
      <c r="H57" s="161">
        <f t="shared" si="20"/>
        <v>33</v>
      </c>
      <c r="I57" s="175">
        <v>33</v>
      </c>
      <c r="J57" s="175">
        <v>28</v>
      </c>
      <c r="K57" s="175">
        <v>5</v>
      </c>
      <c r="L57" s="175">
        <v>0</v>
      </c>
      <c r="M57" s="175">
        <v>0</v>
      </c>
      <c r="N57" s="176">
        <f t="shared" si="22"/>
        <v>38</v>
      </c>
      <c r="O57" s="163">
        <f t="shared" si="6"/>
        <v>38</v>
      </c>
      <c r="P57" s="176">
        <v>3</v>
      </c>
      <c r="Q57" s="176">
        <v>0</v>
      </c>
      <c r="R57" s="164">
        <f t="shared" si="23"/>
        <v>320.09999999999997</v>
      </c>
      <c r="S57" s="164">
        <f t="shared" si="24"/>
        <v>149.79999999999998</v>
      </c>
      <c r="T57" s="164">
        <f t="shared" si="9"/>
        <v>25</v>
      </c>
      <c r="U57" s="164">
        <f t="shared" si="25"/>
        <v>494.9</v>
      </c>
      <c r="V57" s="391"/>
      <c r="W57" s="393"/>
      <c r="X57" s="164">
        <f t="shared" si="1"/>
        <v>720</v>
      </c>
      <c r="Y57" s="164">
        <f t="shared" si="2"/>
        <v>0</v>
      </c>
      <c r="Z57" s="164">
        <f t="shared" si="11"/>
        <v>1214.9000000000001</v>
      </c>
      <c r="AA57" s="235"/>
      <c r="AB57" s="165">
        <v>5</v>
      </c>
      <c r="AC57" s="166">
        <v>0</v>
      </c>
      <c r="AD57" s="166">
        <v>1</v>
      </c>
      <c r="AE57" s="167">
        <f t="shared" si="26"/>
        <v>37.5</v>
      </c>
      <c r="AF57" s="167">
        <f t="shared" si="31"/>
        <v>37.5</v>
      </c>
      <c r="AG57" s="395"/>
      <c r="AH57" s="168">
        <f t="shared" si="13"/>
        <v>0</v>
      </c>
      <c r="AI57" s="168">
        <f t="shared" si="14"/>
        <v>75</v>
      </c>
      <c r="AJ57" s="168"/>
      <c r="AK57" s="168"/>
      <c r="AL57" s="197">
        <f t="shared" si="16"/>
        <v>112.5</v>
      </c>
      <c r="AM57" s="252"/>
    </row>
    <row r="58" spans="1:39" x14ac:dyDescent="0.25">
      <c r="A58" s="383"/>
      <c r="B58" s="173">
        <v>36</v>
      </c>
      <c r="C58" s="174"/>
      <c r="D58" s="174"/>
      <c r="E58" s="174"/>
      <c r="F58" s="174"/>
      <c r="G58" s="174">
        <v>2</v>
      </c>
      <c r="H58" s="161">
        <f t="shared" si="20"/>
        <v>33</v>
      </c>
      <c r="I58" s="175">
        <v>33</v>
      </c>
      <c r="J58" s="175">
        <v>28</v>
      </c>
      <c r="K58" s="175">
        <v>5</v>
      </c>
      <c r="L58" s="175">
        <v>0</v>
      </c>
      <c r="M58" s="175">
        <v>0</v>
      </c>
      <c r="N58" s="176">
        <f t="shared" si="22"/>
        <v>38</v>
      </c>
      <c r="O58" s="163">
        <f t="shared" si="6"/>
        <v>38</v>
      </c>
      <c r="P58" s="176"/>
      <c r="Q58" s="176"/>
      <c r="R58" s="164">
        <f t="shared" si="23"/>
        <v>320.09999999999997</v>
      </c>
      <c r="S58" s="164">
        <f t="shared" si="24"/>
        <v>149.79999999999998</v>
      </c>
      <c r="T58" s="164">
        <f t="shared" si="9"/>
        <v>25</v>
      </c>
      <c r="U58" s="164">
        <f t="shared" si="25"/>
        <v>494.9</v>
      </c>
      <c r="V58" s="385"/>
      <c r="W58" s="394"/>
      <c r="X58" s="164">
        <f t="shared" si="1"/>
        <v>0</v>
      </c>
      <c r="Y58" s="164">
        <f t="shared" si="2"/>
        <v>0</v>
      </c>
      <c r="Z58" s="164">
        <f t="shared" si="11"/>
        <v>494.9</v>
      </c>
      <c r="AA58" s="234"/>
      <c r="AB58" s="165">
        <v>5</v>
      </c>
      <c r="AC58" s="166"/>
      <c r="AD58" s="166"/>
      <c r="AE58" s="167">
        <f t="shared" si="26"/>
        <v>37.5</v>
      </c>
      <c r="AF58" s="167">
        <f t="shared" si="31"/>
        <v>37.5</v>
      </c>
      <c r="AG58" s="389"/>
      <c r="AH58" s="168">
        <f t="shared" si="13"/>
        <v>0</v>
      </c>
      <c r="AI58" s="168">
        <f t="shared" si="14"/>
        <v>0</v>
      </c>
      <c r="AJ58" s="168"/>
      <c r="AK58" s="168"/>
      <c r="AL58" s="197">
        <f t="shared" si="16"/>
        <v>37.5</v>
      </c>
      <c r="AM58" s="251"/>
    </row>
    <row r="59" spans="1:39" x14ac:dyDescent="0.25">
      <c r="A59" s="367" t="s">
        <v>67</v>
      </c>
      <c r="B59" s="169">
        <v>37</v>
      </c>
      <c r="C59" s="170"/>
      <c r="D59" s="170"/>
      <c r="E59" s="170"/>
      <c r="F59" s="170"/>
      <c r="G59" s="170">
        <v>2</v>
      </c>
      <c r="H59" s="149">
        <f t="shared" si="20"/>
        <v>33</v>
      </c>
      <c r="I59" s="171">
        <v>33</v>
      </c>
      <c r="J59" s="171">
        <v>28</v>
      </c>
      <c r="K59" s="171">
        <v>5</v>
      </c>
      <c r="L59" s="171">
        <v>0</v>
      </c>
      <c r="M59" s="171">
        <v>0</v>
      </c>
      <c r="N59" s="172">
        <f>H59+K59</f>
        <v>38</v>
      </c>
      <c r="O59" s="151">
        <f t="shared" si="6"/>
        <v>38</v>
      </c>
      <c r="P59" s="172"/>
      <c r="Q59" s="172"/>
      <c r="R59" s="153">
        <f t="shared" si="23"/>
        <v>320.09999999999997</v>
      </c>
      <c r="S59" s="153">
        <f t="shared" si="24"/>
        <v>149.79999999999998</v>
      </c>
      <c r="T59" s="153">
        <f t="shared" si="9"/>
        <v>25</v>
      </c>
      <c r="U59" s="153">
        <f t="shared" si="25"/>
        <v>494.9</v>
      </c>
      <c r="V59" s="370">
        <f>SUM(U59:U62)</f>
        <v>1043.6499999999999</v>
      </c>
      <c r="W59" s="379">
        <f>SUM(P59:P62)*730+SUM(Q59:Q62)*370</f>
        <v>1830</v>
      </c>
      <c r="X59" s="153">
        <f t="shared" si="1"/>
        <v>0</v>
      </c>
      <c r="Y59" s="153">
        <f t="shared" si="2"/>
        <v>0</v>
      </c>
      <c r="Z59" s="153">
        <f t="shared" si="11"/>
        <v>494.9</v>
      </c>
      <c r="AA59" s="230">
        <f>SUM(Z59:Z62)</f>
        <v>1598.65</v>
      </c>
      <c r="AB59" s="154">
        <v>5</v>
      </c>
      <c r="AC59" s="155"/>
      <c r="AD59" s="155"/>
      <c r="AE59" s="156">
        <f t="shared" si="26"/>
        <v>37.5</v>
      </c>
      <c r="AF59" s="156">
        <f t="shared" si="31"/>
        <v>37.5</v>
      </c>
      <c r="AG59" s="376">
        <f>SUM(AF59:AF62)</f>
        <v>105</v>
      </c>
      <c r="AH59" s="158">
        <f t="shared" si="13"/>
        <v>0</v>
      </c>
      <c r="AI59" s="158">
        <f t="shared" si="14"/>
        <v>0</v>
      </c>
      <c r="AJ59" s="158"/>
      <c r="AK59" s="158"/>
      <c r="AL59" s="196">
        <f t="shared" si="16"/>
        <v>37.5</v>
      </c>
      <c r="AM59" s="247">
        <f>SUM(AL59:AL62)</f>
        <v>625</v>
      </c>
    </row>
    <row r="60" spans="1:39" x14ac:dyDescent="0.25">
      <c r="A60" s="368"/>
      <c r="B60" s="169">
        <v>38</v>
      </c>
      <c r="C60" s="170"/>
      <c r="D60" s="170"/>
      <c r="E60" s="170"/>
      <c r="F60" s="170"/>
      <c r="G60" s="170">
        <v>2</v>
      </c>
      <c r="H60" s="149">
        <f t="shared" si="20"/>
        <v>33</v>
      </c>
      <c r="I60" s="171">
        <v>33</v>
      </c>
      <c r="J60" s="171">
        <v>28</v>
      </c>
      <c r="K60" s="171">
        <v>5</v>
      </c>
      <c r="L60" s="171">
        <v>0</v>
      </c>
      <c r="M60" s="171">
        <v>0</v>
      </c>
      <c r="N60" s="172">
        <f>H60+K60</f>
        <v>38</v>
      </c>
      <c r="O60" s="151">
        <f t="shared" si="6"/>
        <v>38</v>
      </c>
      <c r="P60" s="172">
        <v>2</v>
      </c>
      <c r="Q60" s="172">
        <v>1</v>
      </c>
      <c r="R60" s="153">
        <f t="shared" si="23"/>
        <v>320.09999999999997</v>
      </c>
      <c r="S60" s="153">
        <f t="shared" si="24"/>
        <v>149.79999999999998</v>
      </c>
      <c r="T60" s="153">
        <f t="shared" si="9"/>
        <v>25</v>
      </c>
      <c r="U60" s="153">
        <f t="shared" si="25"/>
        <v>494.9</v>
      </c>
      <c r="V60" s="371"/>
      <c r="W60" s="380"/>
      <c r="X60" s="153">
        <f t="shared" si="1"/>
        <v>480</v>
      </c>
      <c r="Y60" s="153">
        <f t="shared" si="2"/>
        <v>75</v>
      </c>
      <c r="Z60" s="153">
        <f t="shared" si="11"/>
        <v>1049.9000000000001</v>
      </c>
      <c r="AA60" s="231"/>
      <c r="AB60" s="154">
        <v>5</v>
      </c>
      <c r="AC60" s="155">
        <v>0</v>
      </c>
      <c r="AD60" s="155">
        <v>1</v>
      </c>
      <c r="AE60" s="156">
        <f t="shared" si="26"/>
        <v>37.5</v>
      </c>
      <c r="AF60" s="156">
        <f t="shared" si="31"/>
        <v>37.5</v>
      </c>
      <c r="AG60" s="377"/>
      <c r="AH60" s="158">
        <f t="shared" si="13"/>
        <v>0</v>
      </c>
      <c r="AI60" s="158">
        <f t="shared" si="14"/>
        <v>75</v>
      </c>
      <c r="AJ60" s="158">
        <v>300</v>
      </c>
      <c r="AK60" s="158">
        <f>45+100</f>
        <v>145</v>
      </c>
      <c r="AL60" s="196">
        <f t="shared" si="16"/>
        <v>557.5</v>
      </c>
      <c r="AM60" s="248"/>
    </row>
    <row r="61" spans="1:39" x14ac:dyDescent="0.25">
      <c r="A61" s="368"/>
      <c r="B61" s="177" t="s">
        <v>123</v>
      </c>
      <c r="C61" s="170"/>
      <c r="D61" s="170"/>
      <c r="E61" s="170"/>
      <c r="F61" s="170"/>
      <c r="G61" s="170"/>
      <c r="H61" s="149">
        <f t="shared" si="20"/>
        <v>1</v>
      </c>
      <c r="I61" s="171">
        <v>1</v>
      </c>
      <c r="J61" s="171">
        <v>1</v>
      </c>
      <c r="K61" s="171">
        <v>0</v>
      </c>
      <c r="L61" s="171"/>
      <c r="M61" s="171"/>
      <c r="N61" s="172">
        <f>H61+K61</f>
        <v>1</v>
      </c>
      <c r="O61" s="151">
        <f t="shared" si="6"/>
        <v>1</v>
      </c>
      <c r="P61" s="172"/>
      <c r="Q61" s="172"/>
      <c r="R61" s="153">
        <f t="shared" si="23"/>
        <v>9.6999999999999993</v>
      </c>
      <c r="S61" s="153">
        <f t="shared" si="24"/>
        <v>5.35</v>
      </c>
      <c r="T61" s="153">
        <f t="shared" si="9"/>
        <v>0</v>
      </c>
      <c r="U61" s="153">
        <f t="shared" si="25"/>
        <v>15.049999999999999</v>
      </c>
      <c r="V61" s="371"/>
      <c r="W61" s="380"/>
      <c r="X61" s="153">
        <f t="shared" si="1"/>
        <v>0</v>
      </c>
      <c r="Y61" s="153">
        <f t="shared" si="2"/>
        <v>0</v>
      </c>
      <c r="Z61" s="153">
        <f t="shared" si="11"/>
        <v>15.049999999999999</v>
      </c>
      <c r="AA61" s="231"/>
      <c r="AB61" s="154">
        <v>0</v>
      </c>
      <c r="AC61" s="155"/>
      <c r="AD61" s="155"/>
      <c r="AE61" s="156">
        <f t="shared" si="26"/>
        <v>0</v>
      </c>
      <c r="AF61" s="156">
        <f t="shared" si="31"/>
        <v>0</v>
      </c>
      <c r="AG61" s="377"/>
      <c r="AH61" s="158">
        <f t="shared" si="13"/>
        <v>0</v>
      </c>
      <c r="AI61" s="158">
        <f t="shared" si="14"/>
        <v>0</v>
      </c>
      <c r="AJ61" s="158"/>
      <c r="AK61" s="158"/>
      <c r="AL61" s="196">
        <f t="shared" si="16"/>
        <v>0</v>
      </c>
      <c r="AM61" s="248"/>
    </row>
    <row r="62" spans="1:39" x14ac:dyDescent="0.25">
      <c r="A62" s="369"/>
      <c r="B62" s="177" t="s">
        <v>126</v>
      </c>
      <c r="C62" s="170"/>
      <c r="D62" s="170"/>
      <c r="E62" s="170"/>
      <c r="F62" s="170"/>
      <c r="G62" s="170"/>
      <c r="H62" s="149">
        <f t="shared" si="20"/>
        <v>4</v>
      </c>
      <c r="I62" s="171">
        <v>0</v>
      </c>
      <c r="J62" s="171">
        <v>0</v>
      </c>
      <c r="K62" s="171">
        <v>0</v>
      </c>
      <c r="L62" s="171">
        <v>4</v>
      </c>
      <c r="M62" s="171"/>
      <c r="N62" s="172">
        <f>H62+K62</f>
        <v>4</v>
      </c>
      <c r="O62" s="151">
        <f t="shared" si="6"/>
        <v>4</v>
      </c>
      <c r="P62" s="172"/>
      <c r="Q62" s="172"/>
      <c r="R62" s="153">
        <f t="shared" si="23"/>
        <v>38.799999999999997</v>
      </c>
      <c r="S62" s="153">
        <f t="shared" si="24"/>
        <v>0</v>
      </c>
      <c r="T62" s="153">
        <f t="shared" si="9"/>
        <v>0</v>
      </c>
      <c r="U62" s="153">
        <f t="shared" si="25"/>
        <v>38.799999999999997</v>
      </c>
      <c r="V62" s="372"/>
      <c r="W62" s="381"/>
      <c r="X62" s="153">
        <f t="shared" si="1"/>
        <v>0</v>
      </c>
      <c r="Y62" s="153">
        <f t="shared" si="2"/>
        <v>0</v>
      </c>
      <c r="Z62" s="153">
        <f t="shared" si="11"/>
        <v>38.799999999999997</v>
      </c>
      <c r="AA62" s="232"/>
      <c r="AB62" s="154">
        <v>4</v>
      </c>
      <c r="AC62" s="155"/>
      <c r="AD62" s="155"/>
      <c r="AE62" s="156">
        <f t="shared" si="26"/>
        <v>30</v>
      </c>
      <c r="AF62" s="156">
        <f t="shared" si="31"/>
        <v>30</v>
      </c>
      <c r="AG62" s="378"/>
      <c r="AH62" s="157">
        <f t="shared" si="13"/>
        <v>0</v>
      </c>
      <c r="AI62" s="157">
        <f t="shared" si="14"/>
        <v>0</v>
      </c>
      <c r="AJ62" s="157"/>
      <c r="AK62" s="157"/>
      <c r="AL62" s="196">
        <f t="shared" si="16"/>
        <v>30</v>
      </c>
      <c r="AM62" s="249"/>
    </row>
    <row r="63" spans="1:39" x14ac:dyDescent="0.25">
      <c r="A63" s="178"/>
      <c r="B63" s="179"/>
      <c r="C63" s="179"/>
      <c r="D63" s="179"/>
      <c r="E63" s="179"/>
      <c r="F63" s="179"/>
      <c r="G63" s="179"/>
      <c r="H63" s="180"/>
      <c r="I63" s="179"/>
      <c r="J63" s="179"/>
      <c r="K63" s="179"/>
      <c r="L63" s="179"/>
      <c r="M63" s="179"/>
      <c r="N63" s="179"/>
      <c r="O63" s="180"/>
      <c r="P63" s="179"/>
      <c r="Q63" s="179"/>
      <c r="R63" s="179"/>
      <c r="S63" s="179"/>
      <c r="T63" s="179"/>
      <c r="U63" s="179"/>
      <c r="V63" s="180"/>
      <c r="W63" s="181"/>
      <c r="X63" s="179"/>
      <c r="Y63" s="179"/>
      <c r="Z63" s="179"/>
      <c r="AA63" s="215"/>
      <c r="AB63" s="181"/>
      <c r="AE63" s="181"/>
      <c r="AF63" s="181"/>
      <c r="AG63" s="180"/>
    </row>
    <row r="64" spans="1:39" x14ac:dyDescent="0.25">
      <c r="A64" s="178"/>
      <c r="B64" s="179"/>
      <c r="C64" s="179"/>
      <c r="D64" s="179"/>
      <c r="E64" s="179"/>
      <c r="F64" s="179"/>
      <c r="G64" s="179"/>
      <c r="H64" s="180"/>
      <c r="I64" s="179"/>
      <c r="J64" s="179"/>
      <c r="K64" s="179"/>
      <c r="L64" s="179"/>
      <c r="M64" s="179"/>
      <c r="N64" s="179"/>
      <c r="O64" s="180"/>
      <c r="P64" s="179"/>
      <c r="Q64" s="179"/>
      <c r="R64" s="179"/>
      <c r="S64" s="179"/>
      <c r="T64" s="179"/>
      <c r="U64" s="179"/>
      <c r="V64" s="180"/>
      <c r="W64" s="181"/>
      <c r="X64" s="179"/>
      <c r="Y64" s="179"/>
      <c r="Z64" s="179"/>
      <c r="AA64" s="215"/>
      <c r="AB64" s="181"/>
      <c r="AE64" s="181"/>
      <c r="AF64" s="181"/>
      <c r="AG64" s="180"/>
    </row>
    <row r="65" spans="1:40" x14ac:dyDescent="0.25">
      <c r="A65" s="178"/>
      <c r="B65" s="179"/>
      <c r="C65" s="179"/>
      <c r="D65" s="179"/>
      <c r="E65" s="179"/>
      <c r="F65" s="179"/>
      <c r="G65" s="179"/>
      <c r="H65" s="180"/>
      <c r="I65" s="179"/>
      <c r="J65" s="179"/>
      <c r="K65" s="179"/>
      <c r="L65" s="179"/>
      <c r="M65" s="179"/>
      <c r="N65" s="179"/>
      <c r="O65" s="180"/>
      <c r="P65" s="179"/>
      <c r="Q65" s="179"/>
      <c r="R65" s="179"/>
      <c r="S65" s="179"/>
      <c r="T65" s="179"/>
      <c r="U65" s="179"/>
      <c r="V65" s="180"/>
      <c r="W65" s="181"/>
      <c r="X65" s="179"/>
      <c r="Y65" s="179"/>
      <c r="Z65" s="179"/>
      <c r="AA65" s="216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  <c r="AM65" s="179"/>
      <c r="AN65" s="179"/>
    </row>
    <row r="66" spans="1:40" x14ac:dyDescent="0.25">
      <c r="A66" s="178"/>
      <c r="B66" s="179"/>
      <c r="C66" s="179"/>
      <c r="D66" s="179"/>
      <c r="E66" s="179"/>
      <c r="F66" s="179"/>
      <c r="G66" s="179"/>
      <c r="H66" s="180"/>
      <c r="I66" s="179"/>
      <c r="J66" s="179"/>
      <c r="K66" s="179"/>
      <c r="L66" s="179"/>
      <c r="M66" s="179"/>
      <c r="N66" s="179"/>
      <c r="O66" s="180"/>
      <c r="P66" s="179"/>
      <c r="Q66" s="179"/>
      <c r="R66" s="179"/>
      <c r="S66" s="179"/>
      <c r="T66" s="179"/>
      <c r="U66" s="179"/>
      <c r="V66" s="180"/>
      <c r="W66" s="181"/>
      <c r="X66" s="179"/>
      <c r="Y66" s="179"/>
      <c r="Z66" s="179"/>
      <c r="AA66" s="216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</row>
    <row r="67" spans="1:40" x14ac:dyDescent="0.25">
      <c r="A67" s="178"/>
      <c r="B67" s="179"/>
      <c r="C67" s="179"/>
      <c r="D67" s="179"/>
      <c r="E67" s="179"/>
      <c r="F67" s="179"/>
      <c r="G67" s="179"/>
      <c r="H67" s="180"/>
      <c r="I67" s="179"/>
      <c r="J67" s="179"/>
      <c r="K67" s="179"/>
      <c r="L67" s="179"/>
      <c r="M67" s="179"/>
      <c r="N67" s="179"/>
      <c r="O67" s="180"/>
      <c r="P67" s="179"/>
      <c r="Q67" s="179"/>
      <c r="R67" s="179"/>
      <c r="S67" s="179"/>
      <c r="T67" s="179"/>
      <c r="U67" s="179"/>
      <c r="V67" s="180"/>
      <c r="W67" s="181"/>
      <c r="X67" s="179"/>
      <c r="Y67" s="179"/>
      <c r="Z67" s="179"/>
      <c r="AA67" s="216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  <c r="AN67" s="179"/>
    </row>
    <row r="68" spans="1:40" x14ac:dyDescent="0.25">
      <c r="A68" s="178"/>
      <c r="B68" s="179"/>
      <c r="C68" s="179"/>
      <c r="D68" s="179"/>
      <c r="E68" s="179"/>
      <c r="F68" s="179"/>
      <c r="G68" s="179"/>
      <c r="H68" s="180"/>
      <c r="I68" s="179"/>
      <c r="J68" s="179"/>
      <c r="K68" s="179"/>
      <c r="L68" s="179"/>
      <c r="M68" s="179"/>
      <c r="N68" s="179"/>
      <c r="O68" s="180"/>
      <c r="P68" s="179"/>
      <c r="Q68" s="179"/>
      <c r="R68" s="179"/>
      <c r="S68" s="179"/>
      <c r="T68" s="179"/>
      <c r="U68" s="179"/>
      <c r="V68" s="180"/>
      <c r="W68" s="181"/>
      <c r="X68" s="179"/>
      <c r="Y68" s="179"/>
      <c r="Z68" s="179"/>
      <c r="AA68" s="216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</row>
    <row r="69" spans="1:40" x14ac:dyDescent="0.25">
      <c r="A69" s="178"/>
      <c r="B69" s="179"/>
      <c r="C69" s="179"/>
      <c r="D69" s="179"/>
      <c r="E69" s="179"/>
      <c r="F69" s="179"/>
      <c r="G69" s="179"/>
      <c r="H69" s="180"/>
      <c r="I69" s="179"/>
      <c r="J69" s="179"/>
      <c r="K69" s="179"/>
      <c r="L69" s="179"/>
      <c r="M69" s="179"/>
      <c r="N69" s="179"/>
      <c r="O69" s="180"/>
      <c r="P69" s="179"/>
      <c r="Q69" s="179"/>
      <c r="R69" s="179"/>
      <c r="S69" s="179"/>
      <c r="T69" s="179"/>
      <c r="U69" s="179"/>
      <c r="V69" s="180"/>
      <c r="W69" s="181"/>
      <c r="X69" s="179"/>
      <c r="Y69" s="179"/>
      <c r="Z69" s="179"/>
      <c r="AA69" s="216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</row>
    <row r="70" spans="1:40" x14ac:dyDescent="0.25">
      <c r="A70" s="178"/>
      <c r="B70" s="179"/>
      <c r="C70" s="179"/>
      <c r="D70" s="179"/>
      <c r="E70" s="179"/>
      <c r="F70" s="179"/>
      <c r="G70" s="179"/>
      <c r="H70" s="180"/>
      <c r="I70" s="179"/>
      <c r="J70" s="179"/>
      <c r="K70" s="179"/>
      <c r="L70" s="179"/>
      <c r="M70" s="179"/>
      <c r="N70" s="179"/>
      <c r="O70" s="180"/>
      <c r="P70" s="179"/>
      <c r="Q70" s="179"/>
      <c r="R70" s="179"/>
      <c r="S70" s="179"/>
      <c r="T70" s="179"/>
      <c r="U70" s="179"/>
      <c r="V70" s="180"/>
      <c r="W70" s="181"/>
      <c r="X70" s="179"/>
      <c r="Y70" s="179"/>
      <c r="Z70" s="179"/>
      <c r="AA70" s="216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</row>
    <row r="71" spans="1:40" x14ac:dyDescent="0.25">
      <c r="A71" s="178"/>
      <c r="B71" s="179"/>
      <c r="C71" s="179"/>
      <c r="D71" s="179"/>
      <c r="E71" s="179"/>
      <c r="F71" s="179"/>
      <c r="G71" s="179"/>
      <c r="H71" s="180"/>
      <c r="I71" s="179"/>
      <c r="J71" s="179"/>
      <c r="K71" s="179"/>
      <c r="L71" s="179"/>
      <c r="M71" s="179"/>
      <c r="N71" s="179"/>
      <c r="O71" s="180"/>
      <c r="P71" s="179"/>
      <c r="Q71" s="179"/>
      <c r="R71" s="179"/>
      <c r="S71" s="179"/>
      <c r="T71" s="179"/>
      <c r="U71" s="179"/>
      <c r="V71" s="180"/>
      <c r="W71" s="181"/>
      <c r="X71" s="179"/>
      <c r="Y71" s="179"/>
      <c r="Z71" s="179"/>
      <c r="AA71" s="216"/>
      <c r="AB71" s="179"/>
      <c r="AC71" s="179"/>
      <c r="AD71" s="179"/>
      <c r="AE71" s="179"/>
      <c r="AF71" s="179"/>
      <c r="AG71" s="179"/>
      <c r="AH71" s="179"/>
      <c r="AI71" s="179"/>
      <c r="AJ71" s="179"/>
      <c r="AK71" s="179"/>
      <c r="AL71" s="179"/>
      <c r="AM71" s="179"/>
      <c r="AN71" s="179"/>
    </row>
    <row r="72" spans="1:40" x14ac:dyDescent="0.25">
      <c r="A72" s="178"/>
      <c r="B72" s="179"/>
      <c r="C72" s="179"/>
      <c r="D72" s="179"/>
      <c r="E72" s="179"/>
      <c r="F72" s="179"/>
      <c r="G72" s="179"/>
      <c r="H72" s="180"/>
      <c r="I72" s="179"/>
      <c r="J72" s="179"/>
      <c r="K72" s="179"/>
      <c r="L72" s="179"/>
      <c r="M72" s="179"/>
      <c r="N72" s="179"/>
      <c r="O72" s="180"/>
      <c r="P72" s="179"/>
      <c r="Q72" s="179"/>
      <c r="R72" s="179"/>
      <c r="S72" s="179"/>
      <c r="T72" s="179"/>
      <c r="U72" s="179"/>
      <c r="V72" s="180"/>
      <c r="W72" s="181"/>
      <c r="X72" s="179"/>
      <c r="Y72" s="179"/>
      <c r="Z72" s="179"/>
      <c r="AA72" s="216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</row>
    <row r="73" spans="1:40" x14ac:dyDescent="0.25">
      <c r="A73" s="178"/>
      <c r="B73" s="179"/>
      <c r="C73" s="179"/>
      <c r="D73" s="179"/>
      <c r="E73" s="179"/>
      <c r="F73" s="179"/>
      <c r="G73" s="179"/>
      <c r="H73" s="180"/>
      <c r="I73" s="179"/>
      <c r="J73" s="179"/>
      <c r="K73" s="179"/>
      <c r="L73" s="179"/>
      <c r="M73" s="179"/>
      <c r="N73" s="179"/>
      <c r="O73" s="180"/>
      <c r="P73" s="179"/>
      <c r="Q73" s="179"/>
      <c r="R73" s="179"/>
      <c r="S73" s="179"/>
      <c r="T73" s="179"/>
      <c r="U73" s="179"/>
      <c r="V73" s="180"/>
      <c r="W73" s="181"/>
      <c r="X73" s="179"/>
      <c r="Y73" s="179"/>
      <c r="Z73" s="179"/>
      <c r="AA73" s="216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  <c r="AL73" s="179"/>
      <c r="AM73" s="179"/>
      <c r="AN73" s="179"/>
    </row>
    <row r="74" spans="1:40" x14ac:dyDescent="0.25">
      <c r="A74" s="178"/>
      <c r="B74" s="179"/>
      <c r="C74" s="179"/>
      <c r="D74" s="179"/>
      <c r="E74" s="179"/>
      <c r="F74" s="179"/>
      <c r="G74" s="179"/>
      <c r="H74" s="180"/>
      <c r="I74" s="179"/>
      <c r="J74" s="179"/>
      <c r="K74" s="179"/>
      <c r="L74" s="179"/>
      <c r="M74" s="179"/>
      <c r="N74" s="179"/>
      <c r="O74" s="180"/>
      <c r="P74" s="179"/>
      <c r="Q74" s="179"/>
      <c r="R74" s="179"/>
      <c r="S74" s="179"/>
      <c r="T74" s="179"/>
      <c r="U74" s="179"/>
      <c r="V74" s="180"/>
      <c r="W74" s="181"/>
      <c r="X74" s="179"/>
      <c r="Y74" s="179"/>
      <c r="Z74" s="179"/>
      <c r="AA74" s="216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</row>
    <row r="75" spans="1:40" x14ac:dyDescent="0.25">
      <c r="A75" s="178"/>
      <c r="B75" s="179"/>
      <c r="C75" s="179"/>
      <c r="D75" s="179"/>
      <c r="E75" s="179"/>
      <c r="F75" s="179"/>
      <c r="G75" s="179"/>
      <c r="H75" s="180"/>
      <c r="I75" s="179"/>
      <c r="J75" s="179"/>
      <c r="K75" s="179"/>
      <c r="L75" s="179"/>
      <c r="M75" s="179"/>
      <c r="N75" s="179"/>
      <c r="O75" s="180"/>
      <c r="P75" s="179"/>
      <c r="Q75" s="179"/>
      <c r="R75" s="179"/>
      <c r="S75" s="179"/>
      <c r="T75" s="179"/>
      <c r="U75" s="179"/>
      <c r="V75" s="180"/>
      <c r="W75" s="181"/>
      <c r="X75" s="179"/>
      <c r="Y75" s="179"/>
      <c r="Z75" s="179"/>
      <c r="AA75" s="216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79"/>
      <c r="AM75" s="179"/>
      <c r="AN75" s="179"/>
    </row>
    <row r="76" spans="1:40" x14ac:dyDescent="0.25">
      <c r="A76" s="178"/>
      <c r="B76" s="179"/>
      <c r="C76" s="179"/>
      <c r="D76" s="179"/>
      <c r="E76" s="179"/>
      <c r="F76" s="179"/>
      <c r="G76" s="179"/>
      <c r="H76" s="180"/>
      <c r="I76" s="179"/>
      <c r="J76" s="179"/>
      <c r="K76" s="179"/>
      <c r="L76" s="179"/>
      <c r="M76" s="179"/>
      <c r="N76" s="179"/>
      <c r="O76" s="180"/>
      <c r="P76" s="179"/>
      <c r="Q76" s="179"/>
      <c r="R76" s="179"/>
      <c r="S76" s="179"/>
      <c r="T76" s="179"/>
      <c r="U76" s="179"/>
      <c r="V76" s="180"/>
      <c r="W76" s="181"/>
      <c r="X76" s="179"/>
      <c r="Y76" s="179"/>
      <c r="Z76" s="179"/>
      <c r="AA76" s="216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  <c r="AM76" s="179"/>
      <c r="AN76" s="179"/>
    </row>
    <row r="77" spans="1:40" x14ac:dyDescent="0.25">
      <c r="A77" s="178"/>
      <c r="B77" s="179"/>
      <c r="C77" s="179"/>
      <c r="D77" s="179"/>
      <c r="E77" s="179"/>
      <c r="F77" s="179"/>
      <c r="G77" s="179"/>
      <c r="H77" s="180"/>
      <c r="I77" s="179"/>
      <c r="J77" s="179"/>
      <c r="K77" s="179"/>
      <c r="L77" s="179"/>
      <c r="M77" s="179"/>
      <c r="N77" s="179"/>
      <c r="O77" s="180"/>
      <c r="P77" s="179"/>
      <c r="Q77" s="179"/>
      <c r="R77" s="179"/>
      <c r="S77" s="179"/>
      <c r="T77" s="179"/>
      <c r="U77" s="179"/>
      <c r="V77" s="180"/>
      <c r="W77" s="181"/>
      <c r="X77" s="179"/>
      <c r="Y77" s="179"/>
      <c r="Z77" s="179"/>
      <c r="AA77" s="216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79"/>
      <c r="AM77" s="179"/>
      <c r="AN77" s="179"/>
    </row>
    <row r="78" spans="1:40" x14ac:dyDescent="0.25">
      <c r="A78" s="178"/>
      <c r="B78" s="179"/>
      <c r="C78" s="179"/>
      <c r="D78" s="179"/>
      <c r="E78" s="179"/>
      <c r="F78" s="179"/>
      <c r="G78" s="179"/>
      <c r="H78" s="180"/>
      <c r="I78" s="179"/>
      <c r="J78" s="179"/>
      <c r="K78" s="179"/>
      <c r="L78" s="179"/>
      <c r="M78" s="179"/>
      <c r="N78" s="179"/>
      <c r="O78" s="180"/>
      <c r="P78" s="179"/>
      <c r="Q78" s="179"/>
      <c r="R78" s="179"/>
      <c r="S78" s="179"/>
      <c r="T78" s="179"/>
      <c r="U78" s="179"/>
      <c r="V78" s="180"/>
      <c r="W78" s="181"/>
      <c r="X78" s="179"/>
      <c r="Y78" s="179"/>
      <c r="Z78" s="179"/>
      <c r="AA78" s="216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</row>
    <row r="79" spans="1:40" x14ac:dyDescent="0.25">
      <c r="A79" s="178"/>
      <c r="B79" s="179"/>
      <c r="C79" s="179"/>
      <c r="D79" s="179"/>
      <c r="E79" s="179"/>
      <c r="F79" s="179"/>
      <c r="G79" s="179"/>
      <c r="H79" s="180"/>
      <c r="I79" s="179"/>
      <c r="J79" s="179"/>
      <c r="K79" s="179"/>
      <c r="L79" s="179"/>
      <c r="M79" s="179"/>
      <c r="N79" s="179"/>
      <c r="O79" s="180"/>
      <c r="P79" s="179"/>
      <c r="Q79" s="179"/>
      <c r="R79" s="179"/>
      <c r="S79" s="179"/>
      <c r="T79" s="179"/>
      <c r="U79" s="179"/>
      <c r="V79" s="180"/>
      <c r="W79" s="181"/>
      <c r="X79" s="179"/>
      <c r="Y79" s="179"/>
      <c r="Z79" s="179"/>
      <c r="AA79" s="216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</row>
    <row r="80" spans="1:40" x14ac:dyDescent="0.25">
      <c r="A80" s="178"/>
      <c r="B80" s="179"/>
      <c r="C80" s="179"/>
      <c r="D80" s="179"/>
      <c r="E80" s="179"/>
      <c r="F80" s="179"/>
      <c r="G80" s="179"/>
      <c r="H80" s="180"/>
      <c r="I80" s="179"/>
      <c r="J80" s="179"/>
      <c r="K80" s="179"/>
      <c r="L80" s="179"/>
      <c r="M80" s="179"/>
      <c r="N80" s="179"/>
      <c r="O80" s="180"/>
      <c r="P80" s="179"/>
      <c r="Q80" s="179"/>
      <c r="R80" s="179"/>
      <c r="S80" s="179"/>
      <c r="T80" s="179"/>
      <c r="U80" s="179"/>
      <c r="V80" s="180"/>
      <c r="W80" s="181"/>
      <c r="X80" s="179"/>
      <c r="Y80" s="179"/>
      <c r="Z80" s="179"/>
      <c r="AA80" s="216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</row>
    <row r="81" spans="1:40" x14ac:dyDescent="0.25">
      <c r="A81" s="178"/>
      <c r="B81" s="179"/>
      <c r="C81" s="179"/>
      <c r="D81" s="179"/>
      <c r="E81" s="179"/>
      <c r="F81" s="179"/>
      <c r="G81" s="179"/>
      <c r="H81" s="180"/>
      <c r="I81" s="179"/>
      <c r="J81" s="179"/>
      <c r="K81" s="179"/>
      <c r="L81" s="179"/>
      <c r="M81" s="179"/>
      <c r="N81" s="179"/>
      <c r="O81" s="180"/>
      <c r="P81" s="179"/>
      <c r="Q81" s="179"/>
      <c r="R81" s="179"/>
      <c r="S81" s="179"/>
      <c r="T81" s="179"/>
      <c r="U81" s="179"/>
      <c r="V81" s="180"/>
      <c r="W81" s="181"/>
      <c r="X81" s="179"/>
      <c r="Y81" s="179"/>
      <c r="Z81" s="179"/>
      <c r="AA81" s="216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  <c r="AM81" s="179"/>
      <c r="AN81" s="179"/>
    </row>
    <row r="82" spans="1:40" x14ac:dyDescent="0.25">
      <c r="A82" s="178"/>
      <c r="B82" s="179"/>
      <c r="C82" s="179"/>
      <c r="D82" s="179"/>
      <c r="E82" s="179"/>
      <c r="F82" s="179"/>
      <c r="G82" s="179"/>
      <c r="H82" s="180"/>
      <c r="I82" s="179"/>
      <c r="J82" s="179"/>
      <c r="K82" s="179"/>
      <c r="L82" s="179"/>
      <c r="M82" s="179"/>
      <c r="N82" s="179"/>
      <c r="O82" s="180"/>
      <c r="P82" s="179"/>
      <c r="Q82" s="179"/>
      <c r="R82" s="179"/>
      <c r="S82" s="179"/>
      <c r="T82" s="179"/>
      <c r="U82" s="179"/>
      <c r="V82" s="180"/>
      <c r="W82" s="181"/>
      <c r="X82" s="179"/>
      <c r="Y82" s="179"/>
      <c r="Z82" s="179"/>
      <c r="AA82" s="216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</row>
    <row r="83" spans="1:40" x14ac:dyDescent="0.25">
      <c r="A83" s="178"/>
      <c r="B83" s="179"/>
      <c r="C83" s="179"/>
      <c r="D83" s="179"/>
      <c r="E83" s="179"/>
      <c r="F83" s="179"/>
      <c r="G83" s="179"/>
      <c r="H83" s="180"/>
      <c r="I83" s="179"/>
      <c r="J83" s="179"/>
      <c r="K83" s="179"/>
      <c r="L83" s="179"/>
      <c r="M83" s="179"/>
      <c r="N83" s="179"/>
      <c r="O83" s="180"/>
      <c r="P83" s="179"/>
      <c r="Q83" s="179"/>
      <c r="R83" s="179"/>
      <c r="S83" s="179"/>
      <c r="T83" s="179"/>
      <c r="U83" s="179"/>
      <c r="V83" s="180"/>
      <c r="W83" s="181"/>
      <c r="X83" s="179"/>
      <c r="Y83" s="179"/>
      <c r="Z83" s="179"/>
      <c r="AA83" s="216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  <c r="AM83" s="179"/>
      <c r="AN83" s="179"/>
    </row>
    <row r="84" spans="1:40" x14ac:dyDescent="0.25">
      <c r="A84" s="178"/>
      <c r="B84" s="179"/>
      <c r="C84" s="179"/>
      <c r="D84" s="179"/>
      <c r="E84" s="179"/>
      <c r="F84" s="179"/>
      <c r="G84" s="179"/>
      <c r="H84" s="180"/>
      <c r="I84" s="179"/>
      <c r="J84" s="179"/>
      <c r="K84" s="179"/>
      <c r="L84" s="179"/>
      <c r="M84" s="179"/>
      <c r="N84" s="179"/>
      <c r="O84" s="180"/>
      <c r="P84" s="179"/>
      <c r="Q84" s="179"/>
      <c r="R84" s="179"/>
      <c r="S84" s="179"/>
      <c r="T84" s="179"/>
      <c r="U84" s="179"/>
      <c r="V84" s="180"/>
      <c r="W84" s="181"/>
      <c r="X84" s="179"/>
      <c r="Y84" s="179"/>
      <c r="Z84" s="179"/>
      <c r="AA84" s="216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9"/>
    </row>
    <row r="85" spans="1:40" x14ac:dyDescent="0.25">
      <c r="A85" s="178"/>
      <c r="B85" s="179"/>
      <c r="C85" s="179"/>
      <c r="D85" s="179"/>
      <c r="E85" s="179"/>
      <c r="F85" s="179"/>
      <c r="G85" s="179"/>
      <c r="H85" s="180"/>
      <c r="I85" s="179"/>
      <c r="J85" s="179"/>
      <c r="K85" s="179"/>
      <c r="L85" s="179"/>
      <c r="M85" s="179"/>
      <c r="N85" s="179"/>
      <c r="O85" s="180"/>
      <c r="P85" s="179"/>
      <c r="Q85" s="179"/>
      <c r="R85" s="179"/>
      <c r="S85" s="179"/>
      <c r="T85" s="179"/>
      <c r="U85" s="179"/>
      <c r="V85" s="180"/>
      <c r="W85" s="181"/>
      <c r="X85" s="179"/>
      <c r="Y85" s="179"/>
      <c r="Z85" s="179"/>
      <c r="AA85" s="216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</row>
    <row r="86" spans="1:40" x14ac:dyDescent="0.25">
      <c r="A86" s="178"/>
      <c r="B86" s="179"/>
      <c r="C86" s="179"/>
      <c r="D86" s="179"/>
      <c r="E86" s="179"/>
      <c r="F86" s="179"/>
      <c r="G86" s="179"/>
      <c r="H86" s="180"/>
      <c r="I86" s="179"/>
      <c r="J86" s="179"/>
      <c r="K86" s="179"/>
      <c r="L86" s="179"/>
      <c r="M86" s="179"/>
      <c r="N86" s="179"/>
      <c r="O86" s="180"/>
      <c r="P86" s="179"/>
      <c r="Q86" s="179"/>
      <c r="R86" s="179"/>
      <c r="S86" s="179"/>
      <c r="T86" s="179"/>
      <c r="U86" s="179"/>
      <c r="V86" s="180"/>
      <c r="W86" s="181"/>
      <c r="X86" s="179"/>
      <c r="Y86" s="179"/>
      <c r="Z86" s="179"/>
      <c r="AA86" s="216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</row>
    <row r="87" spans="1:40" x14ac:dyDescent="0.25">
      <c r="A87" s="178"/>
      <c r="B87" s="179"/>
      <c r="C87" s="179"/>
      <c r="D87" s="179"/>
      <c r="E87" s="179"/>
      <c r="F87" s="179"/>
      <c r="G87" s="179"/>
      <c r="H87" s="180"/>
      <c r="I87" s="179"/>
      <c r="J87" s="179"/>
      <c r="K87" s="179"/>
      <c r="L87" s="179"/>
      <c r="M87" s="179"/>
      <c r="N87" s="179"/>
      <c r="O87" s="180"/>
      <c r="P87" s="179"/>
      <c r="Q87" s="179"/>
      <c r="R87" s="179"/>
      <c r="S87" s="179"/>
      <c r="T87" s="179"/>
      <c r="U87" s="179"/>
      <c r="V87" s="180"/>
      <c r="W87" s="181"/>
      <c r="X87" s="179"/>
      <c r="Y87" s="179"/>
      <c r="Z87" s="179"/>
      <c r="AA87" s="216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</row>
    <row r="88" spans="1:40" x14ac:dyDescent="0.25">
      <c r="A88" s="178"/>
      <c r="B88" s="179"/>
      <c r="C88" s="179"/>
      <c r="D88" s="179"/>
      <c r="E88" s="179"/>
      <c r="F88" s="179"/>
      <c r="G88" s="179"/>
      <c r="H88" s="180"/>
      <c r="I88" s="179"/>
      <c r="J88" s="179"/>
      <c r="K88" s="179"/>
      <c r="L88" s="179"/>
      <c r="M88" s="179"/>
      <c r="N88" s="179"/>
      <c r="O88" s="180"/>
      <c r="P88" s="179"/>
      <c r="Q88" s="179"/>
      <c r="R88" s="179"/>
      <c r="S88" s="179"/>
      <c r="T88" s="179"/>
      <c r="U88" s="179"/>
      <c r="V88" s="180"/>
      <c r="W88" s="181"/>
      <c r="X88" s="179"/>
      <c r="Y88" s="179"/>
      <c r="Z88" s="179"/>
      <c r="AA88" s="215"/>
      <c r="AB88" s="181"/>
      <c r="AE88" s="181"/>
      <c r="AF88" s="181"/>
      <c r="AG88" s="180"/>
      <c r="AH88" s="63"/>
      <c r="AI88" s="63"/>
      <c r="AJ88" s="63"/>
      <c r="AK88" s="63"/>
      <c r="AL88" s="63"/>
      <c r="AM88" s="63"/>
    </row>
    <row r="89" spans="1:40" x14ac:dyDescent="0.25">
      <c r="A89" s="178"/>
      <c r="B89" s="179"/>
      <c r="C89" s="179"/>
      <c r="D89" s="179"/>
      <c r="E89" s="179"/>
      <c r="F89" s="179"/>
      <c r="G89" s="179"/>
      <c r="H89" s="180"/>
      <c r="I89" s="179"/>
      <c r="J89" s="179"/>
      <c r="K89" s="179"/>
      <c r="L89" s="179"/>
      <c r="M89" s="179"/>
      <c r="N89" s="179"/>
      <c r="O89" s="180"/>
      <c r="P89" s="179"/>
      <c r="Q89" s="179"/>
      <c r="R89" s="179"/>
      <c r="S89" s="179"/>
      <c r="T89" s="179"/>
      <c r="U89" s="179"/>
      <c r="V89" s="180"/>
      <c r="W89" s="181"/>
      <c r="X89" s="179"/>
      <c r="Y89" s="179"/>
      <c r="Z89" s="179"/>
      <c r="AA89" s="215"/>
      <c r="AB89" s="181"/>
      <c r="AE89" s="181"/>
      <c r="AF89" s="181"/>
      <c r="AG89" s="180"/>
      <c r="AH89" s="63"/>
      <c r="AI89" s="63"/>
      <c r="AJ89" s="63"/>
      <c r="AK89" s="63"/>
      <c r="AL89" s="63"/>
      <c r="AM89" s="63"/>
    </row>
    <row r="90" spans="1:40" x14ac:dyDescent="0.25">
      <c r="A90" s="178"/>
      <c r="B90" s="179"/>
      <c r="C90" s="179"/>
      <c r="D90" s="179"/>
      <c r="E90" s="179"/>
      <c r="F90" s="179"/>
      <c r="G90" s="179"/>
      <c r="H90" s="180"/>
      <c r="I90" s="179"/>
      <c r="J90" s="179"/>
      <c r="K90" s="179"/>
      <c r="L90" s="179"/>
      <c r="M90" s="179"/>
      <c r="N90" s="179"/>
      <c r="O90" s="180"/>
      <c r="P90" s="179"/>
      <c r="Q90" s="179"/>
      <c r="R90" s="179"/>
      <c r="S90" s="179"/>
      <c r="T90" s="179"/>
      <c r="U90" s="179"/>
      <c r="V90" s="180"/>
      <c r="W90" s="181"/>
      <c r="X90" s="179"/>
      <c r="Y90" s="179"/>
      <c r="Z90" s="179"/>
      <c r="AA90" s="215"/>
      <c r="AB90" s="181"/>
      <c r="AE90" s="181"/>
      <c r="AF90" s="181"/>
      <c r="AG90" s="180"/>
      <c r="AH90" s="63"/>
      <c r="AI90" s="63"/>
      <c r="AJ90" s="63"/>
      <c r="AK90" s="63"/>
      <c r="AL90" s="63"/>
      <c r="AM90" s="63"/>
    </row>
    <row r="91" spans="1:40" x14ac:dyDescent="0.25">
      <c r="A91" s="178"/>
      <c r="B91" s="179"/>
      <c r="C91" s="179"/>
      <c r="D91" s="179"/>
      <c r="E91" s="179"/>
      <c r="F91" s="179"/>
      <c r="G91" s="179"/>
      <c r="H91" s="180"/>
      <c r="I91" s="179"/>
      <c r="J91" s="179"/>
      <c r="K91" s="179"/>
      <c r="L91" s="179"/>
      <c r="M91" s="179"/>
      <c r="N91" s="179"/>
      <c r="O91" s="180"/>
      <c r="P91" s="179"/>
      <c r="Q91" s="179"/>
      <c r="R91" s="179"/>
      <c r="S91" s="179"/>
      <c r="T91" s="179"/>
      <c r="U91" s="179"/>
      <c r="V91" s="180"/>
      <c r="W91" s="181"/>
      <c r="X91" s="179"/>
      <c r="Y91" s="179"/>
      <c r="Z91" s="179"/>
      <c r="AA91" s="215"/>
      <c r="AB91" s="181"/>
      <c r="AE91" s="181"/>
      <c r="AF91" s="181"/>
      <c r="AG91" s="180"/>
      <c r="AH91" s="63"/>
      <c r="AI91" s="63"/>
      <c r="AJ91" s="63"/>
      <c r="AK91" s="63"/>
      <c r="AL91" s="63"/>
      <c r="AM91" s="63"/>
    </row>
    <row r="92" spans="1:40" x14ac:dyDescent="0.25">
      <c r="A92" s="178"/>
      <c r="B92" s="179"/>
      <c r="C92" s="179"/>
      <c r="D92" s="179"/>
      <c r="E92" s="179"/>
      <c r="F92" s="179"/>
      <c r="G92" s="179"/>
      <c r="H92" s="180"/>
      <c r="I92" s="179"/>
      <c r="J92" s="179"/>
      <c r="K92" s="179"/>
      <c r="L92" s="179"/>
      <c r="M92" s="179"/>
      <c r="N92" s="179"/>
      <c r="O92" s="180"/>
      <c r="P92" s="179"/>
      <c r="Q92" s="179"/>
      <c r="R92" s="179"/>
      <c r="S92" s="179"/>
      <c r="T92" s="179"/>
      <c r="U92" s="179"/>
      <c r="V92" s="180"/>
      <c r="W92" s="181"/>
      <c r="X92" s="179"/>
      <c r="Y92" s="179"/>
      <c r="Z92" s="179"/>
      <c r="AA92" s="215"/>
      <c r="AB92" s="181"/>
      <c r="AE92" s="181"/>
      <c r="AF92" s="181"/>
      <c r="AG92" s="180"/>
      <c r="AH92" s="63"/>
      <c r="AI92" s="63"/>
      <c r="AJ92" s="63"/>
      <c r="AK92" s="63"/>
      <c r="AL92" s="63"/>
      <c r="AM92" s="63"/>
    </row>
    <row r="93" spans="1:40" x14ac:dyDescent="0.25">
      <c r="A93" s="178"/>
      <c r="B93" s="179"/>
      <c r="C93" s="179"/>
      <c r="D93" s="179"/>
      <c r="E93" s="179"/>
      <c r="F93" s="179"/>
      <c r="G93" s="179"/>
      <c r="H93" s="180"/>
      <c r="I93" s="179"/>
      <c r="J93" s="179"/>
      <c r="K93" s="179"/>
      <c r="L93" s="179"/>
      <c r="M93" s="179"/>
      <c r="N93" s="179"/>
      <c r="O93" s="180"/>
      <c r="P93" s="179"/>
      <c r="Q93" s="179"/>
      <c r="R93" s="179"/>
      <c r="S93" s="179"/>
      <c r="T93" s="179"/>
      <c r="U93" s="179"/>
      <c r="V93" s="180"/>
      <c r="W93" s="181"/>
      <c r="X93" s="179"/>
      <c r="Y93" s="179"/>
      <c r="Z93" s="179"/>
      <c r="AA93" s="215"/>
      <c r="AB93" s="181"/>
      <c r="AE93" s="181"/>
      <c r="AF93" s="181"/>
      <c r="AG93" s="180"/>
      <c r="AH93" s="63"/>
      <c r="AI93" s="63"/>
      <c r="AJ93" s="63"/>
      <c r="AK93" s="63"/>
      <c r="AL93" s="63"/>
      <c r="AM93" s="63"/>
    </row>
    <row r="94" spans="1:40" x14ac:dyDescent="0.25">
      <c r="A94" s="178"/>
      <c r="B94" s="179"/>
      <c r="C94" s="179"/>
      <c r="D94" s="179"/>
      <c r="E94" s="179"/>
      <c r="F94" s="179"/>
      <c r="G94" s="179"/>
      <c r="H94" s="180"/>
      <c r="I94" s="179"/>
      <c r="J94" s="179"/>
      <c r="K94" s="179"/>
      <c r="L94" s="179"/>
      <c r="M94" s="179"/>
      <c r="N94" s="179"/>
      <c r="O94" s="180"/>
      <c r="P94" s="179"/>
      <c r="Q94" s="179"/>
      <c r="R94" s="179"/>
      <c r="S94" s="179"/>
      <c r="T94" s="179"/>
      <c r="U94" s="179"/>
      <c r="V94" s="180"/>
      <c r="W94" s="181"/>
      <c r="X94" s="179"/>
      <c r="Y94" s="179"/>
      <c r="Z94" s="179"/>
      <c r="AA94" s="215"/>
      <c r="AB94" s="181"/>
      <c r="AE94" s="181"/>
      <c r="AF94" s="181"/>
      <c r="AG94" s="180"/>
      <c r="AH94" s="63"/>
      <c r="AI94" s="63"/>
      <c r="AJ94" s="63"/>
      <c r="AK94" s="63"/>
      <c r="AL94" s="63"/>
      <c r="AM94" s="63"/>
    </row>
    <row r="95" spans="1:40" x14ac:dyDescent="0.25">
      <c r="A95" s="178"/>
      <c r="B95" s="179"/>
      <c r="C95" s="179"/>
      <c r="D95" s="179"/>
      <c r="E95" s="179"/>
      <c r="F95" s="179"/>
      <c r="G95" s="179"/>
      <c r="H95" s="180"/>
      <c r="I95" s="179"/>
      <c r="J95" s="179"/>
      <c r="K95" s="179"/>
      <c r="L95" s="179"/>
      <c r="M95" s="179"/>
      <c r="N95" s="179"/>
      <c r="O95" s="180"/>
      <c r="P95" s="179"/>
      <c r="Q95" s="179"/>
      <c r="R95" s="179"/>
      <c r="S95" s="179"/>
      <c r="T95" s="179"/>
      <c r="U95" s="179"/>
      <c r="V95" s="180"/>
      <c r="W95" s="181"/>
      <c r="X95" s="179"/>
      <c r="Y95" s="179"/>
      <c r="Z95" s="179"/>
      <c r="AA95" s="215"/>
      <c r="AB95" s="181"/>
      <c r="AE95" s="181"/>
      <c r="AF95" s="181"/>
      <c r="AG95" s="180"/>
      <c r="AH95" s="63"/>
      <c r="AI95" s="63"/>
      <c r="AJ95" s="63"/>
      <c r="AK95" s="63"/>
      <c r="AL95" s="63"/>
      <c r="AM95" s="63"/>
    </row>
    <row r="96" spans="1:40" x14ac:dyDescent="0.25">
      <c r="A96" s="178"/>
      <c r="B96" s="179"/>
      <c r="C96" s="179"/>
      <c r="D96" s="179"/>
      <c r="E96" s="179"/>
      <c r="F96" s="179"/>
      <c r="G96" s="179"/>
      <c r="H96" s="180"/>
      <c r="I96" s="179"/>
      <c r="J96" s="179"/>
      <c r="K96" s="179"/>
      <c r="L96" s="179"/>
      <c r="M96" s="179"/>
      <c r="N96" s="179"/>
      <c r="O96" s="180"/>
      <c r="P96" s="179"/>
      <c r="Q96" s="179"/>
      <c r="R96" s="179"/>
      <c r="S96" s="179"/>
      <c r="T96" s="179"/>
      <c r="U96" s="179"/>
      <c r="V96" s="180"/>
      <c r="W96" s="181"/>
      <c r="X96" s="179"/>
      <c r="Y96" s="179"/>
      <c r="Z96" s="179"/>
      <c r="AA96" s="215"/>
      <c r="AB96" s="181"/>
      <c r="AE96" s="181"/>
      <c r="AF96" s="181"/>
      <c r="AG96" s="180"/>
      <c r="AH96" s="63"/>
      <c r="AI96" s="63"/>
      <c r="AJ96" s="63"/>
      <c r="AK96" s="63"/>
      <c r="AL96" s="63"/>
      <c r="AM96" s="63"/>
    </row>
    <row r="97" spans="1:39" x14ac:dyDescent="0.25">
      <c r="A97" s="178"/>
      <c r="B97" s="179"/>
      <c r="C97" s="179"/>
      <c r="D97" s="179"/>
      <c r="E97" s="179"/>
      <c r="F97" s="179"/>
      <c r="G97" s="179"/>
      <c r="H97" s="180"/>
      <c r="I97" s="179"/>
      <c r="J97" s="179"/>
      <c r="K97" s="179"/>
      <c r="L97" s="179"/>
      <c r="M97" s="179"/>
      <c r="N97" s="179"/>
      <c r="O97" s="180"/>
      <c r="P97" s="179"/>
      <c r="Q97" s="179"/>
      <c r="R97" s="179"/>
      <c r="S97" s="179"/>
      <c r="T97" s="179"/>
      <c r="U97" s="179"/>
      <c r="V97" s="180"/>
      <c r="W97" s="181"/>
      <c r="X97" s="179"/>
      <c r="Y97" s="179"/>
      <c r="Z97" s="179"/>
      <c r="AA97" s="215"/>
      <c r="AB97" s="181"/>
      <c r="AE97" s="181"/>
      <c r="AF97" s="181"/>
      <c r="AG97" s="180"/>
      <c r="AH97" s="63"/>
      <c r="AI97" s="63"/>
      <c r="AJ97" s="63"/>
      <c r="AK97" s="63"/>
      <c r="AL97" s="63"/>
      <c r="AM97" s="63"/>
    </row>
    <row r="98" spans="1:39" x14ac:dyDescent="0.25">
      <c r="A98" s="178"/>
      <c r="B98" s="179"/>
      <c r="C98" s="179"/>
      <c r="D98" s="179"/>
      <c r="E98" s="179"/>
      <c r="F98" s="179"/>
      <c r="G98" s="179"/>
      <c r="H98" s="180"/>
      <c r="I98" s="179"/>
      <c r="J98" s="179"/>
      <c r="K98" s="179"/>
      <c r="L98" s="179"/>
      <c r="M98" s="179"/>
      <c r="N98" s="179"/>
      <c r="O98" s="180"/>
      <c r="P98" s="179"/>
      <c r="Q98" s="179"/>
      <c r="R98" s="179"/>
      <c r="S98" s="179"/>
      <c r="T98" s="179"/>
      <c r="U98" s="179"/>
      <c r="V98" s="180"/>
      <c r="W98" s="181"/>
      <c r="X98" s="179"/>
      <c r="Y98" s="179"/>
      <c r="Z98" s="179"/>
      <c r="AA98" s="215"/>
      <c r="AB98" s="181"/>
      <c r="AE98" s="181"/>
      <c r="AF98" s="181"/>
      <c r="AG98" s="180"/>
      <c r="AH98" s="63"/>
      <c r="AI98" s="63"/>
      <c r="AJ98" s="63"/>
      <c r="AK98" s="63"/>
      <c r="AL98" s="63"/>
      <c r="AM98" s="63"/>
    </row>
    <row r="99" spans="1:39" x14ac:dyDescent="0.25">
      <c r="A99" s="178"/>
      <c r="B99" s="179"/>
      <c r="C99" s="179"/>
      <c r="D99" s="179"/>
      <c r="E99" s="179"/>
      <c r="F99" s="179"/>
      <c r="G99" s="179"/>
      <c r="H99" s="180"/>
      <c r="I99" s="179"/>
      <c r="J99" s="179"/>
      <c r="K99" s="179"/>
      <c r="L99" s="179"/>
      <c r="M99" s="179"/>
      <c r="N99" s="179"/>
      <c r="O99" s="180"/>
      <c r="P99" s="179"/>
      <c r="Q99" s="179"/>
      <c r="R99" s="179"/>
      <c r="S99" s="179"/>
      <c r="T99" s="179"/>
      <c r="U99" s="179"/>
      <c r="V99" s="180"/>
      <c r="W99" s="181"/>
      <c r="X99" s="179"/>
      <c r="Y99" s="179"/>
      <c r="Z99" s="179"/>
      <c r="AA99" s="215"/>
      <c r="AB99" s="181"/>
      <c r="AE99" s="181"/>
      <c r="AF99" s="181"/>
      <c r="AG99" s="180"/>
      <c r="AH99" s="63"/>
      <c r="AI99" s="63"/>
      <c r="AJ99" s="63"/>
      <c r="AK99" s="63"/>
      <c r="AL99" s="63"/>
      <c r="AM99" s="63"/>
    </row>
    <row r="100" spans="1:39" x14ac:dyDescent="0.25">
      <c r="A100" s="178"/>
      <c r="B100" s="179"/>
      <c r="C100" s="179"/>
      <c r="D100" s="179"/>
      <c r="E100" s="179"/>
      <c r="F100" s="179"/>
      <c r="G100" s="179"/>
      <c r="H100" s="180"/>
      <c r="I100" s="179"/>
      <c r="J100" s="179"/>
      <c r="K100" s="179"/>
      <c r="L100" s="179"/>
      <c r="M100" s="179"/>
      <c r="N100" s="179"/>
      <c r="O100" s="180"/>
      <c r="P100" s="179"/>
      <c r="Q100" s="179"/>
      <c r="R100" s="179"/>
      <c r="S100" s="179"/>
      <c r="T100" s="179"/>
      <c r="U100" s="179"/>
      <c r="V100" s="180"/>
      <c r="W100" s="181"/>
      <c r="X100" s="179"/>
      <c r="Y100" s="179"/>
      <c r="Z100" s="179"/>
      <c r="AA100" s="215"/>
      <c r="AB100" s="181"/>
      <c r="AE100" s="181"/>
      <c r="AF100" s="181"/>
      <c r="AG100" s="180"/>
      <c r="AH100" s="63"/>
      <c r="AI100" s="63"/>
      <c r="AJ100" s="63"/>
      <c r="AK100" s="63"/>
      <c r="AL100" s="63"/>
      <c r="AM100" s="63"/>
    </row>
    <row r="101" spans="1:39" x14ac:dyDescent="0.25">
      <c r="A101" s="178"/>
      <c r="B101" s="179"/>
      <c r="C101" s="179"/>
      <c r="D101" s="179"/>
      <c r="E101" s="179"/>
      <c r="F101" s="179"/>
      <c r="G101" s="179"/>
      <c r="H101" s="180"/>
      <c r="I101" s="179"/>
      <c r="J101" s="179"/>
      <c r="K101" s="179"/>
      <c r="L101" s="179"/>
      <c r="M101" s="179"/>
      <c r="N101" s="179"/>
      <c r="O101" s="180"/>
      <c r="P101" s="179"/>
      <c r="Q101" s="179"/>
      <c r="R101" s="179"/>
      <c r="S101" s="179"/>
      <c r="T101" s="179"/>
      <c r="U101" s="179"/>
      <c r="V101" s="180"/>
      <c r="W101" s="181"/>
      <c r="X101" s="179"/>
      <c r="Y101" s="179"/>
      <c r="Z101" s="179"/>
      <c r="AA101" s="215"/>
      <c r="AB101" s="181"/>
      <c r="AE101" s="181"/>
      <c r="AF101" s="181"/>
      <c r="AG101" s="180"/>
      <c r="AH101" s="63"/>
      <c r="AI101" s="63"/>
      <c r="AJ101" s="63"/>
      <c r="AK101" s="63"/>
      <c r="AL101" s="63"/>
      <c r="AM101" s="63"/>
    </row>
    <row r="102" spans="1:39" x14ac:dyDescent="0.25">
      <c r="A102" s="178"/>
      <c r="B102" s="179"/>
      <c r="C102" s="179"/>
      <c r="D102" s="179"/>
      <c r="E102" s="179"/>
      <c r="F102" s="179"/>
      <c r="G102" s="179"/>
      <c r="H102" s="180"/>
      <c r="I102" s="179"/>
      <c r="J102" s="179"/>
      <c r="K102" s="179"/>
      <c r="L102" s="179"/>
      <c r="M102" s="179"/>
      <c r="N102" s="179"/>
      <c r="O102" s="180"/>
      <c r="P102" s="179"/>
      <c r="Q102" s="179"/>
      <c r="R102" s="179"/>
      <c r="S102" s="179"/>
      <c r="T102" s="179"/>
      <c r="U102" s="179"/>
      <c r="V102" s="180"/>
      <c r="W102" s="181"/>
      <c r="X102" s="179"/>
      <c r="Y102" s="179"/>
      <c r="Z102" s="179"/>
      <c r="AA102" s="215"/>
      <c r="AB102" s="181"/>
      <c r="AE102" s="181"/>
      <c r="AF102" s="181"/>
      <c r="AG102" s="180"/>
      <c r="AH102" s="63"/>
      <c r="AI102" s="63"/>
      <c r="AJ102" s="63"/>
      <c r="AK102" s="63"/>
      <c r="AL102" s="63"/>
      <c r="AM102" s="63"/>
    </row>
    <row r="103" spans="1:39" x14ac:dyDescent="0.25">
      <c r="A103" s="178"/>
      <c r="B103" s="179"/>
      <c r="C103" s="179"/>
      <c r="D103" s="179"/>
      <c r="E103" s="179"/>
      <c r="F103" s="179"/>
      <c r="G103" s="179"/>
      <c r="H103" s="180"/>
      <c r="I103" s="179"/>
      <c r="J103" s="179"/>
      <c r="K103" s="179"/>
      <c r="L103" s="179"/>
      <c r="M103" s="179"/>
      <c r="N103" s="179"/>
      <c r="O103" s="180"/>
      <c r="P103" s="179"/>
      <c r="Q103" s="179"/>
      <c r="R103" s="179"/>
      <c r="S103" s="179"/>
      <c r="T103" s="179"/>
      <c r="U103" s="179"/>
      <c r="V103" s="180"/>
      <c r="W103" s="181"/>
      <c r="X103" s="179"/>
      <c r="Y103" s="179"/>
      <c r="Z103" s="179"/>
      <c r="AA103" s="215"/>
      <c r="AB103" s="181"/>
      <c r="AE103" s="181"/>
      <c r="AF103" s="181"/>
      <c r="AG103" s="180"/>
      <c r="AH103" s="63"/>
      <c r="AI103" s="63"/>
      <c r="AJ103" s="63"/>
      <c r="AK103" s="63"/>
      <c r="AL103" s="63"/>
      <c r="AM103" s="63"/>
    </row>
    <row r="104" spans="1:39" x14ac:dyDescent="0.25">
      <c r="A104" s="178"/>
      <c r="B104" s="179"/>
      <c r="C104" s="179"/>
      <c r="D104" s="179"/>
      <c r="E104" s="179"/>
      <c r="F104" s="179"/>
      <c r="G104" s="179"/>
      <c r="H104" s="180"/>
      <c r="I104" s="179"/>
      <c r="J104" s="179"/>
      <c r="K104" s="179"/>
      <c r="L104" s="179"/>
      <c r="M104" s="179"/>
      <c r="N104" s="179"/>
      <c r="O104" s="180"/>
      <c r="P104" s="179"/>
      <c r="Q104" s="179"/>
      <c r="R104" s="179"/>
      <c r="S104" s="179"/>
      <c r="T104" s="179"/>
      <c r="U104" s="179"/>
      <c r="V104" s="180"/>
      <c r="W104" s="181"/>
      <c r="X104" s="179"/>
      <c r="Y104" s="179"/>
      <c r="Z104" s="179"/>
      <c r="AA104" s="215"/>
      <c r="AB104" s="181"/>
      <c r="AE104" s="181"/>
      <c r="AF104" s="181"/>
      <c r="AG104" s="180"/>
      <c r="AH104" s="63"/>
      <c r="AI104" s="63"/>
      <c r="AJ104" s="63"/>
      <c r="AK104" s="63"/>
      <c r="AL104" s="63"/>
      <c r="AM104" s="63"/>
    </row>
    <row r="105" spans="1:39" x14ac:dyDescent="0.25">
      <c r="A105" s="178"/>
      <c r="B105" s="179"/>
      <c r="C105" s="179"/>
      <c r="D105" s="179"/>
      <c r="E105" s="179"/>
      <c r="F105" s="179"/>
      <c r="G105" s="179"/>
      <c r="H105" s="180"/>
      <c r="I105" s="179"/>
      <c r="J105" s="179"/>
      <c r="K105" s="179"/>
      <c r="L105" s="179"/>
      <c r="M105" s="179"/>
      <c r="N105" s="179"/>
      <c r="O105" s="180"/>
      <c r="P105" s="179"/>
      <c r="Q105" s="179"/>
      <c r="R105" s="179"/>
      <c r="S105" s="179"/>
      <c r="T105" s="179"/>
      <c r="U105" s="179"/>
      <c r="V105" s="180"/>
      <c r="W105" s="181"/>
      <c r="X105" s="179"/>
      <c r="Y105" s="179"/>
      <c r="Z105" s="179"/>
      <c r="AA105" s="215"/>
      <c r="AB105" s="181"/>
      <c r="AE105" s="181"/>
      <c r="AF105" s="181"/>
      <c r="AG105" s="180"/>
      <c r="AH105" s="63"/>
      <c r="AI105" s="63"/>
      <c r="AJ105" s="63"/>
      <c r="AK105" s="63"/>
      <c r="AL105" s="63"/>
      <c r="AM105" s="63"/>
    </row>
    <row r="106" spans="1:39" x14ac:dyDescent="0.25">
      <c r="A106" s="178"/>
      <c r="B106" s="179"/>
      <c r="C106" s="179"/>
      <c r="D106" s="179"/>
      <c r="E106" s="179"/>
      <c r="F106" s="179"/>
      <c r="G106" s="179"/>
      <c r="H106" s="180"/>
      <c r="I106" s="179"/>
      <c r="J106" s="179"/>
      <c r="K106" s="179"/>
      <c r="L106" s="179"/>
      <c r="M106" s="179"/>
      <c r="N106" s="179"/>
      <c r="O106" s="180"/>
      <c r="P106" s="179"/>
      <c r="Q106" s="179"/>
      <c r="R106" s="179"/>
      <c r="S106" s="179"/>
      <c r="T106" s="179"/>
      <c r="U106" s="179"/>
      <c r="V106" s="180"/>
      <c r="W106" s="181"/>
      <c r="X106" s="179"/>
      <c r="Y106" s="179"/>
      <c r="Z106" s="179"/>
      <c r="AA106" s="215"/>
      <c r="AB106" s="181"/>
      <c r="AE106" s="181"/>
      <c r="AF106" s="181"/>
      <c r="AG106" s="180"/>
      <c r="AH106" s="63"/>
      <c r="AI106" s="63"/>
      <c r="AJ106" s="63"/>
      <c r="AK106" s="63"/>
      <c r="AL106" s="63"/>
      <c r="AM106" s="63"/>
    </row>
    <row r="107" spans="1:39" x14ac:dyDescent="0.25">
      <c r="A107" s="178"/>
      <c r="B107" s="179"/>
      <c r="C107" s="179"/>
      <c r="D107" s="179"/>
      <c r="E107" s="179"/>
      <c r="F107" s="179"/>
      <c r="G107" s="179"/>
      <c r="H107" s="180"/>
      <c r="I107" s="179"/>
      <c r="J107" s="179"/>
      <c r="K107" s="179"/>
      <c r="L107" s="179"/>
      <c r="M107" s="179"/>
      <c r="N107" s="179"/>
      <c r="O107" s="180"/>
      <c r="P107" s="179"/>
      <c r="Q107" s="179"/>
      <c r="R107" s="179"/>
      <c r="S107" s="179"/>
      <c r="T107" s="179"/>
      <c r="U107" s="179"/>
      <c r="V107" s="180"/>
      <c r="W107" s="181"/>
      <c r="X107" s="179"/>
      <c r="Y107" s="179"/>
      <c r="Z107" s="179"/>
      <c r="AA107" s="215"/>
      <c r="AB107" s="181"/>
      <c r="AE107" s="181"/>
      <c r="AF107" s="181"/>
      <c r="AG107" s="180"/>
      <c r="AH107" s="63"/>
      <c r="AI107" s="63"/>
      <c r="AJ107" s="63"/>
      <c r="AK107" s="63"/>
      <c r="AL107" s="63"/>
      <c r="AM107" s="63"/>
    </row>
    <row r="108" spans="1:39" x14ac:dyDescent="0.25">
      <c r="A108" s="178"/>
      <c r="B108" s="179"/>
      <c r="C108" s="179"/>
      <c r="D108" s="179"/>
      <c r="E108" s="179"/>
      <c r="F108" s="179"/>
      <c r="G108" s="179"/>
      <c r="H108" s="180"/>
      <c r="I108" s="179"/>
      <c r="J108" s="179"/>
      <c r="K108" s="179"/>
      <c r="L108" s="179"/>
      <c r="M108" s="179"/>
      <c r="N108" s="179"/>
      <c r="O108" s="180"/>
      <c r="P108" s="179"/>
      <c r="Q108" s="179"/>
      <c r="R108" s="179"/>
      <c r="S108" s="179"/>
      <c r="T108" s="179"/>
      <c r="U108" s="179"/>
      <c r="V108" s="180"/>
      <c r="W108" s="181"/>
      <c r="X108" s="179"/>
      <c r="Y108" s="179"/>
      <c r="Z108" s="179"/>
      <c r="AA108" s="215"/>
      <c r="AB108" s="181"/>
      <c r="AE108" s="181"/>
      <c r="AF108" s="181"/>
      <c r="AG108" s="180"/>
      <c r="AH108" s="63"/>
      <c r="AI108" s="63"/>
      <c r="AJ108" s="63"/>
      <c r="AK108" s="63"/>
      <c r="AL108" s="63"/>
      <c r="AM108" s="63"/>
    </row>
    <row r="109" spans="1:39" x14ac:dyDescent="0.25">
      <c r="A109" s="178"/>
      <c r="B109" s="179"/>
      <c r="C109" s="179"/>
      <c r="D109" s="179"/>
      <c r="E109" s="179"/>
      <c r="F109" s="179"/>
      <c r="G109" s="179"/>
      <c r="H109" s="180"/>
      <c r="I109" s="179"/>
      <c r="J109" s="179"/>
      <c r="K109" s="179"/>
      <c r="L109" s="179"/>
      <c r="M109" s="179"/>
      <c r="N109" s="179"/>
      <c r="O109" s="180"/>
      <c r="P109" s="179"/>
      <c r="Q109" s="179"/>
      <c r="R109" s="179"/>
      <c r="S109" s="179"/>
      <c r="T109" s="179"/>
      <c r="U109" s="179"/>
      <c r="V109" s="180"/>
      <c r="W109" s="181"/>
      <c r="X109" s="179"/>
      <c r="Y109" s="179"/>
      <c r="Z109" s="179"/>
      <c r="AA109" s="215"/>
      <c r="AB109" s="181"/>
      <c r="AE109" s="181"/>
      <c r="AF109" s="181"/>
      <c r="AG109" s="180"/>
      <c r="AH109" s="63"/>
      <c r="AI109" s="63"/>
      <c r="AJ109" s="63"/>
      <c r="AK109" s="63"/>
      <c r="AL109" s="63"/>
      <c r="AM109" s="63"/>
    </row>
    <row r="110" spans="1:39" x14ac:dyDescent="0.25">
      <c r="A110" s="178"/>
      <c r="B110" s="179"/>
      <c r="C110" s="179"/>
      <c r="D110" s="179"/>
      <c r="E110" s="179"/>
      <c r="F110" s="179"/>
      <c r="G110" s="179"/>
      <c r="H110" s="180"/>
      <c r="I110" s="179"/>
      <c r="J110" s="179"/>
      <c r="K110" s="179"/>
      <c r="L110" s="179"/>
      <c r="M110" s="179"/>
      <c r="N110" s="179"/>
      <c r="O110" s="180"/>
      <c r="P110" s="179"/>
      <c r="Q110" s="179"/>
      <c r="R110" s="179"/>
      <c r="S110" s="179"/>
      <c r="T110" s="179"/>
      <c r="U110" s="179"/>
      <c r="V110" s="180"/>
      <c r="W110" s="181"/>
      <c r="X110" s="179"/>
      <c r="Y110" s="179"/>
      <c r="Z110" s="179"/>
      <c r="AA110" s="215"/>
      <c r="AB110" s="181"/>
      <c r="AE110" s="181"/>
      <c r="AF110" s="181"/>
      <c r="AG110" s="180"/>
      <c r="AH110" s="63"/>
      <c r="AI110" s="63"/>
      <c r="AJ110" s="63"/>
      <c r="AK110" s="63"/>
      <c r="AL110" s="63"/>
      <c r="AM110" s="63"/>
    </row>
    <row r="111" spans="1:39" x14ac:dyDescent="0.25">
      <c r="A111" s="178"/>
      <c r="B111" s="179"/>
      <c r="C111" s="179"/>
      <c r="D111" s="179"/>
      <c r="E111" s="179"/>
      <c r="F111" s="179"/>
      <c r="G111" s="179"/>
      <c r="H111" s="180"/>
      <c r="I111" s="179"/>
      <c r="J111" s="179"/>
      <c r="K111" s="179"/>
      <c r="L111" s="179"/>
      <c r="M111" s="179"/>
      <c r="N111" s="179"/>
      <c r="O111" s="180"/>
      <c r="P111" s="179"/>
      <c r="Q111" s="179"/>
      <c r="R111" s="179"/>
      <c r="S111" s="179"/>
      <c r="T111" s="179"/>
      <c r="U111" s="179"/>
      <c r="V111" s="180"/>
      <c r="W111" s="181"/>
      <c r="X111" s="179"/>
      <c r="Y111" s="179"/>
      <c r="Z111" s="179"/>
      <c r="AA111" s="215"/>
      <c r="AB111" s="181"/>
      <c r="AE111" s="181"/>
      <c r="AF111" s="181"/>
      <c r="AG111" s="180"/>
      <c r="AH111" s="63"/>
      <c r="AI111" s="63"/>
      <c r="AJ111" s="63"/>
      <c r="AK111" s="63"/>
      <c r="AL111" s="63"/>
      <c r="AM111" s="63"/>
    </row>
    <row r="112" spans="1:39" x14ac:dyDescent="0.25">
      <c r="A112" s="178"/>
      <c r="B112" s="179"/>
      <c r="C112" s="179"/>
      <c r="D112" s="179"/>
      <c r="E112" s="179"/>
      <c r="F112" s="179"/>
      <c r="G112" s="179"/>
      <c r="H112" s="180"/>
      <c r="I112" s="179"/>
      <c r="J112" s="179"/>
      <c r="K112" s="179"/>
      <c r="L112" s="179"/>
      <c r="M112" s="179"/>
      <c r="N112" s="179"/>
      <c r="O112" s="180"/>
      <c r="P112" s="179"/>
      <c r="Q112" s="179"/>
      <c r="R112" s="179"/>
      <c r="S112" s="179"/>
      <c r="T112" s="179"/>
      <c r="U112" s="179"/>
      <c r="V112" s="180"/>
      <c r="W112" s="181"/>
      <c r="X112" s="179"/>
      <c r="Y112" s="179"/>
      <c r="Z112" s="179"/>
      <c r="AA112" s="215"/>
      <c r="AB112" s="181"/>
      <c r="AE112" s="181"/>
      <c r="AF112" s="181"/>
      <c r="AG112" s="180"/>
      <c r="AH112" s="63"/>
      <c r="AI112" s="63"/>
      <c r="AJ112" s="63"/>
      <c r="AK112" s="63"/>
      <c r="AL112" s="63"/>
      <c r="AM112" s="63"/>
    </row>
    <row r="113" spans="1:39" x14ac:dyDescent="0.25">
      <c r="A113" s="178"/>
      <c r="B113" s="179"/>
      <c r="C113" s="179"/>
      <c r="D113" s="179"/>
      <c r="E113" s="179"/>
      <c r="F113" s="179"/>
      <c r="G113" s="179"/>
      <c r="H113" s="180"/>
      <c r="I113" s="179"/>
      <c r="J113" s="179"/>
      <c r="K113" s="179"/>
      <c r="L113" s="179"/>
      <c r="M113" s="179"/>
      <c r="N113" s="179"/>
      <c r="O113" s="180"/>
      <c r="P113" s="179"/>
      <c r="Q113" s="179"/>
      <c r="R113" s="179"/>
      <c r="S113" s="179"/>
      <c r="T113" s="179"/>
      <c r="U113" s="179"/>
      <c r="V113" s="180"/>
      <c r="W113" s="181"/>
      <c r="X113" s="179"/>
      <c r="Y113" s="179"/>
      <c r="Z113" s="179"/>
      <c r="AA113" s="215"/>
      <c r="AB113" s="181"/>
      <c r="AE113" s="181"/>
      <c r="AF113" s="181"/>
      <c r="AG113" s="180"/>
      <c r="AH113" s="63"/>
      <c r="AI113" s="63"/>
      <c r="AJ113" s="63"/>
      <c r="AK113" s="63"/>
      <c r="AL113" s="63"/>
      <c r="AM113" s="63"/>
    </row>
    <row r="114" spans="1:39" x14ac:dyDescent="0.25">
      <c r="A114" s="178"/>
      <c r="B114" s="179"/>
      <c r="C114" s="179"/>
      <c r="D114" s="179"/>
      <c r="E114" s="179"/>
      <c r="F114" s="179"/>
      <c r="G114" s="179"/>
      <c r="H114" s="180"/>
      <c r="I114" s="179"/>
      <c r="J114" s="179"/>
      <c r="K114" s="179"/>
      <c r="L114" s="179"/>
      <c r="M114" s="179"/>
      <c r="N114" s="179"/>
      <c r="O114" s="180"/>
      <c r="P114" s="179"/>
      <c r="Q114" s="179"/>
      <c r="R114" s="179"/>
      <c r="S114" s="179"/>
      <c r="T114" s="179"/>
      <c r="U114" s="179"/>
      <c r="V114" s="180"/>
      <c r="W114" s="181"/>
      <c r="X114" s="179"/>
      <c r="Y114" s="179"/>
      <c r="Z114" s="179"/>
      <c r="AA114" s="215"/>
      <c r="AB114" s="181"/>
      <c r="AE114" s="181"/>
      <c r="AF114" s="181"/>
      <c r="AG114" s="180"/>
      <c r="AH114" s="63"/>
      <c r="AI114" s="63"/>
      <c r="AJ114" s="63"/>
      <c r="AK114" s="63"/>
      <c r="AL114" s="63"/>
      <c r="AM114" s="63"/>
    </row>
    <row r="115" spans="1:39" x14ac:dyDescent="0.25">
      <c r="A115" s="178"/>
      <c r="B115" s="179"/>
      <c r="C115" s="179"/>
      <c r="D115" s="179"/>
      <c r="E115" s="179"/>
      <c r="F115" s="179"/>
      <c r="G115" s="179"/>
      <c r="H115" s="180"/>
      <c r="I115" s="179"/>
      <c r="J115" s="179"/>
      <c r="K115" s="179"/>
      <c r="L115" s="179"/>
      <c r="M115" s="179"/>
      <c r="N115" s="179"/>
      <c r="O115" s="180"/>
      <c r="P115" s="179"/>
      <c r="Q115" s="179"/>
      <c r="R115" s="179"/>
      <c r="S115" s="179"/>
      <c r="T115" s="179"/>
      <c r="U115" s="179"/>
      <c r="V115" s="180"/>
      <c r="W115" s="181"/>
      <c r="X115" s="179"/>
      <c r="Y115" s="179"/>
      <c r="Z115" s="179"/>
      <c r="AA115" s="215"/>
      <c r="AB115" s="181"/>
      <c r="AE115" s="181"/>
      <c r="AF115" s="181"/>
      <c r="AG115" s="180"/>
      <c r="AH115" s="63"/>
      <c r="AI115" s="63"/>
      <c r="AJ115" s="63"/>
      <c r="AK115" s="63"/>
      <c r="AL115" s="63"/>
      <c r="AM115" s="63"/>
    </row>
    <row r="116" spans="1:39" x14ac:dyDescent="0.25">
      <c r="A116" s="178"/>
      <c r="B116" s="179"/>
      <c r="C116" s="179"/>
      <c r="D116" s="179"/>
      <c r="E116" s="179"/>
      <c r="F116" s="179"/>
      <c r="G116" s="179"/>
      <c r="H116" s="180"/>
      <c r="I116" s="179"/>
      <c r="J116" s="179"/>
      <c r="K116" s="179"/>
      <c r="L116" s="179"/>
      <c r="M116" s="179"/>
      <c r="N116" s="179"/>
      <c r="O116" s="180"/>
      <c r="P116" s="179"/>
      <c r="Q116" s="179"/>
      <c r="R116" s="179"/>
      <c r="S116" s="179"/>
      <c r="T116" s="179"/>
      <c r="U116" s="179"/>
      <c r="V116" s="180"/>
      <c r="W116" s="181"/>
      <c r="X116" s="179"/>
      <c r="Y116" s="179"/>
      <c r="Z116" s="179"/>
      <c r="AA116" s="215"/>
      <c r="AB116" s="181"/>
      <c r="AE116" s="181"/>
      <c r="AF116" s="181"/>
      <c r="AG116" s="180"/>
      <c r="AH116" s="63"/>
      <c r="AI116" s="63"/>
      <c r="AJ116" s="63"/>
      <c r="AK116" s="63"/>
      <c r="AL116" s="63"/>
      <c r="AM116" s="63"/>
    </row>
    <row r="117" spans="1:39" x14ac:dyDescent="0.25">
      <c r="A117" s="178"/>
      <c r="B117" s="179"/>
      <c r="C117" s="179"/>
      <c r="D117" s="179"/>
      <c r="E117" s="179"/>
      <c r="F117" s="179"/>
      <c r="G117" s="179"/>
      <c r="H117" s="180"/>
      <c r="I117" s="179"/>
      <c r="J117" s="179"/>
      <c r="K117" s="179"/>
      <c r="L117" s="179"/>
      <c r="M117" s="179"/>
      <c r="N117" s="179"/>
      <c r="O117" s="180"/>
      <c r="P117" s="179"/>
      <c r="Q117" s="179"/>
      <c r="R117" s="179"/>
      <c r="S117" s="179"/>
      <c r="T117" s="179"/>
      <c r="U117" s="179"/>
      <c r="V117" s="180"/>
      <c r="W117" s="181"/>
      <c r="X117" s="179"/>
      <c r="Y117" s="179"/>
      <c r="Z117" s="179"/>
      <c r="AA117" s="215"/>
      <c r="AB117" s="181"/>
      <c r="AE117" s="181"/>
      <c r="AF117" s="181"/>
      <c r="AG117" s="180"/>
      <c r="AH117" s="63"/>
      <c r="AI117" s="63"/>
      <c r="AJ117" s="63"/>
      <c r="AK117" s="63"/>
      <c r="AL117" s="63"/>
      <c r="AM117" s="63"/>
    </row>
    <row r="118" spans="1:39" x14ac:dyDescent="0.25">
      <c r="A118" s="178"/>
      <c r="B118" s="179"/>
      <c r="C118" s="179"/>
      <c r="D118" s="179"/>
      <c r="E118" s="179"/>
      <c r="F118" s="179"/>
      <c r="G118" s="179"/>
      <c r="H118" s="180"/>
      <c r="I118" s="179"/>
      <c r="J118" s="179"/>
      <c r="K118" s="179"/>
      <c r="L118" s="179"/>
      <c r="M118" s="179"/>
      <c r="N118" s="179"/>
      <c r="O118" s="180"/>
      <c r="P118" s="179"/>
      <c r="Q118" s="179"/>
      <c r="R118" s="179"/>
      <c r="S118" s="179"/>
      <c r="T118" s="179"/>
      <c r="U118" s="179"/>
      <c r="V118" s="180"/>
      <c r="W118" s="181"/>
      <c r="X118" s="179"/>
      <c r="Y118" s="179"/>
      <c r="Z118" s="179"/>
      <c r="AA118" s="215"/>
      <c r="AB118" s="181"/>
      <c r="AE118" s="181"/>
      <c r="AF118" s="181"/>
      <c r="AG118" s="180"/>
      <c r="AH118" s="63"/>
      <c r="AI118" s="63"/>
      <c r="AJ118" s="63"/>
      <c r="AK118" s="63"/>
      <c r="AL118" s="63"/>
      <c r="AM118" s="63"/>
    </row>
    <row r="119" spans="1:39" x14ac:dyDescent="0.25">
      <c r="A119" s="178"/>
      <c r="B119" s="179"/>
      <c r="C119" s="179"/>
      <c r="D119" s="179"/>
      <c r="E119" s="179"/>
      <c r="F119" s="179"/>
      <c r="G119" s="179"/>
      <c r="H119" s="180"/>
      <c r="I119" s="179"/>
      <c r="J119" s="179"/>
      <c r="K119" s="179"/>
      <c r="L119" s="179"/>
      <c r="M119" s="179"/>
      <c r="N119" s="179"/>
      <c r="O119" s="180"/>
      <c r="P119" s="179"/>
      <c r="Q119" s="179"/>
      <c r="R119" s="179"/>
      <c r="S119" s="179"/>
      <c r="T119" s="179"/>
      <c r="U119" s="179"/>
      <c r="V119" s="180"/>
      <c r="W119" s="181"/>
      <c r="X119" s="179"/>
      <c r="Y119" s="179"/>
      <c r="Z119" s="179"/>
      <c r="AA119" s="215"/>
      <c r="AB119" s="181"/>
      <c r="AE119" s="181"/>
      <c r="AF119" s="181"/>
      <c r="AG119" s="180"/>
      <c r="AH119" s="63"/>
      <c r="AI119" s="63"/>
      <c r="AJ119" s="63"/>
      <c r="AK119" s="63"/>
      <c r="AL119" s="63"/>
      <c r="AM119" s="63"/>
    </row>
    <row r="120" spans="1:39" x14ac:dyDescent="0.25">
      <c r="A120" s="178"/>
      <c r="B120" s="179"/>
      <c r="C120" s="179"/>
      <c r="D120" s="179"/>
      <c r="E120" s="179"/>
      <c r="F120" s="179"/>
      <c r="G120" s="179"/>
      <c r="H120" s="180"/>
      <c r="I120" s="179"/>
      <c r="J120" s="179"/>
      <c r="K120" s="179"/>
      <c r="L120" s="179"/>
      <c r="M120" s="179"/>
      <c r="N120" s="179"/>
      <c r="O120" s="180"/>
      <c r="P120" s="179"/>
      <c r="Q120" s="179"/>
      <c r="R120" s="179"/>
      <c r="S120" s="179"/>
      <c r="T120" s="179"/>
      <c r="U120" s="179"/>
      <c r="V120" s="180"/>
      <c r="W120" s="181"/>
      <c r="X120" s="179"/>
      <c r="Y120" s="179"/>
      <c r="Z120" s="179"/>
      <c r="AA120" s="215"/>
      <c r="AB120" s="181"/>
      <c r="AE120" s="181"/>
      <c r="AF120" s="181"/>
      <c r="AG120" s="180"/>
      <c r="AH120" s="63"/>
      <c r="AI120" s="63"/>
      <c r="AJ120" s="63"/>
      <c r="AK120" s="63"/>
      <c r="AL120" s="63"/>
      <c r="AM120" s="63"/>
    </row>
    <row r="121" spans="1:39" x14ac:dyDescent="0.25">
      <c r="A121" s="178"/>
      <c r="B121" s="179"/>
      <c r="C121" s="179"/>
      <c r="D121" s="179"/>
      <c r="E121" s="179"/>
      <c r="F121" s="179"/>
      <c r="G121" s="179"/>
      <c r="H121" s="180"/>
      <c r="I121" s="179"/>
      <c r="J121" s="179"/>
      <c r="K121" s="179"/>
      <c r="L121" s="179"/>
      <c r="M121" s="179"/>
      <c r="N121" s="179"/>
      <c r="O121" s="180"/>
      <c r="P121" s="179"/>
      <c r="Q121" s="179"/>
      <c r="R121" s="179"/>
      <c r="S121" s="179"/>
      <c r="T121" s="179"/>
      <c r="U121" s="179"/>
      <c r="V121" s="180"/>
      <c r="W121" s="181"/>
      <c r="X121" s="179"/>
      <c r="Y121" s="179"/>
      <c r="Z121" s="179"/>
      <c r="AA121" s="215"/>
      <c r="AB121" s="181"/>
      <c r="AE121" s="181"/>
      <c r="AF121" s="181"/>
      <c r="AG121" s="180"/>
      <c r="AH121" s="63"/>
      <c r="AI121" s="63"/>
      <c r="AJ121" s="63"/>
      <c r="AK121" s="63"/>
      <c r="AL121" s="63"/>
      <c r="AM121" s="63"/>
    </row>
    <row r="122" spans="1:39" x14ac:dyDescent="0.25">
      <c r="A122" s="178"/>
      <c r="B122" s="179"/>
      <c r="C122" s="179"/>
      <c r="D122" s="179"/>
      <c r="E122" s="179"/>
      <c r="F122" s="179"/>
      <c r="G122" s="179"/>
      <c r="H122" s="180"/>
      <c r="I122" s="179"/>
      <c r="J122" s="179"/>
      <c r="K122" s="179"/>
      <c r="L122" s="179"/>
      <c r="M122" s="179"/>
      <c r="N122" s="179"/>
      <c r="O122" s="180"/>
      <c r="P122" s="179"/>
      <c r="Q122" s="179"/>
      <c r="R122" s="179"/>
      <c r="S122" s="179"/>
      <c r="T122" s="179"/>
      <c r="U122" s="179"/>
      <c r="V122" s="180"/>
      <c r="W122" s="181"/>
      <c r="X122" s="179"/>
      <c r="Y122" s="179"/>
      <c r="Z122" s="179"/>
      <c r="AA122" s="215"/>
      <c r="AB122" s="181"/>
      <c r="AE122" s="181"/>
      <c r="AF122" s="181"/>
      <c r="AG122" s="180"/>
      <c r="AH122" s="63"/>
      <c r="AI122" s="63"/>
      <c r="AJ122" s="63"/>
      <c r="AK122" s="63"/>
      <c r="AL122" s="63"/>
      <c r="AM122" s="63"/>
    </row>
    <row r="123" spans="1:39" x14ac:dyDescent="0.25">
      <c r="A123" s="178"/>
      <c r="B123" s="179"/>
      <c r="C123" s="179"/>
      <c r="D123" s="179"/>
      <c r="E123" s="179"/>
      <c r="F123" s="179"/>
      <c r="G123" s="179"/>
      <c r="H123" s="180"/>
      <c r="I123" s="179"/>
      <c r="J123" s="179"/>
      <c r="K123" s="179"/>
      <c r="L123" s="179"/>
      <c r="M123" s="179"/>
      <c r="N123" s="179"/>
      <c r="O123" s="180"/>
      <c r="P123" s="179"/>
      <c r="Q123" s="179"/>
      <c r="R123" s="179"/>
      <c r="S123" s="179"/>
      <c r="T123" s="179"/>
      <c r="U123" s="179"/>
      <c r="V123" s="180"/>
      <c r="W123" s="181"/>
      <c r="X123" s="179"/>
      <c r="Y123" s="179"/>
      <c r="Z123" s="179"/>
      <c r="AA123" s="215"/>
      <c r="AB123" s="181"/>
      <c r="AE123" s="181"/>
      <c r="AF123" s="181"/>
      <c r="AG123" s="180"/>
      <c r="AH123" s="63"/>
      <c r="AI123" s="63"/>
      <c r="AJ123" s="63"/>
      <c r="AK123" s="63"/>
      <c r="AL123" s="63"/>
      <c r="AM123" s="63"/>
    </row>
    <row r="124" spans="1:39" x14ac:dyDescent="0.25">
      <c r="A124" s="178"/>
      <c r="B124" s="179"/>
      <c r="C124" s="179"/>
      <c r="D124" s="179"/>
      <c r="E124" s="179"/>
      <c r="F124" s="179"/>
      <c r="G124" s="179"/>
      <c r="H124" s="180"/>
      <c r="I124" s="179"/>
      <c r="J124" s="179"/>
      <c r="K124" s="179"/>
      <c r="L124" s="179"/>
      <c r="M124" s="179"/>
      <c r="N124" s="179"/>
      <c r="O124" s="180"/>
      <c r="P124" s="179"/>
      <c r="Q124" s="179"/>
      <c r="R124" s="179"/>
      <c r="S124" s="179"/>
      <c r="T124" s="179"/>
      <c r="U124" s="179"/>
      <c r="V124" s="180"/>
      <c r="W124" s="181"/>
      <c r="X124" s="179"/>
      <c r="Y124" s="179"/>
      <c r="Z124" s="179"/>
      <c r="AA124" s="215"/>
      <c r="AB124" s="181"/>
      <c r="AE124" s="181"/>
      <c r="AF124" s="181"/>
      <c r="AG124" s="180"/>
      <c r="AH124" s="63"/>
      <c r="AI124" s="63"/>
      <c r="AJ124" s="63"/>
      <c r="AK124" s="63"/>
      <c r="AL124" s="63"/>
      <c r="AM124" s="63"/>
    </row>
    <row r="125" spans="1:39" x14ac:dyDescent="0.25">
      <c r="A125" s="178"/>
      <c r="B125" s="179"/>
      <c r="C125" s="179"/>
      <c r="D125" s="179"/>
      <c r="E125" s="179"/>
      <c r="F125" s="179"/>
      <c r="G125" s="179"/>
      <c r="H125" s="180"/>
      <c r="I125" s="179"/>
      <c r="J125" s="179"/>
      <c r="K125" s="179"/>
      <c r="L125" s="179"/>
      <c r="M125" s="179"/>
      <c r="N125" s="179"/>
      <c r="O125" s="180"/>
      <c r="P125" s="179"/>
      <c r="Q125" s="179"/>
      <c r="R125" s="179"/>
      <c r="S125" s="179"/>
      <c r="T125" s="179"/>
      <c r="U125" s="179"/>
      <c r="V125" s="180"/>
      <c r="W125" s="181"/>
      <c r="X125" s="179"/>
      <c r="Y125" s="179"/>
      <c r="Z125" s="179"/>
      <c r="AA125" s="215"/>
      <c r="AB125" s="181"/>
      <c r="AE125" s="181"/>
      <c r="AF125" s="181"/>
      <c r="AG125" s="180"/>
      <c r="AH125" s="63"/>
      <c r="AI125" s="63"/>
      <c r="AJ125" s="63"/>
      <c r="AK125" s="63"/>
      <c r="AL125" s="63"/>
      <c r="AM125" s="63"/>
    </row>
    <row r="126" spans="1:39" x14ac:dyDescent="0.25">
      <c r="A126" s="178"/>
      <c r="B126" s="179"/>
      <c r="C126" s="179"/>
      <c r="D126" s="179"/>
      <c r="E126" s="179"/>
      <c r="F126" s="179"/>
      <c r="G126" s="179"/>
      <c r="H126" s="180"/>
      <c r="I126" s="179"/>
      <c r="J126" s="179"/>
      <c r="K126" s="179"/>
      <c r="L126" s="179"/>
      <c r="M126" s="179"/>
      <c r="N126" s="179"/>
      <c r="O126" s="180"/>
      <c r="P126" s="179"/>
      <c r="Q126" s="179"/>
      <c r="R126" s="179"/>
      <c r="S126" s="179"/>
      <c r="T126" s="179"/>
      <c r="U126" s="179"/>
      <c r="V126" s="180"/>
      <c r="W126" s="181"/>
      <c r="X126" s="179"/>
      <c r="Y126" s="179"/>
      <c r="Z126" s="179"/>
      <c r="AA126" s="215"/>
      <c r="AB126" s="181"/>
      <c r="AE126" s="181"/>
      <c r="AF126" s="181"/>
      <c r="AG126" s="180"/>
      <c r="AH126" s="63"/>
      <c r="AI126" s="63"/>
      <c r="AJ126" s="63"/>
      <c r="AK126" s="63"/>
      <c r="AL126" s="63"/>
      <c r="AM126" s="63"/>
    </row>
    <row r="127" spans="1:39" x14ac:dyDescent="0.25">
      <c r="A127" s="178"/>
      <c r="B127" s="179"/>
      <c r="C127" s="179"/>
      <c r="D127" s="179"/>
      <c r="E127" s="179"/>
      <c r="F127" s="179"/>
      <c r="G127" s="179"/>
      <c r="H127" s="180"/>
      <c r="I127" s="179"/>
      <c r="J127" s="179"/>
      <c r="K127" s="179"/>
      <c r="L127" s="179"/>
      <c r="M127" s="179"/>
      <c r="N127" s="179"/>
      <c r="O127" s="180"/>
      <c r="P127" s="179"/>
      <c r="Q127" s="179"/>
      <c r="R127" s="179"/>
      <c r="S127" s="179"/>
      <c r="T127" s="179"/>
      <c r="U127" s="179"/>
      <c r="V127" s="180"/>
      <c r="W127" s="181"/>
      <c r="X127" s="179"/>
      <c r="Y127" s="179"/>
      <c r="Z127" s="179"/>
      <c r="AA127" s="215"/>
      <c r="AB127" s="181"/>
      <c r="AE127" s="181"/>
      <c r="AF127" s="181"/>
      <c r="AG127" s="180"/>
      <c r="AH127" s="63"/>
      <c r="AI127" s="63"/>
      <c r="AJ127" s="63"/>
      <c r="AK127" s="63"/>
      <c r="AL127" s="63"/>
      <c r="AM127" s="63"/>
    </row>
    <row r="128" spans="1:39" x14ac:dyDescent="0.25">
      <c r="A128" s="178"/>
      <c r="B128" s="179"/>
      <c r="C128" s="179"/>
      <c r="D128" s="179"/>
      <c r="E128" s="179"/>
      <c r="F128" s="179"/>
      <c r="G128" s="179"/>
      <c r="H128" s="180"/>
      <c r="I128" s="179"/>
      <c r="J128" s="179"/>
      <c r="K128" s="179"/>
      <c r="L128" s="179"/>
      <c r="M128" s="179"/>
      <c r="N128" s="179"/>
      <c r="O128" s="180"/>
      <c r="P128" s="179"/>
      <c r="Q128" s="179"/>
      <c r="R128" s="179"/>
      <c r="S128" s="179"/>
      <c r="T128" s="179"/>
      <c r="U128" s="179"/>
      <c r="V128" s="180"/>
      <c r="W128" s="181"/>
      <c r="X128" s="179"/>
      <c r="Y128" s="179"/>
      <c r="Z128" s="179"/>
      <c r="AA128" s="215"/>
      <c r="AB128" s="181"/>
      <c r="AE128" s="181"/>
      <c r="AF128" s="181"/>
      <c r="AG128" s="180"/>
      <c r="AH128" s="63"/>
      <c r="AI128" s="63"/>
      <c r="AJ128" s="63"/>
      <c r="AK128" s="63"/>
      <c r="AL128" s="63"/>
      <c r="AM128" s="63"/>
    </row>
    <row r="129" spans="1:39" x14ac:dyDescent="0.25">
      <c r="A129" s="178"/>
      <c r="B129" s="179"/>
      <c r="C129" s="179"/>
      <c r="D129" s="179"/>
      <c r="E129" s="179"/>
      <c r="F129" s="179"/>
      <c r="G129" s="179"/>
      <c r="H129" s="180"/>
      <c r="I129" s="179"/>
      <c r="J129" s="179"/>
      <c r="K129" s="179"/>
      <c r="L129" s="179"/>
      <c r="M129" s="179"/>
      <c r="N129" s="179"/>
      <c r="O129" s="180"/>
      <c r="P129" s="179"/>
      <c r="Q129" s="179"/>
      <c r="R129" s="179"/>
      <c r="S129" s="179"/>
      <c r="T129" s="179"/>
      <c r="U129" s="179"/>
      <c r="V129" s="180"/>
      <c r="W129" s="181"/>
      <c r="X129" s="179"/>
      <c r="Y129" s="179"/>
      <c r="Z129" s="179"/>
      <c r="AA129" s="215"/>
      <c r="AB129" s="181"/>
      <c r="AE129" s="181"/>
      <c r="AF129" s="181"/>
      <c r="AG129" s="180"/>
      <c r="AH129" s="63"/>
      <c r="AI129" s="63"/>
      <c r="AJ129" s="63"/>
      <c r="AK129" s="63"/>
      <c r="AL129" s="63"/>
      <c r="AM129" s="63"/>
    </row>
    <row r="130" spans="1:39" x14ac:dyDescent="0.25">
      <c r="A130" s="178"/>
      <c r="B130" s="179"/>
      <c r="C130" s="179"/>
      <c r="D130" s="179"/>
      <c r="E130" s="179"/>
      <c r="F130" s="179"/>
      <c r="G130" s="179"/>
      <c r="H130" s="180"/>
      <c r="I130" s="179"/>
      <c r="J130" s="179"/>
      <c r="K130" s="179"/>
      <c r="L130" s="179"/>
      <c r="M130" s="179"/>
      <c r="N130" s="179"/>
      <c r="O130" s="180"/>
      <c r="P130" s="179"/>
      <c r="Q130" s="179"/>
      <c r="R130" s="179"/>
      <c r="S130" s="179"/>
      <c r="T130" s="179"/>
      <c r="U130" s="179"/>
      <c r="V130" s="180"/>
      <c r="W130" s="181"/>
      <c r="X130" s="179"/>
      <c r="Y130" s="179"/>
      <c r="Z130" s="179"/>
      <c r="AA130" s="215"/>
      <c r="AB130" s="181"/>
      <c r="AE130" s="181"/>
      <c r="AF130" s="181"/>
      <c r="AG130" s="180"/>
      <c r="AH130" s="63"/>
      <c r="AI130" s="63"/>
      <c r="AJ130" s="63"/>
      <c r="AK130" s="63"/>
      <c r="AL130" s="63"/>
      <c r="AM130" s="63"/>
    </row>
    <row r="131" spans="1:39" x14ac:dyDescent="0.25">
      <c r="A131" s="178"/>
      <c r="B131" s="179"/>
      <c r="C131" s="179"/>
      <c r="D131" s="179"/>
      <c r="E131" s="179"/>
      <c r="F131" s="179"/>
      <c r="G131" s="179"/>
      <c r="H131" s="180"/>
      <c r="I131" s="179"/>
      <c r="J131" s="179"/>
      <c r="K131" s="179"/>
      <c r="L131" s="179"/>
      <c r="M131" s="179"/>
      <c r="N131" s="179"/>
      <c r="O131" s="180"/>
      <c r="P131" s="179"/>
      <c r="Q131" s="179"/>
      <c r="R131" s="179"/>
      <c r="S131" s="179"/>
      <c r="T131" s="179"/>
      <c r="U131" s="179"/>
      <c r="V131" s="180"/>
      <c r="W131" s="181"/>
      <c r="X131" s="179"/>
      <c r="Y131" s="179"/>
      <c r="Z131" s="179"/>
      <c r="AA131" s="215"/>
      <c r="AB131" s="181"/>
      <c r="AE131" s="181"/>
      <c r="AF131" s="181"/>
      <c r="AG131" s="180"/>
      <c r="AH131" s="63"/>
      <c r="AI131" s="63"/>
      <c r="AJ131" s="63"/>
      <c r="AK131" s="63"/>
      <c r="AL131" s="63"/>
      <c r="AM131" s="63"/>
    </row>
    <row r="132" spans="1:39" x14ac:dyDescent="0.25">
      <c r="A132" s="178"/>
      <c r="B132" s="179"/>
      <c r="C132" s="179"/>
      <c r="D132" s="179"/>
      <c r="E132" s="179"/>
      <c r="F132" s="179"/>
      <c r="G132" s="179"/>
      <c r="H132" s="180"/>
      <c r="I132" s="179"/>
      <c r="J132" s="179"/>
      <c r="K132" s="179"/>
      <c r="L132" s="179"/>
      <c r="M132" s="179"/>
      <c r="N132" s="179"/>
      <c r="O132" s="180"/>
      <c r="P132" s="179"/>
      <c r="Q132" s="179"/>
      <c r="R132" s="179"/>
      <c r="S132" s="179"/>
      <c r="T132" s="179"/>
      <c r="U132" s="179"/>
      <c r="V132" s="180"/>
      <c r="W132" s="181"/>
      <c r="X132" s="179"/>
      <c r="Y132" s="179"/>
      <c r="Z132" s="179"/>
      <c r="AA132" s="215"/>
      <c r="AB132" s="181"/>
      <c r="AE132" s="181"/>
      <c r="AF132" s="181"/>
      <c r="AG132" s="180"/>
      <c r="AH132" s="63"/>
      <c r="AI132" s="63"/>
      <c r="AJ132" s="63"/>
      <c r="AK132" s="63"/>
      <c r="AL132" s="63"/>
      <c r="AM132" s="63"/>
    </row>
    <row r="133" spans="1:39" x14ac:dyDescent="0.25">
      <c r="A133" s="178"/>
      <c r="B133" s="179"/>
      <c r="C133" s="179"/>
      <c r="D133" s="179"/>
      <c r="E133" s="179"/>
      <c r="F133" s="179"/>
      <c r="G133" s="179"/>
      <c r="H133" s="180"/>
      <c r="I133" s="179"/>
      <c r="J133" s="179"/>
      <c r="K133" s="179"/>
      <c r="L133" s="179"/>
      <c r="M133" s="179"/>
      <c r="N133" s="179"/>
      <c r="O133" s="180"/>
      <c r="P133" s="179"/>
      <c r="Q133" s="179"/>
      <c r="R133" s="179"/>
      <c r="S133" s="179"/>
      <c r="T133" s="179"/>
      <c r="U133" s="179"/>
      <c r="V133" s="180"/>
      <c r="W133" s="181"/>
      <c r="X133" s="179"/>
      <c r="Y133" s="179"/>
      <c r="Z133" s="179"/>
      <c r="AA133" s="215"/>
      <c r="AB133" s="181"/>
      <c r="AE133" s="181"/>
      <c r="AF133" s="181"/>
      <c r="AG133" s="180"/>
      <c r="AH133" s="63"/>
      <c r="AI133" s="63"/>
      <c r="AJ133" s="63"/>
      <c r="AK133" s="63"/>
      <c r="AL133" s="63"/>
      <c r="AM133" s="63"/>
    </row>
  </sheetData>
  <mergeCells count="90">
    <mergeCell ref="A59:A62"/>
    <mergeCell ref="V59:V62"/>
    <mergeCell ref="W59:W62"/>
    <mergeCell ref="AG59:AG62"/>
    <mergeCell ref="A56:A58"/>
    <mergeCell ref="V56:V58"/>
    <mergeCell ref="W56:W58"/>
    <mergeCell ref="AG56:AG58"/>
    <mergeCell ref="A53:A55"/>
    <mergeCell ref="V53:V55"/>
    <mergeCell ref="W53:W55"/>
    <mergeCell ref="AG53:AG55"/>
    <mergeCell ref="A50:A52"/>
    <mergeCell ref="V50:V52"/>
    <mergeCell ref="W50:W52"/>
    <mergeCell ref="AG50:AG52"/>
    <mergeCell ref="A47:A49"/>
    <mergeCell ref="V47:V49"/>
    <mergeCell ref="W47:W49"/>
    <mergeCell ref="AG47:AG49"/>
    <mergeCell ref="A41:A44"/>
    <mergeCell ref="V41:V44"/>
    <mergeCell ref="W41:W44"/>
    <mergeCell ref="A45:A46"/>
    <mergeCell ref="V45:V46"/>
    <mergeCell ref="W45:W46"/>
    <mergeCell ref="AG45:AG46"/>
    <mergeCell ref="A38:A40"/>
    <mergeCell ref="V38:V40"/>
    <mergeCell ref="W38:W40"/>
    <mergeCell ref="AG38:AG40"/>
    <mergeCell ref="A35:A37"/>
    <mergeCell ref="V35:V37"/>
    <mergeCell ref="W35:W37"/>
    <mergeCell ref="AG35:AG37"/>
    <mergeCell ref="A32:A34"/>
    <mergeCell ref="V32:V34"/>
    <mergeCell ref="W32:W34"/>
    <mergeCell ref="AG32:AG34"/>
    <mergeCell ref="A29:A31"/>
    <mergeCell ref="V29:V31"/>
    <mergeCell ref="W29:W31"/>
    <mergeCell ref="AG29:AG31"/>
    <mergeCell ref="A27:A28"/>
    <mergeCell ref="V27:V28"/>
    <mergeCell ref="W27:W28"/>
    <mergeCell ref="AG27:AG28"/>
    <mergeCell ref="A25:A26"/>
    <mergeCell ref="V25:V26"/>
    <mergeCell ref="W25:W26"/>
    <mergeCell ref="AG25:AG26"/>
    <mergeCell ref="A23:A24"/>
    <mergeCell ref="V23:V24"/>
    <mergeCell ref="W23:W24"/>
    <mergeCell ref="AG23:AG24"/>
    <mergeCell ref="A21:A22"/>
    <mergeCell ref="V21:V22"/>
    <mergeCell ref="W21:W22"/>
    <mergeCell ref="AG21:AG22"/>
    <mergeCell ref="A19:A20"/>
    <mergeCell ref="V19:V20"/>
    <mergeCell ref="W19:W20"/>
    <mergeCell ref="AG19:AG20"/>
    <mergeCell ref="A17:A18"/>
    <mergeCell ref="V17:V18"/>
    <mergeCell ref="W17:W18"/>
    <mergeCell ref="AG17:AG18"/>
    <mergeCell ref="A8:A9"/>
    <mergeCell ref="V8:V9"/>
    <mergeCell ref="W8:W9"/>
    <mergeCell ref="AG8:AG9"/>
    <mergeCell ref="AE2:AM2"/>
    <mergeCell ref="U3:V3"/>
    <mergeCell ref="Z3:AA3"/>
    <mergeCell ref="AF3:AG3"/>
    <mergeCell ref="AL3:AM3"/>
    <mergeCell ref="A5:A7"/>
    <mergeCell ref="V5:V7"/>
    <mergeCell ref="W5:W7"/>
    <mergeCell ref="AG5:AG7"/>
    <mergeCell ref="H1:AA1"/>
    <mergeCell ref="AB1:AM1"/>
    <mergeCell ref="A2:A3"/>
    <mergeCell ref="B2:B3"/>
    <mergeCell ref="C2:D2"/>
    <mergeCell ref="E2:F2"/>
    <mergeCell ref="G2:G3"/>
    <mergeCell ref="H2:Q2"/>
    <mergeCell ref="R2:AA2"/>
    <mergeCell ref="AB2:A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D46"/>
  <sheetViews>
    <sheetView workbookViewId="0">
      <selection activeCell="G25" sqref="G25"/>
    </sheetView>
  </sheetViews>
  <sheetFormatPr defaultRowHeight="15" x14ac:dyDescent="0.25"/>
  <cols>
    <col min="3" max="3" width="26.85546875" customWidth="1"/>
    <col min="4" max="4" width="11.85546875" customWidth="1"/>
  </cols>
  <sheetData>
    <row r="4" spans="2:4" ht="21.75" thickBot="1" x14ac:dyDescent="0.3">
      <c r="C4" s="205" t="s">
        <v>150</v>
      </c>
    </row>
    <row r="5" spans="2:4" x14ac:dyDescent="0.25">
      <c r="B5">
        <v>27</v>
      </c>
      <c r="C5" s="203" t="s">
        <v>139</v>
      </c>
      <c r="D5" s="399" t="s">
        <v>148</v>
      </c>
    </row>
    <row r="6" spans="2:4" x14ac:dyDescent="0.25">
      <c r="B6">
        <v>26</v>
      </c>
      <c r="C6" s="204" t="s">
        <v>140</v>
      </c>
      <c r="D6" s="400"/>
    </row>
    <row r="7" spans="2:4" x14ac:dyDescent="0.25">
      <c r="B7">
        <v>25</v>
      </c>
      <c r="C7" s="204" t="s">
        <v>141</v>
      </c>
      <c r="D7" s="400"/>
    </row>
    <row r="8" spans="2:4" x14ac:dyDescent="0.25">
      <c r="B8">
        <v>24</v>
      </c>
      <c r="C8" s="405" t="s">
        <v>142</v>
      </c>
      <c r="D8" s="400"/>
    </row>
    <row r="9" spans="2:4" x14ac:dyDescent="0.25">
      <c r="B9">
        <v>23</v>
      </c>
      <c r="C9" s="405"/>
      <c r="D9" s="400"/>
    </row>
    <row r="10" spans="2:4" x14ac:dyDescent="0.25">
      <c r="B10">
        <v>22</v>
      </c>
      <c r="C10" s="204" t="s">
        <v>140</v>
      </c>
      <c r="D10" s="400"/>
    </row>
    <row r="11" spans="2:4" x14ac:dyDescent="0.25">
      <c r="B11">
        <v>21</v>
      </c>
      <c r="C11" s="204" t="s">
        <v>141</v>
      </c>
      <c r="D11" s="400"/>
    </row>
    <row r="12" spans="2:4" x14ac:dyDescent="0.25">
      <c r="B12">
        <v>20</v>
      </c>
      <c r="C12" s="405" t="s">
        <v>142</v>
      </c>
      <c r="D12" s="400"/>
    </row>
    <row r="13" spans="2:4" x14ac:dyDescent="0.25">
      <c r="B13">
        <v>19</v>
      </c>
      <c r="C13" s="405"/>
      <c r="D13" s="400"/>
    </row>
    <row r="14" spans="2:4" x14ac:dyDescent="0.25">
      <c r="B14">
        <v>18</v>
      </c>
      <c r="C14" s="204" t="s">
        <v>140</v>
      </c>
      <c r="D14" s="400"/>
    </row>
    <row r="15" spans="2:4" x14ac:dyDescent="0.25">
      <c r="B15">
        <v>17</v>
      </c>
      <c r="C15" s="204" t="s">
        <v>141</v>
      </c>
      <c r="D15" s="400"/>
    </row>
    <row r="16" spans="2:4" x14ac:dyDescent="0.25">
      <c r="B16">
        <v>16</v>
      </c>
      <c r="C16" s="405" t="s">
        <v>142</v>
      </c>
      <c r="D16" s="400"/>
    </row>
    <row r="17" spans="2:4" x14ac:dyDescent="0.25">
      <c r="B17">
        <v>15</v>
      </c>
      <c r="C17" s="405"/>
      <c r="D17" s="400"/>
    </row>
    <row r="18" spans="2:4" x14ac:dyDescent="0.25">
      <c r="B18">
        <v>14</v>
      </c>
      <c r="C18" s="406" t="s">
        <v>30</v>
      </c>
      <c r="D18" s="400"/>
    </row>
    <row r="19" spans="2:4" x14ac:dyDescent="0.25">
      <c r="B19">
        <v>13</v>
      </c>
      <c r="C19" s="407"/>
      <c r="D19" s="400"/>
    </row>
    <row r="20" spans="2:4" x14ac:dyDescent="0.25">
      <c r="B20">
        <v>12</v>
      </c>
      <c r="C20" s="407"/>
      <c r="D20" s="400"/>
    </row>
    <row r="21" spans="2:4" x14ac:dyDescent="0.25">
      <c r="B21">
        <v>11</v>
      </c>
      <c r="C21" s="407"/>
      <c r="D21" s="400"/>
    </row>
    <row r="22" spans="2:4" x14ac:dyDescent="0.25">
      <c r="B22">
        <v>10</v>
      </c>
      <c r="C22" s="407"/>
      <c r="D22" s="400"/>
    </row>
    <row r="23" spans="2:4" x14ac:dyDescent="0.25">
      <c r="B23">
        <v>9</v>
      </c>
      <c r="C23" s="407"/>
      <c r="D23" s="400"/>
    </row>
    <row r="24" spans="2:4" x14ac:dyDescent="0.25">
      <c r="B24">
        <v>8</v>
      </c>
      <c r="C24" s="407"/>
      <c r="D24" s="400"/>
    </row>
    <row r="25" spans="2:4" x14ac:dyDescent="0.25">
      <c r="B25">
        <v>7</v>
      </c>
      <c r="C25" s="407"/>
      <c r="D25" s="400"/>
    </row>
    <row r="26" spans="2:4" x14ac:dyDescent="0.25">
      <c r="B26">
        <v>6</v>
      </c>
      <c r="C26" s="407"/>
      <c r="D26" s="400"/>
    </row>
    <row r="27" spans="2:4" x14ac:dyDescent="0.25">
      <c r="B27">
        <v>5</v>
      </c>
      <c r="C27" s="407"/>
      <c r="D27" s="400"/>
    </row>
    <row r="28" spans="2:4" x14ac:dyDescent="0.25">
      <c r="B28">
        <v>4</v>
      </c>
      <c r="C28" s="407"/>
      <c r="D28" s="400"/>
    </row>
    <row r="29" spans="2:4" x14ac:dyDescent="0.25">
      <c r="B29">
        <v>3</v>
      </c>
      <c r="C29" s="407"/>
      <c r="D29" s="400"/>
    </row>
    <row r="30" spans="2:4" x14ac:dyDescent="0.25">
      <c r="B30">
        <v>2</v>
      </c>
      <c r="C30" s="407"/>
      <c r="D30" s="400"/>
    </row>
    <row r="31" spans="2:4" ht="15.75" thickBot="1" x14ac:dyDescent="0.3">
      <c r="B31">
        <v>1</v>
      </c>
      <c r="C31" s="408"/>
      <c r="D31" s="401"/>
    </row>
    <row r="32" spans="2:4" x14ac:dyDescent="0.25">
      <c r="B32">
        <v>15</v>
      </c>
      <c r="C32" s="200" t="s">
        <v>139</v>
      </c>
      <c r="D32" s="402" t="s">
        <v>149</v>
      </c>
    </row>
    <row r="33" spans="2:4" x14ac:dyDescent="0.25">
      <c r="B33">
        <v>14</v>
      </c>
      <c r="C33" s="201" t="s">
        <v>146</v>
      </c>
      <c r="D33" s="403"/>
    </row>
    <row r="34" spans="2:4" x14ac:dyDescent="0.25">
      <c r="B34">
        <v>13</v>
      </c>
      <c r="C34" s="201" t="s">
        <v>141</v>
      </c>
      <c r="D34" s="403"/>
    </row>
    <row r="35" spans="2:4" x14ac:dyDescent="0.25">
      <c r="B35">
        <v>12</v>
      </c>
      <c r="C35" s="201" t="s">
        <v>147</v>
      </c>
      <c r="D35" s="403"/>
    </row>
    <row r="36" spans="2:4" x14ac:dyDescent="0.25">
      <c r="B36">
        <v>11</v>
      </c>
      <c r="C36" s="201" t="s">
        <v>146</v>
      </c>
      <c r="D36" s="403"/>
    </row>
    <row r="37" spans="2:4" x14ac:dyDescent="0.25">
      <c r="B37">
        <v>10</v>
      </c>
      <c r="C37" s="201" t="s">
        <v>141</v>
      </c>
      <c r="D37" s="403"/>
    </row>
    <row r="38" spans="2:4" ht="15.75" thickBot="1" x14ac:dyDescent="0.3">
      <c r="B38">
        <v>9</v>
      </c>
      <c r="C38" s="202" t="s">
        <v>147</v>
      </c>
      <c r="D38" s="403"/>
    </row>
    <row r="39" spans="2:4" x14ac:dyDescent="0.25">
      <c r="B39">
        <v>8</v>
      </c>
      <c r="C39" s="396" t="s">
        <v>30</v>
      </c>
      <c r="D39" s="403"/>
    </row>
    <row r="40" spans="2:4" x14ac:dyDescent="0.25">
      <c r="B40">
        <v>7</v>
      </c>
      <c r="C40" s="397"/>
      <c r="D40" s="403"/>
    </row>
    <row r="41" spans="2:4" x14ac:dyDescent="0.25">
      <c r="B41">
        <v>6</v>
      </c>
      <c r="C41" s="397"/>
      <c r="D41" s="403"/>
    </row>
    <row r="42" spans="2:4" x14ac:dyDescent="0.25">
      <c r="B42">
        <v>5</v>
      </c>
      <c r="C42" s="397"/>
      <c r="D42" s="403"/>
    </row>
    <row r="43" spans="2:4" x14ac:dyDescent="0.25">
      <c r="B43">
        <v>4</v>
      </c>
      <c r="C43" s="397"/>
      <c r="D43" s="403"/>
    </row>
    <row r="44" spans="2:4" x14ac:dyDescent="0.25">
      <c r="B44">
        <v>3</v>
      </c>
      <c r="C44" s="397"/>
      <c r="D44" s="403"/>
    </row>
    <row r="45" spans="2:4" x14ac:dyDescent="0.25">
      <c r="B45">
        <v>2</v>
      </c>
      <c r="C45" s="397"/>
      <c r="D45" s="403"/>
    </row>
    <row r="46" spans="2:4" ht="15.75" thickBot="1" x14ac:dyDescent="0.3">
      <c r="B46">
        <v>1</v>
      </c>
      <c r="C46" s="398"/>
      <c r="D46" s="404"/>
    </row>
  </sheetData>
  <mergeCells count="7">
    <mergeCell ref="C39:C46"/>
    <mergeCell ref="D5:D31"/>
    <mergeCell ref="D32:D46"/>
    <mergeCell ref="C8:C9"/>
    <mergeCell ref="C12:C13"/>
    <mergeCell ref="C16:C17"/>
    <mergeCell ref="C18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BOQ Tổng</vt:lpstr>
      <vt:lpstr>SPEC</vt:lpstr>
      <vt:lpstr>DC</vt:lpstr>
      <vt:lpstr>UPS CAL</vt:lpstr>
      <vt:lpstr>maximum size UPS</vt:lpstr>
      <vt:lpstr>'BOQ Tổng'!Print_Area</vt:lpstr>
      <vt:lpstr>DC!Print_Area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Thanh.ND</dc:creator>
  <cp:lastModifiedBy>HieuBH</cp:lastModifiedBy>
  <cp:lastPrinted>2017-03-28T01:40:09Z</cp:lastPrinted>
  <dcterms:created xsi:type="dcterms:W3CDTF">2016-12-19T01:49:04Z</dcterms:created>
  <dcterms:modified xsi:type="dcterms:W3CDTF">2022-09-13T02:30:59Z</dcterms:modified>
</cp:coreProperties>
</file>