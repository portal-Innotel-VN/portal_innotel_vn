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-hps\OneDrive - hps.edu.vn\01-Workspace\Alphanam\BoQ\_Newest\2020Mar06\HPE-BOM\"/>
    </mc:Choice>
  </mc:AlternateContent>
  <bookViews>
    <workbookView xWindow="240" yWindow="15" windowWidth="16095" windowHeight="9660"/>
  </bookViews>
  <sheets>
    <sheet name="List Price" sheetId="2" r:id="rId1"/>
  </sheets>
  <calcPr calcId="152511"/>
</workbook>
</file>

<file path=xl/calcChain.xml><?xml version="1.0" encoding="utf-8"?>
<calcChain xmlns="http://schemas.openxmlformats.org/spreadsheetml/2006/main">
  <c r="F93" i="2" l="1"/>
  <c r="F13" i="2" l="1"/>
  <c r="F12" i="2"/>
  <c r="F11" i="2"/>
  <c r="F10" i="2"/>
  <c r="F9" i="2"/>
  <c r="F8" i="2"/>
  <c r="F7" i="2"/>
  <c r="F6" i="2"/>
  <c r="F5" i="2"/>
  <c r="F4" i="2"/>
  <c r="F29" i="2" l="1"/>
  <c r="F28" i="2"/>
  <c r="F26" i="2"/>
  <c r="F25" i="2"/>
  <c r="F91" i="2"/>
  <c r="F90" i="2"/>
  <c r="F88" i="2"/>
  <c r="F87" i="2"/>
  <c r="F85" i="2"/>
  <c r="F84" i="2"/>
  <c r="F82" i="2"/>
  <c r="F81" i="2"/>
  <c r="F79" i="2"/>
  <c r="F77" i="2"/>
  <c r="F76" i="2"/>
  <c r="F69" i="2"/>
  <c r="F68" i="2"/>
  <c r="F67" i="2"/>
  <c r="F66" i="2"/>
  <c r="F64" i="2"/>
  <c r="F63" i="2"/>
  <c r="F61" i="2"/>
  <c r="F60" i="2"/>
  <c r="F58" i="2"/>
  <c r="F57" i="2"/>
  <c r="F55" i="2"/>
  <c r="F54" i="2"/>
  <c r="F52" i="2"/>
  <c r="F51" i="2"/>
  <c r="F49" i="2"/>
  <c r="F48" i="2"/>
  <c r="F46" i="2"/>
  <c r="F45" i="2"/>
  <c r="F43" i="2"/>
  <c r="F42" i="2"/>
  <c r="F41" i="2"/>
  <c r="F40" i="2"/>
  <c r="F39" i="2"/>
  <c r="F36" i="2"/>
  <c r="F34" i="2"/>
  <c r="F32" i="2"/>
  <c r="F31" i="2"/>
  <c r="F27" i="2"/>
  <c r="F24" i="2"/>
  <c r="F23" i="2"/>
  <c r="F20" i="2"/>
  <c r="F18" i="2"/>
  <c r="F16" i="2"/>
  <c r="F15" i="2"/>
</calcChain>
</file>

<file path=xl/sharedStrings.xml><?xml version="1.0" encoding="utf-8"?>
<sst xmlns="http://schemas.openxmlformats.org/spreadsheetml/2006/main" count="156" uniqueCount="91">
  <si>
    <t>Line#</t>
  </si>
  <si>
    <t>Part Number</t>
  </si>
  <si>
    <t>Description</t>
  </si>
  <si>
    <t>Unit Price</t>
  </si>
  <si>
    <t>Quantity</t>
  </si>
  <si>
    <t>Total</t>
  </si>
  <si>
    <t>J9822A</t>
  </si>
  <si>
    <t>Aruba 5412R zl2 Switch</t>
  </si>
  <si>
    <t>H1NC1E</t>
  </si>
  <si>
    <t>HPE 3Y FC 24x7 Aruba 5412R zl2 Switc SVC  [for J9822A]</t>
  </si>
  <si>
    <t>J9828A</t>
  </si>
  <si>
    <t>Aruba 5400R 700W PoE+ zl2 PSU</t>
  </si>
  <si>
    <t>J9852A</t>
  </si>
  <si>
    <t>HPE X450 4U/7U Univ 4-post Rackmount Kit</t>
  </si>
  <si>
    <t>J9993A</t>
  </si>
  <si>
    <t>Aruba 8p 1G/10GbE SFP+ v3 zl2 Mod</t>
  </si>
  <si>
    <t>J9987A</t>
  </si>
  <si>
    <t>Aruba 24p 1000BASE-T v3 zl2 Mod</t>
  </si>
  <si>
    <t>J9996A</t>
  </si>
  <si>
    <t>Aruba 2p 40GbE QSFP+ v3 zl2 Mod</t>
  </si>
  <si>
    <t>J9285D</t>
  </si>
  <si>
    <t>Aruba 10G SFP+ to SFP+ 7m DAC Cable</t>
  </si>
  <si>
    <t>JH235A</t>
  </si>
  <si>
    <t>HPE X242 40G QSFP+ to QSFP+ 3m DAC Cable</t>
  </si>
  <si>
    <t>GPNS Switch Infrastructure</t>
  </si>
  <si>
    <t>Access Switch</t>
  </si>
  <si>
    <t>Core Swictch</t>
  </si>
  <si>
    <t>JL255A</t>
  </si>
  <si>
    <t>Aruba 2930F 24G PoE+ 4SFP+ Switch</t>
  </si>
  <si>
    <t>J9150D</t>
  </si>
  <si>
    <t>Aruba 10G SFP+ LC SR 300m MMF Transceiver</t>
  </si>
  <si>
    <t>J9283D</t>
  </si>
  <si>
    <t>Aruba 10G SFP+ to SFP+ 3m DAC Cable</t>
  </si>
  <si>
    <t>DAC 10G</t>
  </si>
  <si>
    <t>SFP+ 10G</t>
  </si>
  <si>
    <t>Engineer Switch Infrastructure</t>
  </si>
  <si>
    <t>J9821A</t>
  </si>
  <si>
    <t>Aruba 5406R zl2 Switch</t>
  </si>
  <si>
    <t>H1MT0E</t>
  </si>
  <si>
    <t>HPE 3Y FC 24x7 Aruba 5406R zl2 Switc SVC  [for J9821A]</t>
  </si>
  <si>
    <t>J9990A</t>
  </si>
  <si>
    <t>Aruba 20p PoE+ / 4p SFP+ v3 zl2 Mod</t>
  </si>
  <si>
    <t>Wireless Infrastructure</t>
  </si>
  <si>
    <t>Wireless Cotroller</t>
  </si>
  <si>
    <t>JW783A</t>
  </si>
  <si>
    <t>Aruba 7240XM (RW) 4p 10GBase-X (SFP+) 2p Dual Pers (10/100/1000BASE-T or SFP) Controller</t>
  </si>
  <si>
    <t>H4QC7E</t>
  </si>
  <si>
    <t>Aruba 1Y FC 24x7 7240XM Controller SVC  [for JW783A]</t>
  </si>
  <si>
    <t>JW657A</t>
  </si>
  <si>
    <t>Aruba PSU-350-AC 7200 Series S3500-24T S3500-48T and S3500-24F 350W AC Power Supply</t>
  </si>
  <si>
    <t>JW124A</t>
  </si>
  <si>
    <t>PC-AC-NA North America AC Power Cord</t>
  </si>
  <si>
    <t>JW472AAE</t>
  </si>
  <si>
    <t>Aruba LIC-AP Controller per AP Capacity License E-LTU</t>
  </si>
  <si>
    <t>H2YU3E</t>
  </si>
  <si>
    <t>Aruba 1Y FC 24x7 Ctrl perAP Cap ELTU SVC  [for JW472AAE]</t>
  </si>
  <si>
    <t>License for Aps</t>
  </si>
  <si>
    <t xml:space="preserve">Guest Room Wireless </t>
  </si>
  <si>
    <t>Guest Corridor Wireless</t>
  </si>
  <si>
    <t>Public Area Wireless</t>
  </si>
  <si>
    <t>BOH Wireless</t>
  </si>
  <si>
    <t>Conference Area Wireless</t>
  </si>
  <si>
    <t>Elevator Wireless</t>
  </si>
  <si>
    <t>Outdoor Wireless</t>
  </si>
  <si>
    <t>JY678A</t>
  </si>
  <si>
    <t>Aruba AP-303H (RW) Unified AP</t>
  </si>
  <si>
    <t>JW072A</t>
  </si>
  <si>
    <t>AP-CBL-ETH10 10-pk Short Ethernet Cable</t>
  </si>
  <si>
    <t>JZ320A</t>
  </si>
  <si>
    <t>Aruba AP-303 (RW) Unified AP</t>
  </si>
  <si>
    <t>JW047A</t>
  </si>
  <si>
    <t>AP-220-MNT-W1W Mount Basic White Kit</t>
  </si>
  <si>
    <t>JX936A</t>
  </si>
  <si>
    <t>Aruba AP-305 802.11n/ac 2x2:2/3x3:3 MU-MIMO Dual Radio Integrated Antenna AP</t>
  </si>
  <si>
    <t>JZ031A</t>
  </si>
  <si>
    <t>Aruba AP-345 (RW) Unified AP</t>
  </si>
  <si>
    <t>JX966A</t>
  </si>
  <si>
    <t>Aruba AP-365 (RW) Outdoor AP</t>
  </si>
  <si>
    <t>JW701A</t>
  </si>
  <si>
    <t>PD-9001GO-INTL 30W 802.3at PoE+ 10/100/1000 Outdoor Surge Prot Intl Power Cord Injector</t>
  </si>
  <si>
    <t>JW052A</t>
  </si>
  <si>
    <t>AP-270-MNT-V1 AP-270 Series Outdoor Pole/Wall Long Mount Kit</t>
  </si>
  <si>
    <t>JW118A</t>
  </si>
  <si>
    <t>PC-AC-EC Continental European/Schuko AC Power Cord</t>
  </si>
  <si>
    <t>Heatmap Test</t>
  </si>
  <si>
    <t>T&amp;C</t>
  </si>
  <si>
    <t>Warranty</t>
  </si>
  <si>
    <t>Warranty:
- Server + Core Sw: 3Years, 24/7/4
- Switch + access point: Basic warranty</t>
  </si>
  <si>
    <t>Spare</t>
  </si>
  <si>
    <t>JL558A</t>
  </si>
  <si>
    <t>Aruba 2930F 48G PoE+ 4SFP+ 740W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</si>
</sst>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&quot;#,##0.00_);\(&quot;&quot;#,##0.00\);&quot;&quot;0.00_);_(* @_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49" fontId="0" fillId="0" borderId="2" xfId="0" applyNumberFormat="1" applyBorder="1" applyAlignment="1">
      <alignment horizontal="left" wrapText="1"/>
    </xf>
    <xf numFmtId="164" fontId="0" fillId="0" borderId="2" xfId="0" applyNumberFormat="1" applyBorder="1"/>
    <xf numFmtId="0" fontId="0" fillId="0" borderId="2" xfId="0" applyBorder="1"/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49" fontId="1" fillId="0" borderId="2" xfId="0" applyNumberFormat="1" applyFont="1" applyBorder="1" applyAlignment="1">
      <alignment horizontal="left" wrapText="1"/>
    </xf>
    <xf numFmtId="164" fontId="1" fillId="0" borderId="2" xfId="0" applyNumberFormat="1" applyFont="1" applyBorder="1"/>
    <xf numFmtId="0" fontId="1" fillId="0" borderId="2" xfId="0" applyFont="1" applyBorder="1"/>
    <xf numFmtId="0" fontId="1" fillId="0" borderId="0" xfId="0" applyFont="1"/>
    <xf numFmtId="0" fontId="2" fillId="3" borderId="3" xfId="0" applyFont="1" applyFill="1" applyBorder="1" applyAlignment="1">
      <alignment horizontal="left"/>
    </xf>
    <xf numFmtId="0" fontId="4" fillId="0" borderId="0" xfId="0" applyFont="1"/>
    <xf numFmtId="0" fontId="4" fillId="5" borderId="3" xfId="0" applyFont="1" applyFill="1" applyBorder="1"/>
    <xf numFmtId="49" fontId="4" fillId="5" borderId="3" xfId="0" applyNumberFormat="1" applyFont="1" applyFill="1" applyBorder="1" applyAlignment="1">
      <alignment horizontal="left" wrapText="1"/>
    </xf>
    <xf numFmtId="164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tabSelected="1" workbookViewId="0">
      <selection activeCell="G92" sqref="G92"/>
    </sheetView>
  </sheetViews>
  <sheetFormatPr defaultRowHeight="15" x14ac:dyDescent="0.25"/>
  <cols>
    <col min="1" max="1" width="10.7109375" customWidth="1"/>
    <col min="2" max="2" width="17.28515625" customWidth="1"/>
    <col min="3" max="3" width="60.7109375" customWidth="1"/>
    <col min="4" max="6" width="12.7109375" customWidth="1"/>
    <col min="7" max="7" width="17.42578125" customWidth="1"/>
    <col min="8" max="8" width="11.710937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5"/>
      <c r="B2" s="5"/>
      <c r="C2" s="5" t="s">
        <v>24</v>
      </c>
      <c r="D2" s="5"/>
      <c r="E2" s="5"/>
      <c r="F2" s="5"/>
    </row>
    <row r="3" spans="1:7" x14ac:dyDescent="0.25">
      <c r="A3" s="6"/>
      <c r="B3" s="6"/>
      <c r="C3" s="7" t="s">
        <v>26</v>
      </c>
      <c r="D3" s="6"/>
      <c r="E3" s="6"/>
      <c r="F3" s="6"/>
    </row>
    <row r="4" spans="1:7" x14ac:dyDescent="0.25">
      <c r="A4" s="2"/>
      <c r="B4" s="2" t="s">
        <v>6</v>
      </c>
      <c r="C4" s="2" t="s">
        <v>7</v>
      </c>
      <c r="D4" s="3">
        <v>4895</v>
      </c>
      <c r="E4" s="4">
        <v>2</v>
      </c>
      <c r="F4" s="3">
        <f t="shared" ref="F4:F13" si="0">D4*E4</f>
        <v>9790</v>
      </c>
    </row>
    <row r="5" spans="1:7" s="11" customFormat="1" x14ac:dyDescent="0.25">
      <c r="A5" s="8"/>
      <c r="B5" s="8" t="s">
        <v>8</v>
      </c>
      <c r="C5" s="8" t="s">
        <v>9</v>
      </c>
      <c r="D5" s="9">
        <v>5567</v>
      </c>
      <c r="E5" s="10">
        <v>2</v>
      </c>
      <c r="F5" s="9">
        <f t="shared" si="0"/>
        <v>11134</v>
      </c>
      <c r="G5"/>
    </row>
    <row r="6" spans="1:7" x14ac:dyDescent="0.25">
      <c r="A6" s="2"/>
      <c r="B6" s="2" t="s">
        <v>10</v>
      </c>
      <c r="C6" s="2" t="s">
        <v>11</v>
      </c>
      <c r="D6" s="3">
        <v>850</v>
      </c>
      <c r="E6" s="4">
        <v>8</v>
      </c>
      <c r="F6" s="3">
        <f t="shared" si="0"/>
        <v>6800</v>
      </c>
    </row>
    <row r="7" spans="1:7" x14ac:dyDescent="0.25">
      <c r="A7" s="2"/>
      <c r="B7" s="2" t="s">
        <v>12</v>
      </c>
      <c r="C7" s="2" t="s">
        <v>13</v>
      </c>
      <c r="D7" s="3">
        <v>424</v>
      </c>
      <c r="E7" s="4">
        <v>2</v>
      </c>
      <c r="F7" s="3">
        <f t="shared" si="0"/>
        <v>848</v>
      </c>
    </row>
    <row r="8" spans="1:7" x14ac:dyDescent="0.25">
      <c r="A8" s="2"/>
      <c r="B8" s="2" t="s">
        <v>14</v>
      </c>
      <c r="C8" s="2" t="s">
        <v>15</v>
      </c>
      <c r="D8" s="3">
        <v>5108</v>
      </c>
      <c r="E8" s="4">
        <v>8</v>
      </c>
      <c r="F8" s="3">
        <f t="shared" si="0"/>
        <v>40864</v>
      </c>
    </row>
    <row r="9" spans="1:7" x14ac:dyDescent="0.25">
      <c r="A9" s="2"/>
      <c r="B9" s="2" t="s">
        <v>40</v>
      </c>
      <c r="C9" s="2" t="s">
        <v>41</v>
      </c>
      <c r="D9" s="3">
        <v>4256</v>
      </c>
      <c r="E9" s="4">
        <v>2</v>
      </c>
      <c r="F9" s="3">
        <f t="shared" si="0"/>
        <v>8512</v>
      </c>
    </row>
    <row r="10" spans="1:7" x14ac:dyDescent="0.25">
      <c r="A10" s="2"/>
      <c r="B10" s="2" t="s">
        <v>16</v>
      </c>
      <c r="C10" s="2" t="s">
        <v>17</v>
      </c>
      <c r="D10" s="3">
        <v>3511</v>
      </c>
      <c r="E10" s="4">
        <v>2</v>
      </c>
      <c r="F10" s="3">
        <f t="shared" si="0"/>
        <v>7022</v>
      </c>
    </row>
    <row r="11" spans="1:7" x14ac:dyDescent="0.25">
      <c r="A11" s="2"/>
      <c r="B11" s="2" t="s">
        <v>18</v>
      </c>
      <c r="C11" s="2" t="s">
        <v>19</v>
      </c>
      <c r="D11" s="3">
        <v>7237</v>
      </c>
      <c r="E11" s="4">
        <v>2</v>
      </c>
      <c r="F11" s="3">
        <f t="shared" si="0"/>
        <v>14474</v>
      </c>
    </row>
    <row r="12" spans="1:7" x14ac:dyDescent="0.25">
      <c r="A12" s="2"/>
      <c r="B12" s="2" t="s">
        <v>20</v>
      </c>
      <c r="C12" s="2" t="s">
        <v>21</v>
      </c>
      <c r="D12" s="3">
        <v>394</v>
      </c>
      <c r="E12" s="4">
        <v>4</v>
      </c>
      <c r="F12" s="3">
        <f t="shared" si="0"/>
        <v>1576</v>
      </c>
    </row>
    <row r="13" spans="1:7" x14ac:dyDescent="0.25">
      <c r="A13" s="2"/>
      <c r="B13" s="2" t="s">
        <v>22</v>
      </c>
      <c r="C13" s="2" t="s">
        <v>23</v>
      </c>
      <c r="D13" s="3">
        <v>574</v>
      </c>
      <c r="E13" s="4">
        <v>2</v>
      </c>
      <c r="F13" s="3">
        <f t="shared" si="0"/>
        <v>1148</v>
      </c>
    </row>
    <row r="14" spans="1:7" x14ac:dyDescent="0.25">
      <c r="A14" s="6"/>
      <c r="B14" s="6"/>
      <c r="C14" s="7" t="s">
        <v>25</v>
      </c>
      <c r="D14" s="6"/>
      <c r="E14" s="6"/>
      <c r="F14" s="6"/>
    </row>
    <row r="15" spans="1:7" x14ac:dyDescent="0.25">
      <c r="A15" s="2"/>
      <c r="B15" s="2" t="s">
        <v>27</v>
      </c>
      <c r="C15" s="2" t="s">
        <v>28</v>
      </c>
      <c r="D15" s="3">
        <v>4120</v>
      </c>
      <c r="E15" s="4">
        <v>13</v>
      </c>
      <c r="F15" s="3">
        <f>D15*E15</f>
        <v>53560</v>
      </c>
    </row>
    <row r="16" spans="1:7" x14ac:dyDescent="0.25">
      <c r="A16" s="2"/>
      <c r="B16" s="2" t="s">
        <v>89</v>
      </c>
      <c r="C16" s="2" t="s">
        <v>90</v>
      </c>
      <c r="D16" s="3">
        <v>8663</v>
      </c>
      <c r="E16" s="4">
        <v>48</v>
      </c>
      <c r="F16" s="3">
        <f>D16*E16</f>
        <v>415824</v>
      </c>
    </row>
    <row r="17" spans="1:7" x14ac:dyDescent="0.25">
      <c r="A17" s="6"/>
      <c r="B17" s="6"/>
      <c r="C17" s="7" t="s">
        <v>33</v>
      </c>
      <c r="D17" s="6"/>
      <c r="E17" s="6"/>
      <c r="F17" s="6"/>
    </row>
    <row r="18" spans="1:7" x14ac:dyDescent="0.25">
      <c r="A18" s="2"/>
      <c r="B18" s="2" t="s">
        <v>31</v>
      </c>
      <c r="C18" s="2" t="s">
        <v>32</v>
      </c>
      <c r="D18" s="3">
        <v>287</v>
      </c>
      <c r="E18" s="4">
        <v>59</v>
      </c>
      <c r="F18" s="3">
        <f>D18*E18</f>
        <v>16933</v>
      </c>
    </row>
    <row r="19" spans="1:7" x14ac:dyDescent="0.25">
      <c r="A19" s="6"/>
      <c r="B19" s="6"/>
      <c r="C19" s="7" t="s">
        <v>34</v>
      </c>
      <c r="D19" s="6"/>
      <c r="E19" s="6"/>
      <c r="F19" s="6"/>
    </row>
    <row r="20" spans="1:7" x14ac:dyDescent="0.25">
      <c r="A20" s="2"/>
      <c r="B20" s="2" t="s">
        <v>29</v>
      </c>
      <c r="C20" s="2" t="s">
        <v>30</v>
      </c>
      <c r="D20" s="3">
        <v>1618</v>
      </c>
      <c r="E20" s="4">
        <v>100</v>
      </c>
      <c r="F20" s="3">
        <f>D20*E20</f>
        <v>161800</v>
      </c>
    </row>
    <row r="21" spans="1:7" x14ac:dyDescent="0.25">
      <c r="A21" s="5"/>
      <c r="B21" s="5"/>
      <c r="C21" s="5" t="s">
        <v>35</v>
      </c>
      <c r="D21" s="5"/>
      <c r="E21" s="5"/>
      <c r="F21" s="5"/>
    </row>
    <row r="22" spans="1:7" x14ac:dyDescent="0.25">
      <c r="A22" s="6"/>
      <c r="B22" s="6"/>
      <c r="C22" s="7" t="s">
        <v>26</v>
      </c>
      <c r="D22" s="6"/>
      <c r="E22" s="6"/>
      <c r="F22" s="6"/>
    </row>
    <row r="23" spans="1:7" x14ac:dyDescent="0.25">
      <c r="A23" s="2"/>
      <c r="B23" s="2" t="s">
        <v>36</v>
      </c>
      <c r="C23" s="2" t="s">
        <v>37</v>
      </c>
      <c r="D23" s="3">
        <v>2576</v>
      </c>
      <c r="E23" s="4">
        <v>2</v>
      </c>
      <c r="F23" s="3">
        <f t="shared" ref="F23:F29" si="1">D23*E23</f>
        <v>5152</v>
      </c>
    </row>
    <row r="24" spans="1:7" s="11" customFormat="1" x14ac:dyDescent="0.25">
      <c r="A24" s="8"/>
      <c r="B24" s="8" t="s">
        <v>38</v>
      </c>
      <c r="C24" s="8" t="s">
        <v>39</v>
      </c>
      <c r="D24" s="9">
        <v>4027</v>
      </c>
      <c r="E24" s="10">
        <v>2</v>
      </c>
      <c r="F24" s="9">
        <f t="shared" si="1"/>
        <v>8054</v>
      </c>
      <c r="G24"/>
    </row>
    <row r="25" spans="1:7" x14ac:dyDescent="0.25">
      <c r="A25" s="2"/>
      <c r="B25" s="2" t="s">
        <v>10</v>
      </c>
      <c r="C25" s="2" t="s">
        <v>11</v>
      </c>
      <c r="D25" s="3">
        <v>850</v>
      </c>
      <c r="E25" s="4">
        <v>4</v>
      </c>
      <c r="F25" s="3">
        <f t="shared" si="1"/>
        <v>3400</v>
      </c>
    </row>
    <row r="26" spans="1:7" x14ac:dyDescent="0.25">
      <c r="A26" s="2"/>
      <c r="B26" s="2" t="s">
        <v>14</v>
      </c>
      <c r="C26" s="2" t="s">
        <v>15</v>
      </c>
      <c r="D26" s="3">
        <v>5108</v>
      </c>
      <c r="E26" s="4">
        <v>6</v>
      </c>
      <c r="F26" s="3">
        <f t="shared" si="1"/>
        <v>30648</v>
      </c>
    </row>
    <row r="27" spans="1:7" x14ac:dyDescent="0.25">
      <c r="A27" s="2"/>
      <c r="B27" s="2" t="s">
        <v>40</v>
      </c>
      <c r="C27" s="2" t="s">
        <v>41</v>
      </c>
      <c r="D27" s="3">
        <v>4256</v>
      </c>
      <c r="E27" s="4">
        <v>2</v>
      </c>
      <c r="F27" s="3">
        <f t="shared" si="1"/>
        <v>8512</v>
      </c>
    </row>
    <row r="28" spans="1:7" x14ac:dyDescent="0.25">
      <c r="A28" s="2"/>
      <c r="B28" s="2" t="s">
        <v>18</v>
      </c>
      <c r="C28" s="2" t="s">
        <v>19</v>
      </c>
      <c r="D28" s="3">
        <v>7237</v>
      </c>
      <c r="E28" s="4">
        <v>2</v>
      </c>
      <c r="F28" s="3">
        <f t="shared" si="1"/>
        <v>14474</v>
      </c>
    </row>
    <row r="29" spans="1:7" x14ac:dyDescent="0.25">
      <c r="A29" s="2"/>
      <c r="B29" s="2" t="s">
        <v>22</v>
      </c>
      <c r="C29" s="2" t="s">
        <v>23</v>
      </c>
      <c r="D29" s="3">
        <v>574</v>
      </c>
      <c r="E29" s="4">
        <v>2</v>
      </c>
      <c r="F29" s="3">
        <f t="shared" si="1"/>
        <v>1148</v>
      </c>
    </row>
    <row r="30" spans="1:7" x14ac:dyDescent="0.25">
      <c r="A30" s="6"/>
      <c r="B30" s="6"/>
      <c r="C30" s="7" t="s">
        <v>25</v>
      </c>
      <c r="D30" s="6"/>
      <c r="E30" s="6"/>
      <c r="F30" s="6"/>
    </row>
    <row r="31" spans="1:7" x14ac:dyDescent="0.25">
      <c r="A31" s="2"/>
      <c r="B31" s="2" t="s">
        <v>27</v>
      </c>
      <c r="C31" s="2" t="s">
        <v>28</v>
      </c>
      <c r="D31" s="3">
        <v>4120</v>
      </c>
      <c r="E31" s="4">
        <v>24</v>
      </c>
      <c r="F31" s="3">
        <f>D31*E31</f>
        <v>98880</v>
      </c>
    </row>
    <row r="32" spans="1:7" x14ac:dyDescent="0.25">
      <c r="A32" s="2"/>
      <c r="B32" s="2" t="s">
        <v>89</v>
      </c>
      <c r="C32" s="2" t="s">
        <v>90</v>
      </c>
      <c r="D32" s="3">
        <v>8663</v>
      </c>
      <c r="E32" s="4">
        <v>5</v>
      </c>
      <c r="F32" s="3">
        <f>D32*E32</f>
        <v>43315</v>
      </c>
    </row>
    <row r="33" spans="1:7" x14ac:dyDescent="0.25">
      <c r="A33" s="6"/>
      <c r="B33" s="6"/>
      <c r="C33" s="7" t="s">
        <v>33</v>
      </c>
      <c r="D33" s="6"/>
      <c r="E33" s="6"/>
      <c r="F33" s="6"/>
    </row>
    <row r="34" spans="1:7" x14ac:dyDescent="0.25">
      <c r="A34" s="2"/>
      <c r="B34" s="2" t="s">
        <v>31</v>
      </c>
      <c r="C34" s="2" t="s">
        <v>32</v>
      </c>
      <c r="D34" s="3">
        <v>287</v>
      </c>
      <c r="E34" s="4">
        <v>7</v>
      </c>
      <c r="F34" s="3">
        <f>D34*E34</f>
        <v>2009</v>
      </c>
    </row>
    <row r="35" spans="1:7" x14ac:dyDescent="0.25">
      <c r="A35" s="6"/>
      <c r="B35" s="6"/>
      <c r="C35" s="7" t="s">
        <v>34</v>
      </c>
      <c r="D35" s="6"/>
      <c r="E35" s="6"/>
      <c r="F35" s="6"/>
    </row>
    <row r="36" spans="1:7" x14ac:dyDescent="0.25">
      <c r="A36" s="2"/>
      <c r="B36" s="2" t="s">
        <v>29</v>
      </c>
      <c r="C36" s="2" t="s">
        <v>30</v>
      </c>
      <c r="D36" s="3">
        <v>1618</v>
      </c>
      <c r="E36" s="4">
        <v>100</v>
      </c>
      <c r="F36" s="3">
        <f>D36*E36</f>
        <v>161800</v>
      </c>
    </row>
    <row r="37" spans="1:7" x14ac:dyDescent="0.25">
      <c r="A37" s="5"/>
      <c r="B37" s="5"/>
      <c r="C37" s="5" t="s">
        <v>42</v>
      </c>
      <c r="D37" s="5"/>
      <c r="E37" s="5"/>
      <c r="F37" s="5"/>
    </row>
    <row r="38" spans="1:7" x14ac:dyDescent="0.25">
      <c r="A38" s="6"/>
      <c r="B38" s="6"/>
      <c r="C38" s="7" t="s">
        <v>43</v>
      </c>
      <c r="D38" s="6"/>
      <c r="E38" s="6"/>
      <c r="F38" s="6"/>
    </row>
    <row r="39" spans="1:7" ht="30" x14ac:dyDescent="0.25">
      <c r="A39" s="2"/>
      <c r="B39" s="2" t="s">
        <v>44</v>
      </c>
      <c r="C39" s="2" t="s">
        <v>45</v>
      </c>
      <c r="D39" s="3">
        <v>46833</v>
      </c>
      <c r="E39" s="4">
        <v>2</v>
      </c>
      <c r="F39" s="3">
        <f t="shared" ref="F39:F43" si="2">D39*E39</f>
        <v>93666</v>
      </c>
    </row>
    <row r="40" spans="1:7" s="11" customFormat="1" x14ac:dyDescent="0.25">
      <c r="A40" s="8"/>
      <c r="B40" s="8" t="s">
        <v>46</v>
      </c>
      <c r="C40" s="8" t="s">
        <v>47</v>
      </c>
      <c r="D40" s="9">
        <v>11723</v>
      </c>
      <c r="E40" s="10">
        <v>2</v>
      </c>
      <c r="F40" s="9">
        <f t="shared" si="2"/>
        <v>23446</v>
      </c>
      <c r="G40"/>
    </row>
    <row r="41" spans="1:7" ht="30" x14ac:dyDescent="0.25">
      <c r="A41" s="2"/>
      <c r="B41" s="2" t="s">
        <v>48</v>
      </c>
      <c r="C41" s="2" t="s">
        <v>49</v>
      </c>
      <c r="D41" s="3">
        <v>580</v>
      </c>
      <c r="E41" s="4">
        <v>2</v>
      </c>
      <c r="F41" s="3">
        <f t="shared" si="2"/>
        <v>1160</v>
      </c>
    </row>
    <row r="42" spans="1:7" x14ac:dyDescent="0.25">
      <c r="A42" s="2"/>
      <c r="B42" s="2" t="s">
        <v>50</v>
      </c>
      <c r="C42" s="2" t="s">
        <v>51</v>
      </c>
      <c r="D42" s="3">
        <v>5</v>
      </c>
      <c r="E42" s="4">
        <v>4</v>
      </c>
      <c r="F42" s="3">
        <f t="shared" si="2"/>
        <v>20</v>
      </c>
    </row>
    <row r="43" spans="1:7" x14ac:dyDescent="0.25">
      <c r="A43" s="2"/>
      <c r="B43" s="2" t="s">
        <v>20</v>
      </c>
      <c r="C43" s="2" t="s">
        <v>21</v>
      </c>
      <c r="D43" s="3">
        <v>394</v>
      </c>
      <c r="E43" s="4">
        <v>4</v>
      </c>
      <c r="F43" s="3">
        <f t="shared" si="2"/>
        <v>1576</v>
      </c>
    </row>
    <row r="44" spans="1:7" x14ac:dyDescent="0.25">
      <c r="A44" s="6"/>
      <c r="B44" s="6"/>
      <c r="C44" s="7" t="s">
        <v>56</v>
      </c>
      <c r="D44" s="6"/>
      <c r="E44" s="6"/>
      <c r="F44" s="6"/>
    </row>
    <row r="45" spans="1:7" x14ac:dyDescent="0.25">
      <c r="A45" s="2"/>
      <c r="B45" s="2" t="s">
        <v>52</v>
      </c>
      <c r="C45" s="2" t="s">
        <v>53</v>
      </c>
      <c r="D45" s="3">
        <v>89</v>
      </c>
      <c r="E45" s="4">
        <v>1205</v>
      </c>
      <c r="F45" s="3">
        <f>D45*E45</f>
        <v>107245</v>
      </c>
    </row>
    <row r="46" spans="1:7" x14ac:dyDescent="0.25">
      <c r="A46" s="2"/>
      <c r="B46" s="8" t="s">
        <v>54</v>
      </c>
      <c r="C46" s="8" t="s">
        <v>55</v>
      </c>
      <c r="D46" s="9">
        <v>12</v>
      </c>
      <c r="E46" s="10">
        <v>1205</v>
      </c>
      <c r="F46" s="9">
        <f>D46*E46</f>
        <v>14460</v>
      </c>
    </row>
    <row r="47" spans="1:7" x14ac:dyDescent="0.25">
      <c r="A47" s="6"/>
      <c r="B47" s="6"/>
      <c r="C47" s="7" t="s">
        <v>57</v>
      </c>
      <c r="D47" s="6"/>
      <c r="E47" s="6"/>
      <c r="F47" s="6"/>
    </row>
    <row r="48" spans="1:7" x14ac:dyDescent="0.25">
      <c r="A48" s="2"/>
      <c r="B48" s="2" t="s">
        <v>64</v>
      </c>
      <c r="C48" s="2" t="s">
        <v>65</v>
      </c>
      <c r="D48" s="3">
        <v>580</v>
      </c>
      <c r="E48" s="4">
        <v>879</v>
      </c>
      <c r="F48" s="3">
        <f>D48*E48</f>
        <v>509820</v>
      </c>
    </row>
    <row r="49" spans="1:6" x14ac:dyDescent="0.25">
      <c r="A49" s="2"/>
      <c r="B49" s="2" t="s">
        <v>66</v>
      </c>
      <c r="C49" s="2" t="s">
        <v>67</v>
      </c>
      <c r="D49" s="3">
        <v>89</v>
      </c>
      <c r="E49" s="4">
        <v>879</v>
      </c>
      <c r="F49" s="3">
        <f>D49*E49</f>
        <v>78231</v>
      </c>
    </row>
    <row r="50" spans="1:6" x14ac:dyDescent="0.25">
      <c r="A50" s="6"/>
      <c r="B50" s="6"/>
      <c r="C50" s="7" t="s">
        <v>58</v>
      </c>
      <c r="D50" s="6"/>
      <c r="E50" s="6"/>
      <c r="F50" s="6"/>
    </row>
    <row r="51" spans="1:6" x14ac:dyDescent="0.25">
      <c r="A51" s="2"/>
      <c r="B51" s="2" t="s">
        <v>68</v>
      </c>
      <c r="C51" s="2" t="s">
        <v>69</v>
      </c>
      <c r="D51" s="3">
        <v>463</v>
      </c>
      <c r="E51" s="4">
        <v>160</v>
      </c>
      <c r="F51" s="3">
        <f>D51*E51</f>
        <v>74080</v>
      </c>
    </row>
    <row r="52" spans="1:6" x14ac:dyDescent="0.25">
      <c r="A52" s="2"/>
      <c r="B52" s="2" t="s">
        <v>70</v>
      </c>
      <c r="C52" s="2" t="s">
        <v>71</v>
      </c>
      <c r="D52" s="3">
        <v>30</v>
      </c>
      <c r="E52" s="4">
        <v>160</v>
      </c>
      <c r="F52" s="3">
        <f>D52*E52</f>
        <v>4800</v>
      </c>
    </row>
    <row r="53" spans="1:6" x14ac:dyDescent="0.25">
      <c r="A53" s="6"/>
      <c r="B53" s="6"/>
      <c r="C53" s="7" t="s">
        <v>59</v>
      </c>
      <c r="D53" s="6"/>
      <c r="E53" s="6"/>
      <c r="F53" s="6"/>
    </row>
    <row r="54" spans="1:6" ht="30" x14ac:dyDescent="0.25">
      <c r="A54" s="2"/>
      <c r="B54" s="2" t="s">
        <v>72</v>
      </c>
      <c r="C54" s="2" t="s">
        <v>73</v>
      </c>
      <c r="D54" s="3">
        <v>814</v>
      </c>
      <c r="E54" s="4">
        <v>112</v>
      </c>
      <c r="F54" s="3">
        <f>D54*E54</f>
        <v>91168</v>
      </c>
    </row>
    <row r="55" spans="1:6" x14ac:dyDescent="0.25">
      <c r="A55" s="2"/>
      <c r="B55" s="2" t="s">
        <v>70</v>
      </c>
      <c r="C55" s="2" t="s">
        <v>71</v>
      </c>
      <c r="D55" s="3">
        <v>30</v>
      </c>
      <c r="E55" s="4">
        <v>112</v>
      </c>
      <c r="F55" s="3">
        <f>D55*E55</f>
        <v>3360</v>
      </c>
    </row>
    <row r="56" spans="1:6" x14ac:dyDescent="0.25">
      <c r="A56" s="6"/>
      <c r="B56" s="6"/>
      <c r="C56" s="7" t="s">
        <v>60</v>
      </c>
      <c r="D56" s="6"/>
      <c r="E56" s="6"/>
      <c r="F56" s="6"/>
    </row>
    <row r="57" spans="1:6" x14ac:dyDescent="0.25">
      <c r="A57" s="2"/>
      <c r="B57" s="2" t="s">
        <v>68</v>
      </c>
      <c r="C57" s="2" t="s">
        <v>69</v>
      </c>
      <c r="D57" s="3">
        <v>463</v>
      </c>
      <c r="E57" s="4">
        <v>20</v>
      </c>
      <c r="F57" s="3">
        <f>D57*E57</f>
        <v>9260</v>
      </c>
    </row>
    <row r="58" spans="1:6" x14ac:dyDescent="0.25">
      <c r="A58" s="2"/>
      <c r="B58" s="2" t="s">
        <v>70</v>
      </c>
      <c r="C58" s="2" t="s">
        <v>71</v>
      </c>
      <c r="D58" s="3">
        <v>30</v>
      </c>
      <c r="E58" s="4">
        <v>20</v>
      </c>
      <c r="F58" s="3">
        <f>D58*E58</f>
        <v>600</v>
      </c>
    </row>
    <row r="59" spans="1:6" x14ac:dyDescent="0.25">
      <c r="A59" s="6"/>
      <c r="B59" s="6"/>
      <c r="C59" s="7" t="s">
        <v>61</v>
      </c>
      <c r="D59" s="6"/>
      <c r="E59" s="6"/>
      <c r="F59" s="6"/>
    </row>
    <row r="60" spans="1:6" x14ac:dyDescent="0.25">
      <c r="A60" s="2"/>
      <c r="B60" s="2" t="s">
        <v>74</v>
      </c>
      <c r="C60" s="2" t="s">
        <v>75</v>
      </c>
      <c r="D60" s="3">
        <v>1634</v>
      </c>
      <c r="E60" s="4">
        <v>14</v>
      </c>
      <c r="F60" s="3">
        <f>D60*E60</f>
        <v>22876</v>
      </c>
    </row>
    <row r="61" spans="1:6" x14ac:dyDescent="0.25">
      <c r="A61" s="2"/>
      <c r="B61" s="2" t="s">
        <v>70</v>
      </c>
      <c r="C61" s="2" t="s">
        <v>71</v>
      </c>
      <c r="D61" s="3">
        <v>30</v>
      </c>
      <c r="E61" s="4">
        <v>14</v>
      </c>
      <c r="F61" s="3">
        <f>D61*E61</f>
        <v>420</v>
      </c>
    </row>
    <row r="62" spans="1:6" x14ac:dyDescent="0.25">
      <c r="A62" s="6"/>
      <c r="B62" s="6"/>
      <c r="C62" s="7" t="s">
        <v>62</v>
      </c>
      <c r="D62" s="6"/>
      <c r="E62" s="6"/>
      <c r="F62" s="6"/>
    </row>
    <row r="63" spans="1:6" x14ac:dyDescent="0.25">
      <c r="A63" s="2"/>
      <c r="B63" s="2" t="s">
        <v>68</v>
      </c>
      <c r="C63" s="2" t="s">
        <v>69</v>
      </c>
      <c r="D63" s="3">
        <v>463</v>
      </c>
      <c r="E63" s="4">
        <v>17</v>
      </c>
      <c r="F63" s="3">
        <f>D63*E63</f>
        <v>7871</v>
      </c>
    </row>
    <row r="64" spans="1:6" x14ac:dyDescent="0.25">
      <c r="A64" s="2"/>
      <c r="B64" s="2" t="s">
        <v>70</v>
      </c>
      <c r="C64" s="2" t="s">
        <v>71</v>
      </c>
      <c r="D64" s="3">
        <v>30</v>
      </c>
      <c r="E64" s="4">
        <v>17</v>
      </c>
      <c r="F64" s="3">
        <f>D64*E64</f>
        <v>510</v>
      </c>
    </row>
    <row r="65" spans="1:6" x14ac:dyDescent="0.25">
      <c r="A65" s="6"/>
      <c r="B65" s="6"/>
      <c r="C65" s="7" t="s">
        <v>63</v>
      </c>
      <c r="D65" s="6"/>
      <c r="E65" s="6"/>
      <c r="F65" s="6"/>
    </row>
    <row r="66" spans="1:6" x14ac:dyDescent="0.25">
      <c r="A66" s="2"/>
      <c r="B66" s="2" t="s">
        <v>76</v>
      </c>
      <c r="C66" s="2" t="s">
        <v>77</v>
      </c>
      <c r="D66" s="3">
        <v>1517</v>
      </c>
      <c r="E66" s="4">
        <v>3</v>
      </c>
      <c r="F66" s="3">
        <f>D66*E66</f>
        <v>4551</v>
      </c>
    </row>
    <row r="67" spans="1:6" ht="30" x14ac:dyDescent="0.25">
      <c r="A67" s="2"/>
      <c r="B67" s="2" t="s">
        <v>78</v>
      </c>
      <c r="C67" s="2" t="s">
        <v>79</v>
      </c>
      <c r="D67" s="3">
        <v>814</v>
      </c>
      <c r="E67" s="4">
        <v>3</v>
      </c>
      <c r="F67" s="3">
        <f>D67*E67</f>
        <v>2442</v>
      </c>
    </row>
    <row r="68" spans="1:6" x14ac:dyDescent="0.25">
      <c r="A68" s="2"/>
      <c r="B68" s="2" t="s">
        <v>80</v>
      </c>
      <c r="C68" s="2" t="s">
        <v>81</v>
      </c>
      <c r="D68" s="3">
        <v>176</v>
      </c>
      <c r="E68" s="4">
        <v>3</v>
      </c>
      <c r="F68" s="3">
        <f>D68*E68</f>
        <v>528</v>
      </c>
    </row>
    <row r="69" spans="1:6" x14ac:dyDescent="0.25">
      <c r="A69" s="2"/>
      <c r="B69" s="2" t="s">
        <v>82</v>
      </c>
      <c r="C69" s="2" t="s">
        <v>83</v>
      </c>
      <c r="D69" s="3">
        <v>5</v>
      </c>
      <c r="E69" s="4">
        <v>3</v>
      </c>
      <c r="F69" s="3">
        <f>D69*E69</f>
        <v>15</v>
      </c>
    </row>
    <row r="70" spans="1:6" x14ac:dyDescent="0.25">
      <c r="A70" s="5"/>
      <c r="B70" s="5"/>
      <c r="C70" s="12" t="s">
        <v>84</v>
      </c>
      <c r="D70" s="5"/>
      <c r="E70" s="5"/>
      <c r="F70" s="5"/>
    </row>
    <row r="71" spans="1:6" x14ac:dyDescent="0.25">
      <c r="A71" s="5"/>
      <c r="B71" s="5"/>
      <c r="C71" s="12" t="s">
        <v>85</v>
      </c>
      <c r="D71" s="5"/>
      <c r="E71" s="5"/>
      <c r="F71" s="5"/>
    </row>
    <row r="72" spans="1:6" x14ac:dyDescent="0.25">
      <c r="A72" s="5"/>
      <c r="B72" s="5"/>
      <c r="C72" s="12" t="s">
        <v>86</v>
      </c>
      <c r="D72" s="5"/>
      <c r="E72" s="5"/>
      <c r="F72" s="5"/>
    </row>
    <row r="73" spans="1:6" ht="45" x14ac:dyDescent="0.25">
      <c r="A73" s="2"/>
      <c r="B73" s="2"/>
      <c r="C73" s="2" t="s">
        <v>87</v>
      </c>
      <c r="D73" s="3"/>
      <c r="E73" s="4"/>
      <c r="F73" s="3"/>
    </row>
    <row r="74" spans="1:6" x14ac:dyDescent="0.25">
      <c r="A74" s="5"/>
      <c r="B74" s="5"/>
      <c r="C74" s="5" t="s">
        <v>88</v>
      </c>
      <c r="D74" s="5"/>
      <c r="E74" s="5"/>
      <c r="F74" s="5"/>
    </row>
    <row r="75" spans="1:6" x14ac:dyDescent="0.25">
      <c r="A75" s="6"/>
      <c r="B75" s="6"/>
      <c r="C75" s="7" t="s">
        <v>25</v>
      </c>
      <c r="D75" s="6"/>
      <c r="E75" s="6"/>
      <c r="F75" s="6"/>
    </row>
    <row r="76" spans="1:6" x14ac:dyDescent="0.25">
      <c r="A76" s="2"/>
      <c r="B76" s="2" t="s">
        <v>27</v>
      </c>
      <c r="C76" s="2" t="s">
        <v>28</v>
      </c>
      <c r="D76" s="3">
        <v>4120</v>
      </c>
      <c r="E76" s="4">
        <v>2</v>
      </c>
      <c r="F76" s="3">
        <f>D76*E76</f>
        <v>8240</v>
      </c>
    </row>
    <row r="77" spans="1:6" x14ac:dyDescent="0.25">
      <c r="A77" s="2"/>
      <c r="B77" s="2" t="s">
        <v>89</v>
      </c>
      <c r="C77" s="2" t="s">
        <v>90</v>
      </c>
      <c r="D77" s="3">
        <v>8663</v>
      </c>
      <c r="E77" s="4">
        <v>2</v>
      </c>
      <c r="F77" s="3">
        <f>D77*E77</f>
        <v>17326</v>
      </c>
    </row>
    <row r="78" spans="1:6" x14ac:dyDescent="0.25">
      <c r="A78" s="6"/>
      <c r="B78" s="6"/>
      <c r="C78" s="7" t="s">
        <v>33</v>
      </c>
      <c r="D78" s="6"/>
      <c r="E78" s="6"/>
      <c r="F78" s="6"/>
    </row>
    <row r="79" spans="1:6" x14ac:dyDescent="0.25">
      <c r="A79" s="2"/>
      <c r="B79" s="2" t="s">
        <v>31</v>
      </c>
      <c r="C79" s="2" t="s">
        <v>32</v>
      </c>
      <c r="D79" s="3">
        <v>287</v>
      </c>
      <c r="E79" s="4">
        <v>6</v>
      </c>
      <c r="F79" s="3">
        <f>D79*E79</f>
        <v>1722</v>
      </c>
    </row>
    <row r="80" spans="1:6" x14ac:dyDescent="0.25">
      <c r="A80" s="6"/>
      <c r="B80" s="6"/>
      <c r="C80" s="7" t="s">
        <v>57</v>
      </c>
      <c r="D80" s="6"/>
      <c r="E80" s="6"/>
      <c r="F80" s="6"/>
    </row>
    <row r="81" spans="1:6" x14ac:dyDescent="0.25">
      <c r="A81" s="2"/>
      <c r="B81" s="2" t="s">
        <v>64</v>
      </c>
      <c r="C81" s="2" t="s">
        <v>65</v>
      </c>
      <c r="D81" s="3">
        <v>580</v>
      </c>
      <c r="E81" s="4">
        <v>5</v>
      </c>
      <c r="F81" s="3">
        <f>D81*E81</f>
        <v>2900</v>
      </c>
    </row>
    <row r="82" spans="1:6" x14ac:dyDescent="0.25">
      <c r="A82" s="2"/>
      <c r="B82" s="2" t="s">
        <v>66</v>
      </c>
      <c r="C82" s="2" t="s">
        <v>67</v>
      </c>
      <c r="D82" s="3">
        <v>89</v>
      </c>
      <c r="E82" s="4">
        <v>5</v>
      </c>
      <c r="F82" s="3">
        <f>D82*E82</f>
        <v>445</v>
      </c>
    </row>
    <row r="83" spans="1:6" x14ac:dyDescent="0.25">
      <c r="A83" s="6"/>
      <c r="B83" s="6"/>
      <c r="C83" s="7" t="s">
        <v>58</v>
      </c>
      <c r="D83" s="6"/>
      <c r="E83" s="6"/>
      <c r="F83" s="6"/>
    </row>
    <row r="84" spans="1:6" x14ac:dyDescent="0.25">
      <c r="A84" s="2"/>
      <c r="B84" s="2" t="s">
        <v>68</v>
      </c>
      <c r="C84" s="2" t="s">
        <v>69</v>
      </c>
      <c r="D84" s="3">
        <v>463</v>
      </c>
      <c r="E84" s="4">
        <v>5</v>
      </c>
      <c r="F84" s="3">
        <f>D84*E84</f>
        <v>2315</v>
      </c>
    </row>
    <row r="85" spans="1:6" x14ac:dyDescent="0.25">
      <c r="A85" s="2"/>
      <c r="B85" s="2" t="s">
        <v>70</v>
      </c>
      <c r="C85" s="2" t="s">
        <v>71</v>
      </c>
      <c r="D85" s="3">
        <v>30</v>
      </c>
      <c r="E85" s="4">
        <v>5</v>
      </c>
      <c r="F85" s="3">
        <f>D85*E85</f>
        <v>150</v>
      </c>
    </row>
    <row r="86" spans="1:6" x14ac:dyDescent="0.25">
      <c r="A86" s="6"/>
      <c r="B86" s="6"/>
      <c r="C86" s="7" t="s">
        <v>60</v>
      </c>
      <c r="D86" s="6"/>
      <c r="E86" s="6"/>
      <c r="F86" s="6"/>
    </row>
    <row r="87" spans="1:6" x14ac:dyDescent="0.25">
      <c r="A87" s="2"/>
      <c r="B87" s="2" t="s">
        <v>68</v>
      </c>
      <c r="C87" s="2" t="s">
        <v>69</v>
      </c>
      <c r="D87" s="3">
        <v>463</v>
      </c>
      <c r="E87" s="4">
        <v>5</v>
      </c>
      <c r="F87" s="3">
        <f>D87*E87</f>
        <v>2315</v>
      </c>
    </row>
    <row r="88" spans="1:6" x14ac:dyDescent="0.25">
      <c r="A88" s="2"/>
      <c r="B88" s="2" t="s">
        <v>70</v>
      </c>
      <c r="C88" s="2" t="s">
        <v>71</v>
      </c>
      <c r="D88" s="3">
        <v>30</v>
      </c>
      <c r="E88" s="4">
        <v>5</v>
      </c>
      <c r="F88" s="3">
        <f>D88*E88</f>
        <v>150</v>
      </c>
    </row>
    <row r="89" spans="1:6" x14ac:dyDescent="0.25">
      <c r="A89" s="6"/>
      <c r="B89" s="6"/>
      <c r="C89" s="7" t="s">
        <v>61</v>
      </c>
      <c r="D89" s="6"/>
      <c r="E89" s="6"/>
      <c r="F89" s="6"/>
    </row>
    <row r="90" spans="1:6" x14ac:dyDescent="0.25">
      <c r="A90" s="2"/>
      <c r="B90" s="2" t="s">
        <v>74</v>
      </c>
      <c r="C90" s="2" t="s">
        <v>75</v>
      </c>
      <c r="D90" s="3">
        <v>1634</v>
      </c>
      <c r="E90" s="4">
        <v>5</v>
      </c>
      <c r="F90" s="3">
        <f>D90*E90</f>
        <v>8170</v>
      </c>
    </row>
    <row r="91" spans="1:6" x14ac:dyDescent="0.25">
      <c r="A91" s="2"/>
      <c r="B91" s="2" t="s">
        <v>70</v>
      </c>
      <c r="C91" s="2" t="s">
        <v>71</v>
      </c>
      <c r="D91" s="3">
        <v>30</v>
      </c>
      <c r="E91" s="4">
        <v>5</v>
      </c>
      <c r="F91" s="3">
        <f>D91*E91</f>
        <v>150</v>
      </c>
    </row>
    <row r="92" spans="1:6" x14ac:dyDescent="0.25">
      <c r="A92" s="5"/>
      <c r="B92" s="5"/>
      <c r="C92" s="5"/>
      <c r="D92" s="5"/>
      <c r="E92" s="5"/>
      <c r="F92" s="5"/>
    </row>
    <row r="93" spans="1:6" s="13" customFormat="1" x14ac:dyDescent="0.25">
      <c r="A93" s="14"/>
      <c r="B93" s="14"/>
      <c r="C93" s="15" t="s">
        <v>5</v>
      </c>
      <c r="D93" s="14"/>
      <c r="E93" s="14"/>
      <c r="F93" s="16">
        <f>SUM(F4:F92)</f>
        <v>2223665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Intangi Envision</cp:keywords>
  <cp:lastModifiedBy>Windows User</cp:lastModifiedBy>
  <dcterms:created xsi:type="dcterms:W3CDTF">2019-09-22T23:12:37Z</dcterms:created>
  <dcterms:modified xsi:type="dcterms:W3CDTF">2020-03-09T08:11:31Z</dcterms:modified>
</cp:coreProperties>
</file>