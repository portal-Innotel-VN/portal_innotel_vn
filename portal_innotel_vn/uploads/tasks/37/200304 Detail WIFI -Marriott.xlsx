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1665" windowWidth="27555" windowHeight="11040" activeTab="2"/>
  </bookViews>
  <sheets>
    <sheet name=" Hotel Network" sheetId="5" r:id="rId1"/>
    <sheet name="Apartment Network " sheetId="6" r:id="rId2"/>
    <sheet name="Hotel wifi " sheetId="1" r:id="rId3"/>
    <sheet name="Apartment wifi 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_____key2" hidden="1">#REF!</definedName>
    <definedName name="______FAB4" hidden="1">'[1]F4-F7'!#REF!</definedName>
    <definedName name="_____key2" hidden="1">#REF!</definedName>
    <definedName name="____FAB4" hidden="1">'[1]F4-F7'!#REF!</definedName>
    <definedName name="___4__123Graph_Aｸﾞﾗﾌ_2" hidden="1">#REF!</definedName>
    <definedName name="___key2" hidden="1">#REF!</definedName>
    <definedName name="__1__123Graph_ACHART_1" hidden="1">[2]Cash2!$G$16:$G$31</definedName>
    <definedName name="__10__123Graph_DCHART_1" hidden="1">[2]Cash2!$K$16:$K$36</definedName>
    <definedName name="__11__123Graph_Xｸﾞﾗﾌ_1" hidden="1">#REF!</definedName>
    <definedName name="__12__123Graph_Xｸﾞﾗﾌ_2" hidden="1">#REF!</definedName>
    <definedName name="__13__123Graph_Xｸﾞﾗﾌ_3" hidden="1">#REF!</definedName>
    <definedName name="__14__123Graph_Xｸﾞﾗﾌ_4" hidden="1">#REF!</definedName>
    <definedName name="__15__123Graph_Xｸﾞﾗﾌ_5" hidden="1">#REF!</definedName>
    <definedName name="__2__123Graph_ACHART_2" hidden="1">[2]Z!$T$179:$AH$179</definedName>
    <definedName name="__3__123Graph_Aｸﾞﾗﾌ_1" hidden="1">#REF!</definedName>
    <definedName name="__4__123Graph_Aｸﾞﾗﾌ_2" hidden="1">#REF!</definedName>
    <definedName name="__5__123Graph_Aｸﾞﾗﾌ_3" hidden="1">#REF!</definedName>
    <definedName name="__6__123Graph_Aｸﾞﾗﾌ_4" hidden="1">#REF!</definedName>
    <definedName name="__7__123Graph_Aｸﾞﾗﾌ_5" hidden="1">#REF!</definedName>
    <definedName name="__8__123Graph_BCHART_2" hidden="1">[2]Z!$T$180:$AH$180</definedName>
    <definedName name="__9__123Graph_CCHART_1" hidden="1">[2]Cash2!$J$16:$J$36</definedName>
    <definedName name="__FAB4" hidden="1">'[1]F4-F7'!#REF!</definedName>
    <definedName name="__key2" hidden="1">#REF!</definedName>
    <definedName name="__MCC3" hidden="1">{#N/A,#N/A,FALSE,"CCTV"}</definedName>
    <definedName name="_1__123Graph_ACHART_1" hidden="1">[2]Cash2!$G$16:$G$31</definedName>
    <definedName name="_1__123Graph_Aｸﾞﾗﾌ_1" hidden="1">#REF!</definedName>
    <definedName name="_10__123Graph_Aｸﾞﾗﾌ_5" hidden="1">#REF!</definedName>
    <definedName name="_10__123Graph_DCHART_1" hidden="1">[2]Cash2!$K$16:$K$36</definedName>
    <definedName name="_10__123Graph_Xｸﾞﾗﾌ_5" hidden="1">#REF!</definedName>
    <definedName name="_11__123Graph_Xｸﾞﾗﾌ_1" hidden="1">#REF!</definedName>
    <definedName name="_12__123Graph_Xｸﾞﾗﾌ_1" hidden="1">#REF!</definedName>
    <definedName name="_12__123Graph_Xｸﾞﾗﾌ_2" hidden="1">#REF!</definedName>
    <definedName name="_13__123Graph_Xｸﾞﾗﾌ_3" hidden="1">#REF!</definedName>
    <definedName name="_14__123Graph_Xｸﾞﾗﾌ_2" hidden="1">#REF!</definedName>
    <definedName name="_14__123Graph_Xｸﾞﾗﾌ_4" hidden="1">#REF!</definedName>
    <definedName name="_15__123Graph_Xｸﾞﾗﾌ_5" hidden="1">#REF!</definedName>
    <definedName name="_16__123Graph_Xｸﾞﾗﾌ_3" hidden="1">#REF!</definedName>
    <definedName name="_18__123Graph_Xｸﾞﾗﾌ_4" hidden="1">#REF!</definedName>
    <definedName name="_2__123Graph_ACHART_2" hidden="1">[2]Z!$T$179:$AH$179</definedName>
    <definedName name="_2__123Graph_Aｸﾞﾗﾌ_1" hidden="1">#REF!</definedName>
    <definedName name="_2__123Graph_Aｸﾞﾗﾌ_2" hidden="1">#REF!</definedName>
    <definedName name="_2_0_F" hidden="1">[3]노임단가!#REF!</definedName>
    <definedName name="_20__123Graph_Xｸﾞﾗﾌ_5" hidden="1">#REF!</definedName>
    <definedName name="_3__123Graph_Aｸﾞﾗﾌ_1" hidden="1">#REF!</definedName>
    <definedName name="_3__123Graph_Aｸﾞﾗﾌ_3" hidden="1">#REF!</definedName>
    <definedName name="_4__123Graph_Aｸﾞﾗﾌ_2" hidden="1">#REF!</definedName>
    <definedName name="_4__123Graph_Aｸﾞﾗﾌ_4" hidden="1">#REF!</definedName>
    <definedName name="_4_0_0_F" hidden="1">[4]실행!#REF!</definedName>
    <definedName name="_5__123Graph_Aｸﾞﾗﾌ_3" hidden="1">#REF!</definedName>
    <definedName name="_5__123Graph_Aｸﾞﾗﾌ_5" hidden="1">#REF!</definedName>
    <definedName name="_6__123Graph_Aｸﾞﾗﾌ_3" hidden="1">#REF!</definedName>
    <definedName name="_6__123Graph_Aｸﾞﾗﾌ_4" hidden="1">#REF!</definedName>
    <definedName name="_6__123Graph_Xｸﾞﾗﾌ_1" hidden="1">#REF!</definedName>
    <definedName name="_6_2_0_Parse" hidden="1">[3]노임단가!#REF!</definedName>
    <definedName name="_7__123Graph_Aｸﾞﾗﾌ_5" hidden="1">#REF!</definedName>
    <definedName name="_7__123Graph_Xｸﾞﾗﾌ_2" hidden="1">#REF!</definedName>
    <definedName name="_8__123Graph_Aｸﾞﾗﾌ_4" hidden="1">#REF!</definedName>
    <definedName name="_8__123Graph_BCHART_2" hidden="1">[2]Z!$T$180:$AH$180</definedName>
    <definedName name="_8__123Graph_Xｸﾞﾗﾌ_3" hidden="1">#REF!</definedName>
    <definedName name="_9__123Graph_CCHART_1" hidden="1">[2]Cash2!$J$16:$J$36</definedName>
    <definedName name="_9__123Graph_Xｸﾞﾗﾌ_4" hidden="1">#REF!</definedName>
    <definedName name="_a1" hidden="1">{"'Sheet1'!$L$16"}</definedName>
    <definedName name="_FAB4" hidden="1">'[1]F4-F7'!#REF!</definedName>
    <definedName name="_Fill" hidden="1">#REF!</definedName>
    <definedName name="_Fill1" hidden="1">#REF!</definedName>
    <definedName name="_xlnm._FilterDatabase" localSheetId="0" hidden="1">' Hotel Network'!$A$3:$U$92</definedName>
    <definedName name="_xlnm._FilterDatabase" localSheetId="1" hidden="1">'Apartment Network '!$A$4:$G$38</definedName>
    <definedName name="_xlnm._FilterDatabase" localSheetId="3" hidden="1">'Apartment wifi '!$A$3:$H$20</definedName>
    <definedName name="_xlnm._FilterDatabase" localSheetId="2" hidden="1">'Hotel wifi '!$A$3:$H$60</definedName>
    <definedName name="_xlnm._FilterDatabase" hidden="1">#REF!</definedName>
    <definedName name="_Goi8" hidden="1">{"'Sheet1'!$L$16"}</definedName>
    <definedName name="_Key1" hidden="1">#REF!</definedName>
    <definedName name="_Key2" hidden="1">#REF!</definedName>
    <definedName name="_MCC3" hidden="1">{#N/A,#N/A,FALSE,"CCTV"}</definedName>
    <definedName name="_Order1" hidden="1">255</definedName>
    <definedName name="_Order2" hidden="1">255</definedName>
    <definedName name="_P3" hidden="1">{#N/A,#N/A,FALSE,"特殊室（ＢＱ表）"}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Regression_Int" hidden="1">1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A" hidden="1">#REF!</definedName>
    <definedName name="ABAB" hidden="1">{#N/A,#N/A,FALSE,"CCTV"}</definedName>
    <definedName name="abc" hidden="1">{"'Sheet1'!$L$16"}</definedName>
    <definedName name="AccessDatabase" hidden="1">"C:\WIN95\Desktop\Ramesh\AIC\Aic.mdb"</definedName>
    <definedName name="ACDDesktop">[5]Server!#REF!</definedName>
    <definedName name="ACDDesktopSW">[5]Server!#REF!</definedName>
    <definedName name="adc" hidden="1">{#N/A,#N/A,FALSE,"CCTV"}</definedName>
    <definedName name="addcost">#REF!</definedName>
    <definedName name="addcost1">#REF!</definedName>
    <definedName name="ADServer">[5]Server!#REF!</definedName>
    <definedName name="ADServerSW">[5]Server!#REF!</definedName>
    <definedName name="aesde" hidden="1">{#N/A,#N/A,FALSE,"CCTV"}</definedName>
    <definedName name="Aircon">#REF!</definedName>
    <definedName name="AltirisServer">[5]Server!#REF!</definedName>
    <definedName name="AltirisServerSW">[5]Server!#REF!</definedName>
    <definedName name="anscount" hidden="1">8</definedName>
    <definedName name="as" hidden="1">{#N/A,#N/A,FALSE,"CCTV"}</definedName>
    <definedName name="asd">#REF!</definedName>
    <definedName name="ASDF" hidden="1">{#N/A,#N/A,FALSE,"CCTV"}</definedName>
    <definedName name="asdfa" hidden="1">#REF!</definedName>
    <definedName name="AvayaAcdHW">[5]Server!#REF!</definedName>
    <definedName name="AvayaAcdSW">[5]Server!#REF!</definedName>
    <definedName name="BackupDevice1840">[5]Server!#REF!</definedName>
    <definedName name="BackupDevice800GB">[5]Server!#REF!</definedName>
    <definedName name="BackupDeviceLarge">[5]Server!#REF!</definedName>
    <definedName name="BackupDeviceMedium">[5]Server!#REF!</definedName>
    <definedName name="BackupDeviceSmall">[5]Server!#REF!</definedName>
    <definedName name="BackupSW">[5]Server!#REF!</definedName>
    <definedName name="BCiMacHardware">[5]Server!#REF!</definedName>
    <definedName name="BCiMACSoftware">[5]Server!#REF!</definedName>
    <definedName name="BCMacBookHardware">[5]Server!#REF!</definedName>
    <definedName name="BCMacBookSoftware">[5]Server!#REF!</definedName>
    <definedName name="BQ">#REF!</definedName>
    <definedName name="Bricks_cost">#REF!</definedName>
    <definedName name="Brickscost">#REF!</definedName>
    <definedName name="brickscostexport">#REF!</definedName>
    <definedName name="brickscostlocal">#REF!</definedName>
    <definedName name="BusinessCenterDesktopHW">[5]Server!#REF!</definedName>
    <definedName name="BusinessCenterLaptopHW">[5]Server!#REF!</definedName>
    <definedName name="BusinessCenterLaptopSW">[5]Server!#REF!</definedName>
    <definedName name="BusinessCenterLaptopT61PHW">[5]Server!#REF!</definedName>
    <definedName name="BusinessCenterLaptopT61PSW">[5]Server!#REF!</definedName>
    <definedName name="BusinessCenterLaptopXSeriesHW">[5]Server!#REF!</definedName>
    <definedName name="BusinessCenterLaptopXseriesSW">[5]Server!#REF!</definedName>
    <definedName name="BusinessCenterSW">[5]Server!#REF!</definedName>
    <definedName name="CAL4NONMARRImage">[5]Server!$H$194</definedName>
    <definedName name="cald" hidden="1">{#N/A,#N/A,FALSE,"CCTV"}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ode" hidden="1">#REF!</definedName>
    <definedName name="CodeE">#REF!</definedName>
    <definedName name="column" hidden="1">#REF!</definedName>
    <definedName name="CompanyName">#REF!</definedName>
    <definedName name="CostingBreakdown_DesktopHW">#REF!</definedName>
    <definedName name="CostingBreakdown_DesktopSW">#REF!</definedName>
    <definedName name="CostingBreakdown_ServerRackCommMisc">#REF!</definedName>
    <definedName name="CostingBreakdown_ServerSW">#REF!</definedName>
    <definedName name="CreditCardSW">[5]Server!#REF!</definedName>
    <definedName name="CreditCradDesktop">[5]Server!#REF!</definedName>
    <definedName name="d" hidden="1">#REF!</definedName>
    <definedName name="dase" hidden="1">{#N/A,#N/A,FALSE,"CCTV"}</definedName>
    <definedName name="dat" hidden="1">{#N/A,#N/A,FALSE,"Sheet1"}</definedName>
    <definedName name="data" hidden="1">#REF!</definedName>
    <definedName name="data1" hidden="1">#REF!</definedName>
    <definedName name="data2" hidden="1">#REF!</definedName>
    <definedName name="data3" hidden="1">#REF!</definedName>
    <definedName name="Date">#REF!</definedName>
    <definedName name="DekstopPulisherSW">[5]Server!#REF!</definedName>
    <definedName name="DesktopCommRoom">[5]Server!#REF!</definedName>
    <definedName name="DesktopCommRoomSW">[5]Server!#REF!</definedName>
    <definedName name="DesktopPublisherHW">[5]Server!#REF!</definedName>
    <definedName name="deviation" hidden="1">{#N/A,#N/A,FALSE,"CCTV"}</definedName>
    <definedName name="Discount" hidden="1">#REF!</definedName>
    <definedName name="display_area_2" hidden="1">#REF!</definedName>
    <definedName name="DoorLockHW">[5]Server!#REF!</definedName>
    <definedName name="DoorLockSW">[5]Server!#REF!</definedName>
    <definedName name="DUCT" hidden="1">{#N/A,#N/A,FALSE,"Sheet1"}</definedName>
    <definedName name="E" hidden="1">{#N/A,#N/A,FALSE,"CCTV"}</definedName>
    <definedName name="ED" hidden="1">{#N/A,#N/A,FALSE,"CCTV"}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uinoxSerial">[5]Server!#REF!</definedName>
    <definedName name="Equipment">#REF!</definedName>
    <definedName name="EU" comment="Tỉ giá VND/EU=27,544.77">27544.77</definedName>
    <definedName name="EXCHANGE_RATE">#REF!</definedName>
    <definedName name="ExchangeRate">#REF!</definedName>
    <definedName name="ExecClubDekstopSW">[5]Server!#REF!</definedName>
    <definedName name="ExecClubDesktopHW">[5]Server!#REF!</definedName>
    <definedName name="ExecClubLaptopHW">[5]Server!#REF!</definedName>
    <definedName name="ExecClubLaptopSW">[5]Server!#REF!</definedName>
    <definedName name="ExecClubLaptopXSeriesHW">[5]Server!#REF!</definedName>
    <definedName name="ExecClubLaptopXSeriesSW">[5]Server!#REF!</definedName>
    <definedName name="F5TF" hidden="1">[6]FAB별!#REF!</definedName>
    <definedName name="FCode" hidden="1">#REF!</definedName>
    <definedName name="FCSCallAccountingHW">[5]Server!#REF!</definedName>
    <definedName name="FCSCallAccountingSW">[5]Server!#REF!</definedName>
    <definedName name="FCSConnectServer">[5]Server!#REF!</definedName>
    <definedName name="FCSConnectSW">[5]Server!#REF!</definedName>
    <definedName name="FCSDekstop">[5]Server!$L$234</definedName>
    <definedName name="FCSDekstopSoftware">[5]Server!$L$240</definedName>
    <definedName name="FCSiServiceServer">[5]Server!#REF!</definedName>
    <definedName name="FCSiServiceSW">[5]Server!#REF!</definedName>
    <definedName name="ff" hidden="1">#REF!</definedName>
    <definedName name="FirefightingR1">#REF!</definedName>
    <definedName name="FOR" hidden="1">{#N/A,#N/A,FALSE,"CCTV"}</definedName>
    <definedName name="FORMAT" hidden="1">{#N/A,#N/A,FALSE,"CCTV"}</definedName>
    <definedName name="FPServer">[5]Server!#REF!</definedName>
    <definedName name="FPServerHW">[5]Server!$L$98</definedName>
    <definedName name="FPServerSW">[5]Server!$L$108</definedName>
    <definedName name="ft">#REF!</definedName>
    <definedName name="ftt">#REF!</definedName>
    <definedName name="FULL" hidden="1">[7]경비2내역!#REF!</definedName>
    <definedName name="GallopDesktopHW">[5]Server!#REF!</definedName>
    <definedName name="GallopDesktopSW">[5]Server!#REF!</definedName>
    <definedName name="general">[5]Server!#REF!</definedName>
    <definedName name="GeneralDesktop">[5]Server!#REF!</definedName>
    <definedName name="GeneralDesktopSW">[5]Server!#REF!</definedName>
    <definedName name="GeneralLaptopHW">[5]Server!#REF!</definedName>
    <definedName name="GeneralLaptopSW">[5]Server!#REF!</definedName>
    <definedName name="GeneralLaptopT61PHW">[5]Server!#REF!</definedName>
    <definedName name="GeneralLaptopT61PSW">[5]Server!#REF!</definedName>
    <definedName name="GeneralLaptopXSeriesSW">[5]Server!#REF!</definedName>
    <definedName name="GeneralSmall">[5]Server!#REF!</definedName>
    <definedName name="GeneralSmallSW">[5]Server!#REF!</definedName>
    <definedName name="generalsw">[5]Server!#REF!</definedName>
    <definedName name="GenericServerLarge">[5]Server!#REF!</definedName>
    <definedName name="GenericServerLargeSW">[5]Server!#REF!</definedName>
    <definedName name="GenericSmallServer">[5]Server!#REF!</definedName>
    <definedName name="GenericSmallServerSW">[5]Server!#REF!</definedName>
    <definedName name="GenReduceServerHW">[5]Server!$L$190</definedName>
    <definedName name="GenReduceServerSW">[5]Server!$L$198</definedName>
    <definedName name="GernalLaptopXSeriesHW">[5]Server!#REF!</definedName>
    <definedName name="GrandTotalCabling">[5]Server!#REF!</definedName>
    <definedName name="GrandTotalDesktop">[5]Server!#REF!</definedName>
    <definedName name="GrandTotalGeneralCondition">#REF!</definedName>
    <definedName name="GrandTotalHardwareMA">#REF!</definedName>
    <definedName name="GrandTotalHSIACost">#REF!</definedName>
    <definedName name="GrandTotalHSIACostLocalCurrency">#REF!</definedName>
    <definedName name="GrandTotalHSIACostUSD">#REF!</definedName>
    <definedName name="GrandTotalLaptop">[5]Server!#REF!</definedName>
    <definedName name="GrandTotalMac">#REF!</definedName>
    <definedName name="GrandTotalPrinter">[5]Server!#REF!</definedName>
    <definedName name="GrandTotalSwitch">[5]Server!#REF!</definedName>
    <definedName name="GrandTotalTelecommunications">[5]Server!#REF!</definedName>
    <definedName name="GrandTotalTraining">[5]Server!#REF!</definedName>
    <definedName name="GrandTotalWarranty">[5]Server!#REF!</definedName>
    <definedName name="GuestwareHW">[5]Server!$L$154</definedName>
    <definedName name="h" hidden="1">{"'Sheet1'!$L$16"}</definedName>
    <definedName name="HA" hidden="1">{"'Sheet1'!$L$16"}</definedName>
    <definedName name="han" hidden="1">#REF!</definedName>
    <definedName name="hao" hidden="1">[8]대비!#REF!</definedName>
    <definedName name="HiddenRows" hidden="1">#REF!</definedName>
    <definedName name="HIGH" hidden="1">[9]FAB별!#REF!</definedName>
    <definedName name="HotelName">#REF!</definedName>
    <definedName name="HPStorageHW">[5]Server!#REF!</definedName>
    <definedName name="HSIA_CostPerRoomJapan">#REF!</definedName>
    <definedName name="HSIA_CostPerRoomNonJapan">#REF!</definedName>
    <definedName name="HSIA_GrandTotalJapan">#REF!</definedName>
    <definedName name="HSIA_GrandTotalNonJapan">#REF!</definedName>
    <definedName name="HSIA_GrandTotalSWHWNonJapan">#REF!</definedName>
    <definedName name="HSIA_SubTotalHWJapan">#REF!</definedName>
    <definedName name="HSIA_SubTotalHWNonJapan">#REF!</definedName>
    <definedName name="HSIA_SubTotalInstallationJapan">#REF!</definedName>
    <definedName name="HSIA_SubTotalInstallationNonJapan">#REF!</definedName>
    <definedName name="HSIA_SubTotalSWHWJapan">#REF!</definedName>
    <definedName name="HSIA_SubTotalSWJapan">#REF!</definedName>
    <definedName name="HSIA_SubTotalSWNonJapan">#REF!</definedName>
    <definedName name="HTML_CodePage" hidden="1">950</definedName>
    <definedName name="HTML_Control" hidden="1">{"'Sheet1'!$L$16"}</definedName>
    <definedName name="HTML_Control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uy" hidden="1">{"'Sheet1'!$L$16"}</definedName>
    <definedName name="HyperTerminal">[5]Server!#REF!</definedName>
    <definedName name="HyperTermininalSW">[5]Server!#REF!</definedName>
    <definedName name="IndiaPassportScanningHW">[5]Server!#REF!</definedName>
    <definedName name="IndiaPassportScanningSW">[5]Server!#REF!</definedName>
    <definedName name="InRoomDesktop">[5]Server!#REF!</definedName>
    <definedName name="InRoomSW">[5]Server!#REF!</definedName>
    <definedName name="InterTouchZone">#REF!</definedName>
    <definedName name="IntHW">[5]Server!#REF!</definedName>
    <definedName name="IntSW">[5]Server!#REF!</definedName>
    <definedName name="KidClubDesktopSW">[5]Server!#REF!</definedName>
    <definedName name="KidClubDestkopHW">[5]Server!#REF!</definedName>
    <definedName name="klhkl" hidden="1">{#N/A,#N/A,FALSE,"CCTV"}</definedName>
    <definedName name="lan" hidden="1">{#N/A,#N/A,TRUE,"BT M200 da 10x20"}</definedName>
    <definedName name="LF">1.16</definedName>
    <definedName name="LMSLargeServer">[5]Server!#REF!</definedName>
    <definedName name="LMSLargeServerSW">[5]Server!#REF!</definedName>
    <definedName name="LMSSmallServer">[5]Server!#REF!</definedName>
    <definedName name="LMSSmallServerSW">[5]Server!#REF!</definedName>
    <definedName name="LocalCurrency">#REF!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Server">[5]Server!#REF!</definedName>
    <definedName name="MCServerSW">[5]Server!#REF!</definedName>
    <definedName name="ME">1.1</definedName>
    <definedName name="MicrosHW">[5]Server!$L$71</definedName>
    <definedName name="MicrosPOSLarge">[5]Server!#REF!</definedName>
    <definedName name="MicrosPOSLargeSW">[5]Server!$L$79</definedName>
    <definedName name="MicrosPOSSmall">[5]Server!#REF!</definedName>
    <definedName name="MicrosPOSSmallSW">[5]Server!#REF!</definedName>
    <definedName name="MicrosSW">[5]Server!$L$79</definedName>
    <definedName name="MicsServerSW">[5]Server!#REF!</definedName>
    <definedName name="MiscCommRoom">[5]Server!#REF!</definedName>
    <definedName name="MISCServer">[5]Server!#REF!</definedName>
    <definedName name="MoE">1.17</definedName>
    <definedName name="moi" hidden="1">{"'Sheet1'!$L$16"}</definedName>
    <definedName name="Month">#REF!</definedName>
    <definedName name="MPGServer">[5]Server!#REF!</definedName>
    <definedName name="MPGServerSW">[5]Server!#REF!</definedName>
    <definedName name="MQ">#REF!</definedName>
    <definedName name="MusicStylingDesktop">[5]Server!#REF!</definedName>
    <definedName name="MusicStylingServerHW1">[5]Server!#REF!</definedName>
    <definedName name="MusicStylingSW">[5]Server!#REF!</definedName>
    <definedName name="MusicStylingSW1">[5]Server!#REF!</definedName>
    <definedName name="n" hidden="1">#REF!</definedName>
    <definedName name="NEWNAME" hidden="1">{#N/A,#N/A,FALSE,"CCTV"}</definedName>
    <definedName name="NTT_CiscoRouterPriceUnit">#REF!</definedName>
    <definedName name="NTT_CiscoTCLN1">#REF!</definedName>
    <definedName name="NTT_CiscoTCLN2">#REF!</definedName>
    <definedName name="NTT_CiscoTCLN3">#REF!</definedName>
    <definedName name="NTT_CiscoTCLN4">#REF!</definedName>
    <definedName name="NTT_CiscoTCLN5">#REF!</definedName>
    <definedName name="NTT_CiscoTCLN6">#REF!</definedName>
    <definedName name="NTT_ColubrisTCLN1">#REF!</definedName>
    <definedName name="NTT_ColubrisTCLN2">#REF!</definedName>
    <definedName name="NTT_CoreSwitchPriceUnit">#REF!</definedName>
    <definedName name="NTT_FirewallPriceUnit">#REF!</definedName>
    <definedName name="NTT_FloorSwitchPriceUnit">#REF!</definedName>
    <definedName name="NTT_HeadendServer">#REF!</definedName>
    <definedName name="NTT_HPTCLN1">#REF!</definedName>
    <definedName name="NTT_HPTCLN2">#REF!</definedName>
    <definedName name="NTT_HPTCLN3">#REF!</definedName>
    <definedName name="NTT_HPTCLN4">#REF!</definedName>
    <definedName name="NTT_HPTCLN5">#REF!</definedName>
    <definedName name="NTT_HPTCLN6">#REF!</definedName>
    <definedName name="NTT_NetworkSwitch">#REF!</definedName>
    <definedName name="NTT_NumberOfOutDoorAP">#REF!</definedName>
    <definedName name="NTT_PointsPerRoom">#REF!</definedName>
    <definedName name="NTT_Room_Count">#REF!</definedName>
    <definedName name="NTT_RoomsPerAP">#REF!</definedName>
    <definedName name="NTT_TCLN1">#REF!</definedName>
    <definedName name="NTT_TCLN2">#REF!</definedName>
    <definedName name="NTT_TCLN3">#REF!</definedName>
    <definedName name="NTT_TCLN4">#REF!</definedName>
    <definedName name="NTT_TCLN5">#REF!</definedName>
    <definedName name="NTT_TCLN6">#REF!</definedName>
    <definedName name="NTT_Total_HWMA">#REF!</definedName>
    <definedName name="NTT_TotalCost">#REF!</definedName>
    <definedName name="NTT_TotalCostPerRoom">#REF!</definedName>
    <definedName name="NTT_TotalDownLinkPorts">#REF!</definedName>
    <definedName name="NTT_TotalGeneralConditions">#REF!</definedName>
    <definedName name="NTT_TotalHardwareMA">#REF!</definedName>
    <definedName name="NTT_WirelessDevices">#REF!</definedName>
    <definedName name="NTTGrandTotalHWMA">#REF!</definedName>
    <definedName name="NTTGrandTotalServerMisc">#REF!</definedName>
    <definedName name="NTTGrandTotalSLA">#REF!</definedName>
    <definedName name="NTTGrandTotalSW">#REF!</definedName>
    <definedName name="NTTGrandTotalSwitch">#REF!</definedName>
    <definedName name="NumberOfRoom">#REF!</definedName>
    <definedName name="oa" hidden="1">#REF!</definedName>
    <definedName name="OpearClusterLargeSW">[5]Server!#REF!</definedName>
    <definedName name="OpearSecondApps">[5]Server!#REF!</definedName>
    <definedName name="OpearSecondAppsSW">[5]Server!#REF!</definedName>
    <definedName name="OperaClusterLarge">[5]Server!#REF!</definedName>
    <definedName name="OperaClusterSmall">[5]Server!#REF!</definedName>
    <definedName name="OperaClusterSmallSW">[5]Server!#REF!</definedName>
    <definedName name="OperaClusterStandard">[5]Server!#REF!</definedName>
    <definedName name="OperaClusterStandardSW">[5]Server!#REF!</definedName>
    <definedName name="OperaSmallServer">[5]Server!#REF!</definedName>
    <definedName name="OperaSmallSRVSW">[5]Server!#REF!</definedName>
    <definedName name="OprDGHW">[5]Server!#REF!</definedName>
    <definedName name="OprDGSW">[5]Server!#REF!</definedName>
    <definedName name="OprLargeHW">[5]Server!#REF!</definedName>
    <definedName name="OprLargeSW">[5]Server!#REF!</definedName>
    <definedName name="OprSmallMedHW">[5]Server!$L$20</definedName>
    <definedName name="OprSmallMedSW">[5]Server!$L$26</definedName>
    <definedName name="OrderTable" hidden="1">#REF!</definedName>
    <definedName name="OXIServer">[5]Server!#REF!</definedName>
    <definedName name="OXIServerSW">[5]Server!#REF!</definedName>
    <definedName name="PBXConsole">[5]Server!#REF!</definedName>
    <definedName name="PBXConsoleSW">[5]Server!#REF!</definedName>
    <definedName name="PHOTO" hidden="1">[10]FAB별!#REF!</definedName>
    <definedName name="PlumbingR1">#REF!</definedName>
    <definedName name="PoliceDesktop">[5]Server!#REF!</definedName>
    <definedName name="PoliceDesktopSW">[5]Server!#REF!</definedName>
    <definedName name="Port1" hidden="1">{#N/A,#N/A,FALSE,"特殊室（ＢＱ表）"}</definedName>
    <definedName name="port11" hidden="1">{#N/A,#N/A,FALSE,"特殊室（ＢＱ表）"}</definedName>
    <definedName name="POSRP5700SW">[5]Server!#REF!</definedName>
    <definedName name="POSRP7500">[5]Server!#REF!</definedName>
    <definedName name="pp" hidden="1">{#N/A,#N/A,FALSE,"OUTPUT SHEET "}</definedName>
    <definedName name="_xlnm.Print_Area" localSheetId="0">' Hotel Network'!$A$1:$Q$89</definedName>
    <definedName name="_xlnm.Print_Area" localSheetId="1">'Apartment Network '!$A$1:$G$35</definedName>
    <definedName name="_xlnm.Print_Area" localSheetId="3">'Apartment wifi '!$A$1:$H$20</definedName>
    <definedName name="_xlnm.Print_Area" localSheetId="2">'Hotel wifi '!$A$1:$H$60</definedName>
    <definedName name="Print_Area_MI">#REF!</definedName>
    <definedName name="ProdForm" hidden="1">#REF!</definedName>
    <definedName name="Product" hidden="1">#REF!</definedName>
    <definedName name="Products">#REF!</definedName>
    <definedName name="PublicAreaLaptopOption">[5]Server!#REF!</definedName>
    <definedName name="PublicAreaSWOption">[5]Server!#REF!</definedName>
    <definedName name="RCArea" hidden="1">#REF!</definedName>
    <definedName name="RCDOELaptopHW">[5]Server!#REF!</definedName>
    <definedName name="RCDOELaptopSW">[5]Server!#REF!</definedName>
    <definedName name="_xlnm.Recorder">#REF!</definedName>
    <definedName name="RecordingSystems">[5]Server!#REF!</definedName>
    <definedName name="RecordingSystemsSW">[5]Server!#REF!</definedName>
    <definedName name="report1" hidden="1">{#N/A,#N/A,FALSE,"特殊室（ＢＱ表）"}</definedName>
    <definedName name="report2" hidden="1">{#N/A,#N/A,FALSE,"特殊室（ＢＱ表）"}</definedName>
    <definedName name="Revised">#REF!</definedName>
    <definedName name="rkd" hidden="1">{#N/A,#N/A,FALSE,"CCTV"}</definedName>
    <definedName name="row" hidden="1">#REF!</definedName>
    <definedName name="rp5700IFCHW">[5]Server!#REF!</definedName>
    <definedName name="rp5700IFCSW">[5]Server!#REF!</definedName>
    <definedName name="rtyrtyt" hidden="1">#REF!</definedName>
    <definedName name="rtytry" hidden="1">#REF!</definedName>
    <definedName name="S" hidden="1">{#N/A,#N/A,FALSE,"CCTV"}</definedName>
    <definedName name="SaleContact">#REF!</definedName>
    <definedName name="SAPBEXrevision" hidden="1">1</definedName>
    <definedName name="SAPBEXsysID" hidden="1">"TA2"</definedName>
    <definedName name="SAPBEXwbID" hidden="1">"E9Q3LCWW911VAJ39BASH84PBR"</definedName>
    <definedName name="SDF" hidden="1">{#N/A,#N/A,FALSE,"전력간선"}</definedName>
    <definedName name="sencount" hidden="1">1</definedName>
    <definedName name="ServerRack">[5]Server!#REF!</definedName>
    <definedName name="sheet1" hidden="1">{#N/A,#N/A,FALSE,"CCTV"}</definedName>
    <definedName name="Sheet2" hidden="1">{#N/A,#N/A,FALSE,"Sheet1"}</definedName>
    <definedName name="sheet3" hidden="1">{#N/A,#N/A,FALSE,"Sheet1"}</definedName>
    <definedName name="SiemensCaracas">[5]Server!#REF!</definedName>
    <definedName name="SiemensCaracasSoftware">[5]Server!#REF!</definedName>
    <definedName name="SIGMABOQ">#REF!</definedName>
    <definedName name="SM_Email">#REF!</definedName>
    <definedName name="SM_Name">#REF!</definedName>
    <definedName name="SM_PhoneFAX">#REF!</definedName>
    <definedName name="SM_Title">#REF!</definedName>
    <definedName name="SMEUNIT">#REF!</definedName>
    <definedName name="SMLaptopHW">[5]Server!#REF!</definedName>
    <definedName name="SMLatopHW">[5]Server!#REF!</definedName>
    <definedName name="SpecialPrice" hidden="1">#REF!</definedName>
    <definedName name="sss" hidden="1">{#N/A,#N/A,FALSE,"전력간선"}</definedName>
    <definedName name="SunHW">[5]Server!$L$127</definedName>
    <definedName name="SunServer">[5]Server!#REF!</definedName>
    <definedName name="SunServerSW">[5]Server!$L$134</definedName>
    <definedName name="svrmicros9700">[5]Server!#REF!</definedName>
    <definedName name="TBL_ActiveComponents">[5]Server!#REF!</definedName>
    <definedName name="TBL_BackupDevice800GB">[5]Server!#REF!</definedName>
    <definedName name="TBL_BackupDeviceLarge">[5]Server!#REF!</definedName>
    <definedName name="TBL_BackupDeviceMedium">[5]Server!#REF!</definedName>
    <definedName name="TBL_BackupDeviceSmall">[5]Server!#REF!</definedName>
    <definedName name="TBL_BackupSW">[5]Server!#REF!</definedName>
    <definedName name="TBL_Cabling">[5]Server!#REF!</definedName>
    <definedName name="TBL_FilterSelection">[5]Server!$A$5:$A$243</definedName>
    <definedName name="TBL_FinalCostingBreakdownLocalCurrency">#REF!</definedName>
    <definedName name="TBL_FinalCostingBreakdownUSD">#REF!</definedName>
    <definedName name="TBL_GeneralCondition1">#REF!</definedName>
    <definedName name="TBL_GeneralCondition2">#REF!</definedName>
    <definedName name="TBL_GeneralCondition3">#REF!</definedName>
    <definedName name="TBL_HardwareMA">#REF!</definedName>
    <definedName name="TBL_HSIAInRoomJapan">#REF!</definedName>
    <definedName name="TBL_HSIAInRoomNonJapan">#REF!</definedName>
    <definedName name="TBL_HSIAInstallationJapan">#REF!</definedName>
    <definedName name="TBL_HSIAInstallationNonJapan">#REF!</definedName>
    <definedName name="TBL_HSIAMiscJapan">#REF!</definedName>
    <definedName name="TBL_HSIAMiscNonJapan">#REF!</definedName>
    <definedName name="TBL_HSIARiserJapan">#REF!</definedName>
    <definedName name="TBL_HSIARiserNonJapan">#REF!</definedName>
    <definedName name="TBL_HSIAServerJapan">#REF!</definedName>
    <definedName name="TBL_HSIAServerNonJapan">#REF!</definedName>
    <definedName name="TBL_HSIASoftwareJapan">#REF!</definedName>
    <definedName name="TBL_HSIASoftwareNonJapan">#REF!</definedName>
    <definedName name="TBL_HSIASwitchsJapan">#REF!</definedName>
    <definedName name="TBL_HSIASwitchsNonJapan">#REF!</definedName>
    <definedName name="TBL_MiscCommRoom">[5]Server!#REF!</definedName>
    <definedName name="TBL_NTT_AdditionalSLA">#REF!</definedName>
    <definedName name="TBL_NTT_GeneralCondition1">#REF!</definedName>
    <definedName name="TBL_NTT_GeneralCondition2">#REF!</definedName>
    <definedName name="TBL_NTT_GeneralCondition3">#REF!</definedName>
    <definedName name="TBL_NTT_HWMA">#REF!</definedName>
    <definedName name="TBL_NTT_TotalHeadendHWCost">#REF!</definedName>
    <definedName name="TBL_NTT_TotalMiscCost">#REF!</definedName>
    <definedName name="TBL_NTT_TotalPOESwitchCost">#REF!</definedName>
    <definedName name="TBL_NTT_TotalSWCost">#REF!</definedName>
    <definedName name="TBL_NTT_TotalSwitchCost">#REF!</definedName>
    <definedName name="TBL_NTT_TotalWirelessCost">#REF!</definedName>
    <definedName name="TBL_Printer">[5]Server!#REF!</definedName>
    <definedName name="tbl_ProdInfo" hidden="1">#REF!</definedName>
    <definedName name="TBL_ServerHW_Japan">#REF!</definedName>
    <definedName name="TBL_ServerRack">[5]Server!$L$192:$L$200</definedName>
    <definedName name="TBL_Training">[5]Server!#REF!</definedName>
    <definedName name="TBL_Warranty">[5]Server!#REF!</definedName>
    <definedName name="tha" hidden="1">{"'Sheet1'!$L$16"}</definedName>
    <definedName name="ThirdPartyServer">[5]Server!#REF!</definedName>
    <definedName name="ThirdPartyServerSW">[5]Server!#REF!</definedName>
    <definedName name="Total_GallopDekstopHWSW">[5]Server!#REF!</definedName>
    <definedName name="Total_IndiaPassportScanPC">[5]Server!#REF!</definedName>
    <definedName name="Total_RP5700IFC">[5]Server!#REF!</definedName>
    <definedName name="TotalACD">[5]Server!#REF!</definedName>
    <definedName name="TotalADServer">[5]Server!#REF!</definedName>
    <definedName name="TotalAltirisServer">[5]Server!#REF!</definedName>
    <definedName name="TotalAppleMac">#REF!</definedName>
    <definedName name="TotalAVAYA_ACD">[5]Server!#REF!</definedName>
    <definedName name="TotalBusinessCenterApple">[5]Server!#REF!</definedName>
    <definedName name="TotalBusinessCenterDesktop">[5]Server!#REF!</definedName>
    <definedName name="TotalCCDesktop">[5]Server!#REF!</definedName>
    <definedName name="TotalCCGatewayServer">[5]Server!#REF!</definedName>
    <definedName name="TotalDesktopCommRoom">[5]Server!#REF!</definedName>
    <definedName name="TotalDesktopPulisher">[5]Server!#REF!</definedName>
    <definedName name="TotalDoorLockDestkop">[5]Server!#REF!</definedName>
    <definedName name="TotalExecClubDesktop">[5]Server!#REF!</definedName>
    <definedName name="TotalExecClubLaptop">[5]Server!#REF!</definedName>
    <definedName name="TotalExecClubLaptopXSeries">[5]Server!#REF!</definedName>
    <definedName name="TotalFCSCallAccounting">[5]Server!#REF!</definedName>
    <definedName name="TotalFCSConnect">[5]Server!#REF!</definedName>
    <definedName name="TotalFCSiService">[5]Server!#REF!</definedName>
    <definedName name="TotalFCSLarge">[5]Server!#REF!</definedName>
    <definedName name="TotalFCSSmall">[5]Server!$L$242</definedName>
    <definedName name="TotalFCSVoiceMail500Rooms">[5]Server!#REF!</definedName>
    <definedName name="TotalFCSVoiceMailless500Rooms">[5]Server!$L$242</definedName>
    <definedName name="TotalFPServer">[5]Server!$L$110</definedName>
    <definedName name="TotalGeneralDesktop">[5]Server!#REF!</definedName>
    <definedName name="TotalGeneralLaptop">[5]Server!#REF!</definedName>
    <definedName name="TotalGeneralLaptopXSeries">[5]Server!#REF!</definedName>
    <definedName name="TotalGeneralLatopT61P">[5]Server!#REF!</definedName>
    <definedName name="TotalGenericServer">[5]Server!#REF!</definedName>
    <definedName name="TotalGenericSmall">[5]Server!#REF!</definedName>
    <definedName name="TotalGWHW">[5]Server!$L$141</definedName>
    <definedName name="TotalGWServer">[5]Server!$L$165</definedName>
    <definedName name="TotalGWSW">[5]Server!$L$163</definedName>
    <definedName name="TotalHyperTerminal">[5]Server!#REF!</definedName>
    <definedName name="TotalIFCServer">[5]Server!#REF!</definedName>
    <definedName name="TotalInRoomMovieDesktop">[5]Server!#REF!</definedName>
    <definedName name="TotalIntServer">[5]Server!#REF!</definedName>
    <definedName name="TotalKidClubDesktop">[5]Server!#REF!</definedName>
    <definedName name="TotalLMSServerLarge">[5]Server!#REF!</definedName>
    <definedName name="TotalLMSSmallServer">[5]Server!#REF!</definedName>
    <definedName name="TotalMCServer">[5]Server!#REF!</definedName>
    <definedName name="TotalMicrosServer">[5]Server!$L$81</definedName>
    <definedName name="TotalMiscServer">[5]Server!#REF!</definedName>
    <definedName name="TotalMusicStyling">[5]Server!#REF!</definedName>
    <definedName name="TotalMusicStylingServerOption">[5]Server!#REF!</definedName>
    <definedName name="TotalOpeaMed1Server">[5]Server!#REF!</definedName>
    <definedName name="TotalOpeaMedServer1">[5]Server!#REF!</definedName>
    <definedName name="TotalOpeaMedServer2">[5]Server!$L$28</definedName>
    <definedName name="TotalOpeaMiniServer">[5]Server!#REF!</definedName>
    <definedName name="TotalOpeaSTDServer">[5]Server!#REF!</definedName>
    <definedName name="TotalOperaDG">[5]Server!#REF!</definedName>
    <definedName name="TotalOperaLargeServer">[5]Server!#REF!</definedName>
    <definedName name="TotalOperaMedServer1">[5]Server!#REF!</definedName>
    <definedName name="TotalOperaMedServer2">[5]Server!$L$28</definedName>
    <definedName name="TotalOperaSecondApps">[5]Server!#REF!</definedName>
    <definedName name="TotalOperaSmall">[5]Server!#REF!</definedName>
    <definedName name="TotalOperaSmallMedServer">[5]Server!$L$28</definedName>
    <definedName name="TotalOperaSmallServer">[5]Server!#REF!</definedName>
    <definedName name="TotalOprSmallMedServer">[5]Server!$L$28</definedName>
    <definedName name="TotalOxiServer">[5]Server!#REF!</definedName>
    <definedName name="TotalPBXConsole">[5]Server!#REF!</definedName>
    <definedName name="TotalPoliceDesktop">[5]Server!#REF!</definedName>
    <definedName name="TotalPOSLargeServer">[5]Server!$L$81</definedName>
    <definedName name="TotalPOSSmallServer">[5]Server!#REF!</definedName>
    <definedName name="TotalPublicAreaLaptopOption">[5]Server!#REF!</definedName>
    <definedName name="TotalRCDOELaptop">[5]Server!#REF!</definedName>
    <definedName name="TotalRecording">[5]Server!#REF!</definedName>
    <definedName name="TotalReduceServer">[5]Server!$L$200</definedName>
    <definedName name="TotalServerRakcCoomRoom">[5]Server!$L$215</definedName>
    <definedName name="TotalSiemensCaracas">[5]Server!#REF!</definedName>
    <definedName name="TotalSMLaptop">[5]Server!#REF!</definedName>
    <definedName name="TotalSUNServer">[5]Server!$L$136</definedName>
    <definedName name="TotalTelecomeRackHardware">[5]Server!#REF!</definedName>
    <definedName name="TotalTelecomPrinter">[5]Server!#REF!</definedName>
    <definedName name="TotalTelecomsDesktop">[5]Server!#REF!</definedName>
    <definedName name="TotalXSeriesLaptop">[5]Server!#REF!</definedName>
    <definedName name="TRUNGNGUYEN" hidden="1">{#N/A,#N/A,FALSE,"Chi tiÆt"}</definedName>
    <definedName name="TTLMiniOpera">[5]Server!#REF!</definedName>
    <definedName name="TTLOperaDGLarge">[5]Server!#REF!</definedName>
    <definedName name="TTLOperaDGMed">[5]Server!#REF!</definedName>
    <definedName name="TTLOperaDGMini">[5]Server!#REF!</definedName>
    <definedName name="TTLOperaMini">[5]Server!#REF!</definedName>
    <definedName name="tttt" hidden="1">{"'Sheet1'!$L$16"}</definedName>
    <definedName name="Type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Location">#REF!</definedName>
    <definedName name="unitp">#REF!</definedName>
    <definedName name="usd">#REF!</definedName>
    <definedName name="USD_RATE">[5]Server!$R$2</definedName>
    <definedName name="wjsr" hidden="1">#REF!</definedName>
    <definedName name="WRITE" hidden="1">{#N/A,#N/A,FALSE,"CCTV"}</definedName>
    <definedName name="WRN" hidden="1">{#N/A,#N/A,FALSE,"CCTV"}</definedName>
    <definedName name="wrn.97년._.사업계획._.및._.예산지침." hidden="1">{#N/A,#N/A,TRUE,"1";#N/A,#N/A,TRUE,"2";#N/A,#N/A,TRUE,"3";#N/A,#N/A,TRUE,"4";#N/A,#N/A,TRUE,"5";#N/A,#N/A,TRUE,"6";#N/A,#N/A,TRUE,"7"}</definedName>
    <definedName name="wrn.aaa." hidden="1">{#N/A,#N/A,FALSE,"Sheet1";#N/A,#N/A,FALSE,"Sheet1";#N/A,#N/A,FALSE,"Sheet1"}</definedName>
    <definedName name="wrn.BM." hidden="1">{#N/A,#N/A,FALSE,"CCTV"}</definedName>
    <definedName name="wrn.chi._.tiÆt." hidden="1">{#N/A,#N/A,FALSE,"Chi tiÆt"}</definedName>
    <definedName name="wrn.cong." hidden="1">{#N/A,#N/A,FALSE,"Sheet1"}</definedName>
    <definedName name="wrn.Print._.Output." hidden="1">{#N/A,#N/A,FALSE,"OUTPUT SHEET "}</definedName>
    <definedName name="wrn.report1." hidden="1">{#N/A,#N/A,FALSE,"特殊室（ＢＱ表）"}</definedName>
    <definedName name="wrn.vd." hidden="1">{#N/A,#N/A,TRUE,"BT M200 da 10x20"}</definedName>
    <definedName name="wrn.건설기계사업소._.상반기보고." hidden="1">{#N/A,#N/A,FALSE,"사업총괄";#N/A,#N/A,FALSE,"장비사업";#N/A,#N/A,FALSE,"철구사업";#N/A,#N/A,FALSE,"준설사업"}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예상손익." hidden="1">{#N/A,#N/A,FALSE,"예상손익";#N/A,#N/A,FALSE,"관리분석";#N/A,#N/A,FALSE,"장비분석";#N/A,#N/A,FALSE,"준설분석";#N/A,#N/A,FALSE,"철구분석"}</definedName>
    <definedName name="wrn.이정표." hidden="1">{#N/A,#N/A,FALSE,"이정표"}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xSeriesHW">[5]Server!#REF!</definedName>
    <definedName name="xSeriesSW">[5]Server!#REF!</definedName>
    <definedName name="Year">#REF!</definedName>
    <definedName name="zx" hidden="1">[3]노임단가!#REF!</definedName>
    <definedName name="개요" hidden="1">[11]기안!#REF!</definedName>
    <definedName name="개요1" hidden="1">[11]기안!#REF!</definedName>
    <definedName name="개요2" hidden="1">[12]개산공사비!#REF!</definedName>
    <definedName name="건축원가" hidden="1">[13]전기!$B$4:$B$163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공" hidden="1">{#N/A,#N/A,FALSE,"Sheet1"}</definedName>
    <definedName name="공사비" hidden="1">{#N/A,#N/A,FALSE,"전력간선"}</definedName>
    <definedName name="기계주차" hidden="1">{#N/A,#N/A,FALSE,"CCTV"}</definedName>
    <definedName name="김" hidden="1">[8]대비!#REF!</definedName>
    <definedName name="ㄴㄷㄹ" hidden="1">{#N/A,#N/A,FALSE,"Sheet1"}</definedName>
    <definedName name="ㄷㄳ" hidden="1">{#N/A,#N/A,FALSE,"Sheet1"}</definedName>
    <definedName name="단ㄱ" hidden="1">{#N/A,#N/A,FALSE,"전력간선"}</definedName>
    <definedName name="래그" hidden="1">{#N/A,#N/A,FALSE,"CCTV"}</definedName>
    <definedName name="ㅁㄴㄹ" hidden="1">{#N/A,#N/A,FALSE,"전력간선"}</definedName>
    <definedName name="ㅁㄻ" hidden="1">{#N/A,#N/A,FALSE,"Sheet1"}</definedName>
    <definedName name="ㅁㅁㅁㅁㅁㅁ" hidden="1">#REF!</definedName>
    <definedName name="ㅁㅎㅁ" hidden="1">{#N/A,#N/A,FALSE,"Sheet1"}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변경개요" hidden="1">[12]개산공사비!#REF!</definedName>
    <definedName name="변경개요2" hidden="1">[14]개산공사비!#REF!</definedName>
    <definedName name="변경후개요" hidden="1">[14]개산공사비!#REF!</definedName>
    <definedName name="부대원본" hidden="1">{#N/A,#N/A,FALSE,"토공2"}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소ㅑ104" hidden="1">[15]FAB별!#REF!</definedName>
    <definedName name="ㅇㄴㄹ" hidden="1">{#N/A,#N/A,FALSE,"Sheet1"}</definedName>
    <definedName name="ㅇㄴㄿ" hidden="1">{#N/A,#N/A,FALSE,"CCTV"}</definedName>
    <definedName name="아싸" hidden="1">{#N/A,#N/A,FALSE,"CCTV"}</definedName>
    <definedName name="업체" hidden="1">#REF!</definedName>
    <definedName name="원남내역" hidden="1">[16]실행철강하도!$A$1:$A$4</definedName>
    <definedName name="이릉" hidden="1">#REF!</definedName>
    <definedName name="이종훈" hidden="1">[13]전기!$A$4:$A$163</definedName>
    <definedName name="자재단가근거" hidden="1">#REF!</definedName>
    <definedName name="전기산출" hidden="1">#REF!</definedName>
    <definedName name="전기산출내역" hidden="1">#REF!</definedName>
    <definedName name="조사가" hidden="1">[17]입찰안!#REF!</definedName>
    <definedName name="철근량" hidden="1">{#N/A,#N/A,FALSE,"전력간선"}</definedName>
    <definedName name="총공사비2" hidden="1">{#N/A,#N/A,FALSE,"전력간선"}</definedName>
    <definedName name="켐온건축" hidden="1">{#N/A,#N/A,FALSE,"CCTV"}</definedName>
    <definedName name="토목" hidden="1">{#N/A,#N/A,FALSE,"CCTV"}</definedName>
  </definedNames>
  <calcPr calcId="144525"/>
</workbook>
</file>

<file path=xl/calcChain.xml><?xml version="1.0" encoding="utf-8"?>
<calcChain xmlns="http://schemas.openxmlformats.org/spreadsheetml/2006/main">
  <c r="M22" i="6" l="1"/>
  <c r="N22" i="6"/>
  <c r="O22" i="6"/>
  <c r="D75" i="1"/>
  <c r="D76" i="1"/>
  <c r="D77" i="1"/>
  <c r="D78" i="1"/>
  <c r="O40" i="5"/>
  <c r="P40" i="5"/>
  <c r="D43" i="7"/>
  <c r="D44" i="7"/>
  <c r="D39" i="7"/>
  <c r="D40" i="7"/>
  <c r="D41" i="7"/>
  <c r="D81" i="1"/>
  <c r="I25" i="6" l="1"/>
  <c r="S22" i="6"/>
  <c r="R22" i="6"/>
  <c r="Q22" i="6"/>
  <c r="P22" i="6"/>
  <c r="L22" i="6"/>
  <c r="I22" i="6"/>
  <c r="H22" i="6"/>
  <c r="G22" i="6"/>
  <c r="G25" i="6" s="1"/>
  <c r="F22" i="6"/>
  <c r="E22" i="6"/>
  <c r="D22" i="6"/>
  <c r="C22" i="6"/>
  <c r="B22" i="6"/>
  <c r="B25" i="6" l="1"/>
  <c r="B24" i="6"/>
  <c r="B40" i="5" l="1"/>
  <c r="C40" i="5"/>
  <c r="D40" i="5"/>
  <c r="E40" i="5"/>
  <c r="F40" i="5"/>
  <c r="G40" i="5"/>
  <c r="G43" i="5" s="1"/>
  <c r="H40" i="5"/>
  <c r="I40" i="5"/>
  <c r="I43" i="5" s="1"/>
  <c r="L40" i="5"/>
  <c r="M40" i="5"/>
  <c r="N40" i="5"/>
  <c r="Q40" i="5"/>
  <c r="R40" i="5"/>
  <c r="S40" i="5"/>
  <c r="T40" i="5"/>
  <c r="B42" i="5"/>
  <c r="B43" i="5" l="1"/>
  <c r="E48" i="1" l="1"/>
  <c r="D80" i="1" s="1"/>
  <c r="E19" i="7"/>
  <c r="E20" i="7"/>
  <c r="D42" i="7" l="1"/>
  <c r="E47" i="1" l="1"/>
  <c r="D79" i="1" s="1"/>
  <c r="G3" i="1" l="1"/>
</calcChain>
</file>

<file path=xl/comments1.xml><?xml version="1.0" encoding="utf-8"?>
<comments xmlns="http://schemas.openxmlformats.org/spreadsheetml/2006/main">
  <authors>
    <author>DucNT</author>
  </authors>
  <commentList>
    <comment ref="N38" authorId="0">
      <text>
        <r>
          <rPr>
            <b/>
            <sz val="9"/>
            <color indexed="81"/>
            <rFont val="Tahoma"/>
            <charset val="1"/>
          </rPr>
          <t>DucNT:</t>
        </r>
        <r>
          <rPr>
            <sz val="9"/>
            <color indexed="81"/>
            <rFont val="Tahoma"/>
            <charset val="1"/>
          </rPr>
          <t xml:space="preserve">
3 WIFI out door</t>
        </r>
      </text>
    </comment>
  </commentList>
</comments>
</file>

<file path=xl/sharedStrings.xml><?xml version="1.0" encoding="utf-8"?>
<sst xmlns="http://schemas.openxmlformats.org/spreadsheetml/2006/main" count="237" uniqueCount="78">
  <si>
    <t>Wifi</t>
  </si>
  <si>
    <t>1F</t>
  </si>
  <si>
    <t>2F</t>
  </si>
  <si>
    <t>3AF</t>
  </si>
  <si>
    <t>Wireless Controller</t>
  </si>
  <si>
    <t>I</t>
  </si>
  <si>
    <t>II</t>
  </si>
  <si>
    <t>B1</t>
  </si>
  <si>
    <t>WIFI SYSTEM</t>
  </si>
  <si>
    <t>Đơn giá (VNĐ)</t>
  </si>
  <si>
    <t>Thành tiền (VNĐ)</t>
  </si>
  <si>
    <t xml:space="preserve">- Nhà cung cấp dựa vào cấu hình hệ thống để chọn </t>
  </si>
  <si>
    <t>Ghi chú</t>
  </si>
  <si>
    <t>Số lượng</t>
  </si>
  <si>
    <t>Vị trí</t>
  </si>
  <si>
    <t>STT</t>
  </si>
  <si>
    <t>Mô tả</t>
  </si>
  <si>
    <t>Mã hàng</t>
  </si>
  <si>
    <t>B4</t>
  </si>
  <si>
    <t>4F</t>
  </si>
  <si>
    <t>3F</t>
  </si>
  <si>
    <t>4AF</t>
  </si>
  <si>
    <t>4BF</t>
  </si>
  <si>
    <t>24F</t>
  </si>
  <si>
    <t>39F</t>
  </si>
  <si>
    <t>B5</t>
  </si>
  <si>
    <t>AP-Public area</t>
  </si>
  <si>
    <t>B3</t>
  </si>
  <si>
    <t>B2</t>
  </si>
  <si>
    <t>AP-Meeting room</t>
  </si>
  <si>
    <t>AP-Corridoor area</t>
  </si>
  <si>
    <t>AP- Guest room</t>
  </si>
  <si>
    <t>5F~23F</t>
  </si>
  <si>
    <t>24AF</t>
  </si>
  <si>
    <t>AP - Out door</t>
  </si>
  <si>
    <t>25F~38F</t>
  </si>
  <si>
    <t>Kiểm tra Heatmap bằng phần mềm AirMagnet Survey wireless</t>
  </si>
  <si>
    <t>- Server, Core Sw, Wireless Controller - 5 năm 24/7/4
- Access switch, Wifi - 3 năm 24/7/4</t>
  </si>
  <si>
    <t>Bảo hành 24/7/4 (Option 1)</t>
  </si>
  <si>
    <t>Bảo hành (Option 2)</t>
  </si>
  <si>
    <t xml:space="preserve">- Server, Core Sw, Wireless Controller - 3 năm 24/7/4
- Access switch, wifi - BASIC </t>
  </si>
  <si>
    <t>AP-Elevator</t>
  </si>
  <si>
    <t>38AF</t>
  </si>
  <si>
    <t>Thiết bị</t>
  </si>
  <si>
    <t>Đơn vị</t>
  </si>
  <si>
    <t>Cái</t>
  </si>
  <si>
    <t>CY&amp;MEA</t>
  </si>
  <si>
    <t>38A</t>
  </si>
  <si>
    <t>RF</t>
  </si>
  <si>
    <t>Floor</t>
  </si>
  <si>
    <t>GPNS</t>
  </si>
  <si>
    <t>Engineer</t>
  </si>
  <si>
    <t>Cat6</t>
  </si>
  <si>
    <t>Wifi Guest</t>
  </si>
  <si>
    <t>Wifi Corridor</t>
  </si>
  <si>
    <t>Wifi Elevator</t>
  </si>
  <si>
    <t>Access Control</t>
  </si>
  <si>
    <t>Thoại</t>
  </si>
  <si>
    <t>Data</t>
  </si>
  <si>
    <t>DAC 10G</t>
  </si>
  <si>
    <t>SFP+</t>
  </si>
  <si>
    <t>B1A</t>
  </si>
  <si>
    <t>3A</t>
  </si>
  <si>
    <t>4A</t>
  </si>
  <si>
    <t>4B</t>
  </si>
  <si>
    <t>24A</t>
  </si>
  <si>
    <t>Pool Tech.</t>
  </si>
  <si>
    <t>ROOF</t>
  </si>
  <si>
    <t>SUM</t>
  </si>
  <si>
    <t>SW48</t>
  </si>
  <si>
    <t>SW24</t>
  </si>
  <si>
    <t>SFP+ SUM</t>
  </si>
  <si>
    <t>Elevator</t>
  </si>
  <si>
    <t>-</t>
  </si>
  <si>
    <t>Wifi Conference</t>
  </si>
  <si>
    <t>Wifi Public</t>
  </si>
  <si>
    <t>AP-BOH</t>
  </si>
  <si>
    <t>Wifi BOH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</si>
</sst>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(* #,##0.00_);_(* \(#,##0.00\);_(* &quot;-&quot;&quot;?&quot;&quot;?&quot;_);_(@_)"/>
    <numFmt numFmtId="168" formatCode="_-* #,##0.00_-;\-* #,##0.00_-;_-* &quot;-&quot;??_-;_-@_-"/>
    <numFmt numFmtId="169" formatCode="_(* #,##0.0_);_(* \(#,##0.0\);_(* &quot;-&quot;??_);_(@_)"/>
    <numFmt numFmtId="170" formatCode="_-* #,##0.00\ _?_-;\-* #,##0.00\ _?_-;_-* &quot;-&quot;??\ _?_-;_-@_-"/>
    <numFmt numFmtId="171" formatCode="_([$VND]\ * #,##0.00_);_([$VND]\ * \(#,##0.00\);_([$VND]\ * &quot;-&quot;??_);_(@_)"/>
    <numFmt numFmtId="172" formatCode="_-[$€-2]* #,##0.00_-;\-[$€-2]* #,##0.00_-;_-[$€-2]* &quot;-&quot;&quot;?&quot;&quot;?&quot;_-"/>
    <numFmt numFmtId="173" formatCode="_-#,##0.0000;* \-#,##0.00;* _-&quot;&quot;;@"/>
    <numFmt numFmtId="174" formatCode="&quot;Yes&quot;;&quot;Yes&quot;;&quot;No&quot;"/>
    <numFmt numFmtId="175" formatCode="&quot;$&quot;#,##0.00"/>
    <numFmt numFmtId="176" formatCode="General_)"/>
  </numFmts>
  <fonts count="65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Calibri"/>
      <family val="2"/>
      <charset val="163"/>
      <scheme val="minor"/>
    </font>
    <font>
      <sz val="11"/>
      <color indexed="8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2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63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0"/>
      <name val="VNI-Times"/>
    </font>
    <font>
      <sz val="12"/>
      <name val="VNI-Times"/>
    </font>
    <font>
      <sz val="11"/>
      <name val="明朝"/>
      <family val="1"/>
      <charset val="128"/>
    </font>
    <font>
      <sz val="8.25"/>
      <name val="CD Tahoma"/>
      <family val="2"/>
    </font>
    <font>
      <sz val="10"/>
      <name val="Times New Roman"/>
      <family val="1"/>
    </font>
    <font>
      <sz val="11"/>
      <color theme="1"/>
      <name val="Calibri"/>
      <family val="3"/>
      <charset val="134"/>
      <scheme val="minor"/>
    </font>
    <font>
      <sz val="10"/>
      <name val="Helv"/>
      <family val="2"/>
    </font>
    <font>
      <sz val="11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2"/>
      <name val="Arial"/>
      <family val="2"/>
      <charset val="163"/>
    </font>
    <font>
      <sz val="12"/>
      <name val="Arial"/>
      <family val="2"/>
    </font>
    <font>
      <sz val="10"/>
      <name val="Helv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  <scheme val="minor"/>
    </font>
    <font>
      <sz val="8"/>
      <name val="Tahoma"/>
      <family val="2"/>
    </font>
    <font>
      <b/>
      <sz val="11"/>
      <color indexed="63"/>
      <name val="Calibri"/>
      <family val="2"/>
    </font>
    <font>
      <sz val="10"/>
      <name val="Times"/>
      <family val="1"/>
    </font>
    <font>
      <b/>
      <sz val="18"/>
      <color theme="3"/>
      <name val="Cambria"/>
      <family val="2"/>
      <scheme val="major"/>
    </font>
    <font>
      <b/>
      <sz val="18"/>
      <color theme="3"/>
      <name val="Cambria"/>
      <family val="3"/>
      <charset val="134"/>
      <scheme val="major"/>
    </font>
    <font>
      <b/>
      <sz val="11"/>
      <name val="Times"/>
      <family val="1"/>
    </font>
    <font>
      <sz val="10"/>
      <color indexed="8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8"/>
      <color rgb="FFFF0000"/>
      <name val="Arial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indexed="6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1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indexed="5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EECE1"/>
        <bgColor rgb="FFF2F2F2"/>
      </patternFill>
    </fill>
    <fill>
      <patternFill patternType="solid">
        <fgColor theme="2" tint="-9.9978637043366805E-2"/>
        <bgColor rgb="FFEEECE1"/>
      </patternFill>
    </fill>
    <fill>
      <patternFill patternType="solid">
        <fgColor rgb="FFF2F2F2"/>
        <bgColor rgb="FFEEECE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C6D9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C6D9F1"/>
      </patternFill>
    </fill>
    <fill>
      <patternFill patternType="solid">
        <fgColor theme="2" tint="-9.9978637043366805E-2"/>
        <bgColor rgb="FFC6D9F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00">
    <xf numFmtId="0" fontId="0" fillId="0" borderId="0"/>
    <xf numFmtId="0" fontId="3" fillId="0" borderId="0"/>
    <xf numFmtId="164" fontId="4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1" applyNumberFormat="0" applyFill="0" applyBorder="0" applyProtection="0">
      <alignment vertical="center"/>
    </xf>
    <xf numFmtId="167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8" fillId="0" borderId="1" applyNumberFormat="0" applyFill="0" applyBorder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8" fillId="0" borderId="0"/>
    <xf numFmtId="171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6" fillId="0" borderId="0"/>
    <xf numFmtId="0" fontId="8" fillId="0" borderId="0"/>
    <xf numFmtId="0" fontId="6" fillId="0" borderId="0"/>
    <xf numFmtId="0" fontId="8" fillId="0" borderId="0"/>
    <xf numFmtId="0" fontId="18" fillId="0" borderId="0"/>
    <xf numFmtId="0" fontId="6" fillId="0" borderId="0"/>
    <xf numFmtId="172" fontId="18" fillId="0" borderId="0"/>
    <xf numFmtId="173" fontId="8" fillId="0" borderId="0"/>
    <xf numFmtId="0" fontId="6" fillId="0" borderId="0"/>
    <xf numFmtId="0" fontId="11" fillId="0" borderId="0"/>
    <xf numFmtId="171" fontId="11" fillId="0" borderId="0"/>
    <xf numFmtId="0" fontId="10" fillId="0" borderId="0"/>
    <xf numFmtId="0" fontId="14" fillId="0" borderId="0"/>
    <xf numFmtId="171" fontId="10" fillId="0" borderId="0"/>
    <xf numFmtId="0" fontId="8" fillId="0" borderId="0"/>
    <xf numFmtId="0" fontId="8" fillId="0" borderId="0"/>
    <xf numFmtId="0" fontId="8" fillId="0" borderId="0"/>
    <xf numFmtId="171" fontId="3" fillId="0" borderId="0"/>
    <xf numFmtId="0" fontId="19" fillId="0" borderId="0">
      <protection locked="0"/>
    </xf>
    <xf numFmtId="0" fontId="20" fillId="0" borderId="0" applyNumberFormat="0" applyFill="0" applyBorder="0" applyProtection="0">
      <alignment vertical="top" wrapText="1"/>
    </xf>
    <xf numFmtId="171" fontId="20" fillId="0" borderId="0" applyNumberFormat="0" applyFill="0" applyBorder="0" applyProtection="0">
      <alignment vertical="top" wrapText="1"/>
    </xf>
    <xf numFmtId="0" fontId="8" fillId="0" borderId="0"/>
    <xf numFmtId="4" fontId="8" fillId="0" borderId="0">
      <alignment vertical="center"/>
    </xf>
    <xf numFmtId="0" fontId="13" fillId="0" borderId="0"/>
    <xf numFmtId="0" fontId="8" fillId="0" borderId="0"/>
    <xf numFmtId="0" fontId="21" fillId="0" borderId="0"/>
    <xf numFmtId="171" fontId="6" fillId="0" borderId="0"/>
    <xf numFmtId="0" fontId="6" fillId="0" borderId="0"/>
    <xf numFmtId="0" fontId="14" fillId="0" borderId="0"/>
    <xf numFmtId="0" fontId="6" fillId="0" borderId="0"/>
    <xf numFmtId="1" fontId="8" fillId="0" borderId="0" applyFill="0" applyBorder="0" applyProtection="0"/>
    <xf numFmtId="0" fontId="8" fillId="0" borderId="1" applyFill="0" applyBorder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/>
    <xf numFmtId="42" fontId="16" fillId="0" borderId="0" applyFont="0" applyFill="0" applyBorder="0" applyAlignment="0" applyProtection="0"/>
    <xf numFmtId="174" fontId="2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/>
    <xf numFmtId="0" fontId="8" fillId="0" borderId="0"/>
    <xf numFmtId="0" fontId="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9" fillId="19" borderId="0" applyNumberFormat="0" applyBorder="0" applyAlignment="0" applyProtection="0"/>
    <xf numFmtId="0" fontId="30" fillId="19" borderId="0" applyNumberFormat="0" applyBorder="0" applyAlignment="0" applyProtection="0"/>
    <xf numFmtId="0" fontId="28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21" fillId="21" borderId="0" applyNumberFormat="0" applyBorder="0" applyAlignment="0" applyProtection="0"/>
    <xf numFmtId="0" fontId="6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21" fillId="22" borderId="0" applyNumberFormat="0" applyBorder="0" applyAlignment="0" applyProtection="0"/>
    <xf numFmtId="0" fontId="6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9" fillId="23" borderId="0" applyNumberFormat="0" applyBorder="0" applyAlignment="0" applyProtection="0"/>
    <xf numFmtId="0" fontId="30" fillId="23" borderId="0" applyNumberFormat="0" applyBorder="0" applyAlignment="0" applyProtection="0"/>
    <xf numFmtId="0" fontId="28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21" fillId="25" borderId="0" applyNumberFormat="0" applyBorder="0" applyAlignment="0" applyProtection="0"/>
    <xf numFmtId="0" fontId="6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21" fillId="26" borderId="0" applyNumberFormat="0" applyBorder="0" applyAlignment="0" applyProtection="0"/>
    <xf numFmtId="0" fontId="6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9" fillId="27" borderId="0" applyNumberFormat="0" applyBorder="0" applyAlignment="0" applyProtection="0"/>
    <xf numFmtId="0" fontId="30" fillId="27" borderId="0" applyNumberFormat="0" applyBorder="0" applyAlignment="0" applyProtection="0"/>
    <xf numFmtId="0" fontId="28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21" fillId="29" borderId="0" applyNumberFormat="0" applyBorder="0" applyAlignment="0" applyProtection="0"/>
    <xf numFmtId="0" fontId="6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21" fillId="30" borderId="0" applyNumberFormat="0" applyBorder="0" applyAlignment="0" applyProtection="0"/>
    <xf numFmtId="0" fontId="6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9" fillId="31" borderId="0" applyNumberFormat="0" applyBorder="0" applyAlignment="0" applyProtection="0"/>
    <xf numFmtId="0" fontId="30" fillId="31" borderId="0" applyNumberFormat="0" applyBorder="0" applyAlignment="0" applyProtection="0"/>
    <xf numFmtId="0" fontId="28" fillId="14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21" fillId="32" borderId="0" applyNumberFormat="0" applyBorder="0" applyAlignment="0" applyProtection="0"/>
    <xf numFmtId="0" fontId="6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21" fillId="33" borderId="0" applyNumberFormat="0" applyBorder="0" applyAlignment="0" applyProtection="0"/>
    <xf numFmtId="0" fontId="6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9" fillId="34" borderId="0" applyNumberFormat="0" applyBorder="0" applyAlignment="0" applyProtection="0"/>
    <xf numFmtId="0" fontId="30" fillId="34" borderId="0" applyNumberFormat="0" applyBorder="0" applyAlignment="0" applyProtection="0"/>
    <xf numFmtId="0" fontId="28" fillId="1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21" fillId="35" borderId="0" applyNumberFormat="0" applyBorder="0" applyAlignment="0" applyProtection="0"/>
    <xf numFmtId="0" fontId="6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21" fillId="36" borderId="0" applyNumberFormat="0" applyBorder="0" applyAlignment="0" applyProtection="0"/>
    <xf numFmtId="0" fontId="6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9" fillId="37" borderId="0" applyNumberFormat="0" applyBorder="0" applyAlignment="0" applyProtection="0"/>
    <xf numFmtId="0" fontId="30" fillId="37" borderId="0" applyNumberFormat="0" applyBorder="0" applyAlignment="0" applyProtection="0"/>
    <xf numFmtId="0" fontId="28" fillId="38" borderId="0" applyNumberFormat="0" applyBorder="0" applyAlignment="0" applyProtection="0"/>
    <xf numFmtId="0" fontId="31" fillId="4" borderId="0" applyNumberFormat="0" applyBorder="0" applyAlignment="0" applyProtection="0"/>
    <xf numFmtId="0" fontId="32" fillId="39" borderId="2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1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0" fontId="33" fillId="40" borderId="3" applyNumberFormat="0" applyAlignment="0" applyProtection="0"/>
    <xf numFmtId="0" fontId="34" fillId="41" borderId="0" applyNumberFormat="0" applyBorder="0" applyAlignment="0" applyProtection="0"/>
    <xf numFmtId="0" fontId="35" fillId="41" borderId="0" applyNumberFormat="0" applyBorder="0" applyAlignment="0" applyProtection="0"/>
    <xf numFmtId="0" fontId="34" fillId="42" borderId="0" applyNumberFormat="0" applyBorder="0" applyAlignment="0" applyProtection="0"/>
    <xf numFmtId="0" fontId="35" fillId="42" borderId="0" applyNumberFormat="0" applyBorder="0" applyAlignment="0" applyProtection="0"/>
    <xf numFmtId="0" fontId="34" fillId="43" borderId="0" applyNumberFormat="0" applyBorder="0" applyAlignment="0" applyProtection="0"/>
    <xf numFmtId="0" fontId="35" fillId="43" borderId="0" applyNumberFormat="0" applyBorder="0" applyAlignment="0" applyProtection="0"/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0" fontId="38" fillId="0" borderId="4" applyNumberFormat="0" applyFill="0" applyAlignment="0" applyProtection="0"/>
    <xf numFmtId="0" fontId="39" fillId="0" borderId="5" applyNumberFormat="0" applyFill="0" applyAlignment="0" applyProtection="0"/>
    <xf numFmtId="0" fontId="40" fillId="0" borderId="6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8" borderId="2" applyNumberFormat="0" applyAlignment="0" applyProtection="0"/>
    <xf numFmtId="0" fontId="43" fillId="0" borderId="7" applyNumberFormat="0" applyFill="0" applyAlignment="0" applyProtection="0"/>
    <xf numFmtId="0" fontId="44" fillId="4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5" fillId="0" borderId="0">
      <alignment vertical="center"/>
    </xf>
    <xf numFmtId="0" fontId="4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1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21" fillId="0" borderId="0"/>
    <xf numFmtId="0" fontId="21" fillId="0" borderId="0"/>
    <xf numFmtId="0" fontId="6" fillId="0" borderId="0"/>
    <xf numFmtId="0" fontId="21" fillId="0" borderId="0"/>
    <xf numFmtId="0" fontId="8" fillId="0" borderId="0"/>
    <xf numFmtId="0" fontId="26" fillId="45" borderId="8" applyNumberFormat="0" applyFont="0" applyAlignment="0" applyProtection="0"/>
    <xf numFmtId="0" fontId="11" fillId="45" borderId="8" applyNumberFormat="0" applyFont="0" applyAlignment="0" applyProtection="0"/>
    <xf numFmtId="0" fontId="26" fillId="45" borderId="8" applyNumberFormat="0" applyFont="0" applyAlignment="0" applyProtection="0"/>
    <xf numFmtId="0" fontId="47" fillId="0" borderId="0"/>
    <xf numFmtId="0" fontId="48" fillId="39" borderId="9" applyNumberFormat="0" applyAlignment="0" applyProtection="0"/>
    <xf numFmtId="176" fontId="49" fillId="0" borderId="0">
      <alignment horizontal="left"/>
    </xf>
    <xf numFmtId="0" fontId="49" fillId="0" borderId="0">
      <alignment horizontal="left"/>
    </xf>
    <xf numFmtId="176" fontId="49" fillId="0" borderId="0">
      <alignment horizontal="left"/>
    </xf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6" fontId="52" fillId="0" borderId="0" applyAlignment="0"/>
    <xf numFmtId="0" fontId="53" fillId="0" borderId="0">
      <alignment vertical="top" wrapText="1"/>
    </xf>
    <xf numFmtId="0" fontId="53" fillId="0" borderId="0">
      <alignment vertical="top" wrapText="1"/>
    </xf>
    <xf numFmtId="0" fontId="54" fillId="0" borderId="0" applyNumberFormat="0" applyFill="0" applyBorder="0" applyAlignment="0" applyProtection="0"/>
    <xf numFmtId="0" fontId="55" fillId="0" borderId="10" applyNumberFormat="0" applyFill="0" applyAlignment="0" applyProtection="0"/>
    <xf numFmtId="0" fontId="56" fillId="0" borderId="0" applyNumberFormat="0" applyFill="0" applyBorder="0" applyAlignment="0" applyProtection="0"/>
  </cellStyleXfs>
  <cellXfs count="143">
    <xf numFmtId="0" fontId="0" fillId="0" borderId="0" xfId="0"/>
    <xf numFmtId="0" fontId="0" fillId="0" borderId="0" xfId="0" applyFill="1"/>
    <xf numFmtId="0" fontId="0" fillId="2" borderId="0" xfId="0" applyFill="1"/>
    <xf numFmtId="0" fontId="5" fillId="2" borderId="0" xfId="0" applyFont="1" applyFill="1" applyBorder="1" applyAlignment="1">
      <alignment horizontal="left" vertical="center"/>
    </xf>
    <xf numFmtId="165" fontId="0" fillId="2" borderId="0" xfId="0" applyNumberFormat="1" applyFill="1"/>
    <xf numFmtId="0" fontId="0" fillId="2" borderId="0" xfId="0" applyFill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" fillId="46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165" fontId="1" fillId="2" borderId="11" xfId="0" applyNumberFormat="1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vertical="center" wrapText="1"/>
    </xf>
    <xf numFmtId="165" fontId="4" fillId="2" borderId="11" xfId="2" applyNumberFormat="1" applyFont="1" applyFill="1" applyBorder="1" applyAlignment="1">
      <alignment horizontal="center" vertical="center"/>
    </xf>
    <xf numFmtId="165" fontId="0" fillId="2" borderId="11" xfId="2" applyNumberFormat="1" applyFont="1" applyFill="1" applyBorder="1" applyAlignment="1">
      <alignment horizontal="center" vertical="center"/>
    </xf>
    <xf numFmtId="165" fontId="0" fillId="2" borderId="11" xfId="2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165" fontId="0" fillId="2" borderId="11" xfId="2" quotePrefix="1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/>
    </xf>
    <xf numFmtId="165" fontId="1" fillId="2" borderId="11" xfId="2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165" fontId="0" fillId="0" borderId="11" xfId="2" applyNumberFormat="1" applyFont="1" applyFill="1" applyBorder="1" applyAlignment="1">
      <alignment horizontal="center" vertical="center"/>
    </xf>
    <xf numFmtId="165" fontId="0" fillId="0" borderId="11" xfId="0" applyNumberFormat="1" applyFont="1" applyFill="1" applyBorder="1" applyAlignment="1">
      <alignment horizontal="center" vertical="center"/>
    </xf>
    <xf numFmtId="165" fontId="0" fillId="0" borderId="11" xfId="0" quotePrefix="1" applyNumberFormat="1" applyFont="1" applyFill="1" applyBorder="1" applyAlignment="1">
      <alignment horizontal="left" vertical="center" wrapText="1"/>
    </xf>
    <xf numFmtId="0" fontId="0" fillId="2" borderId="11" xfId="0" applyFill="1" applyBorder="1"/>
    <xf numFmtId="0" fontId="0" fillId="2" borderId="11" xfId="0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1" fillId="47" borderId="11" xfId="0" applyFont="1" applyFill="1" applyBorder="1" applyAlignment="1">
      <alignment horizontal="center" vertical="center"/>
    </xf>
    <xf numFmtId="0" fontId="0" fillId="47" borderId="11" xfId="0" applyFont="1" applyFill="1" applyBorder="1" applyAlignment="1">
      <alignment vertical="center" wrapText="1"/>
    </xf>
    <xf numFmtId="165" fontId="4" fillId="47" borderId="11" xfId="2" applyNumberFormat="1" applyFont="1" applyFill="1" applyBorder="1" applyAlignment="1">
      <alignment horizontal="center" vertical="center"/>
    </xf>
    <xf numFmtId="165" fontId="0" fillId="47" borderId="11" xfId="2" applyNumberFormat="1" applyFont="1" applyFill="1" applyBorder="1" applyAlignment="1">
      <alignment horizontal="center" vertical="center"/>
    </xf>
    <xf numFmtId="0" fontId="0" fillId="47" borderId="11" xfId="0" applyFont="1" applyFill="1" applyBorder="1" applyAlignment="1">
      <alignment vertical="center"/>
    </xf>
    <xf numFmtId="0" fontId="1" fillId="47" borderId="11" xfId="0" applyFont="1" applyFill="1" applyBorder="1" applyAlignment="1">
      <alignment horizontal="center" vertical="center" wrapText="1"/>
    </xf>
    <xf numFmtId="165" fontId="0" fillId="47" borderId="11" xfId="2" quotePrefix="1" applyNumberFormat="1" applyFont="1" applyFill="1" applyBorder="1" applyAlignment="1">
      <alignment horizontal="left" vertical="center" wrapText="1"/>
    </xf>
    <xf numFmtId="165" fontId="1" fillId="47" borderId="11" xfId="2" applyNumberFormat="1" applyFont="1" applyFill="1" applyBorder="1" applyAlignment="1">
      <alignment horizontal="center" vertical="center"/>
    </xf>
    <xf numFmtId="0" fontId="0" fillId="0" borderId="0" xfId="0" applyBorder="1"/>
    <xf numFmtId="0" fontId="0" fillId="48" borderId="15" xfId="0" applyFill="1" applyBorder="1" applyAlignment="1">
      <alignment horizontal="center" vertical="center"/>
    </xf>
    <xf numFmtId="0" fontId="0" fillId="48" borderId="12" xfId="0" applyFill="1" applyBorder="1" applyAlignment="1">
      <alignment horizontal="center" vertical="center"/>
    </xf>
    <xf numFmtId="0" fontId="57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57" fillId="49" borderId="15" xfId="0" applyFont="1" applyFill="1" applyBorder="1" applyAlignment="1">
      <alignment horizontal="center" vertical="center"/>
    </xf>
    <xf numFmtId="0" fontId="0" fillId="49" borderId="15" xfId="0" applyFill="1" applyBorder="1" applyAlignment="1">
      <alignment horizontal="center" vertical="center"/>
    </xf>
    <xf numFmtId="0" fontId="0" fillId="49" borderId="15" xfId="0" applyFill="1" applyBorder="1" applyAlignment="1">
      <alignment horizontal="center"/>
    </xf>
    <xf numFmtId="0" fontId="0" fillId="50" borderId="0" xfId="0" applyFill="1" applyBorder="1"/>
    <xf numFmtId="0" fontId="0" fillId="49" borderId="15" xfId="0" applyFill="1" applyBorder="1" applyAlignment="1">
      <alignment vertical="center"/>
    </xf>
    <xf numFmtId="0" fontId="0" fillId="2" borderId="0" xfId="0" applyFill="1" applyBorder="1"/>
    <xf numFmtId="0" fontId="57" fillId="51" borderId="15" xfId="0" applyFont="1" applyFill="1" applyBorder="1" applyAlignment="1">
      <alignment horizontal="center" vertical="center"/>
    </xf>
    <xf numFmtId="0" fontId="0" fillId="51" borderId="15" xfId="0" applyFill="1" applyBorder="1" applyAlignment="1">
      <alignment horizontal="center" vertical="center"/>
    </xf>
    <xf numFmtId="0" fontId="0" fillId="51" borderId="15" xfId="0" applyFill="1" applyBorder="1" applyAlignment="1">
      <alignment horizontal="center"/>
    </xf>
    <xf numFmtId="0" fontId="0" fillId="51" borderId="0" xfId="0" applyFill="1" applyBorder="1"/>
    <xf numFmtId="0" fontId="58" fillId="2" borderId="15" xfId="0" applyFont="1" applyFill="1" applyBorder="1" applyAlignment="1">
      <alignment horizontal="center" vertical="center"/>
    </xf>
    <xf numFmtId="0" fontId="59" fillId="2" borderId="15" xfId="0" applyFont="1" applyFill="1" applyBorder="1" applyAlignment="1">
      <alignment horizontal="center" vertical="center"/>
    </xf>
    <xf numFmtId="0" fontId="59" fillId="2" borderId="15" xfId="0" applyFont="1" applyFill="1" applyBorder="1" applyAlignment="1">
      <alignment horizontal="center"/>
    </xf>
    <xf numFmtId="0" fontId="60" fillId="2" borderId="0" xfId="0" applyFont="1" applyFill="1" applyBorder="1"/>
    <xf numFmtId="0" fontId="57" fillId="52" borderId="15" xfId="0" applyFont="1" applyFill="1" applyBorder="1" applyAlignment="1">
      <alignment horizontal="center" vertical="center"/>
    </xf>
    <xf numFmtId="0" fontId="0" fillId="52" borderId="15" xfId="0" applyFill="1" applyBorder="1" applyAlignment="1">
      <alignment horizontal="center" vertical="center"/>
    </xf>
    <xf numFmtId="0" fontId="0" fillId="52" borderId="15" xfId="0" applyFill="1" applyBorder="1" applyAlignment="1">
      <alignment horizontal="center"/>
    </xf>
    <xf numFmtId="0" fontId="0" fillId="52" borderId="0" xfId="0" applyFill="1" applyBorder="1"/>
    <xf numFmtId="0" fontId="57" fillId="53" borderId="15" xfId="0" applyFont="1" applyFill="1" applyBorder="1" applyAlignment="1">
      <alignment horizontal="center" vertical="center"/>
    </xf>
    <xf numFmtId="0" fontId="0" fillId="53" borderId="15" xfId="0" applyFill="1" applyBorder="1" applyAlignment="1">
      <alignment horizontal="center" vertical="center"/>
    </xf>
    <xf numFmtId="0" fontId="0" fillId="53" borderId="15" xfId="0" applyFill="1" applyBorder="1" applyAlignment="1">
      <alignment horizontal="center"/>
    </xf>
    <xf numFmtId="0" fontId="0" fillId="53" borderId="0" xfId="0" applyFill="1" applyBorder="1"/>
    <xf numFmtId="0" fontId="0" fillId="51" borderId="15" xfId="0" applyFill="1" applyBorder="1"/>
    <xf numFmtId="0" fontId="57" fillId="54" borderId="15" xfId="0" applyFont="1" applyFill="1" applyBorder="1" applyAlignment="1">
      <alignment horizontal="center" vertical="center"/>
    </xf>
    <xf numFmtId="0" fontId="0" fillId="54" borderId="15" xfId="0" applyFill="1" applyBorder="1" applyAlignment="1">
      <alignment horizontal="center" vertical="center"/>
    </xf>
    <xf numFmtId="0" fontId="0" fillId="54" borderId="15" xfId="0" applyFill="1" applyBorder="1" applyAlignment="1">
      <alignment horizontal="center"/>
    </xf>
    <xf numFmtId="0" fontId="0" fillId="54" borderId="15" xfId="0" applyFill="1" applyBorder="1"/>
    <xf numFmtId="0" fontId="0" fillId="54" borderId="0" xfId="0" applyFill="1" applyBorder="1"/>
    <xf numFmtId="0" fontId="57" fillId="55" borderId="15" xfId="0" applyFont="1" applyFill="1" applyBorder="1" applyAlignment="1">
      <alignment horizontal="center" vertical="center"/>
    </xf>
    <xf numFmtId="0" fontId="0" fillId="55" borderId="15" xfId="0" applyFill="1" applyBorder="1" applyAlignment="1">
      <alignment horizontal="center" vertical="center"/>
    </xf>
    <xf numFmtId="0" fontId="0" fillId="55" borderId="15" xfId="0" applyFill="1" applyBorder="1" applyAlignment="1">
      <alignment horizontal="center"/>
    </xf>
    <xf numFmtId="0" fontId="0" fillId="55" borderId="0" xfId="0" applyFill="1" applyBorder="1"/>
    <xf numFmtId="0" fontId="58" fillId="55" borderId="15" xfId="0" applyFont="1" applyFill="1" applyBorder="1" applyAlignment="1">
      <alignment horizontal="center" vertical="center"/>
    </xf>
    <xf numFmtId="0" fontId="59" fillId="55" borderId="15" xfId="0" applyFont="1" applyFill="1" applyBorder="1" applyAlignment="1">
      <alignment horizontal="center" vertical="center"/>
    </xf>
    <xf numFmtId="0" fontId="59" fillId="55" borderId="15" xfId="0" applyFont="1" applyFill="1" applyBorder="1" applyAlignment="1">
      <alignment horizontal="center"/>
    </xf>
    <xf numFmtId="0" fontId="59" fillId="55" borderId="0" xfId="0" applyFont="1" applyFill="1" applyBorder="1"/>
    <xf numFmtId="0" fontId="57" fillId="56" borderId="15" xfId="0" applyFont="1" applyFill="1" applyBorder="1" applyAlignment="1">
      <alignment horizontal="center" vertical="center"/>
    </xf>
    <xf numFmtId="0" fontId="0" fillId="56" borderId="15" xfId="0" applyFill="1" applyBorder="1" applyAlignment="1">
      <alignment horizontal="center" vertical="center"/>
    </xf>
    <xf numFmtId="0" fontId="0" fillId="56" borderId="15" xfId="0" applyFill="1" applyBorder="1" applyAlignment="1">
      <alignment horizontal="center"/>
    </xf>
    <xf numFmtId="0" fontId="0" fillId="56" borderId="0" xfId="0" applyFill="1" applyBorder="1"/>
    <xf numFmtId="0" fontId="61" fillId="0" borderId="15" xfId="0" applyFont="1" applyBorder="1" applyAlignment="1">
      <alignment horizontal="center"/>
    </xf>
    <xf numFmtId="0" fontId="61" fillId="0" borderId="15" xfId="0" applyFont="1" applyBorder="1" applyAlignment="1">
      <alignment horizontal="center" vertical="center"/>
    </xf>
    <xf numFmtId="0" fontId="6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61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/>
    </xf>
    <xf numFmtId="0" fontId="62" fillId="0" borderId="0" xfId="0" applyFont="1" applyBorder="1"/>
    <xf numFmtId="0" fontId="0" fillId="48" borderId="13" xfId="0" applyFont="1" applyFill="1" applyBorder="1" applyAlignment="1">
      <alignment vertical="center"/>
    </xf>
    <xf numFmtId="0" fontId="0" fillId="48" borderId="14" xfId="0" applyFont="1" applyFill="1" applyBorder="1" applyAlignment="1">
      <alignment vertical="center"/>
    </xf>
    <xf numFmtId="0" fontId="0" fillId="48" borderId="11" xfId="0" applyFill="1" applyBorder="1" applyAlignment="1">
      <alignment horizontal="center" vertical="center"/>
    </xf>
    <xf numFmtId="0" fontId="61" fillId="51" borderId="11" xfId="0" applyFont="1" applyFill="1" applyBorder="1" applyAlignment="1">
      <alignment horizontal="center" vertical="center"/>
    </xf>
    <xf numFmtId="0" fontId="60" fillId="51" borderId="11" xfId="0" applyFont="1" applyFill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0" fillId="0" borderId="0" xfId="0" applyFont="1" applyBorder="1"/>
    <xf numFmtId="0" fontId="57" fillId="54" borderId="11" xfId="0" applyFont="1" applyFill="1" applyBorder="1" applyAlignment="1">
      <alignment horizontal="center" vertical="center"/>
    </xf>
    <xf numFmtId="0" fontId="0" fillId="54" borderId="11" xfId="0" applyFill="1" applyBorder="1" applyAlignment="1">
      <alignment horizontal="center" vertical="center"/>
    </xf>
    <xf numFmtId="0" fontId="0" fillId="58" borderId="11" xfId="0" applyFill="1" applyBorder="1" applyAlignment="1">
      <alignment horizontal="center" vertical="center"/>
    </xf>
    <xf numFmtId="0" fontId="0" fillId="58" borderId="0" xfId="0" applyFill="1" applyBorder="1"/>
    <xf numFmtId="0" fontId="57" fillId="59" borderId="11" xfId="0" applyFont="1" applyFill="1" applyBorder="1" applyAlignment="1">
      <alignment horizontal="center" vertical="center"/>
    </xf>
    <xf numFmtId="0" fontId="0" fillId="59" borderId="11" xfId="0" applyFill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7" fillId="51" borderId="11" xfId="0" applyFont="1" applyFill="1" applyBorder="1" applyAlignment="1">
      <alignment horizontal="center" vertical="center"/>
    </xf>
    <xf numFmtId="0" fontId="0" fillId="51" borderId="11" xfId="0" applyFill="1" applyBorder="1" applyAlignment="1">
      <alignment horizontal="center" vertical="center"/>
    </xf>
    <xf numFmtId="0" fontId="57" fillId="50" borderId="11" xfId="0" applyFont="1" applyFill="1" applyBorder="1" applyAlignment="1">
      <alignment horizontal="center" vertical="center"/>
    </xf>
    <xf numFmtId="0" fontId="0" fillId="50" borderId="11" xfId="0" applyFill="1" applyBorder="1" applyAlignment="1">
      <alignment horizontal="center" vertical="center"/>
    </xf>
    <xf numFmtId="0" fontId="61" fillId="0" borderId="11" xfId="0" applyFont="1" applyBorder="1" applyAlignment="1">
      <alignment horizontal="center"/>
    </xf>
    <xf numFmtId="0" fontId="61" fillId="0" borderId="11" xfId="0" applyFont="1" applyBorder="1" applyAlignment="1">
      <alignment horizontal="center" vertical="center"/>
    </xf>
    <xf numFmtId="0" fontId="34" fillId="47" borderId="11" xfId="0" applyFont="1" applyFill="1" applyBorder="1" applyAlignment="1">
      <alignment vertical="center" wrapText="1"/>
    </xf>
    <xf numFmtId="165" fontId="0" fillId="47" borderId="11" xfId="2" applyNumberFormat="1" applyFont="1" applyFill="1" applyBorder="1" applyAlignment="1">
      <alignment horizontal="left" vertical="center" wrapText="1"/>
    </xf>
    <xf numFmtId="0" fontId="34" fillId="47" borderId="11" xfId="0" applyFont="1" applyFill="1" applyBorder="1" applyAlignment="1">
      <alignment vertical="center"/>
    </xf>
    <xf numFmtId="0" fontId="0" fillId="2" borderId="11" xfId="0" quotePrefix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165" fontId="4" fillId="2" borderId="15" xfId="2" applyNumberFormat="1" applyFont="1" applyFill="1" applyBorder="1" applyAlignment="1">
      <alignment horizontal="center" vertical="center"/>
    </xf>
    <xf numFmtId="165" fontId="0" fillId="2" borderId="15" xfId="2" applyNumberFormat="1" applyFont="1" applyFill="1" applyBorder="1" applyAlignment="1">
      <alignment horizontal="center" vertical="center"/>
    </xf>
    <xf numFmtId="165" fontId="0" fillId="2" borderId="15" xfId="2" quotePrefix="1" applyNumberFormat="1" applyFont="1" applyFill="1" applyBorder="1" applyAlignment="1">
      <alignment horizontal="left" vertical="center" wrapText="1"/>
    </xf>
    <xf numFmtId="0" fontId="60" fillId="51" borderId="15" xfId="0" applyFont="1" applyFill="1" applyBorder="1" applyAlignment="1">
      <alignment horizontal="center" vertical="center"/>
    </xf>
    <xf numFmtId="0" fontId="0" fillId="59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0" borderId="15" xfId="0" applyFill="1" applyBorder="1" applyAlignment="1">
      <alignment horizontal="center" vertical="center"/>
    </xf>
    <xf numFmtId="0" fontId="0" fillId="48" borderId="12" xfId="0" applyFont="1" applyFill="1" applyBorder="1" applyAlignment="1">
      <alignment horizontal="center" vertical="center"/>
    </xf>
    <xf numFmtId="0" fontId="0" fillId="48" borderId="16" xfId="0" applyFont="1" applyFill="1" applyBorder="1" applyAlignment="1">
      <alignment horizontal="center" vertical="center"/>
    </xf>
    <xf numFmtId="0" fontId="0" fillId="48" borderId="13" xfId="0" applyFont="1" applyFill="1" applyBorder="1" applyAlignment="1">
      <alignment horizontal="center" vertical="center"/>
    </xf>
    <xf numFmtId="0" fontId="0" fillId="48" borderId="14" xfId="0" applyFont="1" applyFill="1" applyBorder="1" applyAlignment="1">
      <alignment horizontal="center" vertical="center"/>
    </xf>
    <xf numFmtId="0" fontId="0" fillId="48" borderId="13" xfId="0" applyFill="1" applyBorder="1" applyAlignment="1">
      <alignment horizontal="center" vertical="center"/>
    </xf>
    <xf numFmtId="0" fontId="0" fillId="48" borderId="14" xfId="0" applyFill="1" applyBorder="1" applyAlignment="1">
      <alignment horizontal="center" vertical="center"/>
    </xf>
    <xf numFmtId="0" fontId="0" fillId="48" borderId="12" xfId="0" applyFill="1" applyBorder="1" applyAlignment="1">
      <alignment horizontal="center" vertical="center"/>
    </xf>
    <xf numFmtId="0" fontId="0" fillId="48" borderId="16" xfId="0" applyFill="1" applyBorder="1" applyAlignment="1">
      <alignment horizontal="center" vertical="center"/>
    </xf>
    <xf numFmtId="0" fontId="0" fillId="48" borderId="17" xfId="0" applyFont="1" applyFill="1" applyBorder="1" applyAlignment="1">
      <alignment horizontal="center" vertical="center" wrapText="1"/>
    </xf>
    <xf numFmtId="0" fontId="0" fillId="48" borderId="16" xfId="0" applyFont="1" applyFill="1" applyBorder="1" applyAlignment="1">
      <alignment horizontal="center" vertical="center" wrapText="1"/>
    </xf>
    <xf numFmtId="0" fontId="0" fillId="48" borderId="12" xfId="0" applyFont="1" applyFill="1" applyBorder="1" applyAlignment="1">
      <alignment horizontal="center" vertical="center" wrapText="1"/>
    </xf>
    <xf numFmtId="0" fontId="0" fillId="48" borderId="11" xfId="0" applyFill="1" applyBorder="1" applyAlignment="1">
      <alignment horizontal="center" vertical="center"/>
    </xf>
    <xf numFmtId="0" fontId="0" fillId="48" borderId="11" xfId="0" applyFont="1" applyFill="1" applyBorder="1" applyAlignment="1">
      <alignment horizontal="center" vertical="center"/>
    </xf>
    <xf numFmtId="0" fontId="0" fillId="48" borderId="11" xfId="0" applyFont="1" applyFill="1" applyBorder="1" applyAlignment="1">
      <alignment horizontal="center" vertical="center" wrapText="1"/>
    </xf>
    <xf numFmtId="0" fontId="0" fillId="57" borderId="11" xfId="0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300">
    <cellStyle name="_x0007__x000b_" xfId="82"/>
    <cellStyle name="_x0007__x000b_ 2" xfId="83"/>
    <cellStyle name="_x000d__x000a_JournalTemplate=C:\COMFO\CTALK\JOURSTD.TPL_x000d__x000a_LbStateAddress=3 3 0 251 1 89 2 311_x000d__x000a_LbStateJou" xfId="5"/>
    <cellStyle name="_200709 EPR Reference Tool v20" xfId="84"/>
    <cellStyle name="_200709 EPR Reference Tool v20 2" xfId="85"/>
    <cellStyle name="_200709 EPR Reference Tool v20 2 2" xfId="86"/>
    <cellStyle name="_200709 EPR Reference Tool v20 3" xfId="87"/>
    <cellStyle name="_Catalog Sheet" xfId="88"/>
    <cellStyle name="_Catalog Sheet 2" xfId="89"/>
    <cellStyle name="_Catalog Sheet 2 2" xfId="90"/>
    <cellStyle name="_Catalog Sheet 3" xfId="91"/>
    <cellStyle name="_Custom Descriptions" xfId="92"/>
    <cellStyle name="_Custom Descriptions 2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40% - Accent1 2" xfId="100"/>
    <cellStyle name="40% - Accent2 2" xfId="101"/>
    <cellStyle name="40% - Accent3 2" xfId="102"/>
    <cellStyle name="40% - Accent4 2" xfId="103"/>
    <cellStyle name="40% - Accent5 2" xfId="104"/>
    <cellStyle name="40% - Accent6 2" xfId="105"/>
    <cellStyle name="60% - Accent1 2" xfId="106"/>
    <cellStyle name="60% - Accent2 2" xfId="107"/>
    <cellStyle name="60% - Accent3 2" xfId="108"/>
    <cellStyle name="60% - Accent4 2" xfId="109"/>
    <cellStyle name="60% - Accent5 2" xfId="110"/>
    <cellStyle name="60% - Accent6 2" xfId="111"/>
    <cellStyle name="A4 Small 210 x 297 mm" xfId="6"/>
    <cellStyle name="Accent1 - 20%" xfId="112"/>
    <cellStyle name="Accent1 - 20% 2" xfId="113"/>
    <cellStyle name="Accent1 - 20% 2 2" xfId="114"/>
    <cellStyle name="Accent1 - 20% 3" xfId="115"/>
    <cellStyle name="Accent1 - 20% 3 2" xfId="116"/>
    <cellStyle name="Accent1 - 20% 4" xfId="117"/>
    <cellStyle name="Accent1 - 40%" xfId="118"/>
    <cellStyle name="Accent1 - 40% 2" xfId="119"/>
    <cellStyle name="Accent1 - 40% 2 2" xfId="120"/>
    <cellStyle name="Accent1 - 40% 3" xfId="121"/>
    <cellStyle name="Accent1 - 40% 3 2" xfId="122"/>
    <cellStyle name="Accent1 - 40% 4" xfId="123"/>
    <cellStyle name="Accent1 - 60%" xfId="124"/>
    <cellStyle name="Accent1 - 60% 2" xfId="125"/>
    <cellStyle name="Accent1 2" xfId="126"/>
    <cellStyle name="Accent2 - 20%" xfId="127"/>
    <cellStyle name="Accent2 - 20% 2" xfId="128"/>
    <cellStyle name="Accent2 - 20% 2 2" xfId="129"/>
    <cellStyle name="Accent2 - 20% 3" xfId="130"/>
    <cellStyle name="Accent2 - 20% 3 2" xfId="131"/>
    <cellStyle name="Accent2 - 20% 4" xfId="132"/>
    <cellStyle name="Accent2 - 40%" xfId="133"/>
    <cellStyle name="Accent2 - 40% 2" xfId="134"/>
    <cellStyle name="Accent2 - 40% 2 2" xfId="135"/>
    <cellStyle name="Accent2 - 40% 3" xfId="136"/>
    <cellStyle name="Accent2 - 40% 3 2" xfId="137"/>
    <cellStyle name="Accent2 - 40% 4" xfId="138"/>
    <cellStyle name="Accent2 - 60%" xfId="139"/>
    <cellStyle name="Accent2 - 60% 2" xfId="140"/>
    <cellStyle name="Accent2 2" xfId="141"/>
    <cellStyle name="Accent3 - 20%" xfId="142"/>
    <cellStyle name="Accent3 - 20% 2" xfId="143"/>
    <cellStyle name="Accent3 - 20% 2 2" xfId="144"/>
    <cellStyle name="Accent3 - 20% 3" xfId="145"/>
    <cellStyle name="Accent3 - 20% 3 2" xfId="146"/>
    <cellStyle name="Accent3 - 20% 4" xfId="147"/>
    <cellStyle name="Accent3 - 40%" xfId="148"/>
    <cellStyle name="Accent3 - 40% 2" xfId="149"/>
    <cellStyle name="Accent3 - 40% 2 2" xfId="150"/>
    <cellStyle name="Accent3 - 40% 3" xfId="151"/>
    <cellStyle name="Accent3 - 40% 3 2" xfId="152"/>
    <cellStyle name="Accent3 - 40% 4" xfId="153"/>
    <cellStyle name="Accent3 - 60%" xfId="154"/>
    <cellStyle name="Accent3 - 60% 2" xfId="155"/>
    <cellStyle name="Accent3 2" xfId="156"/>
    <cellStyle name="Accent4 - 20%" xfId="157"/>
    <cellStyle name="Accent4 - 20% 2" xfId="158"/>
    <cellStyle name="Accent4 - 20% 2 2" xfId="159"/>
    <cellStyle name="Accent4 - 20% 3" xfId="160"/>
    <cellStyle name="Accent4 - 20% 3 2" xfId="161"/>
    <cellStyle name="Accent4 - 20% 4" xfId="162"/>
    <cellStyle name="Accent4 - 40%" xfId="163"/>
    <cellStyle name="Accent4 - 40% 2" xfId="164"/>
    <cellStyle name="Accent4 - 40% 2 2" xfId="165"/>
    <cellStyle name="Accent4 - 40% 3" xfId="166"/>
    <cellStyle name="Accent4 - 40% 3 2" xfId="167"/>
    <cellStyle name="Accent4 - 40% 4" xfId="168"/>
    <cellStyle name="Accent4 - 60%" xfId="169"/>
    <cellStyle name="Accent4 - 60% 2" xfId="170"/>
    <cellStyle name="Accent4 2" xfId="171"/>
    <cellStyle name="Accent5 - 20%" xfId="172"/>
    <cellStyle name="Accent5 - 20% 2" xfId="173"/>
    <cellStyle name="Accent5 - 20% 2 2" xfId="174"/>
    <cellStyle name="Accent5 - 20% 3" xfId="175"/>
    <cellStyle name="Accent5 - 20% 3 2" xfId="176"/>
    <cellStyle name="Accent5 - 20% 4" xfId="177"/>
    <cellStyle name="Accent5 - 40%" xfId="178"/>
    <cellStyle name="Accent5 - 40% 2" xfId="179"/>
    <cellStyle name="Accent5 - 40% 2 2" xfId="180"/>
    <cellStyle name="Accent5 - 40% 3" xfId="181"/>
    <cellStyle name="Accent5 - 40% 3 2" xfId="182"/>
    <cellStyle name="Accent5 - 40% 4" xfId="183"/>
    <cellStyle name="Accent5 - 60%" xfId="184"/>
    <cellStyle name="Accent5 - 60% 2" xfId="185"/>
    <cellStyle name="Accent5 2" xfId="186"/>
    <cellStyle name="Accent6 - 20%" xfId="187"/>
    <cellStyle name="Accent6 - 20% 2" xfId="188"/>
    <cellStyle name="Accent6 - 20% 2 2" xfId="189"/>
    <cellStyle name="Accent6 - 20% 3" xfId="190"/>
    <cellStyle name="Accent6 - 20% 3 2" xfId="191"/>
    <cellStyle name="Accent6 - 20% 4" xfId="192"/>
    <cellStyle name="Accent6 - 40%" xfId="193"/>
    <cellStyle name="Accent6 - 40% 2" xfId="194"/>
    <cellStyle name="Accent6 - 40% 2 2" xfId="195"/>
    <cellStyle name="Accent6 - 40% 3" xfId="196"/>
    <cellStyle name="Accent6 - 40% 3 2" xfId="197"/>
    <cellStyle name="Accent6 - 40% 4" xfId="198"/>
    <cellStyle name="Accent6 - 60%" xfId="199"/>
    <cellStyle name="Accent6 - 60% 2" xfId="200"/>
    <cellStyle name="Accent6 2" xfId="201"/>
    <cellStyle name="arbres" xfId="7"/>
    <cellStyle name="Bad 2" xfId="202"/>
    <cellStyle name="Calculation 2" xfId="203"/>
    <cellStyle name="Check Cell 2" xfId="219"/>
    <cellStyle name="Comma" xfId="2" builtinId="3"/>
    <cellStyle name="Comma 10" xfId="8"/>
    <cellStyle name="Comma 10 10" xfId="9"/>
    <cellStyle name="Comma 10 2" xfId="10"/>
    <cellStyle name="Comma 10 3" xfId="11"/>
    <cellStyle name="Comma 11" xfId="12"/>
    <cellStyle name="Comma 13 4" xfId="13"/>
    <cellStyle name="Comma 2" xfId="4"/>
    <cellStyle name="Comma 2 10" xfId="204"/>
    <cellStyle name="Comma 2 11" xfId="205"/>
    <cellStyle name="Comma 2 2" xfId="14"/>
    <cellStyle name="Comma 2 2 2" xfId="15"/>
    <cellStyle name="Comma 2 2 2 2" xfId="16"/>
    <cellStyle name="Comma 2 3" xfId="17"/>
    <cellStyle name="Comma 2 3 11" xfId="18"/>
    <cellStyle name="Comma 2 4" xfId="206"/>
    <cellStyle name="Comma 2 4 2" xfId="19"/>
    <cellStyle name="Comma 2 5" xfId="207"/>
    <cellStyle name="Comma 2 5 3" xfId="20"/>
    <cellStyle name="Comma 2 6" xfId="208"/>
    <cellStyle name="Comma 2 7" xfId="209"/>
    <cellStyle name="Comma 2 8" xfId="21"/>
    <cellStyle name="Comma 2 9" xfId="210"/>
    <cellStyle name="Comma 3" xfId="22"/>
    <cellStyle name="Comma 3 2" xfId="23"/>
    <cellStyle name="Comma 3 3" xfId="211"/>
    <cellStyle name="Comma 3 8" xfId="24"/>
    <cellStyle name="Comma 4" xfId="25"/>
    <cellStyle name="Comma 4 2" xfId="212"/>
    <cellStyle name="Comma 5" xfId="213"/>
    <cellStyle name="Comma 5 2" xfId="26"/>
    <cellStyle name="Comma 8" xfId="27"/>
    <cellStyle name="Comma 8 2" xfId="28"/>
    <cellStyle name="Currency 2" xfId="214"/>
    <cellStyle name="Currency 2 2" xfId="215"/>
    <cellStyle name="Currency 3" xfId="216"/>
    <cellStyle name="Currency 4" xfId="217"/>
    <cellStyle name="Currency 5" xfId="218"/>
    <cellStyle name="Emphasis 1" xfId="220"/>
    <cellStyle name="Emphasis 1 2" xfId="221"/>
    <cellStyle name="Emphasis 2" xfId="222"/>
    <cellStyle name="Emphasis 2 2" xfId="223"/>
    <cellStyle name="Emphasis 3" xfId="224"/>
    <cellStyle name="Emphasis 3 2" xfId="225"/>
    <cellStyle name="Explanatory Text 2" xfId="226"/>
    <cellStyle name="fonctions clients" xfId="29"/>
    <cellStyle name="Good 2" xfId="227"/>
    <cellStyle name="Heading 1 2" xfId="228"/>
    <cellStyle name="Heading 2 2" xfId="229"/>
    <cellStyle name="Heading 3 2" xfId="230"/>
    <cellStyle name="Heading 4 2" xfId="231"/>
    <cellStyle name="Hyperlink 2" xfId="30"/>
    <cellStyle name="Hyperlink 2 2" xfId="232"/>
    <cellStyle name="Hyperlink 2 3" xfId="233"/>
    <cellStyle name="Hyperlink 2 4" xfId="234"/>
    <cellStyle name="Input 2" xfId="235"/>
    <cellStyle name="Ledger 17 x 11 in" xfId="31"/>
    <cellStyle name="Ledger 17 x 11 in 2" xfId="32"/>
    <cellStyle name="Ledger 17 x 11 in 2 2" xfId="33"/>
    <cellStyle name="Linked Cell 2" xfId="236"/>
    <cellStyle name="Neutral 2" xfId="237"/>
    <cellStyle name="Normal" xfId="0" builtinId="0"/>
    <cellStyle name="Normal - Style1" xfId="34"/>
    <cellStyle name="Normal - Style1 2" xfId="35"/>
    <cellStyle name="Normal - Style1 2 3" xfId="36"/>
    <cellStyle name="Normal 10" xfId="37"/>
    <cellStyle name="Normal 10 2" xfId="38"/>
    <cellStyle name="Normal 11" xfId="77"/>
    <cellStyle name="Normal 12 2" xfId="238"/>
    <cellStyle name="Normal 13" xfId="39"/>
    <cellStyle name="Normal 13 2" xfId="239"/>
    <cellStyle name="Normal 14 2" xfId="240"/>
    <cellStyle name="Normal 15 2" xfId="241"/>
    <cellStyle name="Normal 16 2" xfId="40"/>
    <cellStyle name="Normal 17 2" xfId="242"/>
    <cellStyle name="Normal 18" xfId="41"/>
    <cellStyle name="Normal 18 2" xfId="81"/>
    <cellStyle name="Normal 2" xfId="3"/>
    <cellStyle name="Normal 2 10" xfId="78"/>
    <cellStyle name="Normal 2 11" xfId="243"/>
    <cellStyle name="Normal 2 2" xfId="42"/>
    <cellStyle name="Normal 2 2 2" xfId="43"/>
    <cellStyle name="Normal 2 2 24 2 3" xfId="44"/>
    <cellStyle name="Normal 2 2 3" xfId="45"/>
    <cellStyle name="Normal 2 2_BP05 15 Sept 08  BQ (Formatted by DLSVN) _ JBM" xfId="46"/>
    <cellStyle name="Normal 2 3" xfId="244"/>
    <cellStyle name="Normal 2 4" xfId="245"/>
    <cellStyle name="Normal 2 5" xfId="246"/>
    <cellStyle name="Normal 2 5 2 3 2 2 3 2 3" xfId="47"/>
    <cellStyle name="Normal 2 5 3" xfId="48"/>
    <cellStyle name="Normal 2 5 3 2" xfId="49"/>
    <cellStyle name="Normal 2 6" xfId="50"/>
    <cellStyle name="Normal 2 6 2" xfId="51"/>
    <cellStyle name="Normal 2 6 3" xfId="52"/>
    <cellStyle name="Normal 2 7" xfId="53"/>
    <cellStyle name="Normal 2 8" xfId="247"/>
    <cellStyle name="Normal 2 9" xfId="54"/>
    <cellStyle name="Normal 2_VingCard Visionline Calculation - DO NOT SEND" xfId="55"/>
    <cellStyle name="Normal 20" xfId="248"/>
    <cellStyle name="Normal 20 2" xfId="1"/>
    <cellStyle name="Normal 20 2 2" xfId="56"/>
    <cellStyle name="Normal 21" xfId="249"/>
    <cellStyle name="Normal 230" xfId="250"/>
    <cellStyle name="Normal 3" xfId="57"/>
    <cellStyle name="Normal 3 2" xfId="251"/>
    <cellStyle name="Normal 3 3" xfId="252"/>
    <cellStyle name="Normal 3 3 2" xfId="58"/>
    <cellStyle name="Normal 3 3 2 2" xfId="59"/>
    <cellStyle name="Normal 3 4" xfId="253"/>
    <cellStyle name="Normal 3 5" xfId="254"/>
    <cellStyle name="Normal 4" xfId="60"/>
    <cellStyle name="Normal 4 2" xfId="61"/>
    <cellStyle name="Normal 4 3" xfId="255"/>
    <cellStyle name="Normal 4 4" xfId="256"/>
    <cellStyle name="Normal 5" xfId="62"/>
    <cellStyle name="Normal 5 2" xfId="63"/>
    <cellStyle name="Normal 5 2 2" xfId="257"/>
    <cellStyle name="Normal 5 3" xfId="79"/>
    <cellStyle name="Normal 5 3 2" xfId="258"/>
    <cellStyle name="Normal 5 4" xfId="259"/>
    <cellStyle name="Normal 5 4 2" xfId="260"/>
    <cellStyle name="Normal 5 5" xfId="261"/>
    <cellStyle name="Normal 5 5 2" xfId="262"/>
    <cellStyle name="Normal 5 6" xfId="263"/>
    <cellStyle name="Normal 5 6 2" xfId="264"/>
    <cellStyle name="Normal 6" xfId="64"/>
    <cellStyle name="Normal 6 2" xfId="265"/>
    <cellStyle name="Normal 6 2 2" xfId="266"/>
    <cellStyle name="Normal 6 3" xfId="267"/>
    <cellStyle name="Normal 6 3 2" xfId="268"/>
    <cellStyle name="Normal 6 4" xfId="269"/>
    <cellStyle name="Normal 6 4 2" xfId="270"/>
    <cellStyle name="Normal 6 5" xfId="271"/>
    <cellStyle name="Normal 6 5 2" xfId="272"/>
    <cellStyle name="Normal 7" xfId="65"/>
    <cellStyle name="Normal 7 2" xfId="273"/>
    <cellStyle name="Normal 7 2 2" xfId="274"/>
    <cellStyle name="Normal 7 3" xfId="275"/>
    <cellStyle name="Normal 7 3 2" xfId="276"/>
    <cellStyle name="Normal 7 4" xfId="277"/>
    <cellStyle name="Normal 7 4 2" xfId="278"/>
    <cellStyle name="Normal 8" xfId="66"/>
    <cellStyle name="Normal 8 2" xfId="80"/>
    <cellStyle name="Normal 8 2 2" xfId="279"/>
    <cellStyle name="Normal 8 3" xfId="67"/>
    <cellStyle name="Normal 8 3 2" xfId="280"/>
    <cellStyle name="Normal 8 4" xfId="281"/>
    <cellStyle name="Normal 8 4 2" xfId="282"/>
    <cellStyle name="Normal 9" xfId="68"/>
    <cellStyle name="normální_List1" xfId="283"/>
    <cellStyle name="Note 2" xfId="284"/>
    <cellStyle name="Note 3" xfId="285"/>
    <cellStyle name="Note 4" xfId="286"/>
    <cellStyle name="Numero Fiches" xfId="69"/>
    <cellStyle name="Numero UG" xfId="70"/>
    <cellStyle name="Option" xfId="287"/>
    <cellStyle name="Output 2" xfId="288"/>
    <cellStyle name="Percent 2" xfId="71"/>
    <cellStyle name="Percent 2 2" xfId="72"/>
    <cellStyle name="Regular Type" xfId="289"/>
    <cellStyle name="Regular Type 2" xfId="290"/>
    <cellStyle name="Regular Type 3" xfId="291"/>
    <cellStyle name="Sheet Title" xfId="292"/>
    <cellStyle name="Sheet Title 2" xfId="293"/>
    <cellStyle name="Small Heading" xfId="294"/>
    <cellStyle name="Style 1" xfId="73"/>
    <cellStyle name="Style 1 2" xfId="295"/>
    <cellStyle name="Style 1 31" xfId="74"/>
    <cellStyle name="Style 1_Copy of NA Image creation utilityV7" xfId="296"/>
    <cellStyle name="Title 2" xfId="297"/>
    <cellStyle name="Total 2" xfId="298"/>
    <cellStyle name="Warning Text 2" xfId="299"/>
    <cellStyle name="쉼표 [0] 2" xfId="75"/>
    <cellStyle name="표준 2" xfId="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33;&#54788;&#51109;\&#54788;&#51109;\&#44277;&#51452;&#45824;&#54617;&#44368;\&#49328;&#50629;&#44284;&#54617;&#44288;\&#44148;&#5262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anh.nd/Desktop/Serv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SPUTTER%20&#54217;&#54840;\NYJ\JMN\PLAN\97PLAN\0924\&#51228;&#54408;&#4832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wnloads\070\My%20Documents\&#45909;&#54413;&#44048;&#48513;&#46020;&#47196;\&#45909;&#54413;&#44048;&#48513;&#44221;&#487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2285;&#54840;\&#44032;&#49892;&#54665;\&#50641;&#49472;data\&#45800;&#51648;\&#44257;&#48152;&#51221;&#51648;&#443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33;&#54788;&#51109;\&#54788;&#51109;\&#44277;&#51452;&#45824;&#54617;&#44368;\&#52404;&#50977;&#44288;\&#44592;&#50504;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SHJ1\&#49464;&#51333;&#51077;&#52272;\980218\EXCEL\&#44608;&#49457;&#51456;\&#48512;&#52380;&#44277;&#51109;\CHUJ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12272\&#49892;&#49884;&#49444;&#44228;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SHJ1\&#49464;&#51333;&#51077;&#52272;\980218\PROPOSAL\ELEC\345KV\EULJOO\E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2285;&#54840;\&#44032;&#49892;&#54665;\My%20Documents\&#53664;&#47785;&#44204;&#51201;2000\2000&#53664;&#47785;&#44204;&#51201;\20000525%20%20&#54868;&#54633;&#45824;&#44368;(&#51204;&#45224;)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DivA1 - He thong nuoc cap"/>
      <sheetName val="FAB별"/>
      <sheetName val="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M Budget"/>
      <sheetName val="Material of Quantities"/>
      <sheetName val="unit price list"/>
      <sheetName val="Project Data"/>
      <sheetName val="Cover"/>
      <sheetName val="Ｎｏ.13"/>
      <sheetName val="운반"/>
      <sheetName val="아파트 "/>
      <sheetName val="6MONTHS"/>
      <sheetName val="Qo-1585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갑,을"/>
      <sheetName val="노임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"/>
      <sheetName val="동별집계"/>
      <sheetName val="공종집계"/>
      <sheetName val="현장안"/>
      <sheetName val="전기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er"/>
    </sheetNames>
    <sheetDataSet>
      <sheetData sheetId="0">
        <row r="8">
          <cell r="A8" t="str">
            <v>Y</v>
          </cell>
        </row>
        <row r="9">
          <cell r="A9" t="str">
            <v>N</v>
          </cell>
        </row>
        <row r="10">
          <cell r="A10" t="str">
            <v>Y</v>
          </cell>
        </row>
        <row r="11">
          <cell r="A11" t="str">
            <v>Y</v>
          </cell>
        </row>
        <row r="12">
          <cell r="A12" t="str">
            <v>Y</v>
          </cell>
        </row>
        <row r="13">
          <cell r="A13" t="str">
            <v>Y</v>
          </cell>
        </row>
        <row r="14">
          <cell r="A14" t="str">
            <v>Y</v>
          </cell>
        </row>
        <row r="15">
          <cell r="A15" t="str">
            <v>Y</v>
          </cell>
        </row>
        <row r="16">
          <cell r="A16" t="str">
            <v>Y</v>
          </cell>
        </row>
        <row r="17">
          <cell r="A17" t="str">
            <v>Y</v>
          </cell>
        </row>
        <row r="18">
          <cell r="A18" t="str">
            <v>Y</v>
          </cell>
        </row>
        <row r="19">
          <cell r="A19" t="str">
            <v>Y</v>
          </cell>
        </row>
        <row r="20">
          <cell r="L20">
            <v>0</v>
          </cell>
        </row>
        <row r="23">
          <cell r="A23" t="str">
            <v>Y</v>
          </cell>
        </row>
        <row r="24">
          <cell r="A24" t="str">
            <v>Y</v>
          </cell>
        </row>
        <row r="25">
          <cell r="A25" t="str">
            <v>Y</v>
          </cell>
        </row>
        <row r="26">
          <cell r="L26">
            <v>0</v>
          </cell>
        </row>
        <row r="28">
          <cell r="L28">
            <v>0</v>
          </cell>
        </row>
        <row r="32">
          <cell r="A32" t="str">
            <v>Y</v>
          </cell>
        </row>
        <row r="33">
          <cell r="A33" t="str">
            <v>Y</v>
          </cell>
        </row>
        <row r="34">
          <cell r="A34" t="str">
            <v>Y</v>
          </cell>
        </row>
        <row r="35">
          <cell r="A35" t="str">
            <v>Y</v>
          </cell>
        </row>
        <row r="36">
          <cell r="A36" t="str">
            <v>Y</v>
          </cell>
        </row>
        <row r="37">
          <cell r="A37" t="str">
            <v>Y</v>
          </cell>
        </row>
        <row r="38">
          <cell r="A38" t="str">
            <v>Y</v>
          </cell>
        </row>
        <row r="39">
          <cell r="A39" t="str">
            <v>Y</v>
          </cell>
        </row>
        <row r="40">
          <cell r="A40" t="str">
            <v>Y</v>
          </cell>
        </row>
        <row r="41">
          <cell r="A41" t="str">
            <v>Y</v>
          </cell>
        </row>
        <row r="45">
          <cell r="A45" t="str">
            <v>Y</v>
          </cell>
        </row>
        <row r="46">
          <cell r="A46" t="str">
            <v>N</v>
          </cell>
        </row>
        <row r="47">
          <cell r="A47" t="str">
            <v>Y</v>
          </cell>
        </row>
        <row r="57">
          <cell r="A57" t="str">
            <v>Y</v>
          </cell>
        </row>
        <row r="58">
          <cell r="A58" t="str">
            <v>N</v>
          </cell>
        </row>
        <row r="59">
          <cell r="A59" t="str">
            <v>Y</v>
          </cell>
        </row>
        <row r="60">
          <cell r="A60" t="str">
            <v>Y</v>
          </cell>
        </row>
        <row r="61">
          <cell r="A61" t="str">
            <v>Y</v>
          </cell>
        </row>
        <row r="62">
          <cell r="A62" t="str">
            <v>Y</v>
          </cell>
        </row>
        <row r="63">
          <cell r="A63" t="str">
            <v>Y</v>
          </cell>
        </row>
        <row r="64">
          <cell r="A64" t="str">
            <v>Y</v>
          </cell>
        </row>
        <row r="65">
          <cell r="A65" t="str">
            <v>Y</v>
          </cell>
        </row>
        <row r="66">
          <cell r="A66" t="str">
            <v>Y</v>
          </cell>
        </row>
        <row r="67">
          <cell r="A67" t="str">
            <v>Y</v>
          </cell>
        </row>
        <row r="68">
          <cell r="A68" t="str">
            <v>Y</v>
          </cell>
        </row>
        <row r="70">
          <cell r="A70" t="str">
            <v>N</v>
          </cell>
        </row>
        <row r="71">
          <cell r="A71" t="str">
            <v>Y</v>
          </cell>
          <cell r="L71">
            <v>0</v>
          </cell>
        </row>
        <row r="72">
          <cell r="A72" t="str">
            <v>Y</v>
          </cell>
        </row>
        <row r="74">
          <cell r="A74" t="str">
            <v>Y</v>
          </cell>
        </row>
        <row r="75">
          <cell r="A75" t="str">
            <v>Y</v>
          </cell>
        </row>
        <row r="76">
          <cell r="A76" t="str">
            <v>N</v>
          </cell>
        </row>
        <row r="77">
          <cell r="A77" t="str">
            <v>Y</v>
          </cell>
        </row>
        <row r="78">
          <cell r="A78" t="str">
            <v>N</v>
          </cell>
        </row>
        <row r="79">
          <cell r="L79">
            <v>0</v>
          </cell>
        </row>
        <row r="81">
          <cell r="L81">
            <v>0</v>
          </cell>
        </row>
        <row r="87">
          <cell r="A87" t="str">
            <v>Y</v>
          </cell>
        </row>
        <row r="88">
          <cell r="A88" t="str">
            <v>N</v>
          </cell>
        </row>
        <row r="89">
          <cell r="A89" t="str">
            <v>Y</v>
          </cell>
        </row>
        <row r="90">
          <cell r="A90" t="str">
            <v>Y</v>
          </cell>
        </row>
        <row r="91">
          <cell r="A91" t="str">
            <v>Y</v>
          </cell>
        </row>
        <row r="92">
          <cell r="A92" t="str">
            <v>Y</v>
          </cell>
        </row>
        <row r="93">
          <cell r="A93" t="str">
            <v>Y</v>
          </cell>
        </row>
        <row r="94">
          <cell r="A94" t="str">
            <v>Y</v>
          </cell>
        </row>
        <row r="95">
          <cell r="A95" t="str">
            <v>Y</v>
          </cell>
        </row>
        <row r="96">
          <cell r="A96" t="str">
            <v>Y</v>
          </cell>
        </row>
        <row r="97">
          <cell r="A97" t="str">
            <v>Y</v>
          </cell>
        </row>
        <row r="98">
          <cell r="L98">
            <v>0</v>
          </cell>
        </row>
        <row r="101">
          <cell r="A101" t="str">
            <v>Y</v>
          </cell>
        </row>
        <row r="102">
          <cell r="A102" t="str">
            <v>Y</v>
          </cell>
        </row>
        <row r="103">
          <cell r="A103" t="str">
            <v>Y</v>
          </cell>
        </row>
        <row r="104">
          <cell r="A104" t="str">
            <v>Y</v>
          </cell>
        </row>
        <row r="105">
          <cell r="A105" t="str">
            <v>Y</v>
          </cell>
        </row>
        <row r="106">
          <cell r="A106" t="str">
            <v>Y</v>
          </cell>
        </row>
        <row r="107">
          <cell r="A107" t="str">
            <v>Y</v>
          </cell>
        </row>
        <row r="108">
          <cell r="L108">
            <v>0</v>
          </cell>
        </row>
        <row r="110">
          <cell r="L110">
            <v>0</v>
          </cell>
        </row>
        <row r="115">
          <cell r="A115" t="str">
            <v>Y</v>
          </cell>
        </row>
        <row r="116">
          <cell r="A116" t="str">
            <v>N</v>
          </cell>
        </row>
        <row r="118">
          <cell r="A118" t="str">
            <v>Y</v>
          </cell>
        </row>
        <row r="119">
          <cell r="A119" t="str">
            <v>Y</v>
          </cell>
        </row>
        <row r="120">
          <cell r="A120" t="str">
            <v>Y</v>
          </cell>
        </row>
        <row r="121">
          <cell r="A121" t="str">
            <v>Y</v>
          </cell>
        </row>
        <row r="122">
          <cell r="A122" t="str">
            <v>Y</v>
          </cell>
        </row>
        <row r="123">
          <cell r="A123" t="str">
            <v>Y</v>
          </cell>
        </row>
        <row r="124">
          <cell r="A124" t="str">
            <v>Y</v>
          </cell>
        </row>
        <row r="125">
          <cell r="A125" t="str">
            <v>Y</v>
          </cell>
        </row>
        <row r="126">
          <cell r="A126" t="str">
            <v>Y</v>
          </cell>
        </row>
        <row r="127">
          <cell r="L127">
            <v>0</v>
          </cell>
        </row>
        <row r="130">
          <cell r="A130" t="str">
            <v>Y</v>
          </cell>
        </row>
        <row r="131">
          <cell r="A131" t="str">
            <v>Y</v>
          </cell>
        </row>
        <row r="132">
          <cell r="A132" t="str">
            <v>N</v>
          </cell>
        </row>
        <row r="133">
          <cell r="A133" t="str">
            <v>Y</v>
          </cell>
        </row>
        <row r="134">
          <cell r="L134">
            <v>0</v>
          </cell>
        </row>
        <row r="136">
          <cell r="L136">
            <v>0</v>
          </cell>
        </row>
        <row r="142">
          <cell r="A142" t="str">
            <v>Y</v>
          </cell>
        </row>
        <row r="143">
          <cell r="A143" t="str">
            <v>Y</v>
          </cell>
        </row>
        <row r="144">
          <cell r="A144" t="str">
            <v>Y</v>
          </cell>
        </row>
        <row r="145">
          <cell r="A145" t="str">
            <v>Y</v>
          </cell>
        </row>
        <row r="146">
          <cell r="A146" t="str">
            <v>Y</v>
          </cell>
        </row>
        <row r="147">
          <cell r="A147" t="str">
            <v>Y</v>
          </cell>
        </row>
        <row r="148">
          <cell r="A148" t="str">
            <v>Y</v>
          </cell>
        </row>
        <row r="149">
          <cell r="A149" t="str">
            <v>Y</v>
          </cell>
        </row>
        <row r="150">
          <cell r="A150" t="str">
            <v>Y</v>
          </cell>
        </row>
        <row r="151">
          <cell r="A151" t="str">
            <v>Y</v>
          </cell>
        </row>
        <row r="152">
          <cell r="A152" t="str">
            <v>Y</v>
          </cell>
        </row>
        <row r="153">
          <cell r="A153" t="str">
            <v>Y</v>
          </cell>
        </row>
        <row r="154">
          <cell r="L154">
            <v>0</v>
          </cell>
        </row>
        <row r="157">
          <cell r="A157" t="str">
            <v>Y</v>
          </cell>
        </row>
        <row r="158">
          <cell r="A158" t="str">
            <v>N</v>
          </cell>
        </row>
        <row r="159">
          <cell r="A159" t="str">
            <v>N</v>
          </cell>
        </row>
        <row r="160">
          <cell r="A160" t="str">
            <v>Y</v>
          </cell>
        </row>
        <row r="161">
          <cell r="A161" t="str">
            <v>N</v>
          </cell>
        </row>
        <row r="162">
          <cell r="A162" t="str">
            <v>N</v>
          </cell>
        </row>
        <row r="163">
          <cell r="L163">
            <v>0</v>
          </cell>
        </row>
        <row r="165">
          <cell r="L165">
            <v>0</v>
          </cell>
        </row>
        <row r="171">
          <cell r="A171" t="str">
            <v>Y</v>
          </cell>
        </row>
        <row r="172">
          <cell r="A172" t="str">
            <v>Y</v>
          </cell>
        </row>
        <row r="173">
          <cell r="A173" t="str">
            <v>Y</v>
          </cell>
        </row>
        <row r="174">
          <cell r="A174" t="str">
            <v>N</v>
          </cell>
        </row>
        <row r="175">
          <cell r="A175" t="str">
            <v>Y</v>
          </cell>
        </row>
        <row r="176">
          <cell r="A176" t="str">
            <v>Y</v>
          </cell>
        </row>
        <row r="177">
          <cell r="A177" t="str">
            <v>Y</v>
          </cell>
        </row>
        <row r="178">
          <cell r="A178" t="str">
            <v>Y</v>
          </cell>
        </row>
        <row r="179">
          <cell r="A179" t="str">
            <v>Y</v>
          </cell>
        </row>
        <row r="180">
          <cell r="A180" t="str">
            <v>Y</v>
          </cell>
        </row>
        <row r="181">
          <cell r="A181" t="str">
            <v>Y</v>
          </cell>
        </row>
        <row r="182">
          <cell r="A182" t="str">
            <v>Y</v>
          </cell>
        </row>
        <row r="184">
          <cell r="A184" t="str">
            <v>Y</v>
          </cell>
        </row>
        <row r="185">
          <cell r="A185" t="str">
            <v>Y</v>
          </cell>
        </row>
        <row r="186">
          <cell r="A186" t="str">
            <v>Y</v>
          </cell>
        </row>
        <row r="188">
          <cell r="A188" t="str">
            <v>Y</v>
          </cell>
        </row>
        <row r="190">
          <cell r="L190">
            <v>0</v>
          </cell>
        </row>
        <row r="192">
          <cell r="A192" t="str">
            <v>Y</v>
          </cell>
          <cell r="L192">
            <v>0</v>
          </cell>
        </row>
        <row r="193">
          <cell r="A193" t="str">
            <v>N</v>
          </cell>
          <cell r="L193">
            <v>0</v>
          </cell>
        </row>
        <row r="194">
          <cell r="H194" t="str">
            <v>ACTIVE DIRECTORY RELATED</v>
          </cell>
        </row>
        <row r="195">
          <cell r="A195" t="str">
            <v>N</v>
          </cell>
          <cell r="L195">
            <v>0</v>
          </cell>
        </row>
        <row r="197">
          <cell r="A197" t="str">
            <v>N</v>
          </cell>
          <cell r="L197">
            <v>0</v>
          </cell>
        </row>
        <row r="198">
          <cell r="L198">
            <v>0</v>
          </cell>
        </row>
        <row r="200">
          <cell r="L200">
            <v>0</v>
          </cell>
        </row>
        <row r="205">
          <cell r="A205" t="str">
            <v>Y</v>
          </cell>
        </row>
        <row r="206">
          <cell r="A206" t="str">
            <v>N</v>
          </cell>
        </row>
        <row r="207">
          <cell r="A207" t="str">
            <v>N</v>
          </cell>
        </row>
        <row r="208">
          <cell r="A208" t="str">
            <v>Y</v>
          </cell>
        </row>
        <row r="209">
          <cell r="A209" t="str">
            <v>Y</v>
          </cell>
        </row>
        <row r="210">
          <cell r="A210" t="str">
            <v>Y</v>
          </cell>
        </row>
        <row r="221">
          <cell r="A221" t="str">
            <v>Y</v>
          </cell>
        </row>
        <row r="222">
          <cell r="A222" t="str">
            <v>Y</v>
          </cell>
        </row>
        <row r="224">
          <cell r="A224" t="str">
            <v>Y</v>
          </cell>
        </row>
        <row r="225">
          <cell r="A225" t="str">
            <v>Y</v>
          </cell>
        </row>
        <row r="229">
          <cell r="A229" t="str">
            <v>Y</v>
          </cell>
        </row>
        <row r="230">
          <cell r="A230" t="str">
            <v>Y</v>
          </cell>
        </row>
        <row r="231">
          <cell r="A231" t="str">
            <v>Y</v>
          </cell>
        </row>
        <row r="232">
          <cell r="A232" t="str">
            <v>N</v>
          </cell>
        </row>
        <row r="233">
          <cell r="A233" t="str">
            <v>N</v>
          </cell>
        </row>
        <row r="234">
          <cell r="L234">
            <v>0</v>
          </cell>
        </row>
        <row r="237">
          <cell r="A237" t="str">
            <v>Y</v>
          </cell>
        </row>
        <row r="238">
          <cell r="A238" t="str">
            <v>Y</v>
          </cell>
        </row>
        <row r="239">
          <cell r="A239" t="str">
            <v>Y</v>
          </cell>
        </row>
        <row r="240">
          <cell r="L240">
            <v>0</v>
          </cell>
        </row>
        <row r="242">
          <cell r="L242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Input"/>
      <sheetName val="Quantity"/>
      <sheetName val="wall"/>
      <sheetName val="전기일위대가"/>
      <sheetName val="내역서"/>
      <sheetName val="집계표(OPTION)"/>
      <sheetName val="Sheet2"/>
      <sheetName val="Sheet1"/>
      <sheetName val="DATE"/>
      <sheetName val="breakdown"/>
      <sheetName val="F4-F7"/>
      <sheetName val="정부노임단가"/>
      <sheetName val="공사비내역서"/>
      <sheetName val="원형맨홀수량"/>
      <sheetName val="공사비 내역 (가)"/>
      <sheetName val="노임"/>
      <sheetName val="제품별"/>
      <sheetName val="산근"/>
      <sheetName val="기둥(원형)"/>
      <sheetName val="개산공사비"/>
      <sheetName val="노무비단가"/>
      <sheetName val="일위대가목차"/>
      <sheetName val="단가표"/>
      <sheetName val="H.P견적(참조)"/>
      <sheetName val="BID"/>
      <sheetName val="일위대가표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공통공사"/>
      <sheetName val="기구조직"/>
      <sheetName val="기본입력"/>
      <sheetName val="경비2내역"/>
      <sheetName val="기준단가"/>
      <sheetName val="접대비"/>
      <sheetName val="선급금"/>
      <sheetName val="하자수수료"/>
      <sheetName val="BANG TONG HO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비"/>
      <sheetName val="토공"/>
      <sheetName val="Input"/>
      <sheetName val="전기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breakdown"/>
      <sheetName val="F4-F7"/>
      <sheetName val="정부노임단가"/>
      <sheetName val="공사비내역서"/>
      <sheetName val="원형맨홀수량"/>
      <sheetName val="공사비 내역 (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산근"/>
      <sheetName val="기둥(원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Sheet1"/>
      <sheetName val="XL4Popp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Earthwork"/>
      <sheetName val="XL4Poppy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경비2내역"/>
      <sheetName val="대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Input"/>
      <sheetName val="개산공사비"/>
      <sheetName val="노무비단가"/>
      <sheetName val="일위대가목차"/>
      <sheetName val="단가표"/>
      <sheetName val="H.P견적(참조)"/>
      <sheetName val="BID"/>
      <sheetName val="일위대가표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전기"/>
      <sheetName val="FAB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내역서"/>
      <sheetName val="부대공사비"/>
      <sheetName val="단가일람"/>
      <sheetName val="조명일위"/>
      <sheetName val="BID"/>
      <sheetName val="차액보증"/>
      <sheetName val="SLAB데이터"/>
      <sheetName val="#REF"/>
      <sheetName val="간접1"/>
      <sheetName val="접지수량"/>
      <sheetName val="노임"/>
      <sheetName val="실행철강하도"/>
      <sheetName val="99총공사내역서"/>
      <sheetName val="퍼스트"/>
      <sheetName val="금액내역서"/>
      <sheetName val="정부노임단가"/>
      <sheetName val="지질조사"/>
      <sheetName val="CALCULATION"/>
      <sheetName val="RE9604"/>
      <sheetName val="약품공급2"/>
      <sheetName val="Total 단위경유량집계"/>
      <sheetName val="MOTOR"/>
      <sheetName val="실행내역"/>
      <sheetName val="sheet1"/>
      <sheetName val="조명시설"/>
      <sheetName val="원가계산서"/>
      <sheetName val="DANGA"/>
      <sheetName val="일위대가"/>
      <sheetName val="설계조건"/>
      <sheetName val="C1ㅇ"/>
      <sheetName val="1,2공구원가계산서"/>
      <sheetName val="2공구산출내역"/>
      <sheetName val="1공구산출내역서"/>
      <sheetName val="전체제잡비"/>
      <sheetName val="마산월령동골조물량변경"/>
      <sheetName val="산근"/>
      <sheetName val="DB"/>
      <sheetName val="단가"/>
      <sheetName val="기계경비(시간당)"/>
      <sheetName val="건축내역"/>
      <sheetName val="기본단가표"/>
      <sheetName val="재료집계표"/>
      <sheetName val="내역서(전기)"/>
      <sheetName val="내역(원안-대안)"/>
      <sheetName val="준검 내역서"/>
      <sheetName val="교각1"/>
      <sheetName val="배수공"/>
      <sheetName val="산출근거"/>
      <sheetName val="제경비"/>
      <sheetName val="SIL98"/>
      <sheetName val="구조물공"/>
      <sheetName val="부대공"/>
      <sheetName val="토공"/>
      <sheetName val="포장공"/>
      <sheetName val="토공유동표(전체.당초)"/>
      <sheetName val="품셈TABLE"/>
      <sheetName val="노임단가"/>
      <sheetName val="단위단가"/>
      <sheetName val="수량산출서"/>
      <sheetName val="총공사내역서"/>
      <sheetName val="항목(1)"/>
      <sheetName val="총괄표"/>
      <sheetName val="잡철물"/>
      <sheetName val="관급"/>
      <sheetName val="1.수인터널"/>
      <sheetName val="적점"/>
      <sheetName val="기계경비일람"/>
      <sheetName val="자재일람"/>
      <sheetName val="하남내역"/>
      <sheetName val="일위목록"/>
      <sheetName val="요율"/>
      <sheetName val="4.전기"/>
      <sheetName val="hvac(제어동)"/>
      <sheetName val="BH-1 (2)"/>
      <sheetName val="5회토적"/>
      <sheetName val="1001"/>
      <sheetName val="당진1,2호기전선관설치및접지4차공사내역서-을지"/>
      <sheetName val="기계내역서"/>
      <sheetName val="대포2교접속"/>
      <sheetName val="천방교접속"/>
      <sheetName val="N賃率-職"/>
      <sheetName val="공사개요"/>
      <sheetName val="매입세율"/>
      <sheetName val="일반공사"/>
      <sheetName val="NYS"/>
      <sheetName val="설비2차"/>
      <sheetName val="직노"/>
      <sheetName val="ABUT수량-A1"/>
      <sheetName val="제안서"/>
      <sheetName val="행정표준(1)"/>
      <sheetName val="행정표준(2)"/>
      <sheetName val="표  지"/>
      <sheetName val="현장지지물물량"/>
      <sheetName val="총괄내역서"/>
      <sheetName val="직공비"/>
      <sheetName val="일위대가표"/>
      <sheetName val="관리비비계상"/>
      <sheetName val="견적조건"/>
      <sheetName val="조경"/>
      <sheetName val="터파기및재료"/>
      <sheetName val="초기화면"/>
      <sheetName val="폐기물"/>
      <sheetName val="인원계획"/>
      <sheetName val="내역(중앙)"/>
      <sheetName val="예산서"/>
      <sheetName val="DATA"/>
      <sheetName val="공사비예산서(토목분)"/>
      <sheetName val="현장설명"/>
      <sheetName val="도급"/>
      <sheetName val="문학간접"/>
      <sheetName val="1.설계조건"/>
      <sheetName val="조도계산서 (도서)"/>
      <sheetName val="예가내역서"/>
      <sheetName val="참조-(1)"/>
      <sheetName val="원가계산서구조조정"/>
      <sheetName val="I.설계조건"/>
      <sheetName val="경비2내역"/>
      <sheetName val="세부내역"/>
      <sheetName val="운반"/>
      <sheetName val="타공종이기"/>
      <sheetName val="공문"/>
      <sheetName val="일반부표"/>
      <sheetName val="대비"/>
      <sheetName val="자료"/>
      <sheetName val="이형관"/>
      <sheetName val="을-ATYPE"/>
      <sheetName val="제1호단위수량"/>
      <sheetName val="설계서(7)"/>
      <sheetName val="예산서(6)"/>
      <sheetName val="실행(1)"/>
      <sheetName val="횡배위치"/>
      <sheetName val="기초일위"/>
      <sheetName val="시설일위"/>
      <sheetName val="산출내역서"/>
      <sheetName val="데이타"/>
      <sheetName val="11.우각부 보강"/>
      <sheetName val="제출내역 (2)"/>
      <sheetName val="결재갑지"/>
      <sheetName val="ITEM"/>
      <sheetName val="운반비"/>
      <sheetName val="2000양배"/>
      <sheetName val="신림자금"/>
      <sheetName val="작성방법"/>
      <sheetName val="우수관매설및 우수받이"/>
      <sheetName val="증감내역서"/>
      <sheetName val="11.산출(전열)"/>
      <sheetName val="6.산출(동력)"/>
      <sheetName val="7.산출(TRAY)"/>
      <sheetName val="부재예실1월"/>
      <sheetName val="노원열병합  건축공사기성내역서"/>
      <sheetName val="Sheet3"/>
      <sheetName val="앉음벽 (2)"/>
      <sheetName val="6호기"/>
      <sheetName val="98지급계획"/>
      <sheetName val="간접(90)"/>
      <sheetName val="참조"/>
      <sheetName val="금융비용"/>
      <sheetName val="접지1종"/>
      <sheetName val="오저간내역서"/>
      <sheetName val="전기"/>
      <sheetName val="001"/>
      <sheetName val="대전21토목내역서"/>
      <sheetName val="말뚝지지력산정"/>
      <sheetName val="INPUT"/>
      <sheetName val="을"/>
      <sheetName val="단가대비표"/>
      <sheetName val="현장관리비"/>
      <sheetName val="상-교대(A1-A2)"/>
      <sheetName val="자재단가비교표"/>
      <sheetName val="내역(창신)"/>
      <sheetName val="소야공정계획표"/>
      <sheetName val="사업전망"/>
      <sheetName val="현장업무"/>
      <sheetName val="PIPING"/>
      <sheetName val="MSS 2"/>
      <sheetName val="전주2本1"/>
      <sheetName val="적용표"/>
      <sheetName val="도급-집계"/>
      <sheetName val="신호등일위대가"/>
      <sheetName val="여수토토적"/>
      <sheetName val="구조물수량집계표"/>
      <sheetName val="보증수수료산출"/>
      <sheetName val="코드표"/>
      <sheetName val="프로젝트"/>
      <sheetName val="2.1  노무비 평균단가산출"/>
      <sheetName val="경비"/>
      <sheetName val="ancillary"/>
      <sheetName val="명세서"/>
      <sheetName val="A-4"/>
      <sheetName val="인부노임"/>
      <sheetName val="전체"/>
      <sheetName val="I一般比"/>
      <sheetName val="예산변경원인분석"/>
      <sheetName val="내역_ver1.0"/>
      <sheetName val="단가산출"/>
      <sheetName val="품셈"/>
      <sheetName val="간접비계산"/>
      <sheetName val="plan&amp;section of foundation"/>
      <sheetName val="pile bearing capa &amp; arrenge"/>
      <sheetName val="working load at the btm ft."/>
      <sheetName val="stability check"/>
      <sheetName val="design criteria"/>
      <sheetName val="적용단가"/>
      <sheetName val="분뇨"/>
      <sheetName val="보고서 기기리스트"/>
      <sheetName val="설계내역서"/>
      <sheetName val="Resource2"/>
      <sheetName val="일위대가(1)"/>
      <sheetName val="마산방향"/>
      <sheetName val="진주방향"/>
      <sheetName val="토목내역"/>
      <sheetName val="사급자재"/>
      <sheetName val="기계공사"/>
      <sheetName val="7. 현장관리비 "/>
      <sheetName val="6. 안전관리비"/>
      <sheetName val="봉양~조차장간고하개명(신설)"/>
      <sheetName val="구조물견적서"/>
      <sheetName val="3련 BOX"/>
      <sheetName val="역T형옹벽단위수량"/>
      <sheetName val="COVER"/>
      <sheetName val="여과지동"/>
      <sheetName val="기초자료"/>
      <sheetName val="원계약고시공및준비구분"/>
      <sheetName val="할증"/>
      <sheetName val="자재단가표"/>
      <sheetName val="토공A"/>
      <sheetName val="날개벽수량표"/>
      <sheetName val="일용노임단가"/>
      <sheetName val="99월별경비계획"/>
      <sheetName val="소포내역 (2)"/>
      <sheetName val="산출내역서집계표"/>
      <sheetName val="측구터파기공수량집계"/>
      <sheetName val="배수공 시멘트 및 골재량 산출"/>
      <sheetName val="전기내역서(총계)"/>
      <sheetName val="입력데이타"/>
      <sheetName val="Macro1"/>
      <sheetName val="_HIT__HMC 견적_3900_"/>
      <sheetName val="금호"/>
      <sheetName val="원가"/>
      <sheetName val="설계예산서"/>
      <sheetName val="ilch"/>
      <sheetName val="분전반"/>
      <sheetName val="간이영수증"/>
      <sheetName val="EBSDATA"/>
      <sheetName val="기초수량집"/>
      <sheetName val="type-F"/>
      <sheetName val="일위대가(가설)"/>
      <sheetName val="용소리교"/>
      <sheetName val="토목"/>
      <sheetName val="재료비"/>
      <sheetName val="토목주소"/>
      <sheetName val="배수내역"/>
      <sheetName val="배수내역 (2)"/>
      <sheetName val="Macro(차단기)"/>
      <sheetName val="5호광장_(만점)"/>
      <sheetName val="인천국제_(만점)_(2)"/>
      <sheetName val="Total_단위경유량집계"/>
      <sheetName val="준검_내역서"/>
      <sheetName val="토공유동표(전체_당초)"/>
      <sheetName val="spc 배관견적"/>
      <sheetName val="단중표"/>
      <sheetName val="7"/>
      <sheetName val="投标材料清单 "/>
      <sheetName val="기본일위"/>
      <sheetName val="모델명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갑지"/>
      <sheetName val="내   역"/>
      <sheetName val="플랜트 설치"/>
      <sheetName val="8설7발"/>
      <sheetName val="lee"/>
      <sheetName val="집계표소트"/>
      <sheetName val="중기일위대가"/>
      <sheetName val="설계"/>
      <sheetName val="bearing"/>
      <sheetName val="가격조사서"/>
      <sheetName val="검암내역"/>
      <sheetName val="일위대가목록"/>
      <sheetName val="소비자가"/>
      <sheetName val="자재단가"/>
      <sheetName val="01AC"/>
      <sheetName val="정화조내역"/>
      <sheetName val="연결임시"/>
      <sheetName val="13LPMCC"/>
      <sheetName val="물량표S"/>
      <sheetName val="원가+내역"/>
      <sheetName val="JUCKEYK"/>
      <sheetName val="A 견적"/>
      <sheetName val="전기일위목록"/>
      <sheetName val="입력"/>
      <sheetName val="시멘트"/>
      <sheetName val="단가조사-2"/>
      <sheetName val="교량"/>
      <sheetName val="광산내역"/>
      <sheetName val="내역원본"/>
      <sheetName val="결과조달"/>
      <sheetName val="예산총괄"/>
      <sheetName val="공사원가계산서"/>
      <sheetName val="제품원재"/>
      <sheetName val="소방사항"/>
      <sheetName val="단가집"/>
      <sheetName val="70%"/>
      <sheetName val="unit 4"/>
      <sheetName val="견적서"/>
      <sheetName val="비교1"/>
      <sheetName val="99-0002"/>
      <sheetName val="EUPDAT2"/>
      <sheetName val="1_수인터널"/>
      <sheetName val="건설성적"/>
      <sheetName val="WORK"/>
      <sheetName val="asd"/>
      <sheetName val="추가예산"/>
      <sheetName val="일위집계(기존)"/>
      <sheetName val="전기실-1"/>
      <sheetName val="설계서(본관)"/>
      <sheetName val="백암비스타내역"/>
      <sheetName val="조건표"/>
      <sheetName val="기성내역"/>
      <sheetName val="단가조건(02년)"/>
      <sheetName val="전라자금"/>
      <sheetName val="기기리스트"/>
      <sheetName val="전기일위대가"/>
      <sheetName val=" HIT-&gt;HMC 견적(3900)"/>
      <sheetName val="투찰추정"/>
      <sheetName val="검토"/>
      <sheetName val="INPUT-DATA"/>
      <sheetName val="총괄-1"/>
      <sheetName val="내역(가지)"/>
      <sheetName val="시설물일위"/>
      <sheetName val="TYPE-A"/>
      <sheetName val="Y-WORK"/>
      <sheetName val="기초코드"/>
      <sheetName val="인사자료총집계"/>
      <sheetName val="수정2"/>
      <sheetName val="POL6차-PIPING"/>
      <sheetName val="퇴직금(울산천상)"/>
      <sheetName val="CORE#2"/>
      <sheetName val="전 기"/>
      <sheetName val="공통가설"/>
      <sheetName val="WING3"/>
      <sheetName val="전입"/>
      <sheetName val="200"/>
      <sheetName val="SLAB"/>
      <sheetName val="정산내역"/>
      <sheetName val="d118"/>
      <sheetName val="현금흐름"/>
      <sheetName val="부대내역"/>
      <sheetName val="부속동"/>
      <sheetName val="APT"/>
      <sheetName val="SHEET PILE단가"/>
      <sheetName val="갑지(추정)"/>
      <sheetName val="b_balju"/>
      <sheetName val="일위"/>
      <sheetName val="장비단가표"/>
      <sheetName val="Customer Databas"/>
      <sheetName val="내역서1"/>
      <sheetName val="내역표지"/>
      <sheetName val="재집"/>
      <sheetName val="총"/>
      <sheetName val="물량표"/>
      <sheetName val="오산갈곳"/>
      <sheetName val="PAINT"/>
      <sheetName val="목차 "/>
      <sheetName val="현장관리비참조"/>
      <sheetName val="화재 탐지 설비"/>
      <sheetName val="관급자재"/>
      <sheetName val="6PILE  (돌출)"/>
      <sheetName val="FM"/>
      <sheetName val="세골재  T2 변경 현황"/>
      <sheetName val="구간별관경"/>
      <sheetName val="건축공사"/>
      <sheetName val="접속도로1"/>
      <sheetName val="공사비총괄"/>
      <sheetName val="BH_1 _2_"/>
      <sheetName val="Sheet5"/>
      <sheetName val="입찰"/>
      <sheetName val="현경"/>
      <sheetName val="환율change"/>
      <sheetName val="실행(ALT1)"/>
      <sheetName val="당초"/>
      <sheetName val="단가표"/>
      <sheetName val="시화점실행"/>
      <sheetName val="자재co"/>
      <sheetName val="개인별 순위표"/>
      <sheetName val="프랜트면허"/>
      <sheetName val="INDEX"/>
      <sheetName val="냉천부속동"/>
      <sheetName val="네고율"/>
      <sheetName val="#2_일위대가목록"/>
      <sheetName val="C97상"/>
      <sheetName val="동방설계서"/>
      <sheetName val="1.취수장"/>
      <sheetName val="데리네이타현황"/>
      <sheetName val="별첨1-임식"/>
      <sheetName val="기본자료"/>
      <sheetName val="중기비"/>
      <sheetName val="신천3호용수로"/>
      <sheetName val="Cash Flow-1"/>
      <sheetName val="3.1공사현황 공정표"/>
      <sheetName val="덕전리"/>
      <sheetName val="투입내역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ELEC"/>
      <sheetName val="지불내역(자재외)"/>
      <sheetName val="입찰보고"/>
      <sheetName val="단가(적용)"/>
      <sheetName val="파일구성"/>
      <sheetName val="시운전연료비"/>
      <sheetName val="골조시행"/>
      <sheetName val="시운전연료"/>
      <sheetName val="조경수목"/>
      <sheetName val="퇴직공제부금"/>
      <sheetName val="평균노임"/>
      <sheetName val="유입량"/>
      <sheetName val="분석"/>
      <sheetName val="SG"/>
      <sheetName val="자료입력"/>
      <sheetName val="적용단위길이"/>
      <sheetName val="전기혼잡제경비(45)"/>
      <sheetName val="편입토지조서"/>
      <sheetName val="배수통관(좌)"/>
      <sheetName val="중기"/>
      <sheetName val="재료비단가"/>
      <sheetName val="전체_1설계"/>
      <sheetName val="노임 단가"/>
      <sheetName val="공정증감대ㅈ표"/>
      <sheetName val="시설물기초"/>
      <sheetName val="예가표"/>
      <sheetName val="중사"/>
      <sheetName val="1유리"/>
      <sheetName val="코드"/>
      <sheetName val="공사비집계"/>
      <sheetName val="내역서 "/>
      <sheetName val="일위대가목차"/>
      <sheetName val="8.현장관리비"/>
      <sheetName val="7.안전관리비"/>
      <sheetName val="계수시트"/>
      <sheetName val="직재"/>
      <sheetName val="전동기"/>
      <sheetName val="일위대가(집계)"/>
      <sheetName val="원가총괄"/>
      <sheetName val="귀래 설계 공내역서"/>
      <sheetName val="TCDB"/>
      <sheetName val="기별(종합)"/>
      <sheetName val="인건비"/>
      <sheetName val="수량산출"/>
      <sheetName val="101동"/>
      <sheetName val="인천제철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노임이"/>
      <sheetName val="주관사업"/>
      <sheetName val="공통단가"/>
      <sheetName val="바닥판"/>
      <sheetName val="입력DATA"/>
      <sheetName val="PAY"/>
      <sheetName val="설 계"/>
      <sheetName val="정렬"/>
      <sheetName val="안정계산"/>
      <sheetName val="단면검토"/>
      <sheetName val="2000년하반기"/>
      <sheetName val="수지예산"/>
      <sheetName val="수량산출서집계(1-4차)"/>
      <sheetName val="6공구(당초)"/>
      <sheetName val="1월"/>
      <sheetName val="재료"/>
      <sheetName val="저장소"/>
      <sheetName val="내역집계"/>
      <sheetName val="직접경비호표"/>
      <sheetName val="1안"/>
      <sheetName val="BQ"/>
      <sheetName val="집계및폼"/>
      <sheetName val="04_10_11"/>
      <sheetName val="1.설계기준"/>
      <sheetName val="설치"/>
      <sheetName val="SUMMARY(S)"/>
      <sheetName val="집계장(대목_실행)"/>
      <sheetName val="대공종"/>
      <sheetName val="집 계 표"/>
      <sheetName val="정리계획CF평가"/>
      <sheetName val="증감분석"/>
      <sheetName val="EQT-ESTN"/>
      <sheetName val="장비"/>
      <sheetName val="노무"/>
      <sheetName val="공기압축기실"/>
      <sheetName val="원도급"/>
      <sheetName val="하도급"/>
      <sheetName val="한전일위"/>
      <sheetName val="유림골조"/>
      <sheetName val="중기사용료산출근거"/>
      <sheetName val="단가산출1"/>
      <sheetName val="별표 "/>
      <sheetName val="협력업체"/>
      <sheetName val="코드1"/>
      <sheetName val="코드2"/>
      <sheetName val="원가서"/>
      <sheetName val="건축내역서"/>
      <sheetName val="단가조사서"/>
      <sheetName val="준공정산"/>
      <sheetName val="상수도토공집계표"/>
      <sheetName val="단가산출서"/>
      <sheetName val="평3"/>
      <sheetName val="부서코드표"/>
      <sheetName val="F4-F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92"/>
  <sheetViews>
    <sheetView zoomScaleNormal="100" zoomScaleSheetLayoutView="7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P7" sqref="P7"/>
    </sheetView>
  </sheetViews>
  <sheetFormatPr defaultColWidth="10.28515625" defaultRowHeight="15"/>
  <cols>
    <col min="1" max="1" width="11.85546875" style="87" customWidth="1"/>
    <col min="2" max="2" width="7" style="87" customWidth="1"/>
    <col min="3" max="3" width="9.28515625" style="87" customWidth="1"/>
    <col min="4" max="4" width="9.85546875" style="87" customWidth="1"/>
    <col min="5" max="5" width="10.140625" style="87" customWidth="1"/>
    <col min="6" max="6" width="10.28515625" style="87" customWidth="1"/>
    <col min="7" max="7" width="10.7109375" style="87" customWidth="1"/>
    <col min="8" max="8" width="11.5703125" style="87" customWidth="1"/>
    <col min="9" max="12" width="10.7109375" style="87" customWidth="1"/>
    <col min="13" max="13" width="13.5703125" style="87" customWidth="1"/>
    <col min="14" max="16" width="16.42578125" style="87" customWidth="1"/>
    <col min="17" max="17" width="13" style="87" customWidth="1"/>
    <col min="18" max="18" width="12.140625" style="87" customWidth="1"/>
    <col min="19" max="19" width="9.140625" style="88" customWidth="1"/>
    <col min="20" max="20" width="9.140625" style="87" customWidth="1"/>
    <col min="21" max="22" width="10.85546875" style="87" customWidth="1"/>
    <col min="23" max="23" width="18.28515625" style="87" customWidth="1"/>
    <col min="24" max="25" width="10.42578125" style="87" bestFit="1" customWidth="1"/>
    <col min="26" max="1030" width="9.85546875" style="38" customWidth="1"/>
    <col min="1031" max="16384" width="10.28515625" style="38"/>
  </cols>
  <sheetData>
    <row r="1" spans="1:25" ht="14.1" customHeight="1">
      <c r="A1" s="126" t="s">
        <v>49</v>
      </c>
      <c r="B1" s="92" t="s">
        <v>50</v>
      </c>
      <c r="C1" s="93"/>
      <c r="D1" s="128" t="s">
        <v>51</v>
      </c>
      <c r="E1" s="129"/>
      <c r="F1" s="130" t="s">
        <v>50</v>
      </c>
      <c r="G1" s="131"/>
      <c r="H1" s="130" t="s">
        <v>51</v>
      </c>
      <c r="I1" s="131"/>
      <c r="J1" s="128" t="s">
        <v>52</v>
      </c>
      <c r="K1" s="129"/>
      <c r="L1" s="132" t="s">
        <v>53</v>
      </c>
      <c r="M1" s="126" t="s">
        <v>54</v>
      </c>
      <c r="N1" s="134" t="s">
        <v>75</v>
      </c>
      <c r="O1" s="126" t="s">
        <v>77</v>
      </c>
      <c r="P1" s="126" t="s">
        <v>74</v>
      </c>
      <c r="Q1" s="126" t="s">
        <v>55</v>
      </c>
      <c r="R1" s="136" t="s">
        <v>56</v>
      </c>
      <c r="S1" s="136" t="s">
        <v>57</v>
      </c>
      <c r="T1" s="136" t="s">
        <v>58</v>
      </c>
      <c r="U1" s="38"/>
      <c r="V1" s="38"/>
      <c r="W1" s="38"/>
      <c r="X1" s="38"/>
      <c r="Y1" s="38"/>
    </row>
    <row r="2" spans="1:25">
      <c r="A2" s="127"/>
      <c r="B2" s="39">
        <v>48</v>
      </c>
      <c r="C2" s="39">
        <v>24</v>
      </c>
      <c r="D2" s="39">
        <v>48</v>
      </c>
      <c r="E2" s="39">
        <v>24</v>
      </c>
      <c r="F2" s="39" t="s">
        <v>59</v>
      </c>
      <c r="G2" s="39" t="s">
        <v>60</v>
      </c>
      <c r="H2" s="39" t="s">
        <v>59</v>
      </c>
      <c r="I2" s="39" t="s">
        <v>60</v>
      </c>
      <c r="J2" s="40" t="s">
        <v>50</v>
      </c>
      <c r="K2" s="40" t="s">
        <v>51</v>
      </c>
      <c r="L2" s="133"/>
      <c r="M2" s="127"/>
      <c r="N2" s="135"/>
      <c r="O2" s="127"/>
      <c r="P2" s="127"/>
      <c r="Q2" s="127"/>
      <c r="R2" s="135"/>
      <c r="S2" s="135"/>
      <c r="T2" s="135"/>
      <c r="U2" s="38"/>
      <c r="V2" s="38"/>
      <c r="W2" s="38"/>
      <c r="X2" s="38"/>
      <c r="Y2" s="38"/>
    </row>
    <row r="3" spans="1:25">
      <c r="A3" s="41" t="s">
        <v>25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3">
        <v>1</v>
      </c>
      <c r="O3" s="43">
        <v>1</v>
      </c>
      <c r="P3" s="43"/>
      <c r="Q3" s="43"/>
      <c r="R3" s="43"/>
      <c r="S3" s="42">
        <v>1</v>
      </c>
      <c r="T3" s="43">
        <v>1</v>
      </c>
      <c r="U3" s="38"/>
      <c r="V3" s="38"/>
      <c r="W3" s="38"/>
      <c r="X3" s="38"/>
      <c r="Y3" s="38"/>
    </row>
    <row r="4" spans="1:25">
      <c r="A4" s="41" t="s">
        <v>18</v>
      </c>
      <c r="B4" s="42"/>
      <c r="C4" s="42">
        <v>1</v>
      </c>
      <c r="D4" s="42">
        <v>1</v>
      </c>
      <c r="E4" s="42"/>
      <c r="F4" s="42"/>
      <c r="G4" s="42">
        <v>2</v>
      </c>
      <c r="H4" s="42"/>
      <c r="I4" s="42">
        <v>2</v>
      </c>
      <c r="J4" s="42">
        <v>6</v>
      </c>
      <c r="K4" s="42">
        <v>30</v>
      </c>
      <c r="L4" s="42"/>
      <c r="M4" s="42"/>
      <c r="N4" s="43">
        <v>1</v>
      </c>
      <c r="O4" s="43"/>
      <c r="P4" s="43"/>
      <c r="Q4" s="43"/>
      <c r="R4" s="43"/>
      <c r="S4" s="42"/>
      <c r="T4" s="43"/>
      <c r="U4" s="38"/>
      <c r="V4" s="38"/>
      <c r="W4" s="38"/>
      <c r="X4" s="38"/>
      <c r="Y4" s="38"/>
    </row>
    <row r="5" spans="1:25">
      <c r="A5" s="41" t="s">
        <v>27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3">
        <v>1</v>
      </c>
      <c r="O5" s="43"/>
      <c r="P5" s="43"/>
      <c r="Q5" s="43"/>
      <c r="R5" s="43"/>
      <c r="S5" s="42"/>
      <c r="T5" s="43"/>
      <c r="U5" s="38"/>
      <c r="V5" s="38"/>
      <c r="W5" s="38"/>
      <c r="X5" s="38"/>
      <c r="Y5" s="38"/>
    </row>
    <row r="6" spans="1:25" s="47" customFormat="1">
      <c r="A6" s="44" t="s">
        <v>28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>
        <v>2</v>
      </c>
      <c r="O6" s="46">
        <v>1</v>
      </c>
      <c r="P6" s="46"/>
      <c r="Q6" s="46"/>
      <c r="R6" s="46"/>
      <c r="S6" s="45">
        <v>2</v>
      </c>
      <c r="T6" s="46">
        <v>2</v>
      </c>
    </row>
    <row r="7" spans="1:25" s="47" customFormat="1">
      <c r="A7" s="44" t="s">
        <v>7</v>
      </c>
      <c r="B7" s="45">
        <v>1</v>
      </c>
      <c r="C7" s="45">
        <v>1</v>
      </c>
      <c r="D7" s="45">
        <v>1</v>
      </c>
      <c r="E7" s="45"/>
      <c r="F7" s="45">
        <v>2</v>
      </c>
      <c r="G7" s="45">
        <v>2</v>
      </c>
      <c r="H7" s="45"/>
      <c r="I7" s="45"/>
      <c r="J7" s="45">
        <v>54</v>
      </c>
      <c r="K7" s="45">
        <v>21</v>
      </c>
      <c r="L7" s="45"/>
      <c r="M7" s="45"/>
      <c r="N7" s="45">
        <v>4</v>
      </c>
      <c r="O7" s="45">
        <v>4</v>
      </c>
      <c r="P7" s="45"/>
      <c r="Q7" s="45"/>
      <c r="R7" s="46">
        <v>2</v>
      </c>
      <c r="S7" s="45">
        <v>19</v>
      </c>
      <c r="T7" s="46">
        <v>19</v>
      </c>
    </row>
    <row r="8" spans="1:25" s="47" customFormat="1">
      <c r="A8" s="44" t="s">
        <v>61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8"/>
      <c r="O8" s="48"/>
      <c r="P8" s="48"/>
      <c r="Q8" s="45"/>
      <c r="R8" s="46"/>
      <c r="S8" s="45"/>
      <c r="T8" s="46"/>
    </row>
    <row r="9" spans="1:25" s="49" customFormat="1">
      <c r="A9" s="41">
        <v>1</v>
      </c>
      <c r="B9" s="42">
        <v>3</v>
      </c>
      <c r="C9" s="42"/>
      <c r="D9" s="42">
        <v>1</v>
      </c>
      <c r="E9" s="42"/>
      <c r="F9" s="42">
        <v>3</v>
      </c>
      <c r="G9" s="42">
        <v>2</v>
      </c>
      <c r="H9" s="42"/>
      <c r="I9" s="42">
        <v>2</v>
      </c>
      <c r="J9" s="42">
        <v>107</v>
      </c>
      <c r="K9" s="42">
        <v>29</v>
      </c>
      <c r="L9" s="42"/>
      <c r="M9" s="42"/>
      <c r="N9" s="43">
        <v>9</v>
      </c>
      <c r="O9" s="43">
        <v>1</v>
      </c>
      <c r="P9" s="43"/>
      <c r="Q9" s="43"/>
      <c r="R9" s="43">
        <v>2</v>
      </c>
      <c r="S9" s="42">
        <v>37</v>
      </c>
      <c r="T9" s="43">
        <v>56</v>
      </c>
    </row>
    <row r="10" spans="1:25" s="53" customFormat="1">
      <c r="A10" s="50">
        <v>2</v>
      </c>
      <c r="B10" s="51">
        <v>1</v>
      </c>
      <c r="C10" s="51">
        <v>1</v>
      </c>
      <c r="D10" s="51"/>
      <c r="E10" s="51">
        <v>2</v>
      </c>
      <c r="F10" s="51">
        <v>2</v>
      </c>
      <c r="G10" s="51">
        <v>2</v>
      </c>
      <c r="H10" s="51">
        <v>2</v>
      </c>
      <c r="I10" s="51">
        <v>2</v>
      </c>
      <c r="J10" s="51">
        <v>54</v>
      </c>
      <c r="K10" s="51">
        <v>19</v>
      </c>
      <c r="L10" s="51"/>
      <c r="M10" s="51"/>
      <c r="N10" s="52">
        <v>9</v>
      </c>
      <c r="O10" s="52">
        <v>1</v>
      </c>
      <c r="P10" s="52">
        <v>4</v>
      </c>
      <c r="Q10" s="52">
        <v>2</v>
      </c>
      <c r="R10" s="52"/>
      <c r="S10" s="51">
        <v>17</v>
      </c>
      <c r="T10" s="52">
        <v>21</v>
      </c>
    </row>
    <row r="11" spans="1:25" s="57" customFormat="1">
      <c r="A11" s="54">
        <v>3</v>
      </c>
      <c r="B11" s="55">
        <v>1</v>
      </c>
      <c r="C11" s="55">
        <v>1</v>
      </c>
      <c r="D11" s="55"/>
      <c r="E11" s="55">
        <v>2</v>
      </c>
      <c r="F11" s="55">
        <v>2</v>
      </c>
      <c r="G11" s="55">
        <v>2</v>
      </c>
      <c r="H11" s="55">
        <v>2</v>
      </c>
      <c r="I11" s="55">
        <v>2</v>
      </c>
      <c r="J11" s="55">
        <v>58</v>
      </c>
      <c r="K11" s="55">
        <v>10</v>
      </c>
      <c r="L11" s="55"/>
      <c r="M11" s="55"/>
      <c r="N11" s="56">
        <v>5</v>
      </c>
      <c r="O11" s="56">
        <v>3</v>
      </c>
      <c r="P11" s="56">
        <v>4</v>
      </c>
      <c r="Q11" s="56"/>
      <c r="R11" s="56"/>
      <c r="S11" s="55">
        <v>18</v>
      </c>
      <c r="T11" s="56">
        <v>28</v>
      </c>
    </row>
    <row r="12" spans="1:25" s="53" customFormat="1">
      <c r="A12" s="50" t="s">
        <v>62</v>
      </c>
      <c r="B12" s="51">
        <v>1</v>
      </c>
      <c r="C12" s="51">
        <v>1</v>
      </c>
      <c r="D12" s="51"/>
      <c r="E12" s="51">
        <v>2</v>
      </c>
      <c r="F12" s="51">
        <v>2</v>
      </c>
      <c r="G12" s="51">
        <v>2</v>
      </c>
      <c r="H12" s="51">
        <v>2</v>
      </c>
      <c r="I12" s="51">
        <v>2</v>
      </c>
      <c r="J12" s="51">
        <v>53</v>
      </c>
      <c r="K12" s="51">
        <v>7</v>
      </c>
      <c r="L12" s="51"/>
      <c r="M12" s="51"/>
      <c r="N12" s="52">
        <v>5</v>
      </c>
      <c r="O12" s="52">
        <v>1</v>
      </c>
      <c r="P12" s="52">
        <v>5</v>
      </c>
      <c r="Q12" s="52"/>
      <c r="R12" s="52">
        <v>1</v>
      </c>
      <c r="S12" s="51">
        <v>18</v>
      </c>
      <c r="T12" s="52">
        <v>23</v>
      </c>
    </row>
    <row r="13" spans="1:25" s="49" customFormat="1">
      <c r="A13" s="41">
        <v>4</v>
      </c>
      <c r="B13" s="42">
        <v>1</v>
      </c>
      <c r="C13" s="42">
        <v>1</v>
      </c>
      <c r="D13" s="42"/>
      <c r="E13" s="42">
        <v>1</v>
      </c>
      <c r="F13" s="42">
        <v>2</v>
      </c>
      <c r="G13" s="42">
        <v>2</v>
      </c>
      <c r="H13" s="42"/>
      <c r="I13" s="42">
        <v>2</v>
      </c>
      <c r="J13" s="42">
        <v>43</v>
      </c>
      <c r="K13" s="42">
        <v>6</v>
      </c>
      <c r="L13" s="42"/>
      <c r="M13" s="42"/>
      <c r="N13" s="43">
        <v>6</v>
      </c>
      <c r="O13" s="43">
        <v>2</v>
      </c>
      <c r="P13" s="43"/>
      <c r="Q13" s="43"/>
      <c r="R13" s="43">
        <v>2</v>
      </c>
      <c r="S13" s="42">
        <v>16</v>
      </c>
      <c r="T13" s="43">
        <v>17</v>
      </c>
    </row>
    <row r="14" spans="1:25" s="61" customFormat="1">
      <c r="A14" s="58" t="s">
        <v>63</v>
      </c>
      <c r="B14" s="59">
        <v>1</v>
      </c>
      <c r="C14" s="59">
        <v>1</v>
      </c>
      <c r="D14" s="59"/>
      <c r="E14" s="59">
        <v>1</v>
      </c>
      <c r="F14" s="59">
        <v>2</v>
      </c>
      <c r="G14" s="59">
        <v>2</v>
      </c>
      <c r="H14" s="59"/>
      <c r="I14" s="59">
        <v>2</v>
      </c>
      <c r="J14" s="59">
        <v>63</v>
      </c>
      <c r="K14" s="59">
        <v>14</v>
      </c>
      <c r="L14" s="59"/>
      <c r="M14" s="59"/>
      <c r="N14" s="60">
        <v>11</v>
      </c>
      <c r="O14" s="60"/>
      <c r="P14" s="60">
        <v>2</v>
      </c>
      <c r="Q14" s="60"/>
      <c r="R14" s="60">
        <v>2</v>
      </c>
      <c r="S14" s="59">
        <v>14</v>
      </c>
      <c r="T14" s="60">
        <v>34</v>
      </c>
    </row>
    <row r="15" spans="1:25" s="65" customFormat="1">
      <c r="A15" s="62" t="s">
        <v>64</v>
      </c>
      <c r="B15" s="63">
        <v>4</v>
      </c>
      <c r="C15" s="63"/>
      <c r="D15" s="63"/>
      <c r="E15" s="63">
        <v>1</v>
      </c>
      <c r="F15" s="63">
        <v>4</v>
      </c>
      <c r="G15" s="63">
        <v>2</v>
      </c>
      <c r="H15" s="63"/>
      <c r="I15" s="63">
        <v>2</v>
      </c>
      <c r="J15" s="63">
        <v>159</v>
      </c>
      <c r="K15" s="63">
        <v>12</v>
      </c>
      <c r="L15" s="63"/>
      <c r="M15" s="63"/>
      <c r="N15" s="64">
        <v>3</v>
      </c>
      <c r="O15" s="64">
        <v>7</v>
      </c>
      <c r="P15" s="64">
        <v>1</v>
      </c>
      <c r="Q15" s="64">
        <v>3</v>
      </c>
      <c r="R15" s="64">
        <v>2</v>
      </c>
      <c r="S15" s="63">
        <v>59</v>
      </c>
      <c r="T15" s="64">
        <v>81</v>
      </c>
    </row>
    <row r="16" spans="1:25" s="53" customFormat="1">
      <c r="A16" s="50">
        <v>5</v>
      </c>
      <c r="B16" s="51">
        <v>2</v>
      </c>
      <c r="C16" s="51"/>
      <c r="D16" s="51"/>
      <c r="E16" s="51">
        <v>1</v>
      </c>
      <c r="F16" s="51">
        <v>1</v>
      </c>
      <c r="G16" s="51">
        <v>2</v>
      </c>
      <c r="H16" s="51"/>
      <c r="I16" s="51">
        <v>2</v>
      </c>
      <c r="J16" s="51">
        <v>76</v>
      </c>
      <c r="K16" s="51">
        <v>12</v>
      </c>
      <c r="L16" s="52">
        <v>26</v>
      </c>
      <c r="M16" s="51">
        <v>5</v>
      </c>
      <c r="N16" s="52"/>
      <c r="O16" s="52"/>
      <c r="P16" s="52"/>
      <c r="Q16" s="52"/>
      <c r="R16" s="52">
        <v>5</v>
      </c>
      <c r="S16" s="51">
        <v>28</v>
      </c>
      <c r="T16" s="52">
        <v>1</v>
      </c>
    </row>
    <row r="17" spans="1:20" s="53" customFormat="1">
      <c r="A17" s="50">
        <v>6</v>
      </c>
      <c r="B17" s="66"/>
      <c r="C17" s="51"/>
      <c r="D17" s="51"/>
      <c r="E17" s="66"/>
      <c r="F17" s="51"/>
      <c r="G17" s="51"/>
      <c r="H17" s="51"/>
      <c r="I17" s="51"/>
      <c r="J17" s="51"/>
      <c r="K17" s="51"/>
      <c r="L17" s="52">
        <v>26</v>
      </c>
      <c r="M17" s="51">
        <v>5</v>
      </c>
      <c r="N17" s="52"/>
      <c r="O17" s="52"/>
      <c r="P17" s="52"/>
      <c r="Q17" s="52"/>
      <c r="R17" s="52">
        <v>5</v>
      </c>
      <c r="S17" s="51">
        <v>28</v>
      </c>
      <c r="T17" s="52">
        <v>1</v>
      </c>
    </row>
    <row r="18" spans="1:20" s="71" customFormat="1">
      <c r="A18" s="67">
        <v>7</v>
      </c>
      <c r="B18" s="68">
        <v>2</v>
      </c>
      <c r="C18" s="68"/>
      <c r="D18" s="68"/>
      <c r="E18" s="68">
        <v>1</v>
      </c>
      <c r="F18" s="68">
        <v>1</v>
      </c>
      <c r="G18" s="68">
        <v>2</v>
      </c>
      <c r="H18" s="68"/>
      <c r="I18" s="68">
        <v>2</v>
      </c>
      <c r="J18" s="68">
        <v>74</v>
      </c>
      <c r="K18" s="68">
        <v>12</v>
      </c>
      <c r="L18" s="69">
        <v>26</v>
      </c>
      <c r="M18" s="68">
        <v>5</v>
      </c>
      <c r="N18" s="70"/>
      <c r="O18" s="70"/>
      <c r="P18" s="70"/>
      <c r="Q18" s="69"/>
      <c r="R18" s="69">
        <v>5</v>
      </c>
      <c r="S18" s="68">
        <v>27</v>
      </c>
      <c r="T18" s="43">
        <v>1</v>
      </c>
    </row>
    <row r="19" spans="1:20" s="71" customFormat="1">
      <c r="A19" s="67">
        <v>8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9">
        <v>26</v>
      </c>
      <c r="M19" s="68">
        <v>5</v>
      </c>
      <c r="N19" s="70"/>
      <c r="O19" s="70"/>
      <c r="P19" s="70"/>
      <c r="Q19" s="69"/>
      <c r="R19" s="69">
        <v>5</v>
      </c>
      <c r="S19" s="68">
        <v>27</v>
      </c>
      <c r="T19" s="43">
        <v>1</v>
      </c>
    </row>
    <row r="20" spans="1:20" s="53" customFormat="1">
      <c r="A20" s="50">
        <v>9</v>
      </c>
      <c r="B20" s="51">
        <v>2</v>
      </c>
      <c r="C20" s="51"/>
      <c r="D20" s="51"/>
      <c r="E20" s="51">
        <v>1</v>
      </c>
      <c r="F20" s="51">
        <v>1</v>
      </c>
      <c r="G20" s="51">
        <v>2</v>
      </c>
      <c r="H20" s="51"/>
      <c r="I20" s="51">
        <v>2</v>
      </c>
      <c r="J20" s="51">
        <v>74</v>
      </c>
      <c r="K20" s="51">
        <v>12</v>
      </c>
      <c r="L20" s="52">
        <v>26</v>
      </c>
      <c r="M20" s="51">
        <v>5</v>
      </c>
      <c r="N20" s="52"/>
      <c r="O20" s="52"/>
      <c r="P20" s="52"/>
      <c r="Q20" s="52"/>
      <c r="R20" s="52">
        <v>5</v>
      </c>
      <c r="S20" s="52">
        <v>27</v>
      </c>
      <c r="T20" s="52">
        <v>1</v>
      </c>
    </row>
    <row r="21" spans="1:20" s="53" customFormat="1">
      <c r="A21" s="50">
        <v>10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>
        <v>26</v>
      </c>
      <c r="M21" s="51">
        <v>5</v>
      </c>
      <c r="N21" s="52"/>
      <c r="O21" s="52"/>
      <c r="P21" s="52"/>
      <c r="Q21" s="52"/>
      <c r="R21" s="52">
        <v>5</v>
      </c>
      <c r="S21" s="52">
        <v>27</v>
      </c>
      <c r="T21" s="52">
        <v>1</v>
      </c>
    </row>
    <row r="22" spans="1:20" s="71" customFormat="1">
      <c r="A22" s="67">
        <v>11</v>
      </c>
      <c r="B22" s="68">
        <v>2</v>
      </c>
      <c r="C22" s="68"/>
      <c r="D22" s="68"/>
      <c r="E22" s="68">
        <v>1</v>
      </c>
      <c r="F22" s="68">
        <v>1</v>
      </c>
      <c r="G22" s="68">
        <v>2</v>
      </c>
      <c r="H22" s="68"/>
      <c r="I22" s="68">
        <v>2</v>
      </c>
      <c r="J22" s="68">
        <v>74</v>
      </c>
      <c r="K22" s="68">
        <v>12</v>
      </c>
      <c r="L22" s="69">
        <v>26</v>
      </c>
      <c r="M22" s="68">
        <v>5</v>
      </c>
      <c r="N22" s="70"/>
      <c r="O22" s="70"/>
      <c r="P22" s="70"/>
      <c r="Q22" s="69"/>
      <c r="R22" s="69">
        <v>5</v>
      </c>
      <c r="S22" s="68">
        <v>27</v>
      </c>
      <c r="T22" s="43">
        <v>1</v>
      </c>
    </row>
    <row r="23" spans="1:20" s="71" customFormat="1">
      <c r="A23" s="67">
        <v>12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9">
        <v>26</v>
      </c>
      <c r="M23" s="68">
        <v>5</v>
      </c>
      <c r="N23" s="70"/>
      <c r="O23" s="70"/>
      <c r="P23" s="70"/>
      <c r="Q23" s="69"/>
      <c r="R23" s="69">
        <v>5</v>
      </c>
      <c r="S23" s="68">
        <v>27</v>
      </c>
      <c r="T23" s="43">
        <v>1</v>
      </c>
    </row>
    <row r="24" spans="1:20" s="53" customFormat="1">
      <c r="A24" s="50">
        <v>13</v>
      </c>
      <c r="B24" s="51">
        <v>2</v>
      </c>
      <c r="C24" s="51"/>
      <c r="D24" s="51"/>
      <c r="E24" s="51">
        <v>1</v>
      </c>
      <c r="F24" s="51">
        <v>1</v>
      </c>
      <c r="G24" s="51">
        <v>2</v>
      </c>
      <c r="H24" s="51"/>
      <c r="I24" s="51">
        <v>2</v>
      </c>
      <c r="J24" s="51">
        <v>74</v>
      </c>
      <c r="K24" s="51">
        <v>12</v>
      </c>
      <c r="L24" s="52">
        <v>26</v>
      </c>
      <c r="M24" s="51">
        <v>5</v>
      </c>
      <c r="N24" s="52"/>
      <c r="O24" s="52"/>
      <c r="P24" s="52"/>
      <c r="Q24" s="52"/>
      <c r="R24" s="52">
        <v>5</v>
      </c>
      <c r="S24" s="52">
        <v>27</v>
      </c>
      <c r="T24" s="52">
        <v>1</v>
      </c>
    </row>
    <row r="25" spans="1:20" s="53" customFormat="1">
      <c r="A25" s="50">
        <v>14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2">
        <v>26</v>
      </c>
      <c r="M25" s="51">
        <v>5</v>
      </c>
      <c r="N25" s="52"/>
      <c r="O25" s="52"/>
      <c r="P25" s="52"/>
      <c r="Q25" s="52"/>
      <c r="R25" s="52">
        <v>5</v>
      </c>
      <c r="S25" s="52">
        <v>27</v>
      </c>
      <c r="T25" s="52">
        <v>1</v>
      </c>
    </row>
    <row r="26" spans="1:20" s="71" customFormat="1">
      <c r="A26" s="67">
        <v>15</v>
      </c>
      <c r="B26" s="68">
        <v>2</v>
      </c>
      <c r="C26" s="68"/>
      <c r="D26" s="68"/>
      <c r="E26" s="68">
        <v>1</v>
      </c>
      <c r="F26" s="68">
        <v>1</v>
      </c>
      <c r="G26" s="68">
        <v>2</v>
      </c>
      <c r="H26" s="68"/>
      <c r="I26" s="68">
        <v>2</v>
      </c>
      <c r="J26" s="68">
        <v>74</v>
      </c>
      <c r="K26" s="68">
        <v>12</v>
      </c>
      <c r="L26" s="69">
        <v>26</v>
      </c>
      <c r="M26" s="68">
        <v>5</v>
      </c>
      <c r="N26" s="70"/>
      <c r="O26" s="70"/>
      <c r="P26" s="70"/>
      <c r="Q26" s="69"/>
      <c r="R26" s="69">
        <v>5</v>
      </c>
      <c r="S26" s="68">
        <v>27</v>
      </c>
      <c r="T26" s="43">
        <v>1</v>
      </c>
    </row>
    <row r="27" spans="1:20" s="71" customFormat="1">
      <c r="A27" s="67">
        <v>16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9">
        <v>26</v>
      </c>
      <c r="M27" s="68">
        <v>5</v>
      </c>
      <c r="N27" s="70"/>
      <c r="O27" s="70"/>
      <c r="P27" s="70"/>
      <c r="Q27" s="69"/>
      <c r="R27" s="69">
        <v>4</v>
      </c>
      <c r="S27" s="68">
        <v>27</v>
      </c>
      <c r="T27" s="43">
        <v>1</v>
      </c>
    </row>
    <row r="28" spans="1:20" s="75" customFormat="1">
      <c r="A28" s="72">
        <v>17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>
        <v>25</v>
      </c>
      <c r="M28" s="73">
        <v>5</v>
      </c>
      <c r="N28" s="74"/>
      <c r="O28" s="74"/>
      <c r="P28" s="74"/>
      <c r="Q28" s="74"/>
      <c r="R28" s="74">
        <v>4</v>
      </c>
      <c r="S28" s="74">
        <v>27</v>
      </c>
      <c r="T28" s="52">
        <v>1</v>
      </c>
    </row>
    <row r="29" spans="1:20" s="75" customFormat="1" ht="14.25" customHeight="1">
      <c r="A29" s="72">
        <v>18</v>
      </c>
      <c r="B29" s="73">
        <v>3</v>
      </c>
      <c r="C29" s="73"/>
      <c r="D29" s="73"/>
      <c r="E29" s="73">
        <v>1</v>
      </c>
      <c r="F29" s="73">
        <v>3</v>
      </c>
      <c r="G29" s="73">
        <v>2</v>
      </c>
      <c r="H29" s="73"/>
      <c r="I29" s="73">
        <v>2</v>
      </c>
      <c r="J29" s="73">
        <v>112</v>
      </c>
      <c r="K29" s="73">
        <v>18</v>
      </c>
      <c r="L29" s="73">
        <v>25</v>
      </c>
      <c r="M29" s="73">
        <v>5</v>
      </c>
      <c r="N29" s="74"/>
      <c r="O29" s="74"/>
      <c r="P29" s="74"/>
      <c r="Q29" s="74"/>
      <c r="R29" s="74">
        <v>4</v>
      </c>
      <c r="S29" s="73">
        <v>26</v>
      </c>
      <c r="T29" s="52">
        <v>1</v>
      </c>
    </row>
    <row r="30" spans="1:20" s="75" customFormat="1">
      <c r="A30" s="72">
        <v>19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>
        <v>25</v>
      </c>
      <c r="M30" s="73">
        <v>5</v>
      </c>
      <c r="N30" s="74"/>
      <c r="O30" s="74"/>
      <c r="P30" s="74"/>
      <c r="Q30" s="74"/>
      <c r="R30" s="74">
        <v>4</v>
      </c>
      <c r="S30" s="73">
        <v>26</v>
      </c>
      <c r="T30" s="52">
        <v>1</v>
      </c>
    </row>
    <row r="31" spans="1:20" s="71" customFormat="1">
      <c r="A31" s="67">
        <v>20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>
        <v>25</v>
      </c>
      <c r="M31" s="68">
        <v>5</v>
      </c>
      <c r="N31" s="69"/>
      <c r="O31" s="69"/>
      <c r="P31" s="69"/>
      <c r="Q31" s="69"/>
      <c r="R31" s="69">
        <v>4</v>
      </c>
      <c r="S31" s="69">
        <v>26</v>
      </c>
      <c r="T31" s="43">
        <v>1</v>
      </c>
    </row>
    <row r="32" spans="1:20" s="71" customFormat="1">
      <c r="A32" s="67">
        <v>21</v>
      </c>
      <c r="B32" s="68">
        <v>3</v>
      </c>
      <c r="C32" s="68"/>
      <c r="D32" s="68"/>
      <c r="E32" s="68">
        <v>1</v>
      </c>
      <c r="F32" s="68">
        <v>3</v>
      </c>
      <c r="G32" s="68">
        <v>2</v>
      </c>
      <c r="H32" s="68"/>
      <c r="I32" s="68">
        <v>2</v>
      </c>
      <c r="J32" s="68">
        <v>111</v>
      </c>
      <c r="K32" s="68">
        <v>18</v>
      </c>
      <c r="L32" s="68">
        <v>25</v>
      </c>
      <c r="M32" s="68">
        <v>5</v>
      </c>
      <c r="N32" s="69"/>
      <c r="O32" s="69"/>
      <c r="P32" s="69"/>
      <c r="Q32" s="69"/>
      <c r="R32" s="69">
        <v>4</v>
      </c>
      <c r="S32" s="69">
        <v>26</v>
      </c>
      <c r="T32" s="43">
        <v>1</v>
      </c>
    </row>
    <row r="33" spans="1:25" s="71" customFormat="1">
      <c r="A33" s="67">
        <v>22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>
        <v>25</v>
      </c>
      <c r="M33" s="68">
        <v>5</v>
      </c>
      <c r="N33" s="69"/>
      <c r="O33" s="69"/>
      <c r="P33" s="69"/>
      <c r="Q33" s="69"/>
      <c r="R33" s="69">
        <v>4</v>
      </c>
      <c r="S33" s="69">
        <v>26</v>
      </c>
      <c r="T33" s="43">
        <v>1</v>
      </c>
    </row>
    <row r="34" spans="1:25" s="79" customFormat="1">
      <c r="A34" s="76">
        <v>23</v>
      </c>
      <c r="B34" s="77">
        <v>1</v>
      </c>
      <c r="C34" s="77">
        <v>1</v>
      </c>
      <c r="D34" s="77"/>
      <c r="E34" s="77">
        <v>1</v>
      </c>
      <c r="F34" s="77">
        <v>2</v>
      </c>
      <c r="G34" s="77">
        <v>2</v>
      </c>
      <c r="H34" s="77"/>
      <c r="I34" s="77">
        <v>2</v>
      </c>
      <c r="J34" s="77">
        <v>65</v>
      </c>
      <c r="K34" s="77">
        <v>16</v>
      </c>
      <c r="L34" s="77">
        <v>25</v>
      </c>
      <c r="M34" s="77">
        <v>5</v>
      </c>
      <c r="N34" s="78"/>
      <c r="O34" s="78"/>
      <c r="P34" s="78"/>
      <c r="Q34" s="78"/>
      <c r="R34" s="78">
        <v>4</v>
      </c>
      <c r="S34" s="77">
        <v>26</v>
      </c>
      <c r="T34" s="74">
        <v>1</v>
      </c>
    </row>
    <row r="35" spans="1:25" s="75" customFormat="1">
      <c r="A35" s="72">
        <v>24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4">
        <v>2</v>
      </c>
      <c r="O35" s="74">
        <v>5</v>
      </c>
      <c r="P35" s="74"/>
      <c r="Q35" s="74"/>
      <c r="R35" s="74"/>
      <c r="S35" s="73">
        <v>4</v>
      </c>
      <c r="T35" s="74"/>
    </row>
    <row r="36" spans="1:25" s="75" customFormat="1">
      <c r="A36" s="72" t="s">
        <v>65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4">
        <v>5</v>
      </c>
      <c r="O36" s="74"/>
      <c r="P36" s="74"/>
      <c r="Q36" s="74">
        <v>4</v>
      </c>
      <c r="R36" s="74"/>
      <c r="S36" s="73">
        <v>2</v>
      </c>
      <c r="T36" s="74"/>
    </row>
    <row r="37" spans="1:25" s="49" customFormat="1">
      <c r="A37" s="80" t="s">
        <v>66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43">
        <v>3</v>
      </c>
      <c r="O37" s="43"/>
      <c r="P37" s="43"/>
      <c r="Q37" s="43"/>
      <c r="R37" s="43"/>
      <c r="S37" s="42">
        <v>3</v>
      </c>
      <c r="T37" s="43">
        <v>3</v>
      </c>
    </row>
    <row r="38" spans="1:25" s="83" customFormat="1">
      <c r="A38" s="80">
        <v>39</v>
      </c>
      <c r="B38" s="81">
        <v>1</v>
      </c>
      <c r="C38" s="81">
        <v>1</v>
      </c>
      <c r="D38" s="81">
        <v>1</v>
      </c>
      <c r="E38" s="81"/>
      <c r="F38" s="81">
        <v>2</v>
      </c>
      <c r="G38" s="81">
        <v>2</v>
      </c>
      <c r="H38" s="81"/>
      <c r="I38" s="81">
        <v>2</v>
      </c>
      <c r="J38" s="81">
        <v>61</v>
      </c>
      <c r="K38" s="81">
        <v>24</v>
      </c>
      <c r="L38" s="81"/>
      <c r="M38" s="81"/>
      <c r="N38" s="82">
        <v>12</v>
      </c>
      <c r="O38" s="82"/>
      <c r="P38" s="82"/>
      <c r="Q38" s="82"/>
      <c r="R38" s="82"/>
      <c r="S38" s="81">
        <v>6</v>
      </c>
      <c r="T38" s="82">
        <v>19</v>
      </c>
    </row>
    <row r="39" spans="1:25" s="83" customFormat="1">
      <c r="A39" s="80" t="s">
        <v>67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2">
        <v>5</v>
      </c>
      <c r="O39" s="82"/>
      <c r="P39" s="82"/>
      <c r="Q39" s="82">
        <v>4</v>
      </c>
      <c r="R39" s="82"/>
      <c r="S39" s="81">
        <v>3</v>
      </c>
      <c r="T39" s="82">
        <v>3</v>
      </c>
    </row>
    <row r="40" spans="1:25">
      <c r="A40" s="84" t="s">
        <v>68</v>
      </c>
      <c r="B40" s="85">
        <f t="shared" ref="B40:I40" si="0">SUM(B3:B39)</f>
        <v>33</v>
      </c>
      <c r="C40" s="85">
        <f t="shared" si="0"/>
        <v>9</v>
      </c>
      <c r="D40" s="85">
        <f t="shared" si="0"/>
        <v>4</v>
      </c>
      <c r="E40" s="85">
        <f t="shared" si="0"/>
        <v>18</v>
      </c>
      <c r="F40" s="85">
        <f t="shared" si="0"/>
        <v>35</v>
      </c>
      <c r="G40" s="85">
        <f t="shared" si="0"/>
        <v>38</v>
      </c>
      <c r="H40" s="85">
        <f t="shared" si="0"/>
        <v>6</v>
      </c>
      <c r="I40" s="85">
        <f t="shared" si="0"/>
        <v>36</v>
      </c>
      <c r="J40" s="85"/>
      <c r="K40" s="85"/>
      <c r="L40" s="85">
        <f t="shared" ref="L40:T40" si="1">SUM(L3:L39)</f>
        <v>487</v>
      </c>
      <c r="M40" s="85">
        <f t="shared" si="1"/>
        <v>95</v>
      </c>
      <c r="N40" s="85">
        <f t="shared" si="1"/>
        <v>84</v>
      </c>
      <c r="O40" s="85">
        <f t="shared" si="1"/>
        <v>26</v>
      </c>
      <c r="P40" s="85">
        <f t="shared" si="1"/>
        <v>16</v>
      </c>
      <c r="Q40" s="85">
        <f t="shared" si="1"/>
        <v>13</v>
      </c>
      <c r="R40" s="85">
        <f t="shared" si="1"/>
        <v>98</v>
      </c>
      <c r="S40" s="85">
        <f t="shared" si="1"/>
        <v>728</v>
      </c>
      <c r="T40" s="85">
        <f t="shared" si="1"/>
        <v>326</v>
      </c>
      <c r="U40" s="38"/>
      <c r="V40" s="38"/>
      <c r="W40" s="38"/>
      <c r="X40" s="38"/>
      <c r="Y40" s="38"/>
    </row>
    <row r="41" spans="1:25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U41" s="38"/>
      <c r="V41" s="38"/>
      <c r="W41" s="38"/>
      <c r="X41" s="38"/>
      <c r="Y41" s="38"/>
    </row>
    <row r="42" spans="1:25">
      <c r="A42" s="89" t="s">
        <v>69</v>
      </c>
      <c r="B42" s="90">
        <f>SUM(B40+D40)</f>
        <v>37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U42" s="38"/>
      <c r="V42" s="38"/>
      <c r="W42" s="38"/>
      <c r="X42" s="38"/>
      <c r="Y42" s="38"/>
    </row>
    <row r="43" spans="1:25">
      <c r="A43" s="89" t="s">
        <v>70</v>
      </c>
      <c r="B43" s="90">
        <f>SUM(C40+E40)</f>
        <v>27</v>
      </c>
      <c r="C43" s="86"/>
      <c r="D43" s="86"/>
      <c r="E43" s="86"/>
      <c r="F43" s="91" t="s">
        <v>71</v>
      </c>
      <c r="G43" s="89">
        <f>G40*2</f>
        <v>76</v>
      </c>
      <c r="H43" s="89"/>
      <c r="I43" s="89">
        <f>I40*2</f>
        <v>72</v>
      </c>
      <c r="J43" s="89"/>
      <c r="K43" s="89"/>
      <c r="L43" s="89"/>
      <c r="M43" s="86"/>
      <c r="U43" s="38"/>
      <c r="V43" s="38"/>
      <c r="W43" s="38"/>
      <c r="X43" s="38"/>
      <c r="Y43" s="38"/>
    </row>
    <row r="44" spans="1:25">
      <c r="U44" s="38"/>
      <c r="V44" s="38"/>
      <c r="W44" s="38"/>
      <c r="X44" s="38"/>
      <c r="Y44" s="38"/>
    </row>
    <row r="49" spans="1: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5" hidden="1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5" hidden="1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5" hidden="1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5" hidden="1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37.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31.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39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23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5" hidden="1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5" hidden="1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5" hidden="1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5" hidden="1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5" hidden="1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5" hidden="1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</sheetData>
  <mergeCells count="14">
    <mergeCell ref="Q1:Q2"/>
    <mergeCell ref="R1:R2"/>
    <mergeCell ref="S1:S2"/>
    <mergeCell ref="T1:T2"/>
    <mergeCell ref="A1:A2"/>
    <mergeCell ref="D1:E1"/>
    <mergeCell ref="P1:P2"/>
    <mergeCell ref="O1:O2"/>
    <mergeCell ref="F1:G1"/>
    <mergeCell ref="H1:I1"/>
    <mergeCell ref="J1:K1"/>
    <mergeCell ref="L1:L2"/>
    <mergeCell ref="M1:M2"/>
    <mergeCell ref="N1:N2"/>
  </mergeCells>
  <printOptions horizontalCentered="1"/>
  <pageMargins left="0.11811023622047245" right="0.11811023622047245" top="0.15748031496062992" bottom="0.15748031496062992" header="0.31496062992125984" footer="0.31496062992125984"/>
  <pageSetup paperSize="8" scale="33" orientation="landscape" r:id="rId1"/>
  <rowBreaks count="1" manualBreakCount="1">
    <brk id="44" max="2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0"/>
  <sheetViews>
    <sheetView zoomScale="85" zoomScaleNormal="85" zoomScaleSheetLayoutView="7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L29" sqref="L29"/>
    </sheetView>
  </sheetViews>
  <sheetFormatPr defaultColWidth="10.28515625" defaultRowHeight="15"/>
  <cols>
    <col min="1" max="1" width="11.85546875" style="87" customWidth="1"/>
    <col min="2" max="2" width="7" style="87" customWidth="1"/>
    <col min="3" max="3" width="9.28515625" style="87" customWidth="1"/>
    <col min="4" max="4" width="9.85546875" style="87" customWidth="1"/>
    <col min="5" max="5" width="10.140625" style="87" customWidth="1"/>
    <col min="6" max="6" width="10.28515625" style="87" customWidth="1"/>
    <col min="7" max="7" width="10.7109375" style="87" customWidth="1"/>
    <col min="8" max="8" width="11.5703125" style="87" customWidth="1"/>
    <col min="9" max="12" width="10.7109375" style="87" customWidth="1"/>
    <col min="13" max="13" width="12.7109375" style="87" customWidth="1"/>
    <col min="14" max="16" width="15.42578125" style="87" customWidth="1"/>
    <col min="17" max="17" width="12.7109375" style="87" customWidth="1"/>
    <col min="18" max="18" width="11" style="88" customWidth="1"/>
    <col min="19" max="19" width="9.5703125" style="88" customWidth="1"/>
    <col min="20" max="23" width="10.85546875" style="87" customWidth="1"/>
    <col min="24" max="24" width="18.28515625" style="87" customWidth="1"/>
    <col min="25" max="26" width="10.42578125" style="87" bestFit="1" customWidth="1"/>
    <col min="27" max="1031" width="9.85546875" style="38" customWidth="1"/>
    <col min="1032" max="16384" width="10.28515625" style="38"/>
  </cols>
  <sheetData>
    <row r="1" spans="1:26" ht="34.5" customHeight="1">
      <c r="A1" s="138" t="s">
        <v>49</v>
      </c>
      <c r="B1" s="138" t="s">
        <v>50</v>
      </c>
      <c r="C1" s="138"/>
      <c r="D1" s="138" t="s">
        <v>51</v>
      </c>
      <c r="E1" s="138"/>
      <c r="F1" s="137" t="s">
        <v>50</v>
      </c>
      <c r="G1" s="137"/>
      <c r="H1" s="137" t="s">
        <v>51</v>
      </c>
      <c r="I1" s="137"/>
      <c r="J1" s="128" t="s">
        <v>52</v>
      </c>
      <c r="K1" s="129"/>
      <c r="L1" s="137" t="s">
        <v>53</v>
      </c>
      <c r="M1" s="138" t="s">
        <v>54</v>
      </c>
      <c r="N1" s="139" t="s">
        <v>75</v>
      </c>
      <c r="O1" s="138" t="s">
        <v>77</v>
      </c>
      <c r="P1" s="138" t="s">
        <v>55</v>
      </c>
      <c r="Q1" s="139" t="s">
        <v>56</v>
      </c>
      <c r="R1" s="140" t="s">
        <v>57</v>
      </c>
      <c r="S1" s="140" t="s">
        <v>58</v>
      </c>
      <c r="T1" s="38"/>
      <c r="U1" s="38"/>
      <c r="V1" s="38"/>
      <c r="W1" s="38"/>
      <c r="X1" s="38"/>
      <c r="Y1" s="38"/>
      <c r="Z1" s="38"/>
    </row>
    <row r="2" spans="1:26" ht="27" customHeight="1">
      <c r="A2" s="138"/>
      <c r="B2" s="94">
        <v>48</v>
      </c>
      <c r="C2" s="94">
        <v>24</v>
      </c>
      <c r="D2" s="94">
        <v>48</v>
      </c>
      <c r="E2" s="94">
        <v>24</v>
      </c>
      <c r="F2" s="94" t="s">
        <v>59</v>
      </c>
      <c r="G2" s="94" t="s">
        <v>60</v>
      </c>
      <c r="H2" s="94" t="s">
        <v>59</v>
      </c>
      <c r="I2" s="94" t="s">
        <v>60</v>
      </c>
      <c r="J2" s="40" t="s">
        <v>50</v>
      </c>
      <c r="K2" s="40" t="s">
        <v>51</v>
      </c>
      <c r="L2" s="132"/>
      <c r="M2" s="126"/>
      <c r="N2" s="138"/>
      <c r="O2" s="126"/>
      <c r="P2" s="126"/>
      <c r="Q2" s="139"/>
      <c r="R2" s="140"/>
      <c r="S2" s="140"/>
      <c r="T2" s="38"/>
      <c r="U2" s="38"/>
      <c r="V2" s="38"/>
      <c r="W2" s="38"/>
      <c r="X2" s="38"/>
      <c r="Y2" s="38"/>
      <c r="Z2" s="38"/>
    </row>
    <row r="3" spans="1:26" s="98" customFormat="1">
      <c r="A3" s="95">
        <v>2</v>
      </c>
      <c r="B3" s="96"/>
      <c r="C3" s="96"/>
      <c r="D3" s="96">
        <v>1</v>
      </c>
      <c r="E3" s="96"/>
      <c r="F3" s="96"/>
      <c r="G3" s="96"/>
      <c r="H3" s="96"/>
      <c r="I3" s="96">
        <v>2</v>
      </c>
      <c r="J3" s="96"/>
      <c r="K3" s="96">
        <v>29</v>
      </c>
      <c r="L3" s="96"/>
      <c r="M3" s="96"/>
      <c r="N3" s="96">
        <v>8</v>
      </c>
      <c r="O3" s="122"/>
      <c r="P3" s="96"/>
      <c r="Q3" s="96"/>
      <c r="R3" s="97">
        <v>6</v>
      </c>
      <c r="S3" s="97">
        <v>10</v>
      </c>
    </row>
    <row r="4" spans="1:26" s="102" customFormat="1">
      <c r="A4" s="99">
        <v>24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>
        <v>6</v>
      </c>
      <c r="O4" s="68"/>
      <c r="P4" s="100"/>
      <c r="Q4" s="100"/>
      <c r="R4" s="101">
        <v>6</v>
      </c>
      <c r="S4" s="101">
        <v>6</v>
      </c>
    </row>
    <row r="5" spans="1:26" s="102" customFormat="1">
      <c r="A5" s="103" t="s">
        <v>65</v>
      </c>
      <c r="B5" s="104">
        <v>1</v>
      </c>
      <c r="C5" s="104"/>
      <c r="D5" s="104"/>
      <c r="E5" s="104">
        <v>1</v>
      </c>
      <c r="F5" s="104"/>
      <c r="G5" s="104">
        <v>2</v>
      </c>
      <c r="H5" s="104"/>
      <c r="I5" s="104">
        <v>2</v>
      </c>
      <c r="J5" s="104">
        <v>37</v>
      </c>
      <c r="K5" s="104">
        <v>13</v>
      </c>
      <c r="L5" s="104"/>
      <c r="M5" s="104"/>
      <c r="N5" s="104">
        <v>8</v>
      </c>
      <c r="O5" s="123"/>
      <c r="P5" s="104"/>
      <c r="Q5" s="104">
        <v>2</v>
      </c>
      <c r="R5" s="101">
        <v>3</v>
      </c>
      <c r="S5" s="101">
        <v>8</v>
      </c>
    </row>
    <row r="6" spans="1:26">
      <c r="A6" s="105">
        <v>25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>
        <v>28</v>
      </c>
      <c r="M6" s="106">
        <v>5</v>
      </c>
      <c r="N6" s="106"/>
      <c r="O6" s="124"/>
      <c r="P6" s="106"/>
      <c r="Q6" s="106">
        <v>5</v>
      </c>
      <c r="R6" s="106">
        <v>28</v>
      </c>
      <c r="S6" s="106"/>
      <c r="T6" s="38"/>
      <c r="U6" s="38"/>
      <c r="V6" s="38"/>
      <c r="W6" s="38"/>
      <c r="X6" s="38"/>
      <c r="Y6" s="38"/>
      <c r="Z6" s="38"/>
    </row>
    <row r="7" spans="1:26">
      <c r="A7" s="107">
        <v>26</v>
      </c>
      <c r="B7" s="108">
        <v>3</v>
      </c>
      <c r="C7" s="108">
        <v>1</v>
      </c>
      <c r="D7" s="108"/>
      <c r="E7" s="108">
        <v>1</v>
      </c>
      <c r="F7" s="108">
        <v>4</v>
      </c>
      <c r="G7" s="108">
        <v>2</v>
      </c>
      <c r="H7" s="108"/>
      <c r="I7" s="108">
        <v>2</v>
      </c>
      <c r="J7" s="108">
        <v>114</v>
      </c>
      <c r="K7" s="108">
        <v>15</v>
      </c>
      <c r="L7" s="108">
        <v>28</v>
      </c>
      <c r="M7" s="108">
        <v>4</v>
      </c>
      <c r="N7" s="108"/>
      <c r="O7" s="51">
        <v>1</v>
      </c>
      <c r="P7" s="108"/>
      <c r="Q7" s="108">
        <v>5</v>
      </c>
      <c r="R7" s="106">
        <v>28</v>
      </c>
      <c r="S7" s="106"/>
      <c r="T7" s="38"/>
      <c r="U7" s="38"/>
      <c r="V7" s="38"/>
      <c r="W7" s="38"/>
      <c r="X7" s="38"/>
      <c r="Y7" s="38"/>
      <c r="Z7" s="38"/>
    </row>
    <row r="8" spans="1:26" s="102" customFormat="1">
      <c r="A8" s="105">
        <v>27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>
        <v>28</v>
      </c>
      <c r="M8" s="100">
        <v>5</v>
      </c>
      <c r="N8" s="100"/>
      <c r="O8" s="68"/>
      <c r="P8" s="100"/>
      <c r="Q8" s="100">
        <v>5</v>
      </c>
      <c r="R8" s="101">
        <v>28</v>
      </c>
      <c r="S8" s="101"/>
    </row>
    <row r="9" spans="1:26" s="102" customFormat="1">
      <c r="A9" s="105">
        <v>28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>
        <v>28</v>
      </c>
      <c r="M9" s="100">
        <v>4</v>
      </c>
      <c r="N9" s="100"/>
      <c r="O9" s="68">
        <v>1</v>
      </c>
      <c r="P9" s="100"/>
      <c r="Q9" s="100">
        <v>5</v>
      </c>
      <c r="R9" s="101">
        <v>28</v>
      </c>
      <c r="S9" s="101"/>
    </row>
    <row r="10" spans="1:26">
      <c r="A10" s="107">
        <v>29</v>
      </c>
      <c r="B10" s="108">
        <v>3</v>
      </c>
      <c r="C10" s="108">
        <v>1</v>
      </c>
      <c r="D10" s="108"/>
      <c r="E10" s="108">
        <v>1</v>
      </c>
      <c r="F10" s="108">
        <v>4</v>
      </c>
      <c r="G10" s="108">
        <v>2</v>
      </c>
      <c r="H10" s="108"/>
      <c r="I10" s="108">
        <v>2</v>
      </c>
      <c r="J10" s="108">
        <v>114</v>
      </c>
      <c r="K10" s="108">
        <v>15</v>
      </c>
      <c r="L10" s="108">
        <v>28</v>
      </c>
      <c r="M10" s="108">
        <v>5</v>
      </c>
      <c r="N10" s="108"/>
      <c r="O10" s="51"/>
      <c r="P10" s="108"/>
      <c r="Q10" s="108">
        <v>5</v>
      </c>
      <c r="R10" s="106">
        <v>28</v>
      </c>
      <c r="S10" s="106"/>
      <c r="T10" s="38"/>
      <c r="U10" s="38"/>
      <c r="V10" s="38"/>
      <c r="W10" s="38"/>
      <c r="X10" s="38"/>
      <c r="Y10" s="38"/>
      <c r="Z10" s="38"/>
    </row>
    <row r="11" spans="1:26">
      <c r="A11" s="105">
        <v>30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>
        <v>28</v>
      </c>
      <c r="M11" s="106">
        <v>5</v>
      </c>
      <c r="N11" s="106"/>
      <c r="O11" s="124"/>
      <c r="P11" s="106"/>
      <c r="Q11" s="106">
        <v>5</v>
      </c>
      <c r="R11" s="106">
        <v>28</v>
      </c>
      <c r="S11" s="106"/>
      <c r="T11" s="38"/>
      <c r="U11" s="38"/>
      <c r="V11" s="38"/>
      <c r="W11" s="38"/>
      <c r="X11" s="38"/>
      <c r="Y11" s="38"/>
      <c r="Z11" s="38"/>
    </row>
    <row r="12" spans="1:26" s="102" customFormat="1">
      <c r="A12" s="105">
        <v>31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>
        <v>28</v>
      </c>
      <c r="M12" s="100">
        <v>4</v>
      </c>
      <c r="N12" s="100"/>
      <c r="O12" s="68">
        <v>1</v>
      </c>
      <c r="P12" s="100"/>
      <c r="Q12" s="100">
        <v>5</v>
      </c>
      <c r="R12" s="101">
        <v>28</v>
      </c>
      <c r="S12" s="101"/>
    </row>
    <row r="13" spans="1:26" s="102" customFormat="1">
      <c r="A13" s="107">
        <v>32</v>
      </c>
      <c r="B13" s="104">
        <v>3</v>
      </c>
      <c r="C13" s="104">
        <v>1</v>
      </c>
      <c r="D13" s="104"/>
      <c r="E13" s="104">
        <v>1</v>
      </c>
      <c r="F13" s="104">
        <v>4</v>
      </c>
      <c r="G13" s="104">
        <v>2</v>
      </c>
      <c r="H13" s="104"/>
      <c r="I13" s="104">
        <v>2</v>
      </c>
      <c r="J13" s="104">
        <v>114</v>
      </c>
      <c r="K13" s="104">
        <v>15</v>
      </c>
      <c r="L13" s="104">
        <v>28</v>
      </c>
      <c r="M13" s="104">
        <v>5</v>
      </c>
      <c r="N13" s="104"/>
      <c r="O13" s="123"/>
      <c r="P13" s="104"/>
      <c r="Q13" s="104">
        <v>5</v>
      </c>
      <c r="R13" s="101">
        <v>28</v>
      </c>
      <c r="S13" s="101"/>
    </row>
    <row r="14" spans="1:26">
      <c r="A14" s="105">
        <v>33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>
        <v>28</v>
      </c>
      <c r="M14" s="106">
        <v>5</v>
      </c>
      <c r="N14" s="106"/>
      <c r="O14" s="124"/>
      <c r="P14" s="106"/>
      <c r="Q14" s="106">
        <v>5</v>
      </c>
      <c r="R14" s="106">
        <v>28</v>
      </c>
      <c r="S14" s="106"/>
      <c r="T14" s="38"/>
      <c r="U14" s="38"/>
      <c r="V14" s="38"/>
      <c r="W14" s="38"/>
      <c r="X14" s="38"/>
      <c r="Y14" s="38"/>
      <c r="Z14" s="38"/>
    </row>
    <row r="15" spans="1:26">
      <c r="A15" s="105">
        <v>34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>
        <v>28</v>
      </c>
      <c r="M15" s="106">
        <v>4</v>
      </c>
      <c r="N15" s="106"/>
      <c r="O15" s="124">
        <v>1</v>
      </c>
      <c r="P15" s="106"/>
      <c r="Q15" s="106">
        <v>5</v>
      </c>
      <c r="R15" s="106">
        <v>28</v>
      </c>
      <c r="S15" s="106"/>
      <c r="T15" s="38"/>
      <c r="U15" s="38"/>
      <c r="V15" s="38"/>
      <c r="W15" s="38"/>
      <c r="X15" s="38"/>
      <c r="Y15" s="38"/>
      <c r="Z15" s="38"/>
    </row>
    <row r="16" spans="1:26">
      <c r="A16" s="107">
        <v>35</v>
      </c>
      <c r="B16" s="108">
        <v>3</v>
      </c>
      <c r="C16" s="108">
        <v>1</v>
      </c>
      <c r="D16" s="108"/>
      <c r="E16" s="108">
        <v>1</v>
      </c>
      <c r="F16" s="108">
        <v>4</v>
      </c>
      <c r="G16" s="108">
        <v>2</v>
      </c>
      <c r="H16" s="108"/>
      <c r="I16" s="108">
        <v>2</v>
      </c>
      <c r="J16" s="108">
        <v>114</v>
      </c>
      <c r="K16" s="108">
        <v>15</v>
      </c>
      <c r="L16" s="108">
        <v>28</v>
      </c>
      <c r="M16" s="108">
        <v>5</v>
      </c>
      <c r="N16" s="108"/>
      <c r="O16" s="51"/>
      <c r="P16" s="108"/>
      <c r="Q16" s="108">
        <v>5</v>
      </c>
      <c r="R16" s="106">
        <v>28</v>
      </c>
      <c r="S16" s="106"/>
      <c r="T16" s="38"/>
      <c r="U16" s="38"/>
      <c r="V16" s="38"/>
      <c r="W16" s="38"/>
      <c r="X16" s="38"/>
      <c r="Y16" s="38"/>
      <c r="Z16" s="38"/>
    </row>
    <row r="17" spans="1:26" s="102" customFormat="1">
      <c r="A17" s="105">
        <v>36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>
        <v>28</v>
      </c>
      <c r="M17" s="100">
        <v>5</v>
      </c>
      <c r="N17" s="100"/>
      <c r="O17" s="68"/>
      <c r="P17" s="100"/>
      <c r="Q17" s="100">
        <v>5</v>
      </c>
      <c r="R17" s="101">
        <v>28</v>
      </c>
      <c r="S17" s="101"/>
    </row>
    <row r="18" spans="1:26" s="102" customFormat="1">
      <c r="A18" s="105">
        <v>37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>
        <v>28</v>
      </c>
      <c r="M18" s="100">
        <v>4</v>
      </c>
      <c r="N18" s="100"/>
      <c r="O18" s="68">
        <v>1</v>
      </c>
      <c r="P18" s="100"/>
      <c r="Q18" s="100">
        <v>5</v>
      </c>
      <c r="R18" s="101">
        <v>28</v>
      </c>
      <c r="S18" s="101"/>
    </row>
    <row r="19" spans="1:26" s="102" customFormat="1">
      <c r="A19" s="107">
        <v>38</v>
      </c>
      <c r="B19" s="104">
        <v>2</v>
      </c>
      <c r="C19" s="104">
        <v>1</v>
      </c>
      <c r="D19" s="104"/>
      <c r="E19" s="104">
        <v>1</v>
      </c>
      <c r="F19" s="104">
        <v>2</v>
      </c>
      <c r="G19" s="104">
        <v>2</v>
      </c>
      <c r="H19" s="104"/>
      <c r="I19" s="104">
        <v>2</v>
      </c>
      <c r="J19" s="104">
        <v>85</v>
      </c>
      <c r="K19" s="104">
        <v>15</v>
      </c>
      <c r="L19" s="104">
        <v>28</v>
      </c>
      <c r="M19" s="104">
        <v>5</v>
      </c>
      <c r="N19" s="104"/>
      <c r="O19" s="123"/>
      <c r="P19" s="104"/>
      <c r="Q19" s="104">
        <v>5</v>
      </c>
      <c r="R19" s="101">
        <v>28</v>
      </c>
      <c r="S19" s="101"/>
    </row>
    <row r="20" spans="1:26" s="47" customFormat="1">
      <c r="A20" s="109" t="s">
        <v>47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>
        <v>1</v>
      </c>
      <c r="O20" s="125"/>
      <c r="P20" s="110"/>
      <c r="Q20" s="110"/>
      <c r="R20" s="110">
        <v>2</v>
      </c>
      <c r="S20" s="110">
        <v>2</v>
      </c>
    </row>
    <row r="21" spans="1:26">
      <c r="A21" s="106" t="s">
        <v>72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24"/>
      <c r="P21" s="106">
        <v>4</v>
      </c>
      <c r="Q21" s="106"/>
      <c r="R21" s="106"/>
      <c r="S21" s="106"/>
      <c r="T21" s="38"/>
      <c r="U21" s="38"/>
      <c r="V21" s="38"/>
      <c r="W21" s="38"/>
      <c r="X21" s="38"/>
      <c r="Y21" s="38"/>
      <c r="Z21" s="38"/>
    </row>
    <row r="22" spans="1:26">
      <c r="A22" s="111" t="s">
        <v>68</v>
      </c>
      <c r="B22" s="112">
        <f t="shared" ref="B22:I22" si="0">SUM(B3:B21)</f>
        <v>15</v>
      </c>
      <c r="C22" s="112">
        <f t="shared" si="0"/>
        <v>5</v>
      </c>
      <c r="D22" s="112">
        <f t="shared" si="0"/>
        <v>1</v>
      </c>
      <c r="E22" s="112">
        <f t="shared" si="0"/>
        <v>6</v>
      </c>
      <c r="F22" s="112">
        <f t="shared" si="0"/>
        <v>18</v>
      </c>
      <c r="G22" s="112">
        <f t="shared" si="0"/>
        <v>12</v>
      </c>
      <c r="H22" s="112">
        <f t="shared" si="0"/>
        <v>0</v>
      </c>
      <c r="I22" s="112">
        <f t="shared" si="0"/>
        <v>14</v>
      </c>
      <c r="J22" s="112"/>
      <c r="K22" s="112"/>
      <c r="L22" s="112">
        <f>SUM(L3:L21)</f>
        <v>392</v>
      </c>
      <c r="M22" s="112">
        <f t="shared" ref="M22:S22" si="1">SUM(M3:M21)</f>
        <v>65</v>
      </c>
      <c r="N22" s="112">
        <f t="shared" si="1"/>
        <v>23</v>
      </c>
      <c r="O22" s="112">
        <f t="shared" si="1"/>
        <v>5</v>
      </c>
      <c r="P22" s="112">
        <f t="shared" si="1"/>
        <v>4</v>
      </c>
      <c r="Q22" s="112">
        <f t="shared" si="1"/>
        <v>72</v>
      </c>
      <c r="R22" s="112">
        <f t="shared" si="1"/>
        <v>409</v>
      </c>
      <c r="S22" s="112">
        <f t="shared" si="1"/>
        <v>26</v>
      </c>
      <c r="T22" s="38"/>
      <c r="U22" s="38"/>
      <c r="V22" s="38"/>
      <c r="W22" s="38"/>
      <c r="X22" s="38"/>
      <c r="Y22" s="38"/>
      <c r="Z22" s="38"/>
    </row>
    <row r="23" spans="1:26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T23" s="38"/>
      <c r="U23" s="38"/>
      <c r="V23" s="38"/>
      <c r="W23" s="38"/>
      <c r="X23" s="38"/>
      <c r="Y23" s="38"/>
      <c r="Z23" s="38"/>
    </row>
    <row r="24" spans="1:26">
      <c r="A24" s="89" t="s">
        <v>69</v>
      </c>
      <c r="B24" s="90">
        <f>SUM(B22+D22)</f>
        <v>16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T24" s="38"/>
      <c r="U24" s="38"/>
      <c r="V24" s="38"/>
      <c r="W24" s="38"/>
      <c r="X24" s="38"/>
      <c r="Y24" s="38"/>
      <c r="Z24" s="38"/>
    </row>
    <row r="25" spans="1:26">
      <c r="A25" s="89" t="s">
        <v>70</v>
      </c>
      <c r="B25" s="90">
        <f>SUM(C22+E22)</f>
        <v>11</v>
      </c>
      <c r="C25" s="86"/>
      <c r="D25" s="86"/>
      <c r="E25" s="86"/>
      <c r="F25" s="91" t="s">
        <v>71</v>
      </c>
      <c r="G25" s="89">
        <f>G22*2</f>
        <v>24</v>
      </c>
      <c r="H25" s="89"/>
      <c r="I25" s="89">
        <f>I22*2</f>
        <v>28</v>
      </c>
      <c r="J25" s="89"/>
      <c r="K25" s="89"/>
      <c r="L25" s="89"/>
      <c r="M25" s="86"/>
      <c r="N25" s="86"/>
      <c r="O25" s="86"/>
      <c r="P25" s="86"/>
      <c r="Q25" s="86"/>
      <c r="T25" s="38"/>
      <c r="U25" s="38"/>
      <c r="V25" s="38"/>
      <c r="W25" s="38"/>
      <c r="X25" s="38"/>
      <c r="Y25" s="38"/>
      <c r="Z25" s="38"/>
    </row>
    <row r="26" spans="1:26">
      <c r="T26" s="38"/>
      <c r="U26" s="38"/>
      <c r="V26" s="38"/>
      <c r="W26" s="38"/>
      <c r="X26" s="38"/>
      <c r="Y26" s="38"/>
      <c r="Z26" s="38"/>
    </row>
    <row r="33" spans="1:26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48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48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</sheetData>
  <mergeCells count="14">
    <mergeCell ref="N1:N2"/>
    <mergeCell ref="Q1:Q2"/>
    <mergeCell ref="R1:R2"/>
    <mergeCell ref="S1:S2"/>
    <mergeCell ref="P1:P2"/>
    <mergeCell ref="O1:O2"/>
    <mergeCell ref="H1:I1"/>
    <mergeCell ref="J1:K1"/>
    <mergeCell ref="L1:L2"/>
    <mergeCell ref="M1:M2"/>
    <mergeCell ref="A1:A2"/>
    <mergeCell ref="B1:C1"/>
    <mergeCell ref="D1:E1"/>
    <mergeCell ref="F1:G1"/>
  </mergeCells>
  <printOptions horizontalCentered="1"/>
  <pageMargins left="0.11811023622047245" right="0.11811023622047245" top="0.15748031496062992" bottom="0.15748031496062992" header="0.31496062992125984" footer="0.31496062992125984"/>
  <pageSetup paperSize="8" scale="40" orientation="landscape" verticalDpi="0" r:id="rId1"/>
  <colBreaks count="1" manualBreakCount="1">
    <brk id="7" max="4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"/>
  <sheetViews>
    <sheetView tabSelected="1" zoomScale="85" zoomScaleNormal="85" zoomScaleSheetLayoutView="5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E58" sqref="E58"/>
    </sheetView>
  </sheetViews>
  <sheetFormatPr defaultColWidth="9" defaultRowHeight="15"/>
  <cols>
    <col min="1" max="1" width="9" style="2"/>
    <col min="2" max="2" width="23.7109375" style="2" customWidth="1"/>
    <col min="3" max="3" width="7" style="5" customWidth="1"/>
    <col min="4" max="4" width="13" style="5" customWidth="1"/>
    <col min="5" max="5" width="10.7109375" style="2" customWidth="1"/>
    <col min="6" max="6" width="19.7109375" style="2" customWidth="1"/>
    <col min="7" max="7" width="24" style="2" customWidth="1"/>
    <col min="8" max="8" width="27.28515625" style="2" customWidth="1"/>
    <col min="9" max="17" width="9" style="2"/>
    <col min="18" max="18" width="15.28515625" style="2" bestFit="1" customWidth="1"/>
    <col min="19" max="16384" width="9" style="2"/>
  </cols>
  <sheetData>
    <row r="1" spans="1:18" ht="34.5" customHeight="1">
      <c r="B1" s="141" t="s">
        <v>8</v>
      </c>
      <c r="C1" s="141"/>
      <c r="D1" s="3"/>
    </row>
    <row r="2" spans="1:18" ht="30.75" customHeight="1">
      <c r="A2" s="7" t="s">
        <v>15</v>
      </c>
      <c r="B2" s="7" t="s">
        <v>16</v>
      </c>
      <c r="C2" s="7" t="s">
        <v>14</v>
      </c>
      <c r="D2" s="7" t="s">
        <v>17</v>
      </c>
      <c r="E2" s="7" t="s">
        <v>46</v>
      </c>
      <c r="F2" s="7" t="s">
        <v>9</v>
      </c>
      <c r="G2" s="7" t="s">
        <v>10</v>
      </c>
      <c r="H2" s="7" t="s">
        <v>12</v>
      </c>
    </row>
    <row r="3" spans="1:18">
      <c r="A3" s="8" t="s">
        <v>5</v>
      </c>
      <c r="B3" s="9" t="s">
        <v>4</v>
      </c>
      <c r="C3" s="8"/>
      <c r="D3" s="8"/>
      <c r="E3" s="8"/>
      <c r="F3" s="8"/>
      <c r="G3" s="10">
        <f>SUM(G4:G60)</f>
        <v>0</v>
      </c>
      <c r="H3" s="10"/>
    </row>
    <row r="4" spans="1:18" ht="30">
      <c r="A4" s="8"/>
      <c r="B4" s="11" t="s">
        <v>4</v>
      </c>
      <c r="C4" s="8"/>
      <c r="D4" s="8"/>
      <c r="E4" s="8"/>
      <c r="F4" s="12"/>
      <c r="G4" s="13"/>
      <c r="H4" s="14" t="s">
        <v>11</v>
      </c>
      <c r="R4" s="4"/>
    </row>
    <row r="5" spans="1:18">
      <c r="A5" s="8" t="s">
        <v>6</v>
      </c>
      <c r="B5" s="15" t="s">
        <v>0</v>
      </c>
      <c r="C5" s="8"/>
      <c r="D5" s="8"/>
      <c r="E5" s="8"/>
      <c r="F5" s="12"/>
      <c r="G5" s="13"/>
      <c r="H5" s="13"/>
    </row>
    <row r="6" spans="1:18">
      <c r="A6" s="30">
        <v>1</v>
      </c>
      <c r="B6" s="31" t="s">
        <v>25</v>
      </c>
      <c r="C6" s="30" t="s">
        <v>25</v>
      </c>
      <c r="D6" s="30"/>
      <c r="E6" s="30"/>
      <c r="F6" s="32"/>
      <c r="G6" s="33"/>
      <c r="H6" s="33"/>
    </row>
    <row r="7" spans="1:18">
      <c r="A7" s="8"/>
      <c r="B7" s="16" t="s">
        <v>26</v>
      </c>
      <c r="C7" s="8"/>
      <c r="D7" s="17"/>
      <c r="E7" s="8">
        <v>1</v>
      </c>
      <c r="F7" s="12"/>
      <c r="G7" s="13"/>
      <c r="H7" s="18"/>
    </row>
    <row r="8" spans="1:18">
      <c r="A8" s="117"/>
      <c r="B8" s="16" t="s">
        <v>76</v>
      </c>
      <c r="C8" s="117"/>
      <c r="D8" s="118"/>
      <c r="E8" s="117">
        <v>1</v>
      </c>
      <c r="F8" s="119"/>
      <c r="G8" s="120"/>
      <c r="H8" s="121"/>
    </row>
    <row r="9" spans="1:18">
      <c r="A9" s="30">
        <v>2</v>
      </c>
      <c r="B9" s="31" t="s">
        <v>18</v>
      </c>
      <c r="C9" s="30" t="s">
        <v>18</v>
      </c>
      <c r="D9" s="30"/>
      <c r="E9" s="30"/>
      <c r="F9" s="32"/>
      <c r="G9" s="33"/>
      <c r="H9" s="33"/>
    </row>
    <row r="10" spans="1:18">
      <c r="A10" s="8"/>
      <c r="B10" s="16" t="s">
        <v>26</v>
      </c>
      <c r="C10" s="8"/>
      <c r="D10" s="17"/>
      <c r="E10" s="8">
        <v>1</v>
      </c>
      <c r="F10" s="12"/>
      <c r="G10" s="13"/>
      <c r="H10" s="18"/>
    </row>
    <row r="11" spans="1:18">
      <c r="A11" s="30">
        <v>3</v>
      </c>
      <c r="B11" s="31" t="s">
        <v>27</v>
      </c>
      <c r="C11" s="30" t="s">
        <v>27</v>
      </c>
      <c r="D11" s="30"/>
      <c r="E11" s="30"/>
      <c r="F11" s="32"/>
      <c r="G11" s="33"/>
      <c r="H11" s="33"/>
    </row>
    <row r="12" spans="1:18">
      <c r="A12" s="8"/>
      <c r="B12" s="16" t="s">
        <v>26</v>
      </c>
      <c r="C12" s="8"/>
      <c r="D12" s="17"/>
      <c r="E12" s="8">
        <v>1</v>
      </c>
      <c r="F12" s="12"/>
      <c r="G12" s="13"/>
      <c r="H12" s="18"/>
    </row>
    <row r="13" spans="1:18">
      <c r="A13" s="30">
        <v>4</v>
      </c>
      <c r="B13" s="31" t="s">
        <v>28</v>
      </c>
      <c r="C13" s="30" t="s">
        <v>28</v>
      </c>
      <c r="D13" s="30"/>
      <c r="E13" s="30"/>
      <c r="F13" s="32"/>
      <c r="G13" s="33"/>
      <c r="H13" s="33"/>
    </row>
    <row r="14" spans="1:18">
      <c r="A14" s="8"/>
      <c r="B14" s="16" t="s">
        <v>26</v>
      </c>
      <c r="C14" s="8"/>
      <c r="D14" s="17"/>
      <c r="E14" s="8">
        <v>2</v>
      </c>
      <c r="F14" s="12"/>
      <c r="G14" s="13"/>
      <c r="H14" s="18"/>
    </row>
    <row r="15" spans="1:18">
      <c r="A15" s="117"/>
      <c r="B15" s="16" t="s">
        <v>76</v>
      </c>
      <c r="C15" s="117"/>
      <c r="D15" s="118"/>
      <c r="E15" s="117">
        <v>1</v>
      </c>
      <c r="F15" s="119"/>
      <c r="G15" s="120"/>
      <c r="H15" s="121"/>
    </row>
    <row r="16" spans="1:18">
      <c r="A16" s="30">
        <v>5</v>
      </c>
      <c r="B16" s="31" t="s">
        <v>7</v>
      </c>
      <c r="C16" s="30" t="s">
        <v>7</v>
      </c>
      <c r="D16" s="30"/>
      <c r="E16" s="30"/>
      <c r="F16" s="32"/>
      <c r="G16" s="33"/>
      <c r="H16" s="33"/>
    </row>
    <row r="17" spans="1:8">
      <c r="A17" s="8"/>
      <c r="B17" s="16" t="s">
        <v>26</v>
      </c>
      <c r="C17" s="8"/>
      <c r="D17" s="17"/>
      <c r="E17" s="8">
        <v>4</v>
      </c>
      <c r="F17" s="12"/>
      <c r="G17" s="13"/>
      <c r="H17" s="18"/>
    </row>
    <row r="18" spans="1:8">
      <c r="A18" s="117"/>
      <c r="B18" s="16" t="s">
        <v>76</v>
      </c>
      <c r="C18" s="117"/>
      <c r="D18" s="118"/>
      <c r="E18" s="117">
        <v>4</v>
      </c>
      <c r="F18" s="119"/>
      <c r="G18" s="120"/>
      <c r="H18" s="121"/>
    </row>
    <row r="19" spans="1:8">
      <c r="A19" s="30">
        <v>6</v>
      </c>
      <c r="B19" s="31" t="s">
        <v>1</v>
      </c>
      <c r="C19" s="30" t="s">
        <v>1</v>
      </c>
      <c r="D19" s="30"/>
      <c r="E19" s="30"/>
      <c r="F19" s="32"/>
      <c r="G19" s="33"/>
      <c r="H19" s="33"/>
    </row>
    <row r="20" spans="1:8">
      <c r="A20" s="8"/>
      <c r="B20" s="16" t="s">
        <v>26</v>
      </c>
      <c r="C20" s="8"/>
      <c r="D20" s="17"/>
      <c r="E20" s="8">
        <v>9</v>
      </c>
      <c r="F20" s="12"/>
      <c r="G20" s="13"/>
      <c r="H20" s="18"/>
    </row>
    <row r="21" spans="1:8">
      <c r="A21" s="117"/>
      <c r="B21" s="16" t="s">
        <v>76</v>
      </c>
      <c r="C21" s="117"/>
      <c r="D21" s="118"/>
      <c r="E21" s="117">
        <v>1</v>
      </c>
      <c r="F21" s="119"/>
      <c r="G21" s="120"/>
      <c r="H21" s="121"/>
    </row>
    <row r="22" spans="1:8">
      <c r="A22" s="30">
        <v>7</v>
      </c>
      <c r="B22" s="31" t="s">
        <v>2</v>
      </c>
      <c r="C22" s="30" t="s">
        <v>2</v>
      </c>
      <c r="D22" s="30"/>
      <c r="E22" s="30"/>
      <c r="F22" s="32"/>
      <c r="G22" s="33"/>
      <c r="H22" s="33"/>
    </row>
    <row r="23" spans="1:8">
      <c r="A23" s="8"/>
      <c r="B23" s="16" t="s">
        <v>26</v>
      </c>
      <c r="C23" s="8"/>
      <c r="D23" s="17"/>
      <c r="E23" s="8">
        <v>9</v>
      </c>
      <c r="F23" s="12"/>
      <c r="G23" s="13"/>
      <c r="H23" s="18"/>
    </row>
    <row r="24" spans="1:8">
      <c r="A24" s="117"/>
      <c r="B24" s="16" t="s">
        <v>76</v>
      </c>
      <c r="C24" s="117"/>
      <c r="D24" s="118"/>
      <c r="E24" s="117">
        <v>1</v>
      </c>
      <c r="F24" s="119"/>
      <c r="G24" s="120"/>
      <c r="H24" s="121"/>
    </row>
    <row r="25" spans="1:8">
      <c r="A25" s="8"/>
      <c r="B25" s="16" t="s">
        <v>29</v>
      </c>
      <c r="C25" s="8"/>
      <c r="D25" s="17"/>
      <c r="E25" s="8">
        <v>4</v>
      </c>
      <c r="F25" s="12"/>
      <c r="G25" s="13"/>
      <c r="H25" s="18"/>
    </row>
    <row r="26" spans="1:8">
      <c r="A26" s="8"/>
      <c r="B26" s="16" t="s">
        <v>41</v>
      </c>
      <c r="C26" s="8"/>
      <c r="D26" s="17"/>
      <c r="E26" s="8">
        <v>2</v>
      </c>
      <c r="F26" s="12"/>
      <c r="G26" s="13"/>
      <c r="H26" s="18"/>
    </row>
    <row r="27" spans="1:8">
      <c r="A27" s="30">
        <v>8</v>
      </c>
      <c r="B27" s="31" t="s">
        <v>20</v>
      </c>
      <c r="C27" s="30" t="s">
        <v>20</v>
      </c>
      <c r="D27" s="30"/>
      <c r="E27" s="30"/>
      <c r="F27" s="32"/>
      <c r="G27" s="33"/>
      <c r="H27" s="33"/>
    </row>
    <row r="28" spans="1:8">
      <c r="A28" s="8"/>
      <c r="B28" s="16" t="s">
        <v>26</v>
      </c>
      <c r="C28" s="8"/>
      <c r="D28" s="17"/>
      <c r="E28" s="8">
        <v>5</v>
      </c>
      <c r="F28" s="12"/>
      <c r="G28" s="13"/>
      <c r="H28" s="18"/>
    </row>
    <row r="29" spans="1:8">
      <c r="A29" s="117"/>
      <c r="B29" s="16" t="s">
        <v>76</v>
      </c>
      <c r="C29" s="117"/>
      <c r="D29" s="118"/>
      <c r="E29" s="117">
        <v>3</v>
      </c>
      <c r="F29" s="119"/>
      <c r="G29" s="120"/>
      <c r="H29" s="121"/>
    </row>
    <row r="30" spans="1:8">
      <c r="A30" s="8"/>
      <c r="B30" s="16" t="s">
        <v>29</v>
      </c>
      <c r="C30" s="8"/>
      <c r="D30" s="17"/>
      <c r="E30" s="8">
        <v>4</v>
      </c>
      <c r="F30" s="12"/>
      <c r="G30" s="13"/>
      <c r="H30" s="18"/>
    </row>
    <row r="31" spans="1:8">
      <c r="A31" s="30">
        <v>9</v>
      </c>
      <c r="B31" s="31" t="s">
        <v>3</v>
      </c>
      <c r="C31" s="30" t="s">
        <v>3</v>
      </c>
      <c r="D31" s="30"/>
      <c r="E31" s="30"/>
      <c r="F31" s="32"/>
      <c r="G31" s="33"/>
      <c r="H31" s="33"/>
    </row>
    <row r="32" spans="1:8">
      <c r="A32" s="8"/>
      <c r="B32" s="16" t="s">
        <v>26</v>
      </c>
      <c r="C32" s="8"/>
      <c r="D32" s="17"/>
      <c r="E32" s="8">
        <v>5</v>
      </c>
      <c r="F32" s="12"/>
      <c r="G32" s="13"/>
      <c r="H32" s="18"/>
    </row>
    <row r="33" spans="1:8">
      <c r="A33" s="8"/>
      <c r="B33" s="16" t="s">
        <v>76</v>
      </c>
      <c r="C33" s="8"/>
      <c r="D33" s="17"/>
      <c r="E33" s="8">
        <v>1</v>
      </c>
      <c r="F33" s="12"/>
      <c r="G33" s="13"/>
      <c r="H33" s="18"/>
    </row>
    <row r="34" spans="1:8">
      <c r="A34" s="8"/>
      <c r="B34" s="16" t="s">
        <v>29</v>
      </c>
      <c r="C34" s="8"/>
      <c r="D34" s="17"/>
      <c r="E34" s="8">
        <v>5</v>
      </c>
      <c r="F34" s="12"/>
      <c r="G34" s="13"/>
      <c r="H34" s="18"/>
    </row>
    <row r="35" spans="1:8">
      <c r="A35" s="30">
        <v>10</v>
      </c>
      <c r="B35" s="31" t="s">
        <v>19</v>
      </c>
      <c r="C35" s="30" t="s">
        <v>19</v>
      </c>
      <c r="D35" s="30"/>
      <c r="E35" s="30"/>
      <c r="F35" s="32"/>
      <c r="G35" s="33"/>
      <c r="H35" s="33"/>
    </row>
    <row r="36" spans="1:8">
      <c r="A36" s="8"/>
      <c r="B36" s="16" t="s">
        <v>26</v>
      </c>
      <c r="C36" s="8"/>
      <c r="D36" s="17"/>
      <c r="E36" s="8">
        <v>6</v>
      </c>
      <c r="F36" s="12"/>
      <c r="G36" s="13"/>
      <c r="H36" s="18"/>
    </row>
    <row r="37" spans="1:8">
      <c r="A37" s="8"/>
      <c r="B37" s="16" t="s">
        <v>76</v>
      </c>
      <c r="C37" s="8"/>
      <c r="D37" s="17"/>
      <c r="E37" s="8">
        <v>2</v>
      </c>
      <c r="F37" s="12"/>
      <c r="G37" s="13"/>
      <c r="H37" s="18"/>
    </row>
    <row r="38" spans="1:8">
      <c r="A38" s="30">
        <v>11</v>
      </c>
      <c r="B38" s="31" t="s">
        <v>21</v>
      </c>
      <c r="C38" s="30" t="s">
        <v>21</v>
      </c>
      <c r="D38" s="30"/>
      <c r="E38" s="30"/>
      <c r="F38" s="32"/>
      <c r="G38" s="33"/>
      <c r="H38" s="33"/>
    </row>
    <row r="39" spans="1:8">
      <c r="A39" s="8"/>
      <c r="B39" s="16" t="s">
        <v>26</v>
      </c>
      <c r="C39" s="8"/>
      <c r="D39" s="17"/>
      <c r="E39" s="8">
        <v>11</v>
      </c>
      <c r="F39" s="12"/>
      <c r="G39" s="13"/>
      <c r="H39" s="18"/>
    </row>
    <row r="40" spans="1:8">
      <c r="A40" s="8"/>
      <c r="B40" s="16" t="s">
        <v>29</v>
      </c>
      <c r="C40" s="8"/>
      <c r="D40" s="17"/>
      <c r="E40" s="8">
        <v>2</v>
      </c>
      <c r="F40" s="12"/>
      <c r="G40" s="13"/>
      <c r="H40" s="18"/>
    </row>
    <row r="41" spans="1:8">
      <c r="A41" s="30">
        <v>12</v>
      </c>
      <c r="B41" s="31" t="s">
        <v>22</v>
      </c>
      <c r="C41" s="30" t="s">
        <v>22</v>
      </c>
      <c r="D41" s="30"/>
      <c r="E41" s="30"/>
      <c r="F41" s="32"/>
      <c r="G41" s="33"/>
      <c r="H41" s="33"/>
    </row>
    <row r="42" spans="1:8">
      <c r="A42" s="8"/>
      <c r="B42" s="16" t="s">
        <v>26</v>
      </c>
      <c r="C42" s="8"/>
      <c r="D42" s="17"/>
      <c r="E42" s="8">
        <v>3</v>
      </c>
      <c r="F42" s="12"/>
      <c r="G42" s="13"/>
      <c r="H42" s="18"/>
    </row>
    <row r="43" spans="1:8">
      <c r="A43" s="8"/>
      <c r="B43" s="16" t="s">
        <v>76</v>
      </c>
      <c r="C43" s="8"/>
      <c r="D43" s="17"/>
      <c r="E43" s="8">
        <v>7</v>
      </c>
      <c r="F43" s="12"/>
      <c r="G43" s="13"/>
      <c r="H43" s="18"/>
    </row>
    <row r="44" spans="1:8">
      <c r="A44" s="8"/>
      <c r="B44" s="16" t="s">
        <v>29</v>
      </c>
      <c r="C44" s="8"/>
      <c r="D44" s="17"/>
      <c r="E44" s="8">
        <v>1</v>
      </c>
      <c r="F44" s="12"/>
      <c r="G44" s="13"/>
      <c r="H44" s="18"/>
    </row>
    <row r="45" spans="1:8">
      <c r="A45" s="8"/>
      <c r="B45" s="16" t="s">
        <v>41</v>
      </c>
      <c r="C45" s="8"/>
      <c r="D45" s="17"/>
      <c r="E45" s="8">
        <v>3</v>
      </c>
      <c r="F45" s="12"/>
      <c r="G45" s="13"/>
      <c r="H45" s="18"/>
    </row>
    <row r="46" spans="1:8">
      <c r="A46" s="30">
        <v>13</v>
      </c>
      <c r="B46" s="31" t="s">
        <v>32</v>
      </c>
      <c r="C46" s="30"/>
      <c r="D46" s="30"/>
      <c r="E46" s="30"/>
      <c r="F46" s="32"/>
      <c r="G46" s="33"/>
      <c r="H46" s="33"/>
    </row>
    <row r="47" spans="1:8">
      <c r="A47" s="8"/>
      <c r="B47" s="16" t="s">
        <v>30</v>
      </c>
      <c r="C47" s="8"/>
      <c r="D47" s="17"/>
      <c r="E47" s="8">
        <f>19*5</f>
        <v>95</v>
      </c>
      <c r="F47" s="12"/>
      <c r="G47" s="13"/>
      <c r="H47" s="18"/>
    </row>
    <row r="48" spans="1:8">
      <c r="A48" s="8"/>
      <c r="B48" s="16" t="s">
        <v>31</v>
      </c>
      <c r="C48" s="8"/>
      <c r="D48" s="17"/>
      <c r="E48" s="8">
        <f>12*26+7*25</f>
        <v>487</v>
      </c>
      <c r="F48" s="12"/>
      <c r="G48" s="13"/>
      <c r="H48" s="18"/>
    </row>
    <row r="49" spans="1:8">
      <c r="A49" s="30">
        <v>14</v>
      </c>
      <c r="B49" s="34" t="s">
        <v>23</v>
      </c>
      <c r="C49" s="30" t="s">
        <v>23</v>
      </c>
      <c r="D49" s="35"/>
      <c r="E49" s="30"/>
      <c r="F49" s="32"/>
      <c r="G49" s="33"/>
      <c r="H49" s="36"/>
    </row>
    <row r="50" spans="1:8">
      <c r="A50" s="8"/>
      <c r="B50" s="16" t="s">
        <v>26</v>
      </c>
      <c r="C50" s="8"/>
      <c r="D50" s="17"/>
      <c r="E50" s="8">
        <v>2</v>
      </c>
      <c r="F50" s="12"/>
      <c r="G50" s="13"/>
      <c r="H50" s="18"/>
    </row>
    <row r="51" spans="1:8">
      <c r="A51" s="8"/>
      <c r="B51" s="16" t="s">
        <v>76</v>
      </c>
      <c r="C51" s="8"/>
      <c r="D51" s="17"/>
      <c r="E51" s="8">
        <v>5</v>
      </c>
      <c r="F51" s="12"/>
      <c r="G51" s="13"/>
      <c r="H51" s="18"/>
    </row>
    <row r="52" spans="1:8">
      <c r="A52" s="30">
        <v>15</v>
      </c>
      <c r="B52" s="34" t="s">
        <v>33</v>
      </c>
      <c r="C52" s="30" t="s">
        <v>33</v>
      </c>
      <c r="D52" s="35"/>
      <c r="E52" s="30"/>
      <c r="F52" s="32"/>
      <c r="G52" s="33"/>
      <c r="H52" s="36"/>
    </row>
    <row r="53" spans="1:8">
      <c r="A53" s="8"/>
      <c r="B53" s="16" t="s">
        <v>26</v>
      </c>
      <c r="C53" s="8"/>
      <c r="D53" s="17"/>
      <c r="E53" s="8">
        <v>5</v>
      </c>
      <c r="F53" s="12"/>
      <c r="G53" s="13"/>
      <c r="H53" s="18"/>
    </row>
    <row r="54" spans="1:8">
      <c r="A54" s="8"/>
      <c r="B54" s="16" t="s">
        <v>41</v>
      </c>
      <c r="C54" s="8"/>
      <c r="D54" s="17"/>
      <c r="E54" s="8">
        <v>4</v>
      </c>
      <c r="F54" s="12"/>
      <c r="G54" s="13"/>
      <c r="H54" s="18"/>
    </row>
    <row r="55" spans="1:8">
      <c r="A55" s="30">
        <v>16</v>
      </c>
      <c r="B55" s="34" t="s">
        <v>42</v>
      </c>
      <c r="C55" s="30" t="s">
        <v>42</v>
      </c>
      <c r="D55" s="35"/>
      <c r="E55" s="30"/>
      <c r="F55" s="32"/>
      <c r="G55" s="33"/>
      <c r="H55" s="36"/>
    </row>
    <row r="56" spans="1:8">
      <c r="A56" s="8"/>
      <c r="B56" s="16" t="s">
        <v>26</v>
      </c>
      <c r="C56" s="8"/>
      <c r="D56" s="17"/>
      <c r="E56" s="8">
        <v>3</v>
      </c>
      <c r="F56" s="12"/>
      <c r="G56" s="13"/>
      <c r="H56" s="18"/>
    </row>
    <row r="57" spans="1:8">
      <c r="A57" s="30">
        <v>17</v>
      </c>
      <c r="B57" s="34" t="s">
        <v>24</v>
      </c>
      <c r="C57" s="30" t="s">
        <v>24</v>
      </c>
      <c r="D57" s="35"/>
      <c r="E57" s="30"/>
      <c r="F57" s="32"/>
      <c r="G57" s="33"/>
      <c r="H57" s="36"/>
    </row>
    <row r="58" spans="1:8">
      <c r="A58" s="8"/>
      <c r="B58" s="16" t="s">
        <v>26</v>
      </c>
      <c r="C58" s="8"/>
      <c r="D58" s="17"/>
      <c r="E58" s="8">
        <v>9</v>
      </c>
      <c r="F58" s="12"/>
      <c r="G58" s="13"/>
      <c r="H58" s="18"/>
    </row>
    <row r="59" spans="1:8">
      <c r="A59" s="8"/>
      <c r="B59" s="16" t="s">
        <v>34</v>
      </c>
      <c r="C59" s="8"/>
      <c r="D59" s="17"/>
      <c r="E59" s="8">
        <v>3</v>
      </c>
      <c r="F59" s="12"/>
      <c r="G59" s="13"/>
      <c r="H59" s="18"/>
    </row>
    <row r="60" spans="1:8">
      <c r="A60" s="30">
        <v>18</v>
      </c>
      <c r="B60" s="34" t="s">
        <v>41</v>
      </c>
      <c r="C60" s="30" t="s">
        <v>48</v>
      </c>
      <c r="D60" s="30"/>
      <c r="E60" s="30">
        <v>4</v>
      </c>
      <c r="F60" s="37"/>
      <c r="G60" s="33"/>
      <c r="H60" s="36"/>
    </row>
    <row r="61" spans="1:8">
      <c r="A61" s="8"/>
      <c r="B61" s="16" t="s">
        <v>26</v>
      </c>
      <c r="C61" s="8" t="s">
        <v>48</v>
      </c>
      <c r="D61" s="17"/>
      <c r="E61" s="8">
        <v>5</v>
      </c>
      <c r="F61" s="12"/>
      <c r="G61" s="13"/>
      <c r="H61" s="18"/>
    </row>
    <row r="62" spans="1:8" ht="45">
      <c r="A62" s="8">
        <v>19</v>
      </c>
      <c r="B62" s="11" t="s">
        <v>36</v>
      </c>
      <c r="C62" s="8"/>
      <c r="D62" s="8"/>
      <c r="E62" s="19">
        <v>1</v>
      </c>
      <c r="F62" s="20"/>
      <c r="G62" s="13"/>
      <c r="H62" s="18"/>
    </row>
    <row r="63" spans="1:8" s="1" customFormat="1" ht="63" customHeight="1">
      <c r="A63" s="19">
        <v>20</v>
      </c>
      <c r="B63" s="21" t="s">
        <v>38</v>
      </c>
      <c r="C63" s="22"/>
      <c r="D63" s="23"/>
      <c r="E63" s="19">
        <v>1</v>
      </c>
      <c r="F63" s="24"/>
      <c r="G63" s="25"/>
      <c r="H63" s="26" t="s">
        <v>37</v>
      </c>
    </row>
    <row r="64" spans="1:8" s="1" customFormat="1" ht="48" customHeight="1">
      <c r="A64" s="19">
        <v>21</v>
      </c>
      <c r="B64" s="21" t="s">
        <v>39</v>
      </c>
      <c r="C64" s="22"/>
      <c r="D64" s="23"/>
      <c r="E64" s="19">
        <v>1</v>
      </c>
      <c r="F64" s="24"/>
      <c r="G64" s="25"/>
      <c r="H64" s="26" t="s">
        <v>40</v>
      </c>
    </row>
    <row r="69" spans="2:5" ht="18.75" customHeight="1"/>
    <row r="73" spans="2:5">
      <c r="B73" s="29" t="s">
        <v>43</v>
      </c>
      <c r="C73" s="29" t="s">
        <v>44</v>
      </c>
      <c r="D73" s="29" t="s">
        <v>13</v>
      </c>
      <c r="E73" s="29" t="s">
        <v>12</v>
      </c>
    </row>
    <row r="74" spans="2:5">
      <c r="B74" s="11" t="s">
        <v>4</v>
      </c>
      <c r="C74" s="28" t="s">
        <v>45</v>
      </c>
      <c r="D74" s="116" t="s">
        <v>73</v>
      </c>
      <c r="E74" s="27"/>
    </row>
    <row r="75" spans="2:5">
      <c r="B75" s="16" t="s">
        <v>26</v>
      </c>
      <c r="C75" s="28" t="s">
        <v>45</v>
      </c>
      <c r="D75" s="28">
        <f t="shared" ref="D75:D78" si="0">SUMIF($B$4:$B$62,B75,$E$4:$E$62)</f>
        <v>81</v>
      </c>
      <c r="E75" s="27"/>
    </row>
    <row r="76" spans="2:5">
      <c r="B76" s="16" t="s">
        <v>29</v>
      </c>
      <c r="C76" s="28" t="s">
        <v>45</v>
      </c>
      <c r="D76" s="28">
        <f t="shared" si="0"/>
        <v>16</v>
      </c>
      <c r="E76" s="27"/>
    </row>
    <row r="77" spans="2:5">
      <c r="B77" s="16" t="s">
        <v>76</v>
      </c>
      <c r="C77" s="28" t="s">
        <v>45</v>
      </c>
      <c r="D77" s="28">
        <f t="shared" si="0"/>
        <v>26</v>
      </c>
      <c r="E77" s="27"/>
    </row>
    <row r="78" spans="2:5">
      <c r="B78" s="16" t="s">
        <v>41</v>
      </c>
      <c r="C78" s="28" t="s">
        <v>45</v>
      </c>
      <c r="D78" s="28">
        <f t="shared" si="0"/>
        <v>13</v>
      </c>
      <c r="E78" s="27"/>
    </row>
    <row r="79" spans="2:5">
      <c r="B79" s="16" t="s">
        <v>30</v>
      </c>
      <c r="C79" s="28" t="s">
        <v>45</v>
      </c>
      <c r="D79" s="28">
        <f>SUMIF($B$4:$B$62,B79,$E$4:$E$62)</f>
        <v>95</v>
      </c>
      <c r="E79" s="27"/>
    </row>
    <row r="80" spans="2:5">
      <c r="B80" s="16" t="s">
        <v>31</v>
      </c>
      <c r="C80" s="28" t="s">
        <v>45</v>
      </c>
      <c r="D80" s="28">
        <f>SUMIF($B$4:$B$62,B80,$E$4:$E$62)</f>
        <v>487</v>
      </c>
      <c r="E80" s="27"/>
    </row>
    <row r="81" spans="2:5">
      <c r="B81" s="16" t="s">
        <v>34</v>
      </c>
      <c r="C81" s="28" t="s">
        <v>45</v>
      </c>
      <c r="D81" s="28">
        <f>SUMIF($B$4:$B$62,B81,$E$4:$E$62)</f>
        <v>3</v>
      </c>
      <c r="E81" s="27"/>
    </row>
    <row r="82" spans="2:5">
      <c r="C82" s="2"/>
      <c r="D82" s="2"/>
    </row>
    <row r="83" spans="2:5">
      <c r="C83" s="2"/>
      <c r="D83" s="2"/>
    </row>
    <row r="84" spans="2:5">
      <c r="C84" s="2"/>
      <c r="D84" s="2"/>
    </row>
    <row r="85" spans="2:5">
      <c r="C85" s="2"/>
      <c r="D85" s="2"/>
    </row>
    <row r="86" spans="2:5">
      <c r="C86" s="2"/>
      <c r="D86" s="2"/>
    </row>
    <row r="87" spans="2:5">
      <c r="C87" s="2"/>
      <c r="D87" s="2"/>
    </row>
    <row r="88" spans="2:5">
      <c r="C88" s="2"/>
      <c r="D88" s="2"/>
    </row>
    <row r="89" spans="2:5">
      <c r="C89" s="2"/>
      <c r="D89" s="2"/>
    </row>
    <row r="90" spans="2:5">
      <c r="C90" s="2"/>
      <c r="D90" s="2"/>
    </row>
    <row r="91" spans="2:5">
      <c r="C91" s="2"/>
      <c r="D91" s="2"/>
    </row>
    <row r="92" spans="2:5">
      <c r="C92" s="2"/>
      <c r="D92" s="2"/>
    </row>
    <row r="93" spans="2:5">
      <c r="C93" s="2"/>
      <c r="D93" s="2"/>
    </row>
    <row r="94" spans="2:5">
      <c r="C94" s="2"/>
      <c r="D94" s="2"/>
    </row>
    <row r="95" spans="2:5">
      <c r="C95" s="2"/>
      <c r="D95" s="2"/>
    </row>
    <row r="96" spans="2:5">
      <c r="C96" s="2"/>
      <c r="D96" s="2"/>
    </row>
  </sheetData>
  <autoFilter ref="A3:H60"/>
  <mergeCells count="1">
    <mergeCell ref="B1:C1"/>
  </mergeCells>
  <printOptions horizontalCentered="1"/>
  <pageMargins left="0.11811023622047245" right="0.11811023622047245" top="0.15748031496062992" bottom="0.15748031496062992" header="0.31496062992125984" footer="0.31496062992125984"/>
  <pageSetup paperSize="8" scale="36" orientation="landscape" verticalDpi="0" r:id="rId1"/>
  <colBreaks count="1" manualBreakCount="1">
    <brk id="8" max="3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D43" sqref="D43"/>
    </sheetView>
  </sheetViews>
  <sheetFormatPr defaultColWidth="9" defaultRowHeight="15"/>
  <cols>
    <col min="1" max="1" width="4" style="2" bestFit="1" customWidth="1"/>
    <col min="2" max="2" width="25.140625" style="2" bestFit="1" customWidth="1"/>
    <col min="3" max="3" width="7" style="5" bestFit="1" customWidth="1"/>
    <col min="4" max="4" width="9.140625" style="5" bestFit="1" customWidth="1"/>
    <col min="5" max="5" width="9.140625" style="2" bestFit="1" customWidth="1"/>
    <col min="6" max="6" width="14.140625" style="2" bestFit="1" customWidth="1"/>
    <col min="7" max="7" width="16.5703125" style="2" bestFit="1" customWidth="1"/>
    <col min="8" max="8" width="32.5703125" style="2" bestFit="1" customWidth="1"/>
    <col min="9" max="16384" width="9" style="2"/>
  </cols>
  <sheetData>
    <row r="1" spans="1:18" ht="34.5" customHeight="1">
      <c r="B1" s="142" t="s">
        <v>8</v>
      </c>
      <c r="C1" s="142"/>
      <c r="D1" s="6"/>
    </row>
    <row r="2" spans="1:18" ht="35.25" customHeight="1">
      <c r="A2" s="7" t="s">
        <v>15</v>
      </c>
      <c r="B2" s="7" t="s">
        <v>16</v>
      </c>
      <c r="C2" s="7" t="s">
        <v>14</v>
      </c>
      <c r="D2" s="7" t="s">
        <v>17</v>
      </c>
      <c r="E2" s="7" t="s">
        <v>13</v>
      </c>
      <c r="F2" s="7" t="s">
        <v>9</v>
      </c>
      <c r="G2" s="7" t="s">
        <v>10</v>
      </c>
      <c r="H2" s="7" t="s">
        <v>12</v>
      </c>
    </row>
    <row r="3" spans="1:18">
      <c r="A3" s="8" t="s">
        <v>5</v>
      </c>
      <c r="B3" s="9" t="s">
        <v>4</v>
      </c>
      <c r="C3" s="8"/>
      <c r="D3" s="8"/>
      <c r="E3" s="8"/>
      <c r="F3" s="8"/>
      <c r="G3" s="10"/>
      <c r="H3" s="10"/>
    </row>
    <row r="4" spans="1:18" ht="30">
      <c r="A4" s="8"/>
      <c r="B4" s="11" t="s">
        <v>4</v>
      </c>
      <c r="C4" s="8"/>
      <c r="D4" s="8"/>
      <c r="E4" s="8"/>
      <c r="F4" s="12"/>
      <c r="G4" s="13"/>
      <c r="H4" s="14" t="s">
        <v>11</v>
      </c>
      <c r="R4" s="4"/>
    </row>
    <row r="5" spans="1:18">
      <c r="A5" s="8" t="s">
        <v>6</v>
      </c>
      <c r="B5" s="11" t="s">
        <v>0</v>
      </c>
      <c r="C5" s="8"/>
      <c r="D5" s="8"/>
      <c r="E5" s="8"/>
      <c r="F5" s="12"/>
      <c r="G5" s="13"/>
      <c r="H5" s="14"/>
      <c r="R5" s="4"/>
    </row>
    <row r="6" spans="1:18">
      <c r="A6" s="30">
        <v>1</v>
      </c>
      <c r="B6" s="113" t="s">
        <v>25</v>
      </c>
      <c r="C6" s="30"/>
      <c r="D6" s="30"/>
      <c r="E6" s="30"/>
      <c r="F6" s="32"/>
      <c r="G6" s="33"/>
      <c r="H6" s="114"/>
      <c r="R6" s="4"/>
    </row>
    <row r="7" spans="1:18">
      <c r="A7" s="8"/>
      <c r="B7" s="16" t="s">
        <v>26</v>
      </c>
      <c r="C7" s="8"/>
      <c r="D7" s="8"/>
      <c r="E7" s="8">
        <v>2</v>
      </c>
      <c r="F7" s="12"/>
      <c r="G7" s="13"/>
      <c r="H7" s="14"/>
      <c r="R7" s="4"/>
    </row>
    <row r="8" spans="1:18">
      <c r="A8" s="30">
        <v>2</v>
      </c>
      <c r="B8" s="113" t="s">
        <v>18</v>
      </c>
      <c r="C8" s="30"/>
      <c r="D8" s="30"/>
      <c r="E8" s="30"/>
      <c r="F8" s="32"/>
      <c r="G8" s="33"/>
      <c r="H8" s="114"/>
      <c r="R8" s="4"/>
    </row>
    <row r="9" spans="1:18">
      <c r="A9" s="8"/>
      <c r="B9" s="16" t="s">
        <v>26</v>
      </c>
      <c r="C9" s="8"/>
      <c r="D9" s="8"/>
      <c r="E9" s="8">
        <v>2</v>
      </c>
      <c r="F9" s="12"/>
      <c r="G9" s="13"/>
      <c r="H9" s="14"/>
      <c r="R9" s="4"/>
    </row>
    <row r="10" spans="1:18">
      <c r="A10" s="30">
        <v>3</v>
      </c>
      <c r="B10" s="115" t="s">
        <v>27</v>
      </c>
      <c r="C10" s="30"/>
      <c r="D10" s="30"/>
      <c r="E10" s="30"/>
      <c r="F10" s="32"/>
      <c r="G10" s="33"/>
      <c r="H10" s="114"/>
      <c r="R10" s="4"/>
    </row>
    <row r="11" spans="1:18">
      <c r="A11" s="8"/>
      <c r="B11" s="16" t="s">
        <v>26</v>
      </c>
      <c r="C11" s="8"/>
      <c r="D11" s="8"/>
      <c r="E11" s="8">
        <v>2</v>
      </c>
      <c r="F11" s="12"/>
      <c r="G11" s="13"/>
      <c r="H11" s="14"/>
      <c r="R11" s="4"/>
    </row>
    <row r="12" spans="1:18">
      <c r="A12" s="30">
        <v>4</v>
      </c>
      <c r="B12" s="113" t="s">
        <v>2</v>
      </c>
      <c r="C12" s="30"/>
      <c r="D12" s="30"/>
      <c r="E12" s="30"/>
      <c r="F12" s="33"/>
      <c r="G12" s="33"/>
      <c r="H12" s="33"/>
    </row>
    <row r="13" spans="1:18">
      <c r="A13" s="8"/>
      <c r="B13" s="16" t="s">
        <v>26</v>
      </c>
      <c r="C13" s="8"/>
      <c r="D13" s="17"/>
      <c r="E13" s="8">
        <v>2</v>
      </c>
      <c r="F13" s="13"/>
      <c r="G13" s="13"/>
      <c r="H13" s="18"/>
    </row>
    <row r="14" spans="1:18">
      <c r="A14" s="30">
        <v>5</v>
      </c>
      <c r="B14" s="113" t="s">
        <v>23</v>
      </c>
      <c r="C14" s="30"/>
      <c r="D14" s="30"/>
      <c r="E14" s="30"/>
      <c r="F14" s="33"/>
      <c r="G14" s="33"/>
      <c r="H14" s="33"/>
    </row>
    <row r="15" spans="1:18">
      <c r="A15" s="8"/>
      <c r="B15" s="16" t="s">
        <v>26</v>
      </c>
      <c r="C15" s="8"/>
      <c r="D15" s="17"/>
      <c r="E15" s="8">
        <v>6</v>
      </c>
      <c r="F15" s="13"/>
      <c r="G15" s="13"/>
      <c r="H15" s="18"/>
    </row>
    <row r="16" spans="1:18">
      <c r="A16" s="30">
        <v>6</v>
      </c>
      <c r="B16" s="115" t="s">
        <v>33</v>
      </c>
      <c r="C16" s="30"/>
      <c r="D16" s="35"/>
      <c r="E16" s="30"/>
      <c r="F16" s="33"/>
      <c r="G16" s="33"/>
      <c r="H16" s="36"/>
    </row>
    <row r="17" spans="1:8">
      <c r="A17" s="8"/>
      <c r="B17" s="16" t="s">
        <v>26</v>
      </c>
      <c r="C17" s="8"/>
      <c r="D17" s="17"/>
      <c r="E17" s="8">
        <v>8</v>
      </c>
      <c r="F17" s="13"/>
      <c r="G17" s="13"/>
      <c r="H17" s="18"/>
    </row>
    <row r="18" spans="1:8">
      <c r="A18" s="30">
        <v>7</v>
      </c>
      <c r="B18" s="115" t="s">
        <v>35</v>
      </c>
      <c r="C18" s="30"/>
      <c r="D18" s="35"/>
      <c r="E18" s="30"/>
      <c r="F18" s="33"/>
      <c r="G18" s="33"/>
      <c r="H18" s="36"/>
    </row>
    <row r="19" spans="1:8">
      <c r="A19" s="8"/>
      <c r="B19" s="16" t="s">
        <v>31</v>
      </c>
      <c r="C19" s="8"/>
      <c r="D19" s="17"/>
      <c r="E19" s="8">
        <f>28*14</f>
        <v>392</v>
      </c>
      <c r="F19" s="13"/>
      <c r="G19" s="13"/>
      <c r="H19" s="18"/>
    </row>
    <row r="20" spans="1:8">
      <c r="A20" s="8"/>
      <c r="B20" s="16" t="s">
        <v>30</v>
      </c>
      <c r="C20" s="8"/>
      <c r="D20" s="17"/>
      <c r="E20" s="8">
        <f>14*5-5</f>
        <v>65</v>
      </c>
      <c r="F20" s="13"/>
      <c r="G20" s="13"/>
      <c r="H20" s="18"/>
    </row>
    <row r="21" spans="1:8">
      <c r="A21" s="8"/>
      <c r="B21" s="16" t="s">
        <v>76</v>
      </c>
      <c r="C21" s="8"/>
      <c r="D21" s="17"/>
      <c r="E21" s="8">
        <v>5</v>
      </c>
      <c r="F21" s="13"/>
      <c r="G21" s="13"/>
      <c r="H21" s="18"/>
    </row>
    <row r="22" spans="1:8">
      <c r="A22" s="30">
        <v>8</v>
      </c>
      <c r="B22" s="115" t="s">
        <v>47</v>
      </c>
      <c r="C22" s="30"/>
      <c r="D22" s="35"/>
      <c r="E22" s="30"/>
      <c r="F22" s="33"/>
      <c r="G22" s="33"/>
      <c r="H22" s="36"/>
    </row>
    <row r="23" spans="1:8">
      <c r="A23" s="8"/>
      <c r="B23" s="16" t="s">
        <v>26</v>
      </c>
      <c r="C23" s="8"/>
      <c r="D23" s="17"/>
      <c r="E23" s="8">
        <v>1</v>
      </c>
      <c r="F23" s="13"/>
      <c r="G23" s="13"/>
      <c r="H23" s="18"/>
    </row>
    <row r="24" spans="1:8">
      <c r="A24" s="30">
        <v>9</v>
      </c>
      <c r="B24" s="115" t="s">
        <v>48</v>
      </c>
      <c r="C24" s="30"/>
      <c r="D24" s="35"/>
      <c r="E24" s="30"/>
      <c r="F24" s="33"/>
      <c r="G24" s="33"/>
      <c r="H24" s="36"/>
    </row>
    <row r="25" spans="1:8">
      <c r="A25" s="8"/>
      <c r="B25" s="16" t="s">
        <v>41</v>
      </c>
      <c r="C25" s="8"/>
      <c r="D25" s="17"/>
      <c r="E25" s="8">
        <v>4</v>
      </c>
      <c r="F25" s="13"/>
      <c r="G25" s="13"/>
      <c r="H25" s="18"/>
    </row>
    <row r="26" spans="1:8" s="1" customFormat="1" ht="57" customHeight="1">
      <c r="A26" s="19">
        <v>4</v>
      </c>
      <c r="B26" s="21" t="s">
        <v>38</v>
      </c>
      <c r="C26" s="22"/>
      <c r="D26" s="23"/>
      <c r="E26" s="19">
        <v>1</v>
      </c>
      <c r="F26" s="24"/>
      <c r="G26" s="25"/>
      <c r="H26" s="26" t="s">
        <v>37</v>
      </c>
    </row>
    <row r="27" spans="1:8" s="1" customFormat="1" ht="56.25" customHeight="1">
      <c r="A27" s="19">
        <v>5</v>
      </c>
      <c r="B27" s="21" t="s">
        <v>39</v>
      </c>
      <c r="C27" s="22"/>
      <c r="D27" s="23"/>
      <c r="E27" s="19">
        <v>1</v>
      </c>
      <c r="F27" s="24"/>
      <c r="G27" s="25"/>
      <c r="H27" s="26" t="s">
        <v>40</v>
      </c>
    </row>
    <row r="33" spans="2:5">
      <c r="C33" s="2"/>
      <c r="D33" s="2"/>
    </row>
    <row r="34" spans="2:5">
      <c r="C34" s="2"/>
      <c r="D34" s="2"/>
    </row>
    <row r="37" spans="2:5">
      <c r="B37" s="29" t="s">
        <v>43</v>
      </c>
      <c r="C37" s="29" t="s">
        <v>44</v>
      </c>
      <c r="D37" s="29" t="s">
        <v>13</v>
      </c>
      <c r="E37" s="29" t="s">
        <v>12</v>
      </c>
    </row>
    <row r="38" spans="2:5">
      <c r="B38" s="11" t="s">
        <v>4</v>
      </c>
      <c r="C38" s="28" t="s">
        <v>45</v>
      </c>
      <c r="D38" s="116" t="s">
        <v>73</v>
      </c>
      <c r="E38" s="27"/>
    </row>
    <row r="39" spans="2:5">
      <c r="B39" s="16" t="s">
        <v>26</v>
      </c>
      <c r="C39" s="28" t="s">
        <v>45</v>
      </c>
      <c r="D39" s="28">
        <f t="shared" ref="D39:D41" si="0">SUMIF($B$4:$B$27,B39,$E$4:$E$27)</f>
        <v>23</v>
      </c>
      <c r="E39" s="27"/>
    </row>
    <row r="40" spans="2:5">
      <c r="B40" s="16" t="s">
        <v>29</v>
      </c>
      <c r="C40" s="28" t="s">
        <v>45</v>
      </c>
      <c r="D40" s="28">
        <f t="shared" si="0"/>
        <v>0</v>
      </c>
      <c r="E40" s="27"/>
    </row>
    <row r="41" spans="2:5">
      <c r="B41" s="16" t="s">
        <v>76</v>
      </c>
      <c r="C41" s="28" t="s">
        <v>45</v>
      </c>
      <c r="D41" s="28">
        <f t="shared" si="0"/>
        <v>5</v>
      </c>
      <c r="E41" s="27"/>
    </row>
    <row r="42" spans="2:5">
      <c r="B42" s="16" t="s">
        <v>41</v>
      </c>
      <c r="C42" s="28" t="s">
        <v>45</v>
      </c>
      <c r="D42" s="28">
        <f>SUMIF($B$4:$B$27,B42,$E$4:$E$27)</f>
        <v>4</v>
      </c>
      <c r="E42" s="27"/>
    </row>
    <row r="43" spans="2:5">
      <c r="B43" s="16" t="s">
        <v>30</v>
      </c>
      <c r="C43" s="28" t="s">
        <v>45</v>
      </c>
      <c r="D43" s="28">
        <f t="shared" ref="D43:D44" si="1">SUMIF($B$4:$B$27,B43,$E$4:$E$27)</f>
        <v>65</v>
      </c>
      <c r="E43" s="27"/>
    </row>
    <row r="44" spans="2:5">
      <c r="B44" s="16" t="s">
        <v>31</v>
      </c>
      <c r="C44" s="28" t="s">
        <v>45</v>
      </c>
      <c r="D44" s="28">
        <f t="shared" si="1"/>
        <v>392</v>
      </c>
      <c r="E44" s="27"/>
    </row>
    <row r="46" spans="2:5">
      <c r="C46" s="2"/>
      <c r="D46" s="2"/>
    </row>
    <row r="47" spans="2:5">
      <c r="C47" s="2"/>
      <c r="D47" s="2"/>
    </row>
    <row r="48" spans="2:5">
      <c r="C48" s="2"/>
      <c r="D48" s="2"/>
    </row>
    <row r="49" spans="3:4">
      <c r="C49" s="2"/>
      <c r="D49" s="2"/>
    </row>
    <row r="50" spans="3:4">
      <c r="C50" s="2"/>
      <c r="D50" s="2"/>
    </row>
  </sheetData>
  <mergeCells count="1">
    <mergeCell ref="B1:C1"/>
  </mergeCells>
  <printOptions horizontalCentered="1"/>
  <pageMargins left="0.11811023622047245" right="0.11811023622047245" top="0.15748031496062992" bottom="0.15748031496062992" header="0.31496062992125984" footer="0.31496062992125984"/>
  <pageSetup paperSize="8" scale="3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 Hotel Network</vt:lpstr>
      <vt:lpstr>Apartment Network </vt:lpstr>
      <vt:lpstr>Hotel wifi </vt:lpstr>
      <vt:lpstr>Apartment wifi </vt:lpstr>
      <vt:lpstr>' Hotel Network'!Print_Area</vt:lpstr>
      <vt:lpstr>'Apartment Network '!Print_Area</vt:lpstr>
      <vt:lpstr>'Apartment wifi '!Print_Area</vt:lpstr>
      <vt:lpstr>'Hotel wifi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DucNT</cp:lastModifiedBy>
  <cp:lastPrinted>2016-10-11T08:37:59Z</cp:lastPrinted>
  <dcterms:created xsi:type="dcterms:W3CDTF">2016-10-11T06:27:31Z</dcterms:created>
  <dcterms:modified xsi:type="dcterms:W3CDTF">2020-03-04T07:59:19Z</dcterms:modified>
</cp:coreProperties>
</file>