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RIVE INNOTEL\Báo giá\Hồng Quang Vinh\"/>
    </mc:Choice>
  </mc:AlternateContent>
  <xr:revisionPtr revIDLastSave="0" documentId="13_ncr:1_{6D56AAE9-B6BA-437E-A2A3-15AD63FA45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ISCO" sheetId="11" r:id="rId1"/>
    <sheet name="PAKD" sheetId="10" state="hidden" r:id="rId2"/>
  </sheets>
  <definedNames>
    <definedName name="_xlnm.Print_Area" localSheetId="0">CISCO!$A$1:$K$59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1" l="1"/>
  <c r="J11" i="11" s="1"/>
  <c r="K11" i="11" s="1"/>
  <c r="K7" i="11" l="1"/>
  <c r="K12" i="11" l="1"/>
  <c r="C28" i="10"/>
  <c r="D27" i="10"/>
  <c r="D24" i="10"/>
  <c r="D21" i="10"/>
  <c r="D19" i="10"/>
  <c r="D15" i="10"/>
  <c r="G7" i="10"/>
  <c r="E7" i="10" s="1"/>
  <c r="E5" i="10"/>
  <c r="E23" i="10" s="1"/>
  <c r="D23" i="10" s="1"/>
  <c r="E29" i="10" l="1"/>
  <c r="D29" i="10" s="1"/>
  <c r="E30" i="10"/>
  <c r="D30" i="10" s="1"/>
  <c r="E10" i="10"/>
  <c r="D10" i="10" s="1"/>
  <c r="E28" i="10"/>
  <c r="D28" i="10" s="1"/>
  <c r="E6" i="10"/>
  <c r="D6" i="10" s="1"/>
  <c r="E20" i="10"/>
  <c r="D7" i="10"/>
  <c r="E14" i="10"/>
  <c r="E12" i="10"/>
  <c r="D12" i="10" s="1"/>
  <c r="D5" i="10"/>
  <c r="E11" i="10"/>
  <c r="D11" i="10" s="1"/>
  <c r="E8" i="10"/>
  <c r="D8" i="10" l="1"/>
  <c r="E9" i="10"/>
  <c r="D9" i="10" s="1"/>
  <c r="E13" i="10"/>
  <c r="D14" i="10"/>
  <c r="E16" i="10"/>
  <c r="D20" i="10"/>
  <c r="C20" i="10"/>
  <c r="E18" i="10"/>
  <c r="D18" i="10" s="1"/>
  <c r="E17" i="10" l="1"/>
  <c r="D17" i="10" s="1"/>
  <c r="D16" i="10"/>
  <c r="E22" i="10"/>
  <c r="D22" i="10" s="1"/>
  <c r="E25" i="10"/>
  <c r="D25" i="10" l="1"/>
  <c r="G25" i="10"/>
  <c r="E31" i="10"/>
  <c r="E26" i="10"/>
  <c r="D26" i="10" s="1"/>
  <c r="E32" i="10" l="1"/>
  <c r="D32" i="10" s="1"/>
  <c r="D31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pvtrung</author>
  </authors>
  <commentList>
    <comment ref="B36" authorId="0" shapeId="0" xr:uid="{00000000-0006-0000-0100-000001000000}">
      <text>
        <r>
          <rPr>
            <b/>
            <sz val="8"/>
            <color rgb="FF000000"/>
            <rFont val="Tahoma"/>
            <family val="2"/>
          </rPr>
          <t>CBKD trực tiếp</t>
        </r>
        <r>
          <rPr>
            <sz val="8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<sst xmlns="http://schemas.openxmlformats.org/spreadsheetml/2006/main" count="115" uniqueCount="109">
  <si>
    <t>STT</t>
  </si>
  <si>
    <t>P/N</t>
  </si>
  <si>
    <t>QUOTATION</t>
  </si>
  <si>
    <t>No.</t>
  </si>
  <si>
    <t>Descriptions</t>
  </si>
  <si>
    <t>Q'ty</t>
  </si>
  <si>
    <t>Terms &amp; Conditions:</t>
  </si>
  <si>
    <t>Delivery time:</t>
  </si>
  <si>
    <t>Warranty:</t>
  </si>
  <si>
    <t>Billing information:</t>
  </si>
  <si>
    <t>Account Information:</t>
  </si>
  <si>
    <t>Penalty for Breach of Contract:</t>
  </si>
  <si>
    <t>Please contact us if you need any further clarification</t>
  </si>
  <si>
    <t>ORDER CONFIRMATION</t>
  </si>
  <si>
    <t>This confirmation takes effect from the date of signing.</t>
  </si>
  <si>
    <t>Purchase confirmed by</t>
  </si>
  <si>
    <t>(Signature &amp; company stamp)</t>
  </si>
  <si>
    <t>Name/Title:</t>
  </si>
  <si>
    <t>- Late Payment: The Purchaser shall pay the Supplier a penalty of 0.1% of the unpaid amount per day, counting from the payment date scheduled in the Quotation to the actual date of payment.</t>
  </si>
  <si>
    <t>Thank you very much for your business opportunity with us on this requirement, we are pleased to submit you the quotation as follows:</t>
  </si>
  <si>
    <t>Goods condition: 100% new guarantee</t>
  </si>
  <si>
    <t>Phase 1: 30% of the value of the total amount will be paid  in (VND) within 7 days after the customer confirm the order</t>
  </si>
  <si>
    <t>- Late Delivery: The Supplier shall pay the Purchaser a penalty of 0.1% of the total value of the delayed goods per day, counting from the delivery date scheduled in the Quotation to the actual date of delivery. The total penalty shall not exceed 8% of the Quotation value.</t>
  </si>
  <si>
    <t>We hope you will find our prices and terms satisfactory and expecting your order as soon aspossible.</t>
  </si>
  <si>
    <t xml:space="preserve">   Yours sincerely,</t>
  </si>
  <si>
    <t xml:space="preserve">This Quotation take effect from the date of signing. Order confirmation term: within 15 days after the Quotation signing date. </t>
  </si>
  <si>
    <r>
      <t>Mã vụ việc</t>
    </r>
    <r>
      <rPr>
        <b/>
        <sz val="10"/>
        <rFont val="Arial"/>
        <family val="2"/>
      </rPr>
      <t xml:space="preserve">: </t>
    </r>
  </si>
  <si>
    <r>
      <rPr>
        <b/>
        <u/>
        <sz val="10"/>
        <rFont val="Arial"/>
        <family val="2"/>
      </rPr>
      <t>Cán bộ KD</t>
    </r>
    <r>
      <rPr>
        <b/>
        <sz val="10"/>
        <rFont val="Arial"/>
        <family val="2"/>
      </rPr>
      <t xml:space="preserve">: </t>
    </r>
  </si>
  <si>
    <t xml:space="preserve">TTKD:  </t>
  </si>
  <si>
    <t xml:space="preserve">Tỷ giá: </t>
  </si>
  <si>
    <t>Chỉ tiêu</t>
  </si>
  <si>
    <t>Tỷ lệ</t>
  </si>
  <si>
    <t>Dự toán USD</t>
  </si>
  <si>
    <t>Dự toán VND</t>
  </si>
  <si>
    <t>Ghi chú</t>
  </si>
  <si>
    <t xml:space="preserve">Tổng doanh thu </t>
  </si>
  <si>
    <t>Tổng biến phí</t>
  </si>
  <si>
    <t>Giá vốn hàng bán</t>
  </si>
  <si>
    <t>Giá vốn vật tư</t>
  </si>
  <si>
    <t>Giá vốn vật tư phụ</t>
  </si>
  <si>
    <t>Chi phí triển khai bằng tiền</t>
  </si>
  <si>
    <t>-</t>
  </si>
  <si>
    <t>Chi phí nhân công triển khai</t>
  </si>
  <si>
    <t>Chi phí duy trì NLCN</t>
  </si>
  <si>
    <t>Chi phí BH</t>
  </si>
  <si>
    <t>Trong thành phố</t>
  </si>
  <si>
    <t>Ngoại tỉnh</t>
  </si>
  <si>
    <t>Lãi gộp sau biến phí</t>
  </si>
  <si>
    <t>Phụ thuộc từng TT</t>
  </si>
  <si>
    <t>Tỷ lệ lãi gộp/ Doanh thu</t>
  </si>
  <si>
    <t>Tổng chi phí</t>
  </si>
  <si>
    <t>Số ngày triển khai</t>
  </si>
  <si>
    <t>Chi phí tài chính thực tế (tỉ lệ theo doanh thu)</t>
  </si>
  <si>
    <t>Chi phí TC 9.5%/1 năm</t>
  </si>
  <si>
    <t>Chi phí Marketing</t>
  </si>
  <si>
    <t>Phụ  thuộc từng TT</t>
  </si>
  <si>
    <t>Chi phí tư vấn</t>
  </si>
  <si>
    <t>Chi phí khác</t>
  </si>
  <si>
    <t>Lãi thuần dự án</t>
  </si>
  <si>
    <t>Tỷ lệ lãi thuần/ Doanh thu</t>
  </si>
  <si>
    <r>
      <t xml:space="preserve">LTDA </t>
    </r>
    <r>
      <rPr>
        <b/>
        <sz val="10"/>
        <rFont val="Calibri"/>
        <family val="2"/>
      </rPr>
      <t>≥</t>
    </r>
    <r>
      <rPr>
        <b/>
        <sz val="10"/>
        <rFont val="Arial"/>
        <family val="2"/>
      </rPr>
      <t xml:space="preserve"> GVVT</t>
    </r>
  </si>
  <si>
    <t xml:space="preserve">Tổng Chi phí phân bổ </t>
  </si>
  <si>
    <t>Chi phí hoạt động TT</t>
  </si>
  <si>
    <t>Chi phí văn phòng phân bổ  (KhốiBacOffice)</t>
  </si>
  <si>
    <t>Lãi trước thuế</t>
  </si>
  <si>
    <t>Tỷ lệ lãi trước thuế/ Doanh thu</t>
  </si>
  <si>
    <t xml:space="preserve"> Ngày 03 tháng 11 năm 2016</t>
  </si>
  <si>
    <t xml:space="preserve">       Người lập                         </t>
  </si>
  <si>
    <t>Kiểm tra</t>
  </si>
  <si>
    <t>Phê duyệt PAKD</t>
  </si>
  <si>
    <t>Valid in 14 days</t>
  </si>
  <si>
    <t xml:space="preserve">Billing recipient email: </t>
  </si>
  <si>
    <t>Attn:</t>
  </si>
  <si>
    <t xml:space="preserve">Customer: </t>
  </si>
  <si>
    <t xml:space="preserve">Add: </t>
  </si>
  <si>
    <t>VND Account: 17058209 (VND)</t>
  </si>
  <si>
    <t>On behalf of Innotel</t>
  </si>
  <si>
    <t xml:space="preserve">Tax code: </t>
  </si>
  <si>
    <t>Date:</t>
  </si>
  <si>
    <t>Unit price
(vnđ)</t>
  </si>
  <si>
    <t>Total after VAT (vnđ)</t>
  </si>
  <si>
    <t>Amount 
(vnđ)</t>
  </si>
  <si>
    <t>Warranty site: INNOTEL COMPANY</t>
  </si>
  <si>
    <t>Note: This quotation is for delivery only.</t>
  </si>
  <si>
    <t>Imported goods: ETA is 06-08 weeks from the date the customer confirms the order according to Quotation</t>
  </si>
  <si>
    <t>Grand 
name</t>
  </si>
  <si>
    <t>Lead Time</t>
  </si>
  <si>
    <t>TOTAL INCLUDED VAT 8%(VND)</t>
  </si>
  <si>
    <t>NGUYEN NGA</t>
  </si>
  <si>
    <t>Moblie: 0938991296</t>
  </si>
  <si>
    <t>VAT 8%</t>
  </si>
  <si>
    <t>2-3 ngày</t>
  </si>
  <si>
    <t>Warranty terms: Warranty according to manufacturer's standards</t>
  </si>
  <si>
    <t>Domestic goods: 2-3 days from the date the customer confirms the order according to Quotation</t>
  </si>
  <si>
    <t>NGUYỄN NGÀ</t>
  </si>
  <si>
    <r>
      <rPr>
        <b/>
        <sz val="14"/>
        <color theme="1"/>
        <rFont val="Arial"/>
        <family val="2"/>
      </rPr>
      <t>THUAN PHONG INNOVATIVE TELECOMMUNICATION CO., LTD.</t>
    </r>
    <r>
      <rPr>
        <sz val="14"/>
        <color theme="1"/>
        <rFont val="Arial"/>
        <family val="2"/>
      </rPr>
      <t xml:space="preserve">
Head Office: 55/31Tran Dinh Xu Street, 1 District, HCMC
Branch office: No 52 Chua Ha St., Cau Giay Dist., Ha Noi City
Website: http://www.innotel.com.vn            Email:nga. nguyen@innotel.com.vn
Tel: (84 028) 38621119.                      Fax: (84 028) 38630366.
</t>
    </r>
  </si>
  <si>
    <r>
      <t>To</t>
    </r>
    <r>
      <rPr>
        <b/>
        <i/>
        <sz val="18"/>
        <color theme="1"/>
        <rFont val="Arial"/>
        <family val="2"/>
      </rPr>
      <t xml:space="preserve">:  </t>
    </r>
  </si>
  <si>
    <r>
      <t>Add</t>
    </r>
    <r>
      <rPr>
        <b/>
        <i/>
        <sz val="18"/>
        <color theme="1"/>
        <rFont val="Arial"/>
        <family val="2"/>
      </rPr>
      <t xml:space="preserve">:      </t>
    </r>
  </si>
  <si>
    <r>
      <t>Payment term:</t>
    </r>
    <r>
      <rPr>
        <sz val="14"/>
        <color theme="1"/>
        <rFont val="Arial"/>
        <family val="2"/>
      </rPr>
      <t xml:space="preserve"> </t>
    </r>
  </si>
  <si>
    <r>
      <t xml:space="preserve">Benificiary: </t>
    </r>
    <r>
      <rPr>
        <b/>
        <i/>
        <sz val="14"/>
        <color theme="1"/>
        <rFont val="Arial"/>
        <family val="2"/>
      </rPr>
      <t>CÔNG TY TNHH VIỄN THÔNG SÁNG TẠO THUẬN PHONG</t>
    </r>
  </si>
  <si>
    <r>
      <t xml:space="preserve">At: </t>
    </r>
    <r>
      <rPr>
        <b/>
        <i/>
        <sz val="14"/>
        <color theme="1"/>
        <rFont val="Arial"/>
        <family val="2"/>
      </rPr>
      <t>Ngân hàng Thương Mại Cổ Phần Á Châu (ACB) - Chi nhánh Hồ Chí Minh</t>
    </r>
  </si>
  <si>
    <r>
      <t>By signing this Quotation, We agree to buy and confirm the quantity, price and all the terms and conditions in this Quotation. Rights and obligations of Innotel and</t>
    </r>
    <r>
      <rPr>
        <b/>
        <sz val="14"/>
        <color theme="1"/>
        <rFont val="Arial"/>
        <family val="2"/>
      </rPr>
      <t xml:space="preserve"> Kingfisher arise</t>
    </r>
    <r>
      <rPr>
        <sz val="14"/>
        <color theme="1"/>
        <rFont val="Arial"/>
        <family val="2"/>
      </rPr>
      <t xml:space="preserve"> from the effective date of order confirmation.</t>
    </r>
  </si>
  <si>
    <t>CÔNG TY TNHH THƯƠNG MẠI HỒNG QUANG VINH</t>
  </si>
  <si>
    <t>156/3/1 Đường Vườn Lài, Khu phố 2, Phường An Phú Đông, TP Hồ Chí Minh, Việt Nam</t>
  </si>
  <si>
    <t>Mr Quang</t>
  </si>
  <si>
    <t>CBS110-16T-EU</t>
  </si>
  <si>
    <t>CBS110 Unmanaged 16-port GE</t>
  </si>
  <si>
    <t>CISCO</t>
  </si>
  <si>
    <t xml:space="preserve"> Pay 100% upon before receipt of goods.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</si>
</sst>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5" formatCode="&quot;$&quot;#,##0_);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True&quot;;&quot;True&quot;;&quot;False&quot;"/>
    <numFmt numFmtId="165" formatCode="_(* #,##0_);_(* \(#,##0\);_(* &quot;-&quot;??_);_(@_)"/>
    <numFmt numFmtId="166" formatCode="&quot;$&quot;#,##0"/>
    <numFmt numFmtId="167" formatCode="#,##0.000"/>
    <numFmt numFmtId="168" formatCode="#,##0.0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63"/>
      <scheme val="minor"/>
    </font>
    <font>
      <sz val="10"/>
      <name val="MS Sans Serif"/>
      <family val="2"/>
    </font>
    <font>
      <sz val="9"/>
      <name val=".VnTime"/>
      <family val="2"/>
    </font>
    <font>
      <u/>
      <sz val="10"/>
      <color indexed="12"/>
      <name val="Arial"/>
      <family val="2"/>
    </font>
    <font>
      <sz val="10"/>
      <name val=".VnTime"/>
      <family val="2"/>
    </font>
    <font>
      <sz val="10"/>
      <name val="Arial"/>
      <family val="2"/>
      <charset val="163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name val="Calibri"/>
      <family val="2"/>
    </font>
    <font>
      <i/>
      <sz val="10"/>
      <name val="Arial"/>
      <family val="2"/>
    </font>
    <font>
      <sz val="10"/>
      <name val="Helv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b/>
      <i/>
      <sz val="11"/>
      <color rgb="FFFF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26"/>
      <color theme="1"/>
      <name val="Arial"/>
      <family val="2"/>
    </font>
    <font>
      <b/>
      <i/>
      <u/>
      <sz val="18"/>
      <color theme="1"/>
      <name val="Arial"/>
      <family val="2"/>
    </font>
    <font>
      <b/>
      <i/>
      <sz val="18"/>
      <color theme="1"/>
      <name val="Arial"/>
      <family val="2"/>
    </font>
    <font>
      <b/>
      <sz val="18"/>
      <name val="Times New Roman"/>
      <family val="1"/>
    </font>
    <font>
      <b/>
      <sz val="18"/>
      <color theme="1"/>
      <name val="Arial"/>
      <family val="2"/>
    </font>
    <font>
      <sz val="18"/>
      <color theme="1"/>
      <name val="Arial"/>
      <family val="2"/>
    </font>
    <font>
      <sz val="18"/>
      <color theme="1"/>
      <name val="Times New Roman"/>
      <family val="1"/>
    </font>
    <font>
      <i/>
      <sz val="18"/>
      <color theme="1"/>
      <name val="Arial"/>
      <family val="2"/>
    </font>
    <font>
      <u/>
      <sz val="18"/>
      <color theme="10"/>
      <name val="Calibri"/>
      <family val="2"/>
      <scheme val="minor"/>
    </font>
    <font>
      <i/>
      <u/>
      <sz val="18"/>
      <color theme="1"/>
      <name val="Arial"/>
      <family val="2"/>
    </font>
    <font>
      <i/>
      <u/>
      <sz val="14"/>
      <color theme="1"/>
      <name val="Arial"/>
      <family val="2"/>
    </font>
    <font>
      <b/>
      <sz val="14"/>
      <color rgb="FFFF0000"/>
      <name val="Arial"/>
      <family val="2"/>
    </font>
    <font>
      <b/>
      <u/>
      <sz val="14"/>
      <color theme="1"/>
      <name val="Arial"/>
      <family val="2"/>
    </font>
    <font>
      <b/>
      <i/>
      <sz val="14"/>
      <color theme="1"/>
      <name val="Arial"/>
      <family val="2"/>
    </font>
    <font>
      <i/>
      <sz val="14"/>
      <color theme="1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4">
    <xf numFmtId="0" fontId="0" fillId="0" borderId="0"/>
    <xf numFmtId="0" fontId="2" fillId="0" borderId="0"/>
    <xf numFmtId="0" fontId="3" fillId="0" borderId="0"/>
    <xf numFmtId="0" fontId="4" fillId="0" borderId="0"/>
    <xf numFmtId="0" fontId="5" fillId="0" borderId="2">
      <alignment horizontal="left" vertical="center"/>
    </xf>
    <xf numFmtId="0" fontId="4" fillId="0" borderId="0"/>
    <xf numFmtId="5" fontId="7" fillId="0" borderId="2">
      <alignment horizontal="left" vertical="top"/>
    </xf>
    <xf numFmtId="44" fontId="8" fillId="0" borderId="0" applyFont="0" applyFill="0" applyBorder="0" applyAlignment="0" applyProtection="0"/>
    <xf numFmtId="5" fontId="2" fillId="0" borderId="0" applyFill="0" applyBorder="0" applyAlignment="0" applyProtection="0"/>
    <xf numFmtId="0" fontId="4" fillId="0" borderId="0"/>
    <xf numFmtId="0" fontId="6" fillId="0" borderId="0" applyNumberFormat="0" applyFill="0" applyBorder="0" applyAlignment="0" applyProtection="0"/>
    <xf numFmtId="0" fontId="8" fillId="0" borderId="0"/>
    <xf numFmtId="9" fontId="2" fillId="0" borderId="0" applyFont="0" applyFill="0" applyBorder="0" applyAlignment="0" applyProtection="0"/>
    <xf numFmtId="167" fontId="2" fillId="0" borderId="0" applyFill="0" applyBorder="0" applyAlignment="0" applyProtection="0"/>
    <xf numFmtId="9" fontId="2" fillId="0" borderId="0" applyFill="0" applyBorder="0" applyAlignment="0" applyProtection="0"/>
    <xf numFmtId="43" fontId="2" fillId="0" borderId="0" applyFont="0" applyFill="0" applyBorder="0" applyAlignment="0" applyProtection="0"/>
    <xf numFmtId="168" fontId="7" fillId="0" borderId="3">
      <alignment horizontal="left" vertical="top"/>
    </xf>
    <xf numFmtId="164" fontId="7" fillId="0" borderId="3">
      <alignment horizontal="left" vertical="top"/>
    </xf>
    <xf numFmtId="0" fontId="13" fillId="0" borderId="0" applyNumberForma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82">
    <xf numFmtId="0" fontId="0" fillId="0" borderId="0" xfId="0"/>
    <xf numFmtId="0" fontId="9" fillId="0" borderId="0" xfId="0" applyFont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vertical="center"/>
    </xf>
    <xf numFmtId="0" fontId="9" fillId="2" borderId="0" xfId="0" applyFont="1" applyFill="1" applyAlignment="1">
      <alignment horizontal="right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1" fontId="12" fillId="0" borderId="0" xfId="4" applyNumberFormat="1" applyFont="1" applyBorder="1" applyAlignment="1">
      <alignment horizontal="right" vertical="center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right" vertical="center"/>
    </xf>
    <xf numFmtId="0" fontId="2" fillId="0" borderId="0" xfId="20" applyAlignment="1" applyProtection="1">
      <alignment horizontal="center" vertical="center"/>
      <protection locked="0"/>
    </xf>
    <xf numFmtId="0" fontId="15" fillId="0" borderId="0" xfId="20" applyFont="1" applyAlignment="1" applyProtection="1">
      <alignment vertical="center"/>
      <protection locked="0"/>
    </xf>
    <xf numFmtId="3" fontId="15" fillId="0" borderId="0" xfId="20" applyNumberFormat="1" applyFont="1" applyAlignment="1" applyProtection="1">
      <alignment vertical="center"/>
      <protection locked="0"/>
    </xf>
    <xf numFmtId="165" fontId="15" fillId="0" borderId="0" xfId="15" applyNumberFormat="1" applyFont="1" applyAlignment="1" applyProtection="1">
      <alignment vertical="center"/>
      <protection locked="0"/>
    </xf>
    <xf numFmtId="0" fontId="2" fillId="0" borderId="0" xfId="20" applyAlignment="1" applyProtection="1">
      <alignment vertical="center"/>
      <protection locked="0"/>
    </xf>
    <xf numFmtId="165" fontId="2" fillId="0" borderId="0" xfId="15" applyNumberFormat="1" applyFont="1" applyAlignment="1" applyProtection="1">
      <alignment vertical="center"/>
      <protection locked="0"/>
    </xf>
    <xf numFmtId="0" fontId="14" fillId="0" borderId="0" xfId="20" applyFont="1" applyAlignment="1" applyProtection="1">
      <alignment vertical="center"/>
      <protection locked="0"/>
    </xf>
    <xf numFmtId="43" fontId="2" fillId="0" borderId="0" xfId="15" applyFont="1" applyAlignment="1" applyProtection="1">
      <alignment vertical="center"/>
      <protection locked="0"/>
    </xf>
    <xf numFmtId="0" fontId="14" fillId="5" borderId="0" xfId="20" applyFont="1" applyFill="1" applyAlignment="1" applyProtection="1">
      <alignment vertical="center"/>
      <protection locked="0"/>
    </xf>
    <xf numFmtId="165" fontId="14" fillId="5" borderId="0" xfId="15" applyNumberFormat="1" applyFont="1" applyFill="1" applyAlignment="1" applyProtection="1">
      <alignment horizontal="left" vertical="center"/>
      <protection locked="0"/>
    </xf>
    <xf numFmtId="165" fontId="2" fillId="0" borderId="0" xfId="15" applyNumberFormat="1" applyFont="1" applyAlignment="1" applyProtection="1">
      <alignment horizontal="right" vertical="center"/>
      <protection locked="0"/>
    </xf>
    <xf numFmtId="0" fontId="14" fillId="6" borderId="5" xfId="20" applyFont="1" applyFill="1" applyBorder="1" applyAlignment="1" applyProtection="1">
      <alignment horizontal="center" vertical="center"/>
      <protection locked="0"/>
    </xf>
    <xf numFmtId="0" fontId="14" fillId="6" borderId="5" xfId="20" applyFont="1" applyFill="1" applyBorder="1" applyAlignment="1" applyProtection="1">
      <alignment horizontal="center" vertical="center" wrapText="1"/>
      <protection locked="0"/>
    </xf>
    <xf numFmtId="165" fontId="14" fillId="6" borderId="5" xfId="15" applyNumberFormat="1" applyFont="1" applyFill="1" applyBorder="1" applyAlignment="1" applyProtection="1">
      <alignment horizontal="center" vertical="center" wrapText="1"/>
      <protection locked="0"/>
    </xf>
    <xf numFmtId="165" fontId="14" fillId="6" borderId="5" xfId="15" applyNumberFormat="1" applyFont="1" applyFill="1" applyBorder="1" applyAlignment="1" applyProtection="1">
      <alignment horizontal="center" vertical="center"/>
      <protection locked="0"/>
    </xf>
    <xf numFmtId="10" fontId="2" fillId="0" borderId="0" xfId="21" applyNumberFormat="1" applyFont="1" applyAlignment="1" applyProtection="1">
      <alignment horizontal="right" vertical="center"/>
      <protection locked="0"/>
    </xf>
    <xf numFmtId="0" fontId="14" fillId="7" borderId="6" xfId="20" applyFont="1" applyFill="1" applyBorder="1" applyAlignment="1" applyProtection="1">
      <alignment horizontal="center" vertical="center" wrapText="1"/>
      <protection locked="0"/>
    </xf>
    <xf numFmtId="0" fontId="14" fillId="7" borderId="6" xfId="20" applyFont="1" applyFill="1" applyBorder="1" applyAlignment="1" applyProtection="1">
      <alignment vertical="center" wrapText="1"/>
      <protection locked="0"/>
    </xf>
    <xf numFmtId="43" fontId="14" fillId="7" borderId="6" xfId="15" applyFont="1" applyFill="1" applyBorder="1" applyAlignment="1" applyProtection="1">
      <alignment vertical="center" wrapText="1"/>
      <protection locked="0"/>
    </xf>
    <xf numFmtId="3" fontId="14" fillId="7" borderId="6" xfId="0" applyNumberFormat="1" applyFont="1" applyFill="1" applyBorder="1" applyAlignment="1" applyProtection="1">
      <alignment horizontal="right" vertical="center"/>
      <protection locked="0"/>
    </xf>
    <xf numFmtId="3" fontId="14" fillId="7" borderId="6" xfId="0" applyNumberFormat="1" applyFont="1" applyFill="1" applyBorder="1" applyAlignment="1" applyProtection="1">
      <alignment horizontal="left" vertical="center"/>
      <protection locked="0"/>
    </xf>
    <xf numFmtId="0" fontId="2" fillId="0" borderId="0" xfId="20" applyAlignment="1" applyProtection="1">
      <alignment vertical="center" wrapText="1"/>
      <protection locked="0"/>
    </xf>
    <xf numFmtId="165" fontId="2" fillId="0" borderId="0" xfId="15" applyNumberFormat="1" applyFont="1" applyAlignment="1" applyProtection="1">
      <alignment vertical="center" wrapText="1"/>
      <protection locked="0"/>
    </xf>
    <xf numFmtId="0" fontId="2" fillId="0" borderId="6" xfId="20" applyBorder="1" applyAlignment="1" applyProtection="1">
      <alignment horizontal="center" vertical="center" wrapText="1"/>
      <protection locked="0"/>
    </xf>
    <xf numFmtId="0" fontId="2" fillId="0" borderId="6" xfId="20" applyBorder="1" applyAlignment="1" applyProtection="1">
      <alignment vertical="center" wrapText="1"/>
      <protection locked="0"/>
    </xf>
    <xf numFmtId="165" fontId="14" fillId="0" borderId="6" xfId="15" applyNumberFormat="1" applyFont="1" applyFill="1" applyBorder="1" applyAlignment="1" applyProtection="1">
      <alignment horizontal="right" vertical="center" wrapText="1"/>
      <protection locked="0"/>
    </xf>
    <xf numFmtId="165" fontId="14" fillId="0" borderId="6" xfId="15" applyNumberFormat="1" applyFont="1" applyFill="1" applyBorder="1" applyAlignment="1" applyProtection="1">
      <alignment vertical="center" wrapText="1"/>
      <protection locked="0"/>
    </xf>
    <xf numFmtId="43" fontId="2" fillId="0" borderId="0" xfId="20" applyNumberFormat="1" applyAlignment="1" applyProtection="1">
      <alignment vertical="center" wrapText="1"/>
      <protection locked="0"/>
    </xf>
    <xf numFmtId="0" fontId="2" fillId="0" borderId="6" xfId="20" applyBorder="1" applyAlignment="1" applyProtection="1">
      <alignment horizontal="left" vertical="center" wrapText="1"/>
      <protection locked="0"/>
    </xf>
    <xf numFmtId="10" fontId="2" fillId="0" borderId="6" xfId="20" applyNumberFormat="1" applyBorder="1" applyAlignment="1" applyProtection="1">
      <alignment vertical="center" wrapText="1"/>
      <protection locked="0"/>
    </xf>
    <xf numFmtId="165" fontId="2" fillId="0" borderId="6" xfId="15" applyNumberFormat="1" applyFont="1" applyFill="1" applyBorder="1" applyAlignment="1" applyProtection="1">
      <alignment horizontal="right" vertical="center" wrapText="1"/>
      <protection locked="0"/>
    </xf>
    <xf numFmtId="43" fontId="2" fillId="0" borderId="6" xfId="15" applyFont="1" applyFill="1" applyBorder="1" applyAlignment="1" applyProtection="1">
      <alignment vertical="center" wrapText="1"/>
      <protection locked="0"/>
    </xf>
    <xf numFmtId="3" fontId="14" fillId="0" borderId="6" xfId="0" applyNumberFormat="1" applyFont="1" applyBorder="1" applyAlignment="1" applyProtection="1">
      <alignment horizontal="right" vertical="center"/>
      <protection locked="0"/>
    </xf>
    <xf numFmtId="0" fontId="14" fillId="8" borderId="6" xfId="20" applyFont="1" applyFill="1" applyBorder="1" applyAlignment="1" applyProtection="1">
      <alignment horizontal="center" vertical="center" wrapText="1"/>
      <protection locked="0"/>
    </xf>
    <xf numFmtId="0" fontId="14" fillId="8" borderId="6" xfId="20" applyFont="1" applyFill="1" applyBorder="1" applyAlignment="1" applyProtection="1">
      <alignment vertical="center" wrapText="1"/>
      <protection locked="0"/>
    </xf>
    <xf numFmtId="10" fontId="14" fillId="8" borderId="6" xfId="20" applyNumberFormat="1" applyFont="1" applyFill="1" applyBorder="1" applyAlignment="1" applyProtection="1">
      <alignment vertical="center" wrapText="1"/>
      <protection locked="0"/>
    </xf>
    <xf numFmtId="165" fontId="14" fillId="8" borderId="6" xfId="15" applyNumberFormat="1" applyFont="1" applyFill="1" applyBorder="1" applyAlignment="1" applyProtection="1">
      <alignment horizontal="right" vertical="center" wrapText="1"/>
      <protection locked="0"/>
    </xf>
    <xf numFmtId="165" fontId="14" fillId="9" borderId="6" xfId="15" applyNumberFormat="1" applyFont="1" applyFill="1" applyBorder="1" applyAlignment="1" applyProtection="1">
      <alignment vertical="center" wrapText="1"/>
      <protection locked="0"/>
    </xf>
    <xf numFmtId="0" fontId="14" fillId="0" borderId="0" xfId="20" applyFont="1" applyAlignment="1" applyProtection="1">
      <alignment vertical="center" wrapText="1"/>
      <protection locked="0"/>
    </xf>
    <xf numFmtId="165" fontId="14" fillId="0" borderId="0" xfId="15" applyNumberFormat="1" applyFont="1" applyFill="1" applyAlignment="1" applyProtection="1">
      <alignment vertical="center" wrapText="1"/>
      <protection locked="0"/>
    </xf>
    <xf numFmtId="0" fontId="2" fillId="0" borderId="6" xfId="20" applyBorder="1" applyAlignment="1" applyProtection="1">
      <alignment horizontal="left" vertical="center" wrapText="1" indent="2"/>
      <protection locked="0"/>
    </xf>
    <xf numFmtId="3" fontId="2" fillId="0" borderId="6" xfId="0" applyNumberFormat="1" applyFont="1" applyBorder="1" applyAlignment="1" applyProtection="1">
      <alignment horizontal="right" vertical="center"/>
      <protection locked="0"/>
    </xf>
    <xf numFmtId="165" fontId="2" fillId="0" borderId="6" xfId="15" applyNumberFormat="1" applyFont="1" applyFill="1" applyBorder="1" applyAlignment="1" applyProtection="1">
      <alignment vertical="center" wrapText="1"/>
      <protection locked="0"/>
    </xf>
    <xf numFmtId="10" fontId="14" fillId="7" borderId="6" xfId="21" applyNumberFormat="1" applyFont="1" applyFill="1" applyBorder="1" applyAlignment="1" applyProtection="1">
      <alignment vertical="center" wrapText="1"/>
      <protection locked="0"/>
    </xf>
    <xf numFmtId="165" fontId="14" fillId="7" borderId="6" xfId="15" applyNumberFormat="1" applyFont="1" applyFill="1" applyBorder="1" applyAlignment="1" applyProtection="1">
      <alignment horizontal="right" vertical="center" wrapText="1"/>
      <protection locked="0"/>
    </xf>
    <xf numFmtId="0" fontId="2" fillId="7" borderId="6" xfId="20" applyFill="1" applyBorder="1" applyAlignment="1" applyProtection="1">
      <alignment horizontal="center" vertical="center" wrapText="1"/>
      <protection locked="0"/>
    </xf>
    <xf numFmtId="0" fontId="2" fillId="7" borderId="6" xfId="20" applyFill="1" applyBorder="1" applyAlignment="1" applyProtection="1">
      <alignment vertical="center" wrapText="1"/>
      <protection locked="0"/>
    </xf>
    <xf numFmtId="10" fontId="14" fillId="7" borderId="6" xfId="15" applyNumberFormat="1" applyFont="1" applyFill="1" applyBorder="1" applyAlignment="1" applyProtection="1">
      <alignment horizontal="right" vertical="center" wrapText="1"/>
      <protection locked="0"/>
    </xf>
    <xf numFmtId="165" fontId="14" fillId="7" borderId="6" xfId="15" applyNumberFormat="1" applyFont="1" applyFill="1" applyBorder="1" applyAlignment="1" applyProtection="1">
      <alignment vertical="center" wrapText="1"/>
      <protection locked="0"/>
    </xf>
    <xf numFmtId="165" fontId="2" fillId="0" borderId="0" xfId="20" applyNumberFormat="1" applyAlignment="1" applyProtection="1">
      <alignment vertical="center" wrapText="1"/>
      <protection locked="0"/>
    </xf>
    <xf numFmtId="165" fontId="2" fillId="0" borderId="0" xfId="15" applyNumberFormat="1" applyFont="1" applyFill="1" applyAlignment="1" applyProtection="1">
      <alignment vertical="center" wrapText="1"/>
      <protection locked="0"/>
    </xf>
    <xf numFmtId="10" fontId="14" fillId="7" borderId="6" xfId="20" applyNumberFormat="1" applyFont="1" applyFill="1" applyBorder="1" applyAlignment="1" applyProtection="1">
      <alignment vertical="center" wrapText="1"/>
      <protection locked="0"/>
    </xf>
    <xf numFmtId="0" fontId="14" fillId="0" borderId="6" xfId="20" applyFont="1" applyBorder="1" applyAlignment="1" applyProtection="1">
      <alignment horizontal="center" vertical="center" wrapText="1"/>
      <protection locked="0"/>
    </xf>
    <xf numFmtId="10" fontId="14" fillId="0" borderId="6" xfId="20" applyNumberFormat="1" applyFont="1" applyBorder="1" applyAlignment="1" applyProtection="1">
      <alignment vertical="center" wrapText="1"/>
      <protection locked="0"/>
    </xf>
    <xf numFmtId="165" fontId="2" fillId="0" borderId="6" xfId="15" quotePrefix="1" applyNumberFormat="1" applyFont="1" applyFill="1" applyBorder="1" applyAlignment="1" applyProtection="1">
      <alignment vertical="center" wrapText="1"/>
      <protection locked="0"/>
    </xf>
    <xf numFmtId="10" fontId="2" fillId="0" borderId="6" xfId="21" applyNumberFormat="1" applyFont="1" applyFill="1" applyBorder="1" applyAlignment="1" applyProtection="1">
      <alignment horizontal="right" vertical="center" wrapText="1"/>
      <protection locked="0"/>
    </xf>
    <xf numFmtId="0" fontId="17" fillId="0" borderId="0" xfId="20" applyFont="1" applyAlignment="1" applyProtection="1">
      <alignment vertical="center"/>
      <protection locked="0"/>
    </xf>
    <xf numFmtId="165" fontId="17" fillId="0" borderId="0" xfId="15" applyNumberFormat="1" applyFont="1" applyBorder="1" applyAlignment="1" applyProtection="1">
      <alignment vertical="center"/>
      <protection locked="0"/>
    </xf>
    <xf numFmtId="0" fontId="2" fillId="7" borderId="7" xfId="20" applyFill="1" applyBorder="1" applyAlignment="1" applyProtection="1">
      <alignment horizontal="center" vertical="center" wrapText="1"/>
      <protection locked="0"/>
    </xf>
    <xf numFmtId="0" fontId="14" fillId="7" borderId="7" xfId="20" applyFont="1" applyFill="1" applyBorder="1" applyAlignment="1" applyProtection="1">
      <alignment vertical="center" wrapText="1"/>
      <protection locked="0"/>
    </xf>
    <xf numFmtId="0" fontId="2" fillId="7" borderId="7" xfId="20" applyFill="1" applyBorder="1" applyAlignment="1" applyProtection="1">
      <alignment vertical="center" wrapText="1"/>
      <protection locked="0"/>
    </xf>
    <xf numFmtId="10" fontId="14" fillId="7" borderId="7" xfId="15" applyNumberFormat="1" applyFont="1" applyFill="1" applyBorder="1" applyAlignment="1" applyProtection="1">
      <alignment horizontal="right" vertical="center" wrapText="1"/>
      <protection locked="0"/>
    </xf>
    <xf numFmtId="165" fontId="14" fillId="7" borderId="7" xfId="15" applyNumberFormat="1" applyFont="1" applyFill="1" applyBorder="1" applyAlignment="1" applyProtection="1">
      <alignment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165" fontId="18" fillId="0" borderId="0" xfId="15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right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right" vertical="center"/>
      <protection locked="0"/>
    </xf>
    <xf numFmtId="0" fontId="17" fillId="0" borderId="0" xfId="20" applyFont="1" applyAlignment="1">
      <alignment horizontal="left" vertical="center"/>
    </xf>
    <xf numFmtId="165" fontId="17" fillId="0" borderId="0" xfId="15" applyNumberFormat="1" applyFont="1" applyBorder="1" applyAlignment="1" applyProtection="1">
      <alignment horizontal="left" vertical="center"/>
    </xf>
    <xf numFmtId="0" fontId="2" fillId="0" borderId="0" xfId="20" applyAlignment="1">
      <alignment vertical="center"/>
    </xf>
    <xf numFmtId="0" fontId="17" fillId="0" borderId="0" xfId="20" applyFont="1" applyAlignment="1" applyProtection="1">
      <alignment horizontal="right" vertical="center"/>
      <protection locked="0"/>
    </xf>
    <xf numFmtId="0" fontId="14" fillId="0" borderId="0" xfId="0" applyFont="1" applyAlignment="1">
      <alignment vertical="center"/>
    </xf>
    <xf numFmtId="0" fontId="14" fillId="0" borderId="0" xfId="20" applyFont="1" applyAlignment="1">
      <alignment horizontal="center" vertical="center"/>
    </xf>
    <xf numFmtId="165" fontId="14" fillId="0" borderId="0" xfId="15" applyNumberFormat="1" applyFont="1" applyAlignment="1" applyProtection="1">
      <alignment horizontal="center" vertical="center"/>
    </xf>
    <xf numFmtId="0" fontId="1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15" applyNumberFormat="1" applyFont="1" applyAlignment="1" applyProtection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20" applyAlignment="1">
      <alignment horizontal="center" vertical="center"/>
    </xf>
    <xf numFmtId="1" fontId="12" fillId="0" borderId="0" xfId="4" applyNumberFormat="1" applyFont="1" applyBorder="1" applyAlignment="1">
      <alignment horizontal="center" vertical="center"/>
    </xf>
    <xf numFmtId="165" fontId="9" fillId="3" borderId="0" xfId="0" applyNumberFormat="1" applyFont="1" applyFill="1" applyAlignment="1">
      <alignment vertical="center"/>
    </xf>
    <xf numFmtId="165" fontId="21" fillId="2" borderId="0" xfId="22" applyNumberFormat="1" applyFont="1" applyFill="1" applyAlignment="1">
      <alignment horizontal="right" vertical="center" indent="3"/>
    </xf>
    <xf numFmtId="165" fontId="12" fillId="0" borderId="0" xfId="4" applyNumberFormat="1" applyFont="1" applyBorder="1" applyAlignment="1">
      <alignment horizontal="right" vertical="center"/>
    </xf>
    <xf numFmtId="165" fontId="9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0" fontId="22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vertical="center" wrapText="1"/>
    </xf>
    <xf numFmtId="4" fontId="23" fillId="2" borderId="0" xfId="0" applyNumberFormat="1" applyFont="1" applyFill="1" applyAlignment="1">
      <alignment horizontal="right" vertical="center"/>
    </xf>
    <xf numFmtId="9" fontId="23" fillId="2" borderId="0" xfId="0" applyNumberFormat="1" applyFont="1" applyFill="1" applyAlignment="1">
      <alignment horizontal="center" vertical="center"/>
    </xf>
    <xf numFmtId="165" fontId="22" fillId="2" borderId="0" xfId="0" applyNumberFormat="1" applyFont="1" applyFill="1" applyAlignment="1">
      <alignment horizontal="center" vertical="center"/>
    </xf>
    <xf numFmtId="0" fontId="24" fillId="3" borderId="0" xfId="0" applyFont="1" applyFill="1" applyAlignment="1">
      <alignment vertical="center"/>
    </xf>
    <xf numFmtId="0" fontId="27" fillId="3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right" vertical="center"/>
    </xf>
    <xf numFmtId="0" fontId="30" fillId="3" borderId="0" xfId="0" applyFont="1" applyFill="1" applyAlignment="1">
      <alignment vertical="center"/>
    </xf>
    <xf numFmtId="0" fontId="31" fillId="3" borderId="0" xfId="0" applyFont="1" applyFill="1" applyAlignment="1">
      <alignment horizontal="center" vertical="center"/>
    </xf>
    <xf numFmtId="165" fontId="31" fillId="3" borderId="0" xfId="0" applyNumberFormat="1" applyFont="1" applyFill="1" applyAlignment="1">
      <alignment vertical="center"/>
    </xf>
    <xf numFmtId="0" fontId="32" fillId="3" borderId="0" xfId="0" quotePrefix="1" applyFont="1" applyFill="1" applyAlignment="1">
      <alignment horizontal="left" vertical="center" indent="1"/>
    </xf>
    <xf numFmtId="0" fontId="31" fillId="3" borderId="0" xfId="0" applyFont="1" applyFill="1" applyAlignment="1">
      <alignment vertical="center"/>
    </xf>
    <xf numFmtId="0" fontId="33" fillId="3" borderId="0" xfId="0" applyFont="1" applyFill="1" applyAlignment="1">
      <alignment horizontal="center" vertical="center"/>
    </xf>
    <xf numFmtId="14" fontId="31" fillId="3" borderId="0" xfId="0" applyNumberFormat="1" applyFont="1" applyFill="1" applyAlignment="1">
      <alignment horizontal="right" vertical="center"/>
    </xf>
    <xf numFmtId="0" fontId="31" fillId="3" borderId="0" xfId="0" applyFont="1" applyFill="1" applyAlignment="1">
      <alignment horizontal="left" vertical="center" indent="1"/>
    </xf>
    <xf numFmtId="0" fontId="31" fillId="3" borderId="0" xfId="0" quotePrefix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0" fontId="34" fillId="0" borderId="0" xfId="18" applyFont="1"/>
    <xf numFmtId="0" fontId="28" fillId="3" borderId="0" xfId="0" quotePrefix="1" applyFont="1" applyFill="1" applyAlignment="1">
      <alignment horizontal="center" vertical="center"/>
    </xf>
    <xf numFmtId="165" fontId="35" fillId="2" borderId="0" xfId="0" applyNumberFormat="1" applyFont="1" applyFill="1" applyAlignment="1">
      <alignment horizontal="right" vertical="center"/>
    </xf>
    <xf numFmtId="0" fontId="36" fillId="3" borderId="0" xfId="0" applyFont="1" applyFill="1" applyAlignment="1">
      <alignment horizontal="left" vertical="center"/>
    </xf>
    <xf numFmtId="0" fontId="25" fillId="11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center" vertical="center" wrapText="1"/>
    </xf>
    <xf numFmtId="165" fontId="25" fillId="11" borderId="1" xfId="0" applyNumberFormat="1" applyFont="1" applyFill="1" applyBorder="1" applyAlignment="1">
      <alignment horizontal="center" vertical="center" wrapText="1"/>
    </xf>
    <xf numFmtId="0" fontId="24" fillId="3" borderId="1" xfId="4" applyFont="1" applyFill="1" applyBorder="1" applyAlignment="1">
      <alignment horizontal="center" vertical="center"/>
    </xf>
    <xf numFmtId="0" fontId="24" fillId="3" borderId="8" xfId="4" applyFont="1" applyFill="1" applyBorder="1" applyAlignment="1">
      <alignment horizontal="center" vertical="center"/>
    </xf>
    <xf numFmtId="43" fontId="24" fillId="3" borderId="1" xfId="23" applyFont="1" applyFill="1" applyBorder="1" applyAlignment="1">
      <alignment vertical="center"/>
    </xf>
    <xf numFmtId="43" fontId="25" fillId="3" borderId="1" xfId="23" applyFont="1" applyFill="1" applyBorder="1" applyAlignment="1">
      <alignment vertical="center"/>
    </xf>
    <xf numFmtId="165" fontId="25" fillId="10" borderId="1" xfId="0" applyNumberFormat="1" applyFont="1" applyFill="1" applyBorder="1" applyAlignment="1">
      <alignment horizontal="center" vertical="center"/>
    </xf>
    <xf numFmtId="43" fontId="25" fillId="10" borderId="1" xfId="22" applyNumberFormat="1" applyFont="1" applyFill="1" applyBorder="1" applyAlignment="1">
      <alignment horizontal="center" vertical="center"/>
    </xf>
    <xf numFmtId="165" fontId="37" fillId="10" borderId="1" xfId="0" applyNumberFormat="1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38" fillId="2" borderId="0" xfId="0" applyFont="1" applyFill="1" applyAlignment="1">
      <alignment vertical="center"/>
    </xf>
    <xf numFmtId="1" fontId="39" fillId="0" borderId="0" xfId="4" applyNumberFormat="1" applyFont="1" applyBorder="1" applyAlignment="1">
      <alignment horizontal="right" vertical="center"/>
    </xf>
    <xf numFmtId="1" fontId="39" fillId="0" borderId="0" xfId="4" applyNumberFormat="1" applyFont="1" applyBorder="1" applyAlignment="1">
      <alignment horizontal="center" vertical="center"/>
    </xf>
    <xf numFmtId="165" fontId="39" fillId="0" borderId="0" xfId="4" applyNumberFormat="1" applyFont="1" applyBorder="1" applyAlignment="1">
      <alignment horizontal="right" vertical="center"/>
    </xf>
    <xf numFmtId="0" fontId="25" fillId="3" borderId="0" xfId="0" applyFont="1" applyFill="1" applyAlignment="1">
      <alignment vertical="center"/>
    </xf>
    <xf numFmtId="0" fontId="40" fillId="3" borderId="0" xfId="0" applyFont="1" applyFill="1" applyAlignment="1">
      <alignment vertical="center"/>
    </xf>
    <xf numFmtId="0" fontId="40" fillId="3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center" vertical="center"/>
    </xf>
    <xf numFmtId="43" fontId="24" fillId="3" borderId="0" xfId="0" applyNumberFormat="1" applyFont="1" applyFill="1" applyAlignment="1">
      <alignment horizontal="right" vertical="center"/>
    </xf>
    <xf numFmtId="165" fontId="24" fillId="3" borderId="0" xfId="0" applyNumberFormat="1" applyFont="1" applyFill="1" applyAlignment="1">
      <alignment vertical="center"/>
    </xf>
    <xf numFmtId="0" fontId="24" fillId="3" borderId="0" xfId="0" applyFont="1" applyFill="1" applyAlignment="1">
      <alignment horizontal="right" vertical="center"/>
    </xf>
    <xf numFmtId="0" fontId="25" fillId="3" borderId="0" xfId="0" applyFont="1" applyFill="1" applyAlignment="1">
      <alignment horizontal="center" vertical="center"/>
    </xf>
    <xf numFmtId="0" fontId="25" fillId="3" borderId="0" xfId="0" applyFont="1" applyFill="1" applyAlignment="1">
      <alignment horizontal="left" vertical="center" wrapText="1"/>
    </xf>
    <xf numFmtId="165" fontId="25" fillId="3" borderId="0" xfId="0" applyNumberFormat="1" applyFont="1" applyFill="1" applyAlignment="1">
      <alignment vertical="center"/>
    </xf>
    <xf numFmtId="0" fontId="24" fillId="3" borderId="0" xfId="0" applyFont="1" applyFill="1" applyAlignment="1">
      <alignment vertical="center" wrapText="1"/>
    </xf>
    <xf numFmtId="0" fontId="24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right" vertical="center" wrapText="1"/>
    </xf>
    <xf numFmtId="165" fontId="24" fillId="3" borderId="0" xfId="0" applyNumberFormat="1" applyFont="1" applyFill="1" applyAlignment="1">
      <alignment vertical="center" wrapText="1"/>
    </xf>
    <xf numFmtId="0" fontId="40" fillId="3" borderId="0" xfId="0" applyFont="1" applyFill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40" fillId="3" borderId="0" xfId="0" applyFont="1" applyFill="1" applyAlignment="1">
      <alignment horizontal="left" vertical="center"/>
    </xf>
    <xf numFmtId="0" fontId="25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vertical="center" wrapText="1"/>
    </xf>
    <xf numFmtId="165" fontId="25" fillId="3" borderId="0" xfId="0" applyNumberFormat="1" applyFont="1" applyFill="1" applyAlignment="1">
      <alignment vertical="center" wrapText="1"/>
    </xf>
    <xf numFmtId="0" fontId="41" fillId="4" borderId="0" xfId="19" applyFont="1" applyFill="1" applyAlignment="1">
      <alignment horizontal="left" vertical="center"/>
    </xf>
    <xf numFmtId="0" fontId="42" fillId="3" borderId="0" xfId="19" applyFont="1" applyFill="1" applyAlignment="1">
      <alignment horizontal="left" vertical="center" indent="1"/>
    </xf>
    <xf numFmtId="0" fontId="25" fillId="3" borderId="0" xfId="0" applyFont="1" applyFill="1" applyAlignment="1">
      <alignment horizontal="left" vertical="center"/>
    </xf>
    <xf numFmtId="0" fontId="41" fillId="3" borderId="0" xfId="19" applyFont="1" applyFill="1" applyAlignment="1">
      <alignment horizontal="left" vertical="center" indent="1"/>
    </xf>
    <xf numFmtId="0" fontId="25" fillId="3" borderId="0" xfId="0" applyFont="1" applyFill="1" applyAlignment="1">
      <alignment horizontal="right" vertical="center"/>
    </xf>
    <xf numFmtId="0" fontId="24" fillId="3" borderId="4" xfId="0" applyFont="1" applyFill="1" applyBorder="1" applyAlignment="1">
      <alignment vertical="center"/>
    </xf>
    <xf numFmtId="0" fontId="24" fillId="3" borderId="0" xfId="0" applyFont="1" applyFill="1" applyAlignment="1">
      <alignment horizontal="left" vertical="center"/>
    </xf>
    <xf numFmtId="166" fontId="24" fillId="3" borderId="0" xfId="0" applyNumberFormat="1" applyFont="1" applyFill="1" applyAlignment="1">
      <alignment vertical="center"/>
    </xf>
    <xf numFmtId="0" fontId="39" fillId="3" borderId="0" xfId="5" applyFont="1" applyFill="1" applyAlignment="1">
      <alignment horizontal="center" vertical="center"/>
    </xf>
    <xf numFmtId="1" fontId="40" fillId="3" borderId="0" xfId="6" applyNumberFormat="1" applyFont="1" applyFill="1" applyBorder="1" applyAlignment="1">
      <alignment horizontal="center" vertical="center"/>
    </xf>
    <xf numFmtId="0" fontId="39" fillId="3" borderId="0" xfId="5" applyFont="1" applyFill="1" applyAlignment="1">
      <alignment vertical="center"/>
    </xf>
    <xf numFmtId="165" fontId="24" fillId="3" borderId="0" xfId="0" applyNumberFormat="1" applyFont="1" applyFill="1" applyAlignment="1">
      <alignment horizontal="center" vertical="center"/>
    </xf>
    <xf numFmtId="0" fontId="25" fillId="0" borderId="1" xfId="0" applyFont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5" fillId="3" borderId="4" xfId="0" applyFont="1" applyFill="1" applyBorder="1" applyAlignment="1">
      <alignment horizontal="center" vertical="center"/>
    </xf>
    <xf numFmtId="0" fontId="24" fillId="3" borderId="0" xfId="0" applyFont="1" applyFill="1" applyAlignment="1">
      <alignment horizontal="left" vertical="center" wrapText="1"/>
    </xf>
    <xf numFmtId="0" fontId="24" fillId="3" borderId="0" xfId="0" applyFont="1" applyFill="1" applyAlignment="1">
      <alignment horizontal="left" vertical="center"/>
    </xf>
    <xf numFmtId="0" fontId="24" fillId="3" borderId="0" xfId="0" quotePrefix="1" applyFont="1" applyFill="1" applyAlignment="1">
      <alignment vertical="center" wrapText="1"/>
    </xf>
    <xf numFmtId="0" fontId="24" fillId="3" borderId="0" xfId="0" applyFont="1" applyFill="1" applyAlignment="1">
      <alignment vertical="center" wrapText="1"/>
    </xf>
    <xf numFmtId="0" fontId="24" fillId="0" borderId="0" xfId="0" applyFont="1" applyAlignment="1">
      <alignment horizontal="right" wrapText="1"/>
    </xf>
    <xf numFmtId="0" fontId="24" fillId="0" borderId="0" xfId="0" applyFont="1" applyAlignment="1">
      <alignment horizontal="right"/>
    </xf>
    <xf numFmtId="2" fontId="26" fillId="3" borderId="0" xfId="3" applyNumberFormat="1" applyFont="1" applyFill="1" applyAlignment="1">
      <alignment horizontal="center"/>
    </xf>
    <xf numFmtId="0" fontId="29" fillId="2" borderId="0" xfId="0" applyFont="1" applyFill="1" applyAlignment="1">
      <alignment horizontal="left" vertical="center" indent="1"/>
    </xf>
    <xf numFmtId="1" fontId="25" fillId="10" borderId="1" xfId="4" applyNumberFormat="1" applyFont="1" applyFill="1" applyBorder="1" applyAlignment="1">
      <alignment horizontal="right" vertical="center"/>
    </xf>
  </cellXfs>
  <cellStyles count="24">
    <cellStyle name="Comma" xfId="23" builtinId="3"/>
    <cellStyle name="Comma 3" xfId="15" xr:uid="{00000000-0005-0000-0000-000000000000}"/>
    <cellStyle name="Comma 3 2" xfId="13" xr:uid="{00000000-0005-0000-0000-000001000000}"/>
    <cellStyle name="Currency" xfId="22" builtinId="4"/>
    <cellStyle name="Currency 3" xfId="7" xr:uid="{00000000-0005-0000-0000-000003000000}"/>
    <cellStyle name="Currency 3 2" xfId="8" xr:uid="{00000000-0005-0000-0000-000004000000}"/>
    <cellStyle name="Hyperlink" xfId="18" builtinId="8"/>
    <cellStyle name="Hyperlink 2 2" xfId="10" xr:uid="{00000000-0005-0000-0000-000006000000}"/>
    <cellStyle name="Ledger 17 x 11 in 2" xfId="3" xr:uid="{00000000-0005-0000-0000-000007000000}"/>
    <cellStyle name="Ledger 17 x 11 in 2 2" xfId="9" xr:uid="{00000000-0005-0000-0000-000008000000}"/>
    <cellStyle name="Normal" xfId="0" builtinId="0"/>
    <cellStyle name="Normal 2" xfId="1" xr:uid="{00000000-0005-0000-0000-00000A000000}"/>
    <cellStyle name="Normal 2 4" xfId="19" xr:uid="{00000000-0005-0000-0000-00000B000000}"/>
    <cellStyle name="Normal 3" xfId="11" xr:uid="{00000000-0005-0000-0000-00000C000000}"/>
    <cellStyle name="Normal 6" xfId="2" xr:uid="{00000000-0005-0000-0000-00000D000000}"/>
    <cellStyle name="Normal_1_99_BGC" xfId="5" xr:uid="{00000000-0005-0000-0000-00000E000000}"/>
    <cellStyle name="Normal_MAU QT DU AN" xfId="20" xr:uid="{00000000-0005-0000-0000-00000F000000}"/>
    <cellStyle name="Percent 2" xfId="21" xr:uid="{00000000-0005-0000-0000-000011000000}"/>
    <cellStyle name="Percent 2 2" xfId="14" xr:uid="{00000000-0005-0000-0000-000012000000}"/>
    <cellStyle name="Percent 3 2" xfId="12" xr:uid="{00000000-0005-0000-0000-000013000000}"/>
    <cellStyle name="vntxt1" xfId="6" xr:uid="{00000000-0005-0000-0000-000014000000}"/>
    <cellStyle name="vntxt1 3" xfId="16" xr:uid="{00000000-0005-0000-0000-000015000000}"/>
    <cellStyle name="vntxt1 3 2" xfId="17" xr:uid="{00000000-0005-0000-0000-000016000000}"/>
    <cellStyle name="vntxt2" xfId="4" xr:uid="{00000000-0005-0000-0000-00001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122670</xdr:colOff>
      <xdr:row>3</xdr:row>
      <xdr:rowOff>37566</xdr:rowOff>
    </xdr:from>
    <xdr:to>
      <xdr:col>11</xdr:col>
      <xdr:colOff>0</xdr:colOff>
      <xdr:row>4</xdr:row>
      <xdr:rowOff>0</xdr:rowOff>
    </xdr:to>
    <xdr:pic>
      <xdr:nvPicPr>
        <xdr:cNvPr id="2" name="Picture 1" descr="Image_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670" y="1313916"/>
          <a:ext cx="12517005" cy="1529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42333</xdr:colOff>
      <xdr:row>0</xdr:row>
      <xdr:rowOff>257884</xdr:rowOff>
    </xdr:from>
    <xdr:to>
      <xdr:col>3</xdr:col>
      <xdr:colOff>903226</xdr:colOff>
      <xdr:row>1</xdr:row>
      <xdr:rowOff>530740</xdr:rowOff>
    </xdr:to>
    <xdr:pic>
      <xdr:nvPicPr>
        <xdr:cNvPr id="3" name="Picture 28">
          <a:extLst>
            <a:ext uri="{FF2B5EF4-FFF2-40B4-BE49-F238E27FC236}">
              <a16:creationId xmlns:a16="http://schemas.microsoft.com/office/drawing/2014/main" id="{9B462DF6-4C2F-41F0-8E9B-FB425F13B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858" y="257884"/>
          <a:ext cx="2000924" cy="862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BORDELON Ross" id="{C8099E77-75CA-4699-B98D-A193D8B596F2}" userId="S::r.bordelon@biocodex.com::abb4d938-c9ec-4005-855d-f7ccf684bfc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8"/>
  <sheetViews>
    <sheetView showGridLines="0" tabSelected="1" view="pageBreakPreview" topLeftCell="A2" zoomScale="70" zoomScaleNormal="137" zoomScaleSheetLayoutView="70" workbookViewId="0">
      <selection activeCell="C7" sqref="C7"/>
    </sheetView>
  </sheetViews>
  <sheetFormatPr defaultColWidth="8.77734375" defaultRowHeight="13.8"/>
  <cols>
    <col min="1" max="1" width="4.44140625" style="1" customWidth="1"/>
    <col min="2" max="2" width="7.109375" style="1" customWidth="1"/>
    <col min="3" max="3" width="17.21875" style="1" customWidth="1"/>
    <col min="4" max="4" width="54.6640625" style="1" customWidth="1"/>
    <col min="5" max="5" width="9.33203125" style="8" customWidth="1"/>
    <col min="6" max="6" width="8.109375" style="8" customWidth="1"/>
    <col min="7" max="7" width="12.44140625" style="1" customWidth="1"/>
    <col min="8" max="8" width="18.21875" style="7" bestFit="1" customWidth="1"/>
    <col min="9" max="9" width="19.21875" style="1" customWidth="1"/>
    <col min="10" max="10" width="16" style="8" bestFit="1" customWidth="1"/>
    <col min="11" max="11" width="20.77734375" style="97" customWidth="1"/>
    <col min="12" max="238" width="8.77734375" style="1"/>
    <col min="239" max="239" width="6" style="1" customWidth="1"/>
    <col min="240" max="240" width="10.109375" style="1" customWidth="1"/>
    <col min="241" max="241" width="37.44140625" style="1" customWidth="1"/>
    <col min="242" max="242" width="7" style="1" customWidth="1"/>
    <col min="243" max="243" width="0" style="1" hidden="1" customWidth="1"/>
    <col min="244" max="244" width="14.109375" style="1" customWidth="1"/>
    <col min="245" max="245" width="14.44140625" style="1" customWidth="1"/>
    <col min="246" max="246" width="7.44140625" style="1" customWidth="1"/>
    <col min="247" max="247" width="16.109375" style="1" customWidth="1"/>
    <col min="248" max="248" width="8.44140625" style="1" customWidth="1"/>
    <col min="249" max="249" width="14" style="1" customWidth="1"/>
    <col min="250" max="250" width="13.44140625" style="1" customWidth="1"/>
    <col min="251" max="251" width="11.44140625" style="1" customWidth="1"/>
    <col min="252" max="252" width="13.44140625" style="1" customWidth="1"/>
    <col min="253" max="494" width="8.77734375" style="1"/>
    <col min="495" max="495" width="6" style="1" customWidth="1"/>
    <col min="496" max="496" width="10.109375" style="1" customWidth="1"/>
    <col min="497" max="497" width="37.44140625" style="1" customWidth="1"/>
    <col min="498" max="498" width="7" style="1" customWidth="1"/>
    <col min="499" max="499" width="0" style="1" hidden="1" customWidth="1"/>
    <col min="500" max="500" width="14.109375" style="1" customWidth="1"/>
    <col min="501" max="501" width="14.44140625" style="1" customWidth="1"/>
    <col min="502" max="502" width="7.44140625" style="1" customWidth="1"/>
    <col min="503" max="503" width="16.109375" style="1" customWidth="1"/>
    <col min="504" max="504" width="8.44140625" style="1" customWidth="1"/>
    <col min="505" max="505" width="14" style="1" customWidth="1"/>
    <col min="506" max="506" width="13.44140625" style="1" customWidth="1"/>
    <col min="507" max="507" width="11.44140625" style="1" customWidth="1"/>
    <col min="508" max="508" width="13.44140625" style="1" customWidth="1"/>
    <col min="509" max="750" width="8.77734375" style="1"/>
    <col min="751" max="751" width="6" style="1" customWidth="1"/>
    <col min="752" max="752" width="10.109375" style="1" customWidth="1"/>
    <col min="753" max="753" width="37.44140625" style="1" customWidth="1"/>
    <col min="754" max="754" width="7" style="1" customWidth="1"/>
    <col min="755" max="755" width="0" style="1" hidden="1" customWidth="1"/>
    <col min="756" max="756" width="14.109375" style="1" customWidth="1"/>
    <col min="757" max="757" width="14.44140625" style="1" customWidth="1"/>
    <col min="758" max="758" width="7.44140625" style="1" customWidth="1"/>
    <col min="759" max="759" width="16.109375" style="1" customWidth="1"/>
    <col min="760" max="760" width="8.44140625" style="1" customWidth="1"/>
    <col min="761" max="761" width="14" style="1" customWidth="1"/>
    <col min="762" max="762" width="13.44140625" style="1" customWidth="1"/>
    <col min="763" max="763" width="11.44140625" style="1" customWidth="1"/>
    <col min="764" max="764" width="13.44140625" style="1" customWidth="1"/>
    <col min="765" max="1006" width="8.77734375" style="1"/>
    <col min="1007" max="1007" width="6" style="1" customWidth="1"/>
    <col min="1008" max="1008" width="10.109375" style="1" customWidth="1"/>
    <col min="1009" max="1009" width="37.44140625" style="1" customWidth="1"/>
    <col min="1010" max="1010" width="7" style="1" customWidth="1"/>
    <col min="1011" max="1011" width="0" style="1" hidden="1" customWidth="1"/>
    <col min="1012" max="1012" width="14.109375" style="1" customWidth="1"/>
    <col min="1013" max="1013" width="14.44140625" style="1" customWidth="1"/>
    <col min="1014" max="1014" width="7.44140625" style="1" customWidth="1"/>
    <col min="1015" max="1015" width="16.109375" style="1" customWidth="1"/>
    <col min="1016" max="1016" width="8.44140625" style="1" customWidth="1"/>
    <col min="1017" max="1017" width="14" style="1" customWidth="1"/>
    <col min="1018" max="1018" width="13.44140625" style="1" customWidth="1"/>
    <col min="1019" max="1019" width="11.44140625" style="1" customWidth="1"/>
    <col min="1020" max="1020" width="13.44140625" style="1" customWidth="1"/>
    <col min="1021" max="1262" width="8.77734375" style="1"/>
    <col min="1263" max="1263" width="6" style="1" customWidth="1"/>
    <col min="1264" max="1264" width="10.109375" style="1" customWidth="1"/>
    <col min="1265" max="1265" width="37.44140625" style="1" customWidth="1"/>
    <col min="1266" max="1266" width="7" style="1" customWidth="1"/>
    <col min="1267" max="1267" width="0" style="1" hidden="1" customWidth="1"/>
    <col min="1268" max="1268" width="14.109375" style="1" customWidth="1"/>
    <col min="1269" max="1269" width="14.44140625" style="1" customWidth="1"/>
    <col min="1270" max="1270" width="7.44140625" style="1" customWidth="1"/>
    <col min="1271" max="1271" width="16.109375" style="1" customWidth="1"/>
    <col min="1272" max="1272" width="8.44140625" style="1" customWidth="1"/>
    <col min="1273" max="1273" width="14" style="1" customWidth="1"/>
    <col min="1274" max="1274" width="13.44140625" style="1" customWidth="1"/>
    <col min="1275" max="1275" width="11.44140625" style="1" customWidth="1"/>
    <col min="1276" max="1276" width="13.44140625" style="1" customWidth="1"/>
    <col min="1277" max="1518" width="8.77734375" style="1"/>
    <col min="1519" max="1519" width="6" style="1" customWidth="1"/>
    <col min="1520" max="1520" width="10.109375" style="1" customWidth="1"/>
    <col min="1521" max="1521" width="37.44140625" style="1" customWidth="1"/>
    <col min="1522" max="1522" width="7" style="1" customWidth="1"/>
    <col min="1523" max="1523" width="0" style="1" hidden="1" customWidth="1"/>
    <col min="1524" max="1524" width="14.109375" style="1" customWidth="1"/>
    <col min="1525" max="1525" width="14.44140625" style="1" customWidth="1"/>
    <col min="1526" max="1526" width="7.44140625" style="1" customWidth="1"/>
    <col min="1527" max="1527" width="16.109375" style="1" customWidth="1"/>
    <col min="1528" max="1528" width="8.44140625" style="1" customWidth="1"/>
    <col min="1529" max="1529" width="14" style="1" customWidth="1"/>
    <col min="1530" max="1530" width="13.44140625" style="1" customWidth="1"/>
    <col min="1531" max="1531" width="11.44140625" style="1" customWidth="1"/>
    <col min="1532" max="1532" width="13.44140625" style="1" customWidth="1"/>
    <col min="1533" max="1774" width="8.77734375" style="1"/>
    <col min="1775" max="1775" width="6" style="1" customWidth="1"/>
    <col min="1776" max="1776" width="10.109375" style="1" customWidth="1"/>
    <col min="1777" max="1777" width="37.44140625" style="1" customWidth="1"/>
    <col min="1778" max="1778" width="7" style="1" customWidth="1"/>
    <col min="1779" max="1779" width="0" style="1" hidden="1" customWidth="1"/>
    <col min="1780" max="1780" width="14.109375" style="1" customWidth="1"/>
    <col min="1781" max="1781" width="14.44140625" style="1" customWidth="1"/>
    <col min="1782" max="1782" width="7.44140625" style="1" customWidth="1"/>
    <col min="1783" max="1783" width="16.109375" style="1" customWidth="1"/>
    <col min="1784" max="1784" width="8.44140625" style="1" customWidth="1"/>
    <col min="1785" max="1785" width="14" style="1" customWidth="1"/>
    <col min="1786" max="1786" width="13.44140625" style="1" customWidth="1"/>
    <col min="1787" max="1787" width="11.44140625" style="1" customWidth="1"/>
    <col min="1788" max="1788" width="13.44140625" style="1" customWidth="1"/>
    <col min="1789" max="2030" width="8.77734375" style="1"/>
    <col min="2031" max="2031" width="6" style="1" customWidth="1"/>
    <col min="2032" max="2032" width="10.109375" style="1" customWidth="1"/>
    <col min="2033" max="2033" width="37.44140625" style="1" customWidth="1"/>
    <col min="2034" max="2034" width="7" style="1" customWidth="1"/>
    <col min="2035" max="2035" width="0" style="1" hidden="1" customWidth="1"/>
    <col min="2036" max="2036" width="14.109375" style="1" customWidth="1"/>
    <col min="2037" max="2037" width="14.44140625" style="1" customWidth="1"/>
    <col min="2038" max="2038" width="7.44140625" style="1" customWidth="1"/>
    <col min="2039" max="2039" width="16.109375" style="1" customWidth="1"/>
    <col min="2040" max="2040" width="8.44140625" style="1" customWidth="1"/>
    <col min="2041" max="2041" width="14" style="1" customWidth="1"/>
    <col min="2042" max="2042" width="13.44140625" style="1" customWidth="1"/>
    <col min="2043" max="2043" width="11.44140625" style="1" customWidth="1"/>
    <col min="2044" max="2044" width="13.44140625" style="1" customWidth="1"/>
    <col min="2045" max="2286" width="8.77734375" style="1"/>
    <col min="2287" max="2287" width="6" style="1" customWidth="1"/>
    <col min="2288" max="2288" width="10.109375" style="1" customWidth="1"/>
    <col min="2289" max="2289" width="37.44140625" style="1" customWidth="1"/>
    <col min="2290" max="2290" width="7" style="1" customWidth="1"/>
    <col min="2291" max="2291" width="0" style="1" hidden="1" customWidth="1"/>
    <col min="2292" max="2292" width="14.109375" style="1" customWidth="1"/>
    <col min="2293" max="2293" width="14.44140625" style="1" customWidth="1"/>
    <col min="2294" max="2294" width="7.44140625" style="1" customWidth="1"/>
    <col min="2295" max="2295" width="16.109375" style="1" customWidth="1"/>
    <col min="2296" max="2296" width="8.44140625" style="1" customWidth="1"/>
    <col min="2297" max="2297" width="14" style="1" customWidth="1"/>
    <col min="2298" max="2298" width="13.44140625" style="1" customWidth="1"/>
    <col min="2299" max="2299" width="11.44140625" style="1" customWidth="1"/>
    <col min="2300" max="2300" width="13.44140625" style="1" customWidth="1"/>
    <col min="2301" max="2542" width="8.77734375" style="1"/>
    <col min="2543" max="2543" width="6" style="1" customWidth="1"/>
    <col min="2544" max="2544" width="10.109375" style="1" customWidth="1"/>
    <col min="2545" max="2545" width="37.44140625" style="1" customWidth="1"/>
    <col min="2546" max="2546" width="7" style="1" customWidth="1"/>
    <col min="2547" max="2547" width="0" style="1" hidden="1" customWidth="1"/>
    <col min="2548" max="2548" width="14.109375" style="1" customWidth="1"/>
    <col min="2549" max="2549" width="14.44140625" style="1" customWidth="1"/>
    <col min="2550" max="2550" width="7.44140625" style="1" customWidth="1"/>
    <col min="2551" max="2551" width="16.109375" style="1" customWidth="1"/>
    <col min="2552" max="2552" width="8.44140625" style="1" customWidth="1"/>
    <col min="2553" max="2553" width="14" style="1" customWidth="1"/>
    <col min="2554" max="2554" width="13.44140625" style="1" customWidth="1"/>
    <col min="2555" max="2555" width="11.44140625" style="1" customWidth="1"/>
    <col min="2556" max="2556" width="13.44140625" style="1" customWidth="1"/>
    <col min="2557" max="2798" width="8.77734375" style="1"/>
    <col min="2799" max="2799" width="6" style="1" customWidth="1"/>
    <col min="2800" max="2800" width="10.109375" style="1" customWidth="1"/>
    <col min="2801" max="2801" width="37.44140625" style="1" customWidth="1"/>
    <col min="2802" max="2802" width="7" style="1" customWidth="1"/>
    <col min="2803" max="2803" width="0" style="1" hidden="1" customWidth="1"/>
    <col min="2804" max="2804" width="14.109375" style="1" customWidth="1"/>
    <col min="2805" max="2805" width="14.44140625" style="1" customWidth="1"/>
    <col min="2806" max="2806" width="7.44140625" style="1" customWidth="1"/>
    <col min="2807" max="2807" width="16.109375" style="1" customWidth="1"/>
    <col min="2808" max="2808" width="8.44140625" style="1" customWidth="1"/>
    <col min="2809" max="2809" width="14" style="1" customWidth="1"/>
    <col min="2810" max="2810" width="13.44140625" style="1" customWidth="1"/>
    <col min="2811" max="2811" width="11.44140625" style="1" customWidth="1"/>
    <col min="2812" max="2812" width="13.44140625" style="1" customWidth="1"/>
    <col min="2813" max="3054" width="8.77734375" style="1"/>
    <col min="3055" max="3055" width="6" style="1" customWidth="1"/>
    <col min="3056" max="3056" width="10.109375" style="1" customWidth="1"/>
    <col min="3057" max="3057" width="37.44140625" style="1" customWidth="1"/>
    <col min="3058" max="3058" width="7" style="1" customWidth="1"/>
    <col min="3059" max="3059" width="0" style="1" hidden="1" customWidth="1"/>
    <col min="3060" max="3060" width="14.109375" style="1" customWidth="1"/>
    <col min="3061" max="3061" width="14.44140625" style="1" customWidth="1"/>
    <col min="3062" max="3062" width="7.44140625" style="1" customWidth="1"/>
    <col min="3063" max="3063" width="16.109375" style="1" customWidth="1"/>
    <col min="3064" max="3064" width="8.44140625" style="1" customWidth="1"/>
    <col min="3065" max="3065" width="14" style="1" customWidth="1"/>
    <col min="3066" max="3066" width="13.44140625" style="1" customWidth="1"/>
    <col min="3067" max="3067" width="11.44140625" style="1" customWidth="1"/>
    <col min="3068" max="3068" width="13.44140625" style="1" customWidth="1"/>
    <col min="3069" max="3310" width="8.77734375" style="1"/>
    <col min="3311" max="3311" width="6" style="1" customWidth="1"/>
    <col min="3312" max="3312" width="10.109375" style="1" customWidth="1"/>
    <col min="3313" max="3313" width="37.44140625" style="1" customWidth="1"/>
    <col min="3314" max="3314" width="7" style="1" customWidth="1"/>
    <col min="3315" max="3315" width="0" style="1" hidden="1" customWidth="1"/>
    <col min="3316" max="3316" width="14.109375" style="1" customWidth="1"/>
    <col min="3317" max="3317" width="14.44140625" style="1" customWidth="1"/>
    <col min="3318" max="3318" width="7.44140625" style="1" customWidth="1"/>
    <col min="3319" max="3319" width="16.109375" style="1" customWidth="1"/>
    <col min="3320" max="3320" width="8.44140625" style="1" customWidth="1"/>
    <col min="3321" max="3321" width="14" style="1" customWidth="1"/>
    <col min="3322" max="3322" width="13.44140625" style="1" customWidth="1"/>
    <col min="3323" max="3323" width="11.44140625" style="1" customWidth="1"/>
    <col min="3324" max="3324" width="13.44140625" style="1" customWidth="1"/>
    <col min="3325" max="3566" width="8.77734375" style="1"/>
    <col min="3567" max="3567" width="6" style="1" customWidth="1"/>
    <col min="3568" max="3568" width="10.109375" style="1" customWidth="1"/>
    <col min="3569" max="3569" width="37.44140625" style="1" customWidth="1"/>
    <col min="3570" max="3570" width="7" style="1" customWidth="1"/>
    <col min="3571" max="3571" width="0" style="1" hidden="1" customWidth="1"/>
    <col min="3572" max="3572" width="14.109375" style="1" customWidth="1"/>
    <col min="3573" max="3573" width="14.44140625" style="1" customWidth="1"/>
    <col min="3574" max="3574" width="7.44140625" style="1" customWidth="1"/>
    <col min="3575" max="3575" width="16.109375" style="1" customWidth="1"/>
    <col min="3576" max="3576" width="8.44140625" style="1" customWidth="1"/>
    <col min="3577" max="3577" width="14" style="1" customWidth="1"/>
    <col min="3578" max="3578" width="13.44140625" style="1" customWidth="1"/>
    <col min="3579" max="3579" width="11.44140625" style="1" customWidth="1"/>
    <col min="3580" max="3580" width="13.44140625" style="1" customWidth="1"/>
    <col min="3581" max="3822" width="8.77734375" style="1"/>
    <col min="3823" max="3823" width="6" style="1" customWidth="1"/>
    <col min="3824" max="3824" width="10.109375" style="1" customWidth="1"/>
    <col min="3825" max="3825" width="37.44140625" style="1" customWidth="1"/>
    <col min="3826" max="3826" width="7" style="1" customWidth="1"/>
    <col min="3827" max="3827" width="0" style="1" hidden="1" customWidth="1"/>
    <col min="3828" max="3828" width="14.109375" style="1" customWidth="1"/>
    <col min="3829" max="3829" width="14.44140625" style="1" customWidth="1"/>
    <col min="3830" max="3830" width="7.44140625" style="1" customWidth="1"/>
    <col min="3831" max="3831" width="16.109375" style="1" customWidth="1"/>
    <col min="3832" max="3832" width="8.44140625" style="1" customWidth="1"/>
    <col min="3833" max="3833" width="14" style="1" customWidth="1"/>
    <col min="3834" max="3834" width="13.44140625" style="1" customWidth="1"/>
    <col min="3835" max="3835" width="11.44140625" style="1" customWidth="1"/>
    <col min="3836" max="3836" width="13.44140625" style="1" customWidth="1"/>
    <col min="3837" max="4078" width="8.77734375" style="1"/>
    <col min="4079" max="4079" width="6" style="1" customWidth="1"/>
    <col min="4080" max="4080" width="10.109375" style="1" customWidth="1"/>
    <col min="4081" max="4081" width="37.44140625" style="1" customWidth="1"/>
    <col min="4082" max="4082" width="7" style="1" customWidth="1"/>
    <col min="4083" max="4083" width="0" style="1" hidden="1" customWidth="1"/>
    <col min="4084" max="4084" width="14.109375" style="1" customWidth="1"/>
    <col min="4085" max="4085" width="14.44140625" style="1" customWidth="1"/>
    <col min="4086" max="4086" width="7.44140625" style="1" customWidth="1"/>
    <col min="4087" max="4087" width="16.109375" style="1" customWidth="1"/>
    <col min="4088" max="4088" width="8.44140625" style="1" customWidth="1"/>
    <col min="4089" max="4089" width="14" style="1" customWidth="1"/>
    <col min="4090" max="4090" width="13.44140625" style="1" customWidth="1"/>
    <col min="4091" max="4091" width="11.44140625" style="1" customWidth="1"/>
    <col min="4092" max="4092" width="13.44140625" style="1" customWidth="1"/>
    <col min="4093" max="4334" width="8.77734375" style="1"/>
    <col min="4335" max="4335" width="6" style="1" customWidth="1"/>
    <col min="4336" max="4336" width="10.109375" style="1" customWidth="1"/>
    <col min="4337" max="4337" width="37.44140625" style="1" customWidth="1"/>
    <col min="4338" max="4338" width="7" style="1" customWidth="1"/>
    <col min="4339" max="4339" width="0" style="1" hidden="1" customWidth="1"/>
    <col min="4340" max="4340" width="14.109375" style="1" customWidth="1"/>
    <col min="4341" max="4341" width="14.44140625" style="1" customWidth="1"/>
    <col min="4342" max="4342" width="7.44140625" style="1" customWidth="1"/>
    <col min="4343" max="4343" width="16.109375" style="1" customWidth="1"/>
    <col min="4344" max="4344" width="8.44140625" style="1" customWidth="1"/>
    <col min="4345" max="4345" width="14" style="1" customWidth="1"/>
    <col min="4346" max="4346" width="13.44140625" style="1" customWidth="1"/>
    <col min="4347" max="4347" width="11.44140625" style="1" customWidth="1"/>
    <col min="4348" max="4348" width="13.44140625" style="1" customWidth="1"/>
    <col min="4349" max="4590" width="8.77734375" style="1"/>
    <col min="4591" max="4591" width="6" style="1" customWidth="1"/>
    <col min="4592" max="4592" width="10.109375" style="1" customWidth="1"/>
    <col min="4593" max="4593" width="37.44140625" style="1" customWidth="1"/>
    <col min="4594" max="4594" width="7" style="1" customWidth="1"/>
    <col min="4595" max="4595" width="0" style="1" hidden="1" customWidth="1"/>
    <col min="4596" max="4596" width="14.109375" style="1" customWidth="1"/>
    <col min="4597" max="4597" width="14.44140625" style="1" customWidth="1"/>
    <col min="4598" max="4598" width="7.44140625" style="1" customWidth="1"/>
    <col min="4599" max="4599" width="16.109375" style="1" customWidth="1"/>
    <col min="4600" max="4600" width="8.44140625" style="1" customWidth="1"/>
    <col min="4601" max="4601" width="14" style="1" customWidth="1"/>
    <col min="4602" max="4602" width="13.44140625" style="1" customWidth="1"/>
    <col min="4603" max="4603" width="11.44140625" style="1" customWidth="1"/>
    <col min="4604" max="4604" width="13.44140625" style="1" customWidth="1"/>
    <col min="4605" max="4846" width="8.77734375" style="1"/>
    <col min="4847" max="4847" width="6" style="1" customWidth="1"/>
    <col min="4848" max="4848" width="10.109375" style="1" customWidth="1"/>
    <col min="4849" max="4849" width="37.44140625" style="1" customWidth="1"/>
    <col min="4850" max="4850" width="7" style="1" customWidth="1"/>
    <col min="4851" max="4851" width="0" style="1" hidden="1" customWidth="1"/>
    <col min="4852" max="4852" width="14.109375" style="1" customWidth="1"/>
    <col min="4853" max="4853" width="14.44140625" style="1" customWidth="1"/>
    <col min="4854" max="4854" width="7.44140625" style="1" customWidth="1"/>
    <col min="4855" max="4855" width="16.109375" style="1" customWidth="1"/>
    <col min="4856" max="4856" width="8.44140625" style="1" customWidth="1"/>
    <col min="4857" max="4857" width="14" style="1" customWidth="1"/>
    <col min="4858" max="4858" width="13.44140625" style="1" customWidth="1"/>
    <col min="4859" max="4859" width="11.44140625" style="1" customWidth="1"/>
    <col min="4860" max="4860" width="13.44140625" style="1" customWidth="1"/>
    <col min="4861" max="5102" width="8.77734375" style="1"/>
    <col min="5103" max="5103" width="6" style="1" customWidth="1"/>
    <col min="5104" max="5104" width="10.109375" style="1" customWidth="1"/>
    <col min="5105" max="5105" width="37.44140625" style="1" customWidth="1"/>
    <col min="5106" max="5106" width="7" style="1" customWidth="1"/>
    <col min="5107" max="5107" width="0" style="1" hidden="1" customWidth="1"/>
    <col min="5108" max="5108" width="14.109375" style="1" customWidth="1"/>
    <col min="5109" max="5109" width="14.44140625" style="1" customWidth="1"/>
    <col min="5110" max="5110" width="7.44140625" style="1" customWidth="1"/>
    <col min="5111" max="5111" width="16.109375" style="1" customWidth="1"/>
    <col min="5112" max="5112" width="8.44140625" style="1" customWidth="1"/>
    <col min="5113" max="5113" width="14" style="1" customWidth="1"/>
    <col min="5114" max="5114" width="13.44140625" style="1" customWidth="1"/>
    <col min="5115" max="5115" width="11.44140625" style="1" customWidth="1"/>
    <col min="5116" max="5116" width="13.44140625" style="1" customWidth="1"/>
    <col min="5117" max="5358" width="8.77734375" style="1"/>
    <col min="5359" max="5359" width="6" style="1" customWidth="1"/>
    <col min="5360" max="5360" width="10.109375" style="1" customWidth="1"/>
    <col min="5361" max="5361" width="37.44140625" style="1" customWidth="1"/>
    <col min="5362" max="5362" width="7" style="1" customWidth="1"/>
    <col min="5363" max="5363" width="0" style="1" hidden="1" customWidth="1"/>
    <col min="5364" max="5364" width="14.109375" style="1" customWidth="1"/>
    <col min="5365" max="5365" width="14.44140625" style="1" customWidth="1"/>
    <col min="5366" max="5366" width="7.44140625" style="1" customWidth="1"/>
    <col min="5367" max="5367" width="16.109375" style="1" customWidth="1"/>
    <col min="5368" max="5368" width="8.44140625" style="1" customWidth="1"/>
    <col min="5369" max="5369" width="14" style="1" customWidth="1"/>
    <col min="5370" max="5370" width="13.44140625" style="1" customWidth="1"/>
    <col min="5371" max="5371" width="11.44140625" style="1" customWidth="1"/>
    <col min="5372" max="5372" width="13.44140625" style="1" customWidth="1"/>
    <col min="5373" max="5614" width="8.77734375" style="1"/>
    <col min="5615" max="5615" width="6" style="1" customWidth="1"/>
    <col min="5616" max="5616" width="10.109375" style="1" customWidth="1"/>
    <col min="5617" max="5617" width="37.44140625" style="1" customWidth="1"/>
    <col min="5618" max="5618" width="7" style="1" customWidth="1"/>
    <col min="5619" max="5619" width="0" style="1" hidden="1" customWidth="1"/>
    <col min="5620" max="5620" width="14.109375" style="1" customWidth="1"/>
    <col min="5621" max="5621" width="14.44140625" style="1" customWidth="1"/>
    <col min="5622" max="5622" width="7.44140625" style="1" customWidth="1"/>
    <col min="5623" max="5623" width="16.109375" style="1" customWidth="1"/>
    <col min="5624" max="5624" width="8.44140625" style="1" customWidth="1"/>
    <col min="5625" max="5625" width="14" style="1" customWidth="1"/>
    <col min="5626" max="5626" width="13.44140625" style="1" customWidth="1"/>
    <col min="5627" max="5627" width="11.44140625" style="1" customWidth="1"/>
    <col min="5628" max="5628" width="13.44140625" style="1" customWidth="1"/>
    <col min="5629" max="5870" width="8.77734375" style="1"/>
    <col min="5871" max="5871" width="6" style="1" customWidth="1"/>
    <col min="5872" max="5872" width="10.109375" style="1" customWidth="1"/>
    <col min="5873" max="5873" width="37.44140625" style="1" customWidth="1"/>
    <col min="5874" max="5874" width="7" style="1" customWidth="1"/>
    <col min="5875" max="5875" width="0" style="1" hidden="1" customWidth="1"/>
    <col min="5876" max="5876" width="14.109375" style="1" customWidth="1"/>
    <col min="5877" max="5877" width="14.44140625" style="1" customWidth="1"/>
    <col min="5878" max="5878" width="7.44140625" style="1" customWidth="1"/>
    <col min="5879" max="5879" width="16.109375" style="1" customWidth="1"/>
    <col min="5880" max="5880" width="8.44140625" style="1" customWidth="1"/>
    <col min="5881" max="5881" width="14" style="1" customWidth="1"/>
    <col min="5882" max="5882" width="13.44140625" style="1" customWidth="1"/>
    <col min="5883" max="5883" width="11.44140625" style="1" customWidth="1"/>
    <col min="5884" max="5884" width="13.44140625" style="1" customWidth="1"/>
    <col min="5885" max="6126" width="8.77734375" style="1"/>
    <col min="6127" max="6127" width="6" style="1" customWidth="1"/>
    <col min="6128" max="6128" width="10.109375" style="1" customWidth="1"/>
    <col min="6129" max="6129" width="37.44140625" style="1" customWidth="1"/>
    <col min="6130" max="6130" width="7" style="1" customWidth="1"/>
    <col min="6131" max="6131" width="0" style="1" hidden="1" customWidth="1"/>
    <col min="6132" max="6132" width="14.109375" style="1" customWidth="1"/>
    <col min="6133" max="6133" width="14.44140625" style="1" customWidth="1"/>
    <col min="6134" max="6134" width="7.44140625" style="1" customWidth="1"/>
    <col min="6135" max="6135" width="16.109375" style="1" customWidth="1"/>
    <col min="6136" max="6136" width="8.44140625" style="1" customWidth="1"/>
    <col min="6137" max="6137" width="14" style="1" customWidth="1"/>
    <col min="6138" max="6138" width="13.44140625" style="1" customWidth="1"/>
    <col min="6139" max="6139" width="11.44140625" style="1" customWidth="1"/>
    <col min="6140" max="6140" width="13.44140625" style="1" customWidth="1"/>
    <col min="6141" max="6382" width="8.77734375" style="1"/>
    <col min="6383" max="6383" width="6" style="1" customWidth="1"/>
    <col min="6384" max="6384" width="10.109375" style="1" customWidth="1"/>
    <col min="6385" max="6385" width="37.44140625" style="1" customWidth="1"/>
    <col min="6386" max="6386" width="7" style="1" customWidth="1"/>
    <col min="6387" max="6387" width="0" style="1" hidden="1" customWidth="1"/>
    <col min="6388" max="6388" width="14.109375" style="1" customWidth="1"/>
    <col min="6389" max="6389" width="14.44140625" style="1" customWidth="1"/>
    <col min="6390" max="6390" width="7.44140625" style="1" customWidth="1"/>
    <col min="6391" max="6391" width="16.109375" style="1" customWidth="1"/>
    <col min="6392" max="6392" width="8.44140625" style="1" customWidth="1"/>
    <col min="6393" max="6393" width="14" style="1" customWidth="1"/>
    <col min="6394" max="6394" width="13.44140625" style="1" customWidth="1"/>
    <col min="6395" max="6395" width="11.44140625" style="1" customWidth="1"/>
    <col min="6396" max="6396" width="13.44140625" style="1" customWidth="1"/>
    <col min="6397" max="6638" width="8.77734375" style="1"/>
    <col min="6639" max="6639" width="6" style="1" customWidth="1"/>
    <col min="6640" max="6640" width="10.109375" style="1" customWidth="1"/>
    <col min="6641" max="6641" width="37.44140625" style="1" customWidth="1"/>
    <col min="6642" max="6642" width="7" style="1" customWidth="1"/>
    <col min="6643" max="6643" width="0" style="1" hidden="1" customWidth="1"/>
    <col min="6644" max="6644" width="14.109375" style="1" customWidth="1"/>
    <col min="6645" max="6645" width="14.44140625" style="1" customWidth="1"/>
    <col min="6646" max="6646" width="7.44140625" style="1" customWidth="1"/>
    <col min="6647" max="6647" width="16.109375" style="1" customWidth="1"/>
    <col min="6648" max="6648" width="8.44140625" style="1" customWidth="1"/>
    <col min="6649" max="6649" width="14" style="1" customWidth="1"/>
    <col min="6650" max="6650" width="13.44140625" style="1" customWidth="1"/>
    <col min="6651" max="6651" width="11.44140625" style="1" customWidth="1"/>
    <col min="6652" max="6652" width="13.44140625" style="1" customWidth="1"/>
    <col min="6653" max="6894" width="8.77734375" style="1"/>
    <col min="6895" max="6895" width="6" style="1" customWidth="1"/>
    <col min="6896" max="6896" width="10.109375" style="1" customWidth="1"/>
    <col min="6897" max="6897" width="37.44140625" style="1" customWidth="1"/>
    <col min="6898" max="6898" width="7" style="1" customWidth="1"/>
    <col min="6899" max="6899" width="0" style="1" hidden="1" customWidth="1"/>
    <col min="6900" max="6900" width="14.109375" style="1" customWidth="1"/>
    <col min="6901" max="6901" width="14.44140625" style="1" customWidth="1"/>
    <col min="6902" max="6902" width="7.44140625" style="1" customWidth="1"/>
    <col min="6903" max="6903" width="16.109375" style="1" customWidth="1"/>
    <col min="6904" max="6904" width="8.44140625" style="1" customWidth="1"/>
    <col min="6905" max="6905" width="14" style="1" customWidth="1"/>
    <col min="6906" max="6906" width="13.44140625" style="1" customWidth="1"/>
    <col min="6907" max="6907" width="11.44140625" style="1" customWidth="1"/>
    <col min="6908" max="6908" width="13.44140625" style="1" customWidth="1"/>
    <col min="6909" max="7150" width="8.77734375" style="1"/>
    <col min="7151" max="7151" width="6" style="1" customWidth="1"/>
    <col min="7152" max="7152" width="10.109375" style="1" customWidth="1"/>
    <col min="7153" max="7153" width="37.44140625" style="1" customWidth="1"/>
    <col min="7154" max="7154" width="7" style="1" customWidth="1"/>
    <col min="7155" max="7155" width="0" style="1" hidden="1" customWidth="1"/>
    <col min="7156" max="7156" width="14.109375" style="1" customWidth="1"/>
    <col min="7157" max="7157" width="14.44140625" style="1" customWidth="1"/>
    <col min="7158" max="7158" width="7.44140625" style="1" customWidth="1"/>
    <col min="7159" max="7159" width="16.109375" style="1" customWidth="1"/>
    <col min="7160" max="7160" width="8.44140625" style="1" customWidth="1"/>
    <col min="7161" max="7161" width="14" style="1" customWidth="1"/>
    <col min="7162" max="7162" width="13.44140625" style="1" customWidth="1"/>
    <col min="7163" max="7163" width="11.44140625" style="1" customWidth="1"/>
    <col min="7164" max="7164" width="13.44140625" style="1" customWidth="1"/>
    <col min="7165" max="7406" width="8.77734375" style="1"/>
    <col min="7407" max="7407" width="6" style="1" customWidth="1"/>
    <col min="7408" max="7408" width="10.109375" style="1" customWidth="1"/>
    <col min="7409" max="7409" width="37.44140625" style="1" customWidth="1"/>
    <col min="7410" max="7410" width="7" style="1" customWidth="1"/>
    <col min="7411" max="7411" width="0" style="1" hidden="1" customWidth="1"/>
    <col min="7412" max="7412" width="14.109375" style="1" customWidth="1"/>
    <col min="7413" max="7413" width="14.44140625" style="1" customWidth="1"/>
    <col min="7414" max="7414" width="7.44140625" style="1" customWidth="1"/>
    <col min="7415" max="7415" width="16.109375" style="1" customWidth="1"/>
    <col min="7416" max="7416" width="8.44140625" style="1" customWidth="1"/>
    <col min="7417" max="7417" width="14" style="1" customWidth="1"/>
    <col min="7418" max="7418" width="13.44140625" style="1" customWidth="1"/>
    <col min="7419" max="7419" width="11.44140625" style="1" customWidth="1"/>
    <col min="7420" max="7420" width="13.44140625" style="1" customWidth="1"/>
    <col min="7421" max="7662" width="8.77734375" style="1"/>
    <col min="7663" max="7663" width="6" style="1" customWidth="1"/>
    <col min="7664" max="7664" width="10.109375" style="1" customWidth="1"/>
    <col min="7665" max="7665" width="37.44140625" style="1" customWidth="1"/>
    <col min="7666" max="7666" width="7" style="1" customWidth="1"/>
    <col min="7667" max="7667" width="0" style="1" hidden="1" customWidth="1"/>
    <col min="7668" max="7668" width="14.109375" style="1" customWidth="1"/>
    <col min="7669" max="7669" width="14.44140625" style="1" customWidth="1"/>
    <col min="7670" max="7670" width="7.44140625" style="1" customWidth="1"/>
    <col min="7671" max="7671" width="16.109375" style="1" customWidth="1"/>
    <col min="7672" max="7672" width="8.44140625" style="1" customWidth="1"/>
    <col min="7673" max="7673" width="14" style="1" customWidth="1"/>
    <col min="7674" max="7674" width="13.44140625" style="1" customWidth="1"/>
    <col min="7675" max="7675" width="11.44140625" style="1" customWidth="1"/>
    <col min="7676" max="7676" width="13.44140625" style="1" customWidth="1"/>
    <col min="7677" max="7918" width="8.77734375" style="1"/>
    <col min="7919" max="7919" width="6" style="1" customWidth="1"/>
    <col min="7920" max="7920" width="10.109375" style="1" customWidth="1"/>
    <col min="7921" max="7921" width="37.44140625" style="1" customWidth="1"/>
    <col min="7922" max="7922" width="7" style="1" customWidth="1"/>
    <col min="7923" max="7923" width="0" style="1" hidden="1" customWidth="1"/>
    <col min="7924" max="7924" width="14.109375" style="1" customWidth="1"/>
    <col min="7925" max="7925" width="14.44140625" style="1" customWidth="1"/>
    <col min="7926" max="7926" width="7.44140625" style="1" customWidth="1"/>
    <col min="7927" max="7927" width="16.109375" style="1" customWidth="1"/>
    <col min="7928" max="7928" width="8.44140625" style="1" customWidth="1"/>
    <col min="7929" max="7929" width="14" style="1" customWidth="1"/>
    <col min="7930" max="7930" width="13.44140625" style="1" customWidth="1"/>
    <col min="7931" max="7931" width="11.44140625" style="1" customWidth="1"/>
    <col min="7932" max="7932" width="13.44140625" style="1" customWidth="1"/>
    <col min="7933" max="8174" width="8.77734375" style="1"/>
    <col min="8175" max="8175" width="6" style="1" customWidth="1"/>
    <col min="8176" max="8176" width="10.109375" style="1" customWidth="1"/>
    <col min="8177" max="8177" width="37.44140625" style="1" customWidth="1"/>
    <col min="8178" max="8178" width="7" style="1" customWidth="1"/>
    <col min="8179" max="8179" width="0" style="1" hidden="1" customWidth="1"/>
    <col min="8180" max="8180" width="14.109375" style="1" customWidth="1"/>
    <col min="8181" max="8181" width="14.44140625" style="1" customWidth="1"/>
    <col min="8182" max="8182" width="7.44140625" style="1" customWidth="1"/>
    <col min="8183" max="8183" width="16.109375" style="1" customWidth="1"/>
    <col min="8184" max="8184" width="8.44140625" style="1" customWidth="1"/>
    <col min="8185" max="8185" width="14" style="1" customWidth="1"/>
    <col min="8186" max="8186" width="13.44140625" style="1" customWidth="1"/>
    <col min="8187" max="8187" width="11.44140625" style="1" customWidth="1"/>
    <col min="8188" max="8188" width="13.44140625" style="1" customWidth="1"/>
    <col min="8189" max="8430" width="8.77734375" style="1"/>
    <col min="8431" max="8431" width="6" style="1" customWidth="1"/>
    <col min="8432" max="8432" width="10.109375" style="1" customWidth="1"/>
    <col min="8433" max="8433" width="37.44140625" style="1" customWidth="1"/>
    <col min="8434" max="8434" width="7" style="1" customWidth="1"/>
    <col min="8435" max="8435" width="0" style="1" hidden="1" customWidth="1"/>
    <col min="8436" max="8436" width="14.109375" style="1" customWidth="1"/>
    <col min="8437" max="8437" width="14.44140625" style="1" customWidth="1"/>
    <col min="8438" max="8438" width="7.44140625" style="1" customWidth="1"/>
    <col min="8439" max="8439" width="16.109375" style="1" customWidth="1"/>
    <col min="8440" max="8440" width="8.44140625" style="1" customWidth="1"/>
    <col min="8441" max="8441" width="14" style="1" customWidth="1"/>
    <col min="8442" max="8442" width="13.44140625" style="1" customWidth="1"/>
    <col min="8443" max="8443" width="11.44140625" style="1" customWidth="1"/>
    <col min="8444" max="8444" width="13.44140625" style="1" customWidth="1"/>
    <col min="8445" max="8686" width="8.77734375" style="1"/>
    <col min="8687" max="8687" width="6" style="1" customWidth="1"/>
    <col min="8688" max="8688" width="10.109375" style="1" customWidth="1"/>
    <col min="8689" max="8689" width="37.44140625" style="1" customWidth="1"/>
    <col min="8690" max="8690" width="7" style="1" customWidth="1"/>
    <col min="8691" max="8691" width="0" style="1" hidden="1" customWidth="1"/>
    <col min="8692" max="8692" width="14.109375" style="1" customWidth="1"/>
    <col min="8693" max="8693" width="14.44140625" style="1" customWidth="1"/>
    <col min="8694" max="8694" width="7.44140625" style="1" customWidth="1"/>
    <col min="8695" max="8695" width="16.109375" style="1" customWidth="1"/>
    <col min="8696" max="8696" width="8.44140625" style="1" customWidth="1"/>
    <col min="8697" max="8697" width="14" style="1" customWidth="1"/>
    <col min="8698" max="8698" width="13.44140625" style="1" customWidth="1"/>
    <col min="8699" max="8699" width="11.44140625" style="1" customWidth="1"/>
    <col min="8700" max="8700" width="13.44140625" style="1" customWidth="1"/>
    <col min="8701" max="8942" width="8.77734375" style="1"/>
    <col min="8943" max="8943" width="6" style="1" customWidth="1"/>
    <col min="8944" max="8944" width="10.109375" style="1" customWidth="1"/>
    <col min="8945" max="8945" width="37.44140625" style="1" customWidth="1"/>
    <col min="8946" max="8946" width="7" style="1" customWidth="1"/>
    <col min="8947" max="8947" width="0" style="1" hidden="1" customWidth="1"/>
    <col min="8948" max="8948" width="14.109375" style="1" customWidth="1"/>
    <col min="8949" max="8949" width="14.44140625" style="1" customWidth="1"/>
    <col min="8950" max="8950" width="7.44140625" style="1" customWidth="1"/>
    <col min="8951" max="8951" width="16.109375" style="1" customWidth="1"/>
    <col min="8952" max="8952" width="8.44140625" style="1" customWidth="1"/>
    <col min="8953" max="8953" width="14" style="1" customWidth="1"/>
    <col min="8954" max="8954" width="13.44140625" style="1" customWidth="1"/>
    <col min="8955" max="8955" width="11.44140625" style="1" customWidth="1"/>
    <col min="8956" max="8956" width="13.44140625" style="1" customWidth="1"/>
    <col min="8957" max="9198" width="8.77734375" style="1"/>
    <col min="9199" max="9199" width="6" style="1" customWidth="1"/>
    <col min="9200" max="9200" width="10.109375" style="1" customWidth="1"/>
    <col min="9201" max="9201" width="37.44140625" style="1" customWidth="1"/>
    <col min="9202" max="9202" width="7" style="1" customWidth="1"/>
    <col min="9203" max="9203" width="0" style="1" hidden="1" customWidth="1"/>
    <col min="9204" max="9204" width="14.109375" style="1" customWidth="1"/>
    <col min="9205" max="9205" width="14.44140625" style="1" customWidth="1"/>
    <col min="9206" max="9206" width="7.44140625" style="1" customWidth="1"/>
    <col min="9207" max="9207" width="16.109375" style="1" customWidth="1"/>
    <col min="9208" max="9208" width="8.44140625" style="1" customWidth="1"/>
    <col min="9209" max="9209" width="14" style="1" customWidth="1"/>
    <col min="9210" max="9210" width="13.44140625" style="1" customWidth="1"/>
    <col min="9211" max="9211" width="11.44140625" style="1" customWidth="1"/>
    <col min="9212" max="9212" width="13.44140625" style="1" customWidth="1"/>
    <col min="9213" max="9454" width="8.77734375" style="1"/>
    <col min="9455" max="9455" width="6" style="1" customWidth="1"/>
    <col min="9456" max="9456" width="10.109375" style="1" customWidth="1"/>
    <col min="9457" max="9457" width="37.44140625" style="1" customWidth="1"/>
    <col min="9458" max="9458" width="7" style="1" customWidth="1"/>
    <col min="9459" max="9459" width="0" style="1" hidden="1" customWidth="1"/>
    <col min="9460" max="9460" width="14.109375" style="1" customWidth="1"/>
    <col min="9461" max="9461" width="14.44140625" style="1" customWidth="1"/>
    <col min="9462" max="9462" width="7.44140625" style="1" customWidth="1"/>
    <col min="9463" max="9463" width="16.109375" style="1" customWidth="1"/>
    <col min="9464" max="9464" width="8.44140625" style="1" customWidth="1"/>
    <col min="9465" max="9465" width="14" style="1" customWidth="1"/>
    <col min="9466" max="9466" width="13.44140625" style="1" customWidth="1"/>
    <col min="9467" max="9467" width="11.44140625" style="1" customWidth="1"/>
    <col min="9468" max="9468" width="13.44140625" style="1" customWidth="1"/>
    <col min="9469" max="9710" width="8.77734375" style="1"/>
    <col min="9711" max="9711" width="6" style="1" customWidth="1"/>
    <col min="9712" max="9712" width="10.109375" style="1" customWidth="1"/>
    <col min="9713" max="9713" width="37.44140625" style="1" customWidth="1"/>
    <col min="9714" max="9714" width="7" style="1" customWidth="1"/>
    <col min="9715" max="9715" width="0" style="1" hidden="1" customWidth="1"/>
    <col min="9716" max="9716" width="14.109375" style="1" customWidth="1"/>
    <col min="9717" max="9717" width="14.44140625" style="1" customWidth="1"/>
    <col min="9718" max="9718" width="7.44140625" style="1" customWidth="1"/>
    <col min="9719" max="9719" width="16.109375" style="1" customWidth="1"/>
    <col min="9720" max="9720" width="8.44140625" style="1" customWidth="1"/>
    <col min="9721" max="9721" width="14" style="1" customWidth="1"/>
    <col min="9722" max="9722" width="13.44140625" style="1" customWidth="1"/>
    <col min="9723" max="9723" width="11.44140625" style="1" customWidth="1"/>
    <col min="9724" max="9724" width="13.44140625" style="1" customWidth="1"/>
    <col min="9725" max="9966" width="8.77734375" style="1"/>
    <col min="9967" max="9967" width="6" style="1" customWidth="1"/>
    <col min="9968" max="9968" width="10.109375" style="1" customWidth="1"/>
    <col min="9969" max="9969" width="37.44140625" style="1" customWidth="1"/>
    <col min="9970" max="9970" width="7" style="1" customWidth="1"/>
    <col min="9971" max="9971" width="0" style="1" hidden="1" customWidth="1"/>
    <col min="9972" max="9972" width="14.109375" style="1" customWidth="1"/>
    <col min="9973" max="9973" width="14.44140625" style="1" customWidth="1"/>
    <col min="9974" max="9974" width="7.44140625" style="1" customWidth="1"/>
    <col min="9975" max="9975" width="16.109375" style="1" customWidth="1"/>
    <col min="9976" max="9976" width="8.44140625" style="1" customWidth="1"/>
    <col min="9977" max="9977" width="14" style="1" customWidth="1"/>
    <col min="9978" max="9978" width="13.44140625" style="1" customWidth="1"/>
    <col min="9979" max="9979" width="11.44140625" style="1" customWidth="1"/>
    <col min="9980" max="9980" width="13.44140625" style="1" customWidth="1"/>
    <col min="9981" max="10222" width="8.77734375" style="1"/>
    <col min="10223" max="10223" width="6" style="1" customWidth="1"/>
    <col min="10224" max="10224" width="10.109375" style="1" customWidth="1"/>
    <col min="10225" max="10225" width="37.44140625" style="1" customWidth="1"/>
    <col min="10226" max="10226" width="7" style="1" customWidth="1"/>
    <col min="10227" max="10227" width="0" style="1" hidden="1" customWidth="1"/>
    <col min="10228" max="10228" width="14.109375" style="1" customWidth="1"/>
    <col min="10229" max="10229" width="14.44140625" style="1" customWidth="1"/>
    <col min="10230" max="10230" width="7.44140625" style="1" customWidth="1"/>
    <col min="10231" max="10231" width="16.109375" style="1" customWidth="1"/>
    <col min="10232" max="10232" width="8.44140625" style="1" customWidth="1"/>
    <col min="10233" max="10233" width="14" style="1" customWidth="1"/>
    <col min="10234" max="10234" width="13.44140625" style="1" customWidth="1"/>
    <col min="10235" max="10235" width="11.44140625" style="1" customWidth="1"/>
    <col min="10236" max="10236" width="13.44140625" style="1" customWidth="1"/>
    <col min="10237" max="10478" width="8.77734375" style="1"/>
    <col min="10479" max="10479" width="6" style="1" customWidth="1"/>
    <col min="10480" max="10480" width="10.109375" style="1" customWidth="1"/>
    <col min="10481" max="10481" width="37.44140625" style="1" customWidth="1"/>
    <col min="10482" max="10482" width="7" style="1" customWidth="1"/>
    <col min="10483" max="10483" width="0" style="1" hidden="1" customWidth="1"/>
    <col min="10484" max="10484" width="14.109375" style="1" customWidth="1"/>
    <col min="10485" max="10485" width="14.44140625" style="1" customWidth="1"/>
    <col min="10486" max="10486" width="7.44140625" style="1" customWidth="1"/>
    <col min="10487" max="10487" width="16.109375" style="1" customWidth="1"/>
    <col min="10488" max="10488" width="8.44140625" style="1" customWidth="1"/>
    <col min="10489" max="10489" width="14" style="1" customWidth="1"/>
    <col min="10490" max="10490" width="13.44140625" style="1" customWidth="1"/>
    <col min="10491" max="10491" width="11.44140625" style="1" customWidth="1"/>
    <col min="10492" max="10492" width="13.44140625" style="1" customWidth="1"/>
    <col min="10493" max="10734" width="8.77734375" style="1"/>
    <col min="10735" max="10735" width="6" style="1" customWidth="1"/>
    <col min="10736" max="10736" width="10.109375" style="1" customWidth="1"/>
    <col min="10737" max="10737" width="37.44140625" style="1" customWidth="1"/>
    <col min="10738" max="10738" width="7" style="1" customWidth="1"/>
    <col min="10739" max="10739" width="0" style="1" hidden="1" customWidth="1"/>
    <col min="10740" max="10740" width="14.109375" style="1" customWidth="1"/>
    <col min="10741" max="10741" width="14.44140625" style="1" customWidth="1"/>
    <col min="10742" max="10742" width="7.44140625" style="1" customWidth="1"/>
    <col min="10743" max="10743" width="16.109375" style="1" customWidth="1"/>
    <col min="10744" max="10744" width="8.44140625" style="1" customWidth="1"/>
    <col min="10745" max="10745" width="14" style="1" customWidth="1"/>
    <col min="10746" max="10746" width="13.44140625" style="1" customWidth="1"/>
    <col min="10747" max="10747" width="11.44140625" style="1" customWidth="1"/>
    <col min="10748" max="10748" width="13.44140625" style="1" customWidth="1"/>
    <col min="10749" max="10990" width="8.77734375" style="1"/>
    <col min="10991" max="10991" width="6" style="1" customWidth="1"/>
    <col min="10992" max="10992" width="10.109375" style="1" customWidth="1"/>
    <col min="10993" max="10993" width="37.44140625" style="1" customWidth="1"/>
    <col min="10994" max="10994" width="7" style="1" customWidth="1"/>
    <col min="10995" max="10995" width="0" style="1" hidden="1" customWidth="1"/>
    <col min="10996" max="10996" width="14.109375" style="1" customWidth="1"/>
    <col min="10997" max="10997" width="14.44140625" style="1" customWidth="1"/>
    <col min="10998" max="10998" width="7.44140625" style="1" customWidth="1"/>
    <col min="10999" max="10999" width="16.109375" style="1" customWidth="1"/>
    <col min="11000" max="11000" width="8.44140625" style="1" customWidth="1"/>
    <col min="11001" max="11001" width="14" style="1" customWidth="1"/>
    <col min="11002" max="11002" width="13.44140625" style="1" customWidth="1"/>
    <col min="11003" max="11003" width="11.44140625" style="1" customWidth="1"/>
    <col min="11004" max="11004" width="13.44140625" style="1" customWidth="1"/>
    <col min="11005" max="11246" width="8.77734375" style="1"/>
    <col min="11247" max="11247" width="6" style="1" customWidth="1"/>
    <col min="11248" max="11248" width="10.109375" style="1" customWidth="1"/>
    <col min="11249" max="11249" width="37.44140625" style="1" customWidth="1"/>
    <col min="11250" max="11250" width="7" style="1" customWidth="1"/>
    <col min="11251" max="11251" width="0" style="1" hidden="1" customWidth="1"/>
    <col min="11252" max="11252" width="14.109375" style="1" customWidth="1"/>
    <col min="11253" max="11253" width="14.44140625" style="1" customWidth="1"/>
    <col min="11254" max="11254" width="7.44140625" style="1" customWidth="1"/>
    <col min="11255" max="11255" width="16.109375" style="1" customWidth="1"/>
    <col min="11256" max="11256" width="8.44140625" style="1" customWidth="1"/>
    <col min="11257" max="11257" width="14" style="1" customWidth="1"/>
    <col min="11258" max="11258" width="13.44140625" style="1" customWidth="1"/>
    <col min="11259" max="11259" width="11.44140625" style="1" customWidth="1"/>
    <col min="11260" max="11260" width="13.44140625" style="1" customWidth="1"/>
    <col min="11261" max="11502" width="8.77734375" style="1"/>
    <col min="11503" max="11503" width="6" style="1" customWidth="1"/>
    <col min="11504" max="11504" width="10.109375" style="1" customWidth="1"/>
    <col min="11505" max="11505" width="37.44140625" style="1" customWidth="1"/>
    <col min="11506" max="11506" width="7" style="1" customWidth="1"/>
    <col min="11507" max="11507" width="0" style="1" hidden="1" customWidth="1"/>
    <col min="11508" max="11508" width="14.109375" style="1" customWidth="1"/>
    <col min="11509" max="11509" width="14.44140625" style="1" customWidth="1"/>
    <col min="11510" max="11510" width="7.44140625" style="1" customWidth="1"/>
    <col min="11511" max="11511" width="16.109375" style="1" customWidth="1"/>
    <col min="11512" max="11512" width="8.44140625" style="1" customWidth="1"/>
    <col min="11513" max="11513" width="14" style="1" customWidth="1"/>
    <col min="11514" max="11514" width="13.44140625" style="1" customWidth="1"/>
    <col min="11515" max="11515" width="11.44140625" style="1" customWidth="1"/>
    <col min="11516" max="11516" width="13.44140625" style="1" customWidth="1"/>
    <col min="11517" max="11758" width="8.77734375" style="1"/>
    <col min="11759" max="11759" width="6" style="1" customWidth="1"/>
    <col min="11760" max="11760" width="10.109375" style="1" customWidth="1"/>
    <col min="11761" max="11761" width="37.44140625" style="1" customWidth="1"/>
    <col min="11762" max="11762" width="7" style="1" customWidth="1"/>
    <col min="11763" max="11763" width="0" style="1" hidden="1" customWidth="1"/>
    <col min="11764" max="11764" width="14.109375" style="1" customWidth="1"/>
    <col min="11765" max="11765" width="14.44140625" style="1" customWidth="1"/>
    <col min="11766" max="11766" width="7.44140625" style="1" customWidth="1"/>
    <col min="11767" max="11767" width="16.109375" style="1" customWidth="1"/>
    <col min="11768" max="11768" width="8.44140625" style="1" customWidth="1"/>
    <col min="11769" max="11769" width="14" style="1" customWidth="1"/>
    <col min="11770" max="11770" width="13.44140625" style="1" customWidth="1"/>
    <col min="11771" max="11771" width="11.44140625" style="1" customWidth="1"/>
    <col min="11772" max="11772" width="13.44140625" style="1" customWidth="1"/>
    <col min="11773" max="12014" width="8.77734375" style="1"/>
    <col min="12015" max="12015" width="6" style="1" customWidth="1"/>
    <col min="12016" max="12016" width="10.109375" style="1" customWidth="1"/>
    <col min="12017" max="12017" width="37.44140625" style="1" customWidth="1"/>
    <col min="12018" max="12018" width="7" style="1" customWidth="1"/>
    <col min="12019" max="12019" width="0" style="1" hidden="1" customWidth="1"/>
    <col min="12020" max="12020" width="14.109375" style="1" customWidth="1"/>
    <col min="12021" max="12021" width="14.44140625" style="1" customWidth="1"/>
    <col min="12022" max="12022" width="7.44140625" style="1" customWidth="1"/>
    <col min="12023" max="12023" width="16.109375" style="1" customWidth="1"/>
    <col min="12024" max="12024" width="8.44140625" style="1" customWidth="1"/>
    <col min="12025" max="12025" width="14" style="1" customWidth="1"/>
    <col min="12026" max="12026" width="13.44140625" style="1" customWidth="1"/>
    <col min="12027" max="12027" width="11.44140625" style="1" customWidth="1"/>
    <col min="12028" max="12028" width="13.44140625" style="1" customWidth="1"/>
    <col min="12029" max="12270" width="8.77734375" style="1"/>
    <col min="12271" max="12271" width="6" style="1" customWidth="1"/>
    <col min="12272" max="12272" width="10.109375" style="1" customWidth="1"/>
    <col min="12273" max="12273" width="37.44140625" style="1" customWidth="1"/>
    <col min="12274" max="12274" width="7" style="1" customWidth="1"/>
    <col min="12275" max="12275" width="0" style="1" hidden="1" customWidth="1"/>
    <col min="12276" max="12276" width="14.109375" style="1" customWidth="1"/>
    <col min="12277" max="12277" width="14.44140625" style="1" customWidth="1"/>
    <col min="12278" max="12278" width="7.44140625" style="1" customWidth="1"/>
    <col min="12279" max="12279" width="16.109375" style="1" customWidth="1"/>
    <col min="12280" max="12280" width="8.44140625" style="1" customWidth="1"/>
    <col min="12281" max="12281" width="14" style="1" customWidth="1"/>
    <col min="12282" max="12282" width="13.44140625" style="1" customWidth="1"/>
    <col min="12283" max="12283" width="11.44140625" style="1" customWidth="1"/>
    <col min="12284" max="12284" width="13.44140625" style="1" customWidth="1"/>
    <col min="12285" max="12526" width="8.77734375" style="1"/>
    <col min="12527" max="12527" width="6" style="1" customWidth="1"/>
    <col min="12528" max="12528" width="10.109375" style="1" customWidth="1"/>
    <col min="12529" max="12529" width="37.44140625" style="1" customWidth="1"/>
    <col min="12530" max="12530" width="7" style="1" customWidth="1"/>
    <col min="12531" max="12531" width="0" style="1" hidden="1" customWidth="1"/>
    <col min="12532" max="12532" width="14.109375" style="1" customWidth="1"/>
    <col min="12533" max="12533" width="14.44140625" style="1" customWidth="1"/>
    <col min="12534" max="12534" width="7.44140625" style="1" customWidth="1"/>
    <col min="12535" max="12535" width="16.109375" style="1" customWidth="1"/>
    <col min="12536" max="12536" width="8.44140625" style="1" customWidth="1"/>
    <col min="12537" max="12537" width="14" style="1" customWidth="1"/>
    <col min="12538" max="12538" width="13.44140625" style="1" customWidth="1"/>
    <col min="12539" max="12539" width="11.44140625" style="1" customWidth="1"/>
    <col min="12540" max="12540" width="13.44140625" style="1" customWidth="1"/>
    <col min="12541" max="12782" width="8.77734375" style="1"/>
    <col min="12783" max="12783" width="6" style="1" customWidth="1"/>
    <col min="12784" max="12784" width="10.109375" style="1" customWidth="1"/>
    <col min="12785" max="12785" width="37.44140625" style="1" customWidth="1"/>
    <col min="12786" max="12786" width="7" style="1" customWidth="1"/>
    <col min="12787" max="12787" width="0" style="1" hidden="1" customWidth="1"/>
    <col min="12788" max="12788" width="14.109375" style="1" customWidth="1"/>
    <col min="12789" max="12789" width="14.44140625" style="1" customWidth="1"/>
    <col min="12790" max="12790" width="7.44140625" style="1" customWidth="1"/>
    <col min="12791" max="12791" width="16.109375" style="1" customWidth="1"/>
    <col min="12792" max="12792" width="8.44140625" style="1" customWidth="1"/>
    <col min="12793" max="12793" width="14" style="1" customWidth="1"/>
    <col min="12794" max="12794" width="13.44140625" style="1" customWidth="1"/>
    <col min="12795" max="12795" width="11.44140625" style="1" customWidth="1"/>
    <col min="12796" max="12796" width="13.44140625" style="1" customWidth="1"/>
    <col min="12797" max="13038" width="8.77734375" style="1"/>
    <col min="13039" max="13039" width="6" style="1" customWidth="1"/>
    <col min="13040" max="13040" width="10.109375" style="1" customWidth="1"/>
    <col min="13041" max="13041" width="37.44140625" style="1" customWidth="1"/>
    <col min="13042" max="13042" width="7" style="1" customWidth="1"/>
    <col min="13043" max="13043" width="0" style="1" hidden="1" customWidth="1"/>
    <col min="13044" max="13044" width="14.109375" style="1" customWidth="1"/>
    <col min="13045" max="13045" width="14.44140625" style="1" customWidth="1"/>
    <col min="13046" max="13046" width="7.44140625" style="1" customWidth="1"/>
    <col min="13047" max="13047" width="16.109375" style="1" customWidth="1"/>
    <col min="13048" max="13048" width="8.44140625" style="1" customWidth="1"/>
    <col min="13049" max="13049" width="14" style="1" customWidth="1"/>
    <col min="13050" max="13050" width="13.44140625" style="1" customWidth="1"/>
    <col min="13051" max="13051" width="11.44140625" style="1" customWidth="1"/>
    <col min="13052" max="13052" width="13.44140625" style="1" customWidth="1"/>
    <col min="13053" max="13294" width="8.77734375" style="1"/>
    <col min="13295" max="13295" width="6" style="1" customWidth="1"/>
    <col min="13296" max="13296" width="10.109375" style="1" customWidth="1"/>
    <col min="13297" max="13297" width="37.44140625" style="1" customWidth="1"/>
    <col min="13298" max="13298" width="7" style="1" customWidth="1"/>
    <col min="13299" max="13299" width="0" style="1" hidden="1" customWidth="1"/>
    <col min="13300" max="13300" width="14.109375" style="1" customWidth="1"/>
    <col min="13301" max="13301" width="14.44140625" style="1" customWidth="1"/>
    <col min="13302" max="13302" width="7.44140625" style="1" customWidth="1"/>
    <col min="13303" max="13303" width="16.109375" style="1" customWidth="1"/>
    <col min="13304" max="13304" width="8.44140625" style="1" customWidth="1"/>
    <col min="13305" max="13305" width="14" style="1" customWidth="1"/>
    <col min="13306" max="13306" width="13.44140625" style="1" customWidth="1"/>
    <col min="13307" max="13307" width="11.44140625" style="1" customWidth="1"/>
    <col min="13308" max="13308" width="13.44140625" style="1" customWidth="1"/>
    <col min="13309" max="13550" width="8.77734375" style="1"/>
    <col min="13551" max="13551" width="6" style="1" customWidth="1"/>
    <col min="13552" max="13552" width="10.109375" style="1" customWidth="1"/>
    <col min="13553" max="13553" width="37.44140625" style="1" customWidth="1"/>
    <col min="13554" max="13554" width="7" style="1" customWidth="1"/>
    <col min="13555" max="13555" width="0" style="1" hidden="1" customWidth="1"/>
    <col min="13556" max="13556" width="14.109375" style="1" customWidth="1"/>
    <col min="13557" max="13557" width="14.44140625" style="1" customWidth="1"/>
    <col min="13558" max="13558" width="7.44140625" style="1" customWidth="1"/>
    <col min="13559" max="13559" width="16.109375" style="1" customWidth="1"/>
    <col min="13560" max="13560" width="8.44140625" style="1" customWidth="1"/>
    <col min="13561" max="13561" width="14" style="1" customWidth="1"/>
    <col min="13562" max="13562" width="13.44140625" style="1" customWidth="1"/>
    <col min="13563" max="13563" width="11.44140625" style="1" customWidth="1"/>
    <col min="13564" max="13564" width="13.44140625" style="1" customWidth="1"/>
    <col min="13565" max="13806" width="8.77734375" style="1"/>
    <col min="13807" max="13807" width="6" style="1" customWidth="1"/>
    <col min="13808" max="13808" width="10.109375" style="1" customWidth="1"/>
    <col min="13809" max="13809" width="37.44140625" style="1" customWidth="1"/>
    <col min="13810" max="13810" width="7" style="1" customWidth="1"/>
    <col min="13811" max="13811" width="0" style="1" hidden="1" customWidth="1"/>
    <col min="13812" max="13812" width="14.109375" style="1" customWidth="1"/>
    <col min="13813" max="13813" width="14.44140625" style="1" customWidth="1"/>
    <col min="13814" max="13814" width="7.44140625" style="1" customWidth="1"/>
    <col min="13815" max="13815" width="16.109375" style="1" customWidth="1"/>
    <col min="13816" max="13816" width="8.44140625" style="1" customWidth="1"/>
    <col min="13817" max="13817" width="14" style="1" customWidth="1"/>
    <col min="13818" max="13818" width="13.44140625" style="1" customWidth="1"/>
    <col min="13819" max="13819" width="11.44140625" style="1" customWidth="1"/>
    <col min="13820" max="13820" width="13.44140625" style="1" customWidth="1"/>
    <col min="13821" max="14062" width="8.77734375" style="1"/>
    <col min="14063" max="14063" width="6" style="1" customWidth="1"/>
    <col min="14064" max="14064" width="10.109375" style="1" customWidth="1"/>
    <col min="14065" max="14065" width="37.44140625" style="1" customWidth="1"/>
    <col min="14066" max="14066" width="7" style="1" customWidth="1"/>
    <col min="14067" max="14067" width="0" style="1" hidden="1" customWidth="1"/>
    <col min="14068" max="14068" width="14.109375" style="1" customWidth="1"/>
    <col min="14069" max="14069" width="14.44140625" style="1" customWidth="1"/>
    <col min="14070" max="14070" width="7.44140625" style="1" customWidth="1"/>
    <col min="14071" max="14071" width="16.109375" style="1" customWidth="1"/>
    <col min="14072" max="14072" width="8.44140625" style="1" customWidth="1"/>
    <col min="14073" max="14073" width="14" style="1" customWidth="1"/>
    <col min="14074" max="14074" width="13.44140625" style="1" customWidth="1"/>
    <col min="14075" max="14075" width="11.44140625" style="1" customWidth="1"/>
    <col min="14076" max="14076" width="13.44140625" style="1" customWidth="1"/>
    <col min="14077" max="14318" width="8.77734375" style="1"/>
    <col min="14319" max="14319" width="6" style="1" customWidth="1"/>
    <col min="14320" max="14320" width="10.109375" style="1" customWidth="1"/>
    <col min="14321" max="14321" width="37.44140625" style="1" customWidth="1"/>
    <col min="14322" max="14322" width="7" style="1" customWidth="1"/>
    <col min="14323" max="14323" width="0" style="1" hidden="1" customWidth="1"/>
    <col min="14324" max="14324" width="14.109375" style="1" customWidth="1"/>
    <col min="14325" max="14325" width="14.44140625" style="1" customWidth="1"/>
    <col min="14326" max="14326" width="7.44140625" style="1" customWidth="1"/>
    <col min="14327" max="14327" width="16.109375" style="1" customWidth="1"/>
    <col min="14328" max="14328" width="8.44140625" style="1" customWidth="1"/>
    <col min="14329" max="14329" width="14" style="1" customWidth="1"/>
    <col min="14330" max="14330" width="13.44140625" style="1" customWidth="1"/>
    <col min="14331" max="14331" width="11.44140625" style="1" customWidth="1"/>
    <col min="14332" max="14332" width="13.44140625" style="1" customWidth="1"/>
    <col min="14333" max="14574" width="8.77734375" style="1"/>
    <col min="14575" max="14575" width="6" style="1" customWidth="1"/>
    <col min="14576" max="14576" width="10.109375" style="1" customWidth="1"/>
    <col min="14577" max="14577" width="37.44140625" style="1" customWidth="1"/>
    <col min="14578" max="14578" width="7" style="1" customWidth="1"/>
    <col min="14579" max="14579" width="0" style="1" hidden="1" customWidth="1"/>
    <col min="14580" max="14580" width="14.109375" style="1" customWidth="1"/>
    <col min="14581" max="14581" width="14.44140625" style="1" customWidth="1"/>
    <col min="14582" max="14582" width="7.44140625" style="1" customWidth="1"/>
    <col min="14583" max="14583" width="16.109375" style="1" customWidth="1"/>
    <col min="14584" max="14584" width="8.44140625" style="1" customWidth="1"/>
    <col min="14585" max="14585" width="14" style="1" customWidth="1"/>
    <col min="14586" max="14586" width="13.44140625" style="1" customWidth="1"/>
    <col min="14587" max="14587" width="11.44140625" style="1" customWidth="1"/>
    <col min="14588" max="14588" width="13.44140625" style="1" customWidth="1"/>
    <col min="14589" max="14830" width="8.77734375" style="1"/>
    <col min="14831" max="14831" width="6" style="1" customWidth="1"/>
    <col min="14832" max="14832" width="10.109375" style="1" customWidth="1"/>
    <col min="14833" max="14833" width="37.44140625" style="1" customWidth="1"/>
    <col min="14834" max="14834" width="7" style="1" customWidth="1"/>
    <col min="14835" max="14835" width="0" style="1" hidden="1" customWidth="1"/>
    <col min="14836" max="14836" width="14.109375" style="1" customWidth="1"/>
    <col min="14837" max="14837" width="14.44140625" style="1" customWidth="1"/>
    <col min="14838" max="14838" width="7.44140625" style="1" customWidth="1"/>
    <col min="14839" max="14839" width="16.109375" style="1" customWidth="1"/>
    <col min="14840" max="14840" width="8.44140625" style="1" customWidth="1"/>
    <col min="14841" max="14841" width="14" style="1" customWidth="1"/>
    <col min="14842" max="14842" width="13.44140625" style="1" customWidth="1"/>
    <col min="14843" max="14843" width="11.44140625" style="1" customWidth="1"/>
    <col min="14844" max="14844" width="13.44140625" style="1" customWidth="1"/>
    <col min="14845" max="15086" width="8.77734375" style="1"/>
    <col min="15087" max="15087" width="6" style="1" customWidth="1"/>
    <col min="15088" max="15088" width="10.109375" style="1" customWidth="1"/>
    <col min="15089" max="15089" width="37.44140625" style="1" customWidth="1"/>
    <col min="15090" max="15090" width="7" style="1" customWidth="1"/>
    <col min="15091" max="15091" width="0" style="1" hidden="1" customWidth="1"/>
    <col min="15092" max="15092" width="14.109375" style="1" customWidth="1"/>
    <col min="15093" max="15093" width="14.44140625" style="1" customWidth="1"/>
    <col min="15094" max="15094" width="7.44140625" style="1" customWidth="1"/>
    <col min="15095" max="15095" width="16.109375" style="1" customWidth="1"/>
    <col min="15096" max="15096" width="8.44140625" style="1" customWidth="1"/>
    <col min="15097" max="15097" width="14" style="1" customWidth="1"/>
    <col min="15098" max="15098" width="13.44140625" style="1" customWidth="1"/>
    <col min="15099" max="15099" width="11.44140625" style="1" customWidth="1"/>
    <col min="15100" max="15100" width="13.44140625" style="1" customWidth="1"/>
    <col min="15101" max="15342" width="8.77734375" style="1"/>
    <col min="15343" max="15343" width="6" style="1" customWidth="1"/>
    <col min="15344" max="15344" width="10.109375" style="1" customWidth="1"/>
    <col min="15345" max="15345" width="37.44140625" style="1" customWidth="1"/>
    <col min="15346" max="15346" width="7" style="1" customWidth="1"/>
    <col min="15347" max="15347" width="0" style="1" hidden="1" customWidth="1"/>
    <col min="15348" max="15348" width="14.109375" style="1" customWidth="1"/>
    <col min="15349" max="15349" width="14.44140625" style="1" customWidth="1"/>
    <col min="15350" max="15350" width="7.44140625" style="1" customWidth="1"/>
    <col min="15351" max="15351" width="16.109375" style="1" customWidth="1"/>
    <col min="15352" max="15352" width="8.44140625" style="1" customWidth="1"/>
    <col min="15353" max="15353" width="14" style="1" customWidth="1"/>
    <col min="15354" max="15354" width="13.44140625" style="1" customWidth="1"/>
    <col min="15355" max="15355" width="11.44140625" style="1" customWidth="1"/>
    <col min="15356" max="15356" width="13.44140625" style="1" customWidth="1"/>
    <col min="15357" max="15598" width="8.77734375" style="1"/>
    <col min="15599" max="15599" width="6" style="1" customWidth="1"/>
    <col min="15600" max="15600" width="10.109375" style="1" customWidth="1"/>
    <col min="15601" max="15601" width="37.44140625" style="1" customWidth="1"/>
    <col min="15602" max="15602" width="7" style="1" customWidth="1"/>
    <col min="15603" max="15603" width="0" style="1" hidden="1" customWidth="1"/>
    <col min="15604" max="15604" width="14.109375" style="1" customWidth="1"/>
    <col min="15605" max="15605" width="14.44140625" style="1" customWidth="1"/>
    <col min="15606" max="15606" width="7.44140625" style="1" customWidth="1"/>
    <col min="15607" max="15607" width="16.109375" style="1" customWidth="1"/>
    <col min="15608" max="15608" width="8.44140625" style="1" customWidth="1"/>
    <col min="15609" max="15609" width="14" style="1" customWidth="1"/>
    <col min="15610" max="15610" width="13.44140625" style="1" customWidth="1"/>
    <col min="15611" max="15611" width="11.44140625" style="1" customWidth="1"/>
    <col min="15612" max="15612" width="13.44140625" style="1" customWidth="1"/>
    <col min="15613" max="15854" width="8.77734375" style="1"/>
    <col min="15855" max="15855" width="6" style="1" customWidth="1"/>
    <col min="15856" max="15856" width="10.109375" style="1" customWidth="1"/>
    <col min="15857" max="15857" width="37.44140625" style="1" customWidth="1"/>
    <col min="15858" max="15858" width="7" style="1" customWidth="1"/>
    <col min="15859" max="15859" width="0" style="1" hidden="1" customWidth="1"/>
    <col min="15860" max="15860" width="14.109375" style="1" customWidth="1"/>
    <col min="15861" max="15861" width="14.44140625" style="1" customWidth="1"/>
    <col min="15862" max="15862" width="7.44140625" style="1" customWidth="1"/>
    <col min="15863" max="15863" width="16.109375" style="1" customWidth="1"/>
    <col min="15864" max="15864" width="8.44140625" style="1" customWidth="1"/>
    <col min="15865" max="15865" width="14" style="1" customWidth="1"/>
    <col min="15866" max="15866" width="13.44140625" style="1" customWidth="1"/>
    <col min="15867" max="15867" width="11.44140625" style="1" customWidth="1"/>
    <col min="15868" max="15868" width="13.44140625" style="1" customWidth="1"/>
    <col min="15869" max="16110" width="8.77734375" style="1"/>
    <col min="16111" max="16111" width="6" style="1" customWidth="1"/>
    <col min="16112" max="16112" width="10.109375" style="1" customWidth="1"/>
    <col min="16113" max="16113" width="37.44140625" style="1" customWidth="1"/>
    <col min="16114" max="16114" width="7" style="1" customWidth="1"/>
    <col min="16115" max="16115" width="0" style="1" hidden="1" customWidth="1"/>
    <col min="16116" max="16116" width="14.109375" style="1" customWidth="1"/>
    <col min="16117" max="16117" width="14.44140625" style="1" customWidth="1"/>
    <col min="16118" max="16118" width="7.44140625" style="1" customWidth="1"/>
    <col min="16119" max="16119" width="16.109375" style="1" customWidth="1"/>
    <col min="16120" max="16120" width="8.44140625" style="1" customWidth="1"/>
    <col min="16121" max="16121" width="14" style="1" customWidth="1"/>
    <col min="16122" max="16122" width="13.44140625" style="1" customWidth="1"/>
    <col min="16123" max="16123" width="11.44140625" style="1" customWidth="1"/>
    <col min="16124" max="16124" width="13.44140625" style="1" customWidth="1"/>
    <col min="16125" max="16375" width="8.77734375" style="1"/>
    <col min="16376" max="16384" width="8.44140625" style="1" customWidth="1"/>
  </cols>
  <sheetData>
    <row r="1" spans="1:11" s="98" customFormat="1" ht="47.55" customHeight="1">
      <c r="A1" s="177" t="s">
        <v>95</v>
      </c>
      <c r="B1" s="178"/>
      <c r="C1" s="178"/>
      <c r="D1" s="178"/>
      <c r="E1" s="178"/>
      <c r="F1" s="178"/>
      <c r="G1" s="178"/>
      <c r="H1" s="178"/>
      <c r="I1" s="178"/>
      <c r="J1" s="178"/>
      <c r="K1" s="178"/>
    </row>
    <row r="2" spans="1:11" s="98" customFormat="1" ht="52.8" customHeight="1">
      <c r="A2" s="178"/>
      <c r="B2" s="178"/>
      <c r="C2" s="178"/>
      <c r="D2" s="178"/>
      <c r="E2" s="178"/>
      <c r="F2" s="178"/>
      <c r="G2" s="178"/>
      <c r="H2" s="178"/>
      <c r="I2" s="178"/>
      <c r="J2" s="178"/>
      <c r="K2" s="178"/>
    </row>
    <row r="3" spans="1:11" s="98" customFormat="1" ht="17.55" customHeight="1">
      <c r="A3" s="178"/>
      <c r="B3" s="178"/>
      <c r="C3" s="178"/>
      <c r="D3" s="178"/>
      <c r="E3" s="178"/>
      <c r="F3" s="178"/>
      <c r="G3" s="178"/>
      <c r="H3" s="178"/>
      <c r="I3" s="178"/>
      <c r="J3" s="178"/>
      <c r="K3" s="178"/>
    </row>
    <row r="4" spans="1:11" s="98" customFormat="1" ht="15.6">
      <c r="B4" s="99"/>
      <c r="C4" s="100"/>
      <c r="D4" s="101"/>
      <c r="E4" s="100"/>
      <c r="F4" s="100"/>
      <c r="G4" s="100"/>
      <c r="H4" s="102"/>
      <c r="I4" s="102"/>
      <c r="J4" s="103"/>
      <c r="K4" s="104"/>
    </row>
    <row r="5" spans="1:11" s="10" customFormat="1" ht="30.6" customHeight="1">
      <c r="B5" s="179" t="s">
        <v>2</v>
      </c>
      <c r="C5" s="179"/>
      <c r="D5" s="179"/>
      <c r="E5" s="179"/>
      <c r="F5" s="179"/>
      <c r="G5" s="179"/>
      <c r="H5" s="179"/>
      <c r="I5" s="179"/>
      <c r="J5" s="179"/>
      <c r="K5" s="179"/>
    </row>
    <row r="6" spans="1:11" s="10" customFormat="1" ht="27" customHeight="1">
      <c r="B6" s="106" t="s">
        <v>96</v>
      </c>
      <c r="C6" s="180" t="s">
        <v>102</v>
      </c>
      <c r="D6" s="180"/>
      <c r="E6" s="180"/>
      <c r="F6" s="180"/>
      <c r="G6" s="107"/>
      <c r="H6" s="108"/>
      <c r="I6" s="109"/>
      <c r="J6" s="110"/>
      <c r="K6" s="111"/>
    </row>
    <row r="7" spans="1:11" s="10" customFormat="1" ht="22.8">
      <c r="B7" s="106" t="s">
        <v>97</v>
      </c>
      <c r="C7" s="112" t="s">
        <v>103</v>
      </c>
      <c r="D7" s="110"/>
      <c r="E7" s="110"/>
      <c r="F7" s="110"/>
      <c r="G7" s="113"/>
      <c r="H7" s="113"/>
      <c r="I7" s="113"/>
      <c r="J7" s="114" t="s">
        <v>78</v>
      </c>
      <c r="K7" s="115">
        <f ca="1">TODAY()</f>
        <v>45905</v>
      </c>
    </row>
    <row r="8" spans="1:11" s="10" customFormat="1" ht="23.4">
      <c r="B8" s="106" t="s">
        <v>72</v>
      </c>
      <c r="C8" s="116" t="s">
        <v>104</v>
      </c>
      <c r="D8" s="117"/>
      <c r="E8" s="117"/>
      <c r="F8" s="118"/>
      <c r="G8" s="106"/>
      <c r="H8" s="108"/>
      <c r="I8" s="119"/>
      <c r="J8" s="120"/>
      <c r="K8" s="121" t="s">
        <v>70</v>
      </c>
    </row>
    <row r="9" spans="1:11" ht="42.6" customHeight="1">
      <c r="B9" s="122" t="s">
        <v>19</v>
      </c>
      <c r="C9" s="3"/>
      <c r="D9" s="3"/>
      <c r="E9" s="2"/>
      <c r="F9" s="2"/>
      <c r="G9" s="3"/>
      <c r="H9" s="4"/>
      <c r="I9" s="3"/>
      <c r="J9" s="2"/>
      <c r="K9" s="95"/>
    </row>
    <row r="10" spans="1:11" s="98" customFormat="1" ht="42.6" customHeight="1">
      <c r="B10" s="123" t="s">
        <v>3</v>
      </c>
      <c r="C10" s="123" t="s">
        <v>1</v>
      </c>
      <c r="D10" s="123" t="s">
        <v>4</v>
      </c>
      <c r="E10" s="124" t="s">
        <v>85</v>
      </c>
      <c r="F10" s="124" t="s">
        <v>5</v>
      </c>
      <c r="G10" s="124" t="s">
        <v>86</v>
      </c>
      <c r="H10" s="124" t="s">
        <v>79</v>
      </c>
      <c r="I10" s="124" t="s">
        <v>81</v>
      </c>
      <c r="J10" s="123" t="s">
        <v>90</v>
      </c>
      <c r="K10" s="125" t="s">
        <v>80</v>
      </c>
    </row>
    <row r="11" spans="1:11" s="5" customFormat="1" ht="78" customHeight="1">
      <c r="B11" s="126">
        <v>1</v>
      </c>
      <c r="C11" s="170" t="s">
        <v>105</v>
      </c>
      <c r="D11" s="171" t="s">
        <v>106</v>
      </c>
      <c r="E11" s="126" t="s">
        <v>107</v>
      </c>
      <c r="F11" s="126">
        <v>2</v>
      </c>
      <c r="G11" s="127" t="s">
        <v>91</v>
      </c>
      <c r="H11" s="128">
        <v>2780000</v>
      </c>
      <c r="I11" s="129">
        <f>H11*F11</f>
        <v>5560000</v>
      </c>
      <c r="J11" s="128">
        <f>I11*8%</f>
        <v>444800</v>
      </c>
      <c r="K11" s="129">
        <f>J11+I11</f>
        <v>6004800</v>
      </c>
    </row>
    <row r="12" spans="1:11" s="6" customFormat="1" ht="25.05" customHeight="1">
      <c r="B12" s="181" t="s">
        <v>87</v>
      </c>
      <c r="C12" s="181"/>
      <c r="D12" s="181"/>
      <c r="E12" s="181"/>
      <c r="F12" s="181"/>
      <c r="G12" s="181"/>
      <c r="H12" s="181"/>
      <c r="I12" s="130"/>
      <c r="J12" s="131"/>
      <c r="K12" s="132">
        <f>SUM(K11:K11)</f>
        <v>6004800</v>
      </c>
    </row>
    <row r="13" spans="1:11">
      <c r="B13" s="9"/>
      <c r="C13" s="9"/>
      <c r="D13" s="9"/>
      <c r="E13" s="93"/>
      <c r="F13" s="93"/>
      <c r="G13" s="9"/>
      <c r="H13" s="9"/>
      <c r="I13" s="9"/>
      <c r="J13" s="9"/>
      <c r="K13" s="96"/>
    </row>
    <row r="14" spans="1:11" s="133" customFormat="1" ht="17.399999999999999">
      <c r="B14" s="134" t="s">
        <v>6</v>
      </c>
      <c r="C14" s="135"/>
      <c r="D14" s="135"/>
      <c r="E14" s="136"/>
      <c r="F14" s="136"/>
      <c r="G14" s="135"/>
      <c r="H14" s="135"/>
      <c r="I14" s="135"/>
      <c r="J14" s="135"/>
      <c r="K14" s="137"/>
    </row>
    <row r="15" spans="1:11" s="105" customFormat="1" ht="18">
      <c r="B15" s="138" t="s">
        <v>83</v>
      </c>
      <c r="D15" s="139"/>
      <c r="E15" s="140"/>
      <c r="F15" s="141"/>
      <c r="H15" s="142"/>
      <c r="J15" s="141"/>
      <c r="K15" s="143"/>
    </row>
    <row r="16" spans="1:11" s="105" customFormat="1" ht="18">
      <c r="B16" s="138" t="s">
        <v>20</v>
      </c>
      <c r="D16" s="140"/>
      <c r="E16" s="140"/>
      <c r="F16" s="141"/>
      <c r="H16" s="142"/>
      <c r="J16" s="141"/>
      <c r="K16" s="143"/>
    </row>
    <row r="17" spans="2:11" s="105" customFormat="1" ht="18">
      <c r="B17" s="138" t="s">
        <v>7</v>
      </c>
      <c r="D17" s="139"/>
      <c r="E17" s="140"/>
      <c r="F17" s="141"/>
      <c r="H17" s="144"/>
      <c r="J17" s="141"/>
      <c r="K17" s="143"/>
    </row>
    <row r="18" spans="2:11" s="105" customFormat="1" ht="18">
      <c r="B18" s="138"/>
      <c r="C18" s="105" t="s">
        <v>93</v>
      </c>
      <c r="D18" s="139"/>
      <c r="E18" s="140"/>
      <c r="F18" s="141"/>
      <c r="H18" s="144"/>
      <c r="J18" s="141"/>
      <c r="K18" s="143"/>
    </row>
    <row r="19" spans="2:11" s="105" customFormat="1" ht="18">
      <c r="B19" s="138"/>
      <c r="C19" s="105" t="s">
        <v>84</v>
      </c>
      <c r="D19" s="139"/>
      <c r="E19" s="140"/>
      <c r="F19" s="141"/>
      <c r="H19" s="144"/>
      <c r="J19" s="141"/>
      <c r="K19" s="143"/>
    </row>
    <row r="20" spans="2:11" s="105" customFormat="1" ht="18">
      <c r="B20" s="138"/>
      <c r="D20" s="139"/>
      <c r="E20" s="140"/>
      <c r="F20" s="141"/>
      <c r="H20" s="144"/>
      <c r="J20" s="141"/>
      <c r="K20" s="143"/>
    </row>
    <row r="21" spans="2:11" s="105" customFormat="1" ht="14.25" customHeight="1">
      <c r="B21" s="138" t="s">
        <v>8</v>
      </c>
      <c r="C21" s="138"/>
      <c r="D21" s="138"/>
      <c r="E21" s="145"/>
      <c r="F21" s="145"/>
      <c r="G21" s="138"/>
      <c r="H21" s="138"/>
      <c r="I21" s="138"/>
      <c r="J21" s="138"/>
      <c r="K21" s="143"/>
    </row>
    <row r="22" spans="2:11" s="105" customFormat="1" ht="14.25" customHeight="1">
      <c r="C22" s="105" t="s">
        <v>92</v>
      </c>
      <c r="D22" s="138"/>
      <c r="E22" s="145"/>
      <c r="F22" s="145"/>
      <c r="G22" s="138"/>
      <c r="H22" s="138"/>
      <c r="I22" s="138"/>
      <c r="J22" s="138"/>
      <c r="K22" s="143"/>
    </row>
    <row r="23" spans="2:11" s="105" customFormat="1" ht="14.25" customHeight="1">
      <c r="C23" s="105" t="s">
        <v>82</v>
      </c>
      <c r="D23" s="138"/>
      <c r="E23" s="145"/>
      <c r="F23" s="145"/>
      <c r="G23" s="138"/>
      <c r="H23" s="138"/>
      <c r="I23" s="138"/>
      <c r="J23" s="138"/>
      <c r="K23" s="143"/>
    </row>
    <row r="24" spans="2:11" s="105" customFormat="1" ht="17.399999999999999">
      <c r="B24" s="138" t="s">
        <v>98</v>
      </c>
      <c r="C24" s="138"/>
      <c r="D24" s="138"/>
      <c r="E24" s="145"/>
      <c r="F24" s="145"/>
      <c r="G24" s="138"/>
      <c r="H24" s="138"/>
      <c r="I24" s="138"/>
      <c r="J24" s="138"/>
      <c r="K24" s="147"/>
    </row>
    <row r="25" spans="2:11" s="105" customFormat="1" ht="17.399999999999999" hidden="1">
      <c r="C25" s="105" t="s">
        <v>21</v>
      </c>
      <c r="E25" s="141"/>
      <c r="F25" s="141"/>
      <c r="K25" s="143"/>
    </row>
    <row r="26" spans="2:11" s="105" customFormat="1" ht="17.399999999999999">
      <c r="C26" s="105" t="s">
        <v>108</v>
      </c>
      <c r="E26" s="141"/>
      <c r="F26" s="141"/>
      <c r="K26" s="143"/>
    </row>
    <row r="27" spans="2:11" s="105" customFormat="1" ht="18">
      <c r="B27" s="138" t="s">
        <v>9</v>
      </c>
      <c r="D27" s="139"/>
      <c r="E27" s="140"/>
      <c r="F27" s="141"/>
      <c r="H27" s="144"/>
      <c r="J27" s="141"/>
      <c r="K27" s="143"/>
    </row>
    <row r="28" spans="2:11" s="105" customFormat="1" ht="17.399999999999999">
      <c r="C28" s="105" t="s">
        <v>73</v>
      </c>
      <c r="E28" s="141"/>
      <c r="F28" s="141"/>
      <c r="H28" s="144"/>
      <c r="J28" s="141"/>
      <c r="K28" s="143"/>
    </row>
    <row r="29" spans="2:11" s="148" customFormat="1" ht="17.399999999999999">
      <c r="C29" s="105" t="s">
        <v>74</v>
      </c>
      <c r="E29" s="149"/>
      <c r="F29" s="149"/>
      <c r="H29" s="150"/>
      <c r="J29" s="149"/>
      <c r="K29" s="151"/>
    </row>
    <row r="30" spans="2:11" s="148" customFormat="1" ht="18">
      <c r="C30" s="105" t="s">
        <v>77</v>
      </c>
      <c r="E30" s="149"/>
      <c r="F30" s="152"/>
      <c r="G30" s="153"/>
      <c r="H30" s="153"/>
      <c r="I30" s="153"/>
      <c r="J30" s="153"/>
      <c r="K30" s="151"/>
    </row>
    <row r="31" spans="2:11" s="148" customFormat="1" ht="18">
      <c r="C31" s="105" t="s">
        <v>71</v>
      </c>
      <c r="E31" s="149"/>
      <c r="F31" s="152"/>
      <c r="G31" s="153"/>
      <c r="H31" s="153"/>
      <c r="I31" s="153"/>
      <c r="J31" s="153"/>
      <c r="K31" s="151"/>
    </row>
    <row r="32" spans="2:11" s="105" customFormat="1" ht="18">
      <c r="B32" s="138" t="s">
        <v>10</v>
      </c>
      <c r="D32" s="139"/>
      <c r="E32" s="140"/>
      <c r="F32" s="141"/>
      <c r="H32" s="144"/>
      <c r="J32" s="141"/>
      <c r="K32" s="143"/>
    </row>
    <row r="33" spans="1:11" s="105" customFormat="1" ht="18">
      <c r="C33" s="154" t="s">
        <v>99</v>
      </c>
      <c r="E33" s="141"/>
      <c r="F33" s="141"/>
      <c r="H33" s="144"/>
      <c r="J33" s="141"/>
      <c r="K33" s="143"/>
    </row>
    <row r="34" spans="1:11" s="148" customFormat="1" ht="18">
      <c r="C34" s="154" t="s">
        <v>75</v>
      </c>
      <c r="E34" s="149"/>
      <c r="F34" s="149"/>
      <c r="H34" s="150"/>
      <c r="J34" s="149"/>
      <c r="K34" s="151"/>
    </row>
    <row r="35" spans="1:11" s="148" customFormat="1" ht="14.25" customHeight="1">
      <c r="C35" s="154" t="s">
        <v>100</v>
      </c>
      <c r="E35" s="149"/>
      <c r="F35" s="140"/>
      <c r="G35" s="139"/>
      <c r="H35" s="139"/>
      <c r="I35" s="139"/>
      <c r="J35" s="139"/>
      <c r="K35" s="151"/>
    </row>
    <row r="36" spans="1:11" s="105" customFormat="1" ht="14.25" customHeight="1">
      <c r="B36" s="138" t="s">
        <v>11</v>
      </c>
      <c r="C36" s="138"/>
      <c r="D36" s="138"/>
      <c r="E36" s="145"/>
      <c r="F36" s="155"/>
      <c r="G36" s="156"/>
      <c r="H36" s="156"/>
      <c r="I36" s="156"/>
      <c r="J36" s="156"/>
      <c r="K36" s="157"/>
    </row>
    <row r="37" spans="1:11" s="105" customFormat="1" ht="32.25" customHeight="1">
      <c r="C37" s="175" t="s">
        <v>22</v>
      </c>
      <c r="D37" s="176"/>
      <c r="E37" s="176"/>
      <c r="F37" s="176"/>
      <c r="G37" s="176"/>
      <c r="H37" s="176"/>
      <c r="I37" s="176"/>
      <c r="J37" s="176"/>
      <c r="K37" s="176"/>
    </row>
    <row r="38" spans="1:11" s="105" customFormat="1" ht="29.4" customHeight="1">
      <c r="B38" s="146"/>
      <c r="C38" s="175" t="s">
        <v>18</v>
      </c>
      <c r="D38" s="176"/>
      <c r="E38" s="176"/>
      <c r="F38" s="176"/>
      <c r="G38" s="176"/>
      <c r="H38" s="176"/>
      <c r="I38" s="176"/>
      <c r="J38" s="176"/>
      <c r="K38" s="176"/>
    </row>
    <row r="39" spans="1:11" s="105" customFormat="1" ht="18">
      <c r="B39" s="138" t="s">
        <v>25</v>
      </c>
      <c r="E39" s="141"/>
      <c r="F39" s="152"/>
      <c r="G39" s="153"/>
      <c r="H39" s="153"/>
      <c r="I39" s="153"/>
      <c r="J39" s="153"/>
      <c r="K39" s="143"/>
    </row>
    <row r="40" spans="1:11" s="105" customFormat="1" ht="18">
      <c r="B40" s="139" t="s">
        <v>23</v>
      </c>
      <c r="E40" s="141"/>
      <c r="F40" s="141"/>
      <c r="H40" s="144"/>
      <c r="J40" s="141"/>
      <c r="K40" s="143"/>
    </row>
    <row r="41" spans="1:11" s="105" customFormat="1" ht="18">
      <c r="B41" s="139" t="s">
        <v>12</v>
      </c>
      <c r="E41" s="141"/>
      <c r="F41" s="141"/>
      <c r="H41" s="144"/>
      <c r="J41" s="141"/>
      <c r="K41" s="143"/>
    </row>
    <row r="42" spans="1:11" s="105" customFormat="1" ht="13.5" customHeight="1">
      <c r="B42" s="138"/>
      <c r="C42" s="138"/>
      <c r="D42" s="138"/>
      <c r="E42" s="145"/>
      <c r="F42" s="145"/>
      <c r="G42" s="138"/>
      <c r="H42" s="144"/>
      <c r="I42" s="145" t="s">
        <v>76</v>
      </c>
      <c r="J42" s="141"/>
      <c r="K42" s="147"/>
    </row>
    <row r="43" spans="1:11" s="105" customFormat="1" ht="17.399999999999999">
      <c r="B43" s="158" t="s">
        <v>24</v>
      </c>
      <c r="C43" s="138"/>
      <c r="D43" s="138"/>
      <c r="E43" s="145"/>
      <c r="F43" s="145"/>
      <c r="G43" s="138"/>
      <c r="H43" s="144"/>
      <c r="J43" s="141"/>
      <c r="K43" s="147"/>
    </row>
    <row r="44" spans="1:11" s="105" customFormat="1" ht="17.399999999999999">
      <c r="B44" s="159" t="s">
        <v>88</v>
      </c>
      <c r="C44" s="138"/>
      <c r="D44" s="138"/>
      <c r="E44" s="145"/>
      <c r="F44" s="145"/>
      <c r="G44" s="138"/>
      <c r="H44" s="160"/>
      <c r="I44" s="160"/>
      <c r="J44" s="141"/>
      <c r="K44" s="147"/>
    </row>
    <row r="45" spans="1:11" s="105" customFormat="1" ht="17.399999999999999">
      <c r="B45" s="161" t="s">
        <v>89</v>
      </c>
      <c r="C45" s="138"/>
      <c r="D45" s="138"/>
      <c r="E45" s="145"/>
      <c r="F45" s="145"/>
      <c r="G45" s="138"/>
      <c r="H45" s="160"/>
      <c r="I45" s="160"/>
      <c r="J45" s="141"/>
      <c r="K45" s="147"/>
    </row>
    <row r="46" spans="1:11" s="105" customFormat="1" ht="35.4" customHeight="1">
      <c r="B46" s="161"/>
      <c r="D46" s="138"/>
      <c r="E46" s="145"/>
      <c r="F46" s="145"/>
      <c r="G46" s="138"/>
      <c r="H46" s="162"/>
      <c r="I46" s="160"/>
      <c r="J46" s="141"/>
      <c r="K46" s="147"/>
    </row>
    <row r="47" spans="1:11" s="105" customFormat="1" ht="34.799999999999997" customHeight="1">
      <c r="D47" s="138"/>
      <c r="E47" s="145"/>
      <c r="F47" s="145"/>
      <c r="G47" s="138"/>
      <c r="H47" s="162"/>
      <c r="I47" s="159" t="s">
        <v>94</v>
      </c>
      <c r="J47" s="141"/>
      <c r="K47" s="147"/>
    </row>
    <row r="48" spans="1:11" s="105" customFormat="1" ht="17.399999999999999">
      <c r="A48" s="163"/>
      <c r="B48" s="172" t="s">
        <v>13</v>
      </c>
      <c r="C48" s="172"/>
      <c r="D48" s="172"/>
      <c r="E48" s="172"/>
      <c r="F48" s="172"/>
      <c r="G48" s="172"/>
      <c r="H48" s="172"/>
      <c r="I48" s="172"/>
      <c r="J48" s="172"/>
      <c r="K48" s="172"/>
    </row>
    <row r="49" spans="2:11" s="105" customFormat="1" ht="27.75" customHeight="1">
      <c r="B49" s="173" t="s">
        <v>101</v>
      </c>
      <c r="C49" s="173"/>
      <c r="D49" s="173"/>
      <c r="E49" s="173"/>
      <c r="F49" s="173"/>
      <c r="G49" s="173"/>
      <c r="H49" s="173"/>
      <c r="I49" s="173"/>
      <c r="J49" s="173"/>
      <c r="K49" s="173"/>
    </row>
    <row r="50" spans="2:11" s="105" customFormat="1" ht="17.399999999999999">
      <c r="B50" s="174" t="s">
        <v>14</v>
      </c>
      <c r="C50" s="174"/>
      <c r="D50" s="174"/>
      <c r="E50" s="174"/>
      <c r="F50" s="174"/>
      <c r="G50" s="164"/>
      <c r="H50" s="165"/>
      <c r="I50" s="166" t="s">
        <v>15</v>
      </c>
      <c r="K50" s="143"/>
    </row>
    <row r="51" spans="2:11" s="105" customFormat="1" ht="17.399999999999999">
      <c r="B51" s="164"/>
      <c r="C51" s="164"/>
      <c r="D51" s="164"/>
      <c r="E51" s="141"/>
      <c r="F51" s="141"/>
      <c r="G51" s="164"/>
      <c r="H51" s="144"/>
      <c r="K51" s="143"/>
    </row>
    <row r="52" spans="2:11" s="105" customFormat="1" ht="18">
      <c r="C52" s="164"/>
      <c r="D52" s="148"/>
      <c r="E52" s="149"/>
      <c r="F52" s="149"/>
      <c r="G52" s="149"/>
      <c r="I52" s="167" t="s">
        <v>16</v>
      </c>
      <c r="K52" s="143"/>
    </row>
    <row r="53" spans="2:11" s="105" customFormat="1" ht="50.4" customHeight="1">
      <c r="C53" s="164"/>
      <c r="D53" s="148"/>
      <c r="E53" s="149"/>
      <c r="F53" s="149"/>
      <c r="G53" s="149"/>
      <c r="K53" s="143"/>
    </row>
    <row r="54" spans="2:11" s="105" customFormat="1" ht="29.4" customHeight="1">
      <c r="C54" s="164"/>
      <c r="D54" s="148"/>
      <c r="E54" s="149"/>
      <c r="F54" s="149"/>
      <c r="G54" s="149"/>
      <c r="I54" s="168"/>
      <c r="K54" s="143"/>
    </row>
    <row r="55" spans="2:11" s="105" customFormat="1" ht="18">
      <c r="C55" s="164"/>
      <c r="D55" s="148"/>
      <c r="E55" s="149"/>
      <c r="F55" s="149"/>
      <c r="G55" s="149"/>
      <c r="I55" s="139" t="s">
        <v>17</v>
      </c>
      <c r="K55" s="143"/>
    </row>
    <row r="56" spans="2:11" s="105" customFormat="1" ht="17.399999999999999">
      <c r="C56" s="164"/>
      <c r="D56" s="148"/>
      <c r="E56" s="149"/>
      <c r="F56" s="149"/>
      <c r="G56" s="149"/>
      <c r="I56" s="168"/>
      <c r="K56" s="143"/>
    </row>
    <row r="57" spans="2:11" s="105" customFormat="1" ht="17.399999999999999">
      <c r="C57" s="141"/>
      <c r="D57" s="148"/>
      <c r="E57" s="149"/>
      <c r="F57" s="149"/>
      <c r="G57" s="149"/>
      <c r="I57" s="169"/>
      <c r="K57" s="143"/>
    </row>
    <row r="58" spans="2:11" s="10" customFormat="1">
      <c r="E58" s="11"/>
      <c r="F58" s="11"/>
      <c r="H58" s="12"/>
      <c r="J58" s="11"/>
      <c r="K58" s="94"/>
    </row>
  </sheetData>
  <mergeCells count="9">
    <mergeCell ref="B48:K48"/>
    <mergeCell ref="B49:K49"/>
    <mergeCell ref="B50:F50"/>
    <mergeCell ref="C38:K38"/>
    <mergeCell ref="A1:K3"/>
    <mergeCell ref="B5:K5"/>
    <mergeCell ref="C6:F6"/>
    <mergeCell ref="B12:H12"/>
    <mergeCell ref="C37:K37"/>
  </mergeCells>
  <printOptions horizontalCentered="1"/>
  <pageMargins left="0.2" right="0.2" top="0.25" bottom="0.25" header="0.05" footer="0.05"/>
  <pageSetup scale="45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topLeftCell="A34" workbookViewId="0">
      <selection activeCell="I17" sqref="I17"/>
    </sheetView>
  </sheetViews>
  <sheetFormatPr defaultColWidth="10.77734375" defaultRowHeight="14.4"/>
  <cols>
    <col min="2" max="2" width="26.109375" customWidth="1"/>
    <col min="3" max="3" width="18.44140625" customWidth="1"/>
    <col min="4" max="4" width="15.44140625" customWidth="1"/>
    <col min="5" max="5" width="19.44140625" customWidth="1"/>
    <col min="7" max="7" width="13.44140625" bestFit="1" customWidth="1"/>
  </cols>
  <sheetData>
    <row r="1" spans="1:8" s="17" customFormat="1" ht="13.2">
      <c r="A1" s="13"/>
      <c r="B1" s="14" t="s">
        <v>26</v>
      </c>
      <c r="C1" s="15"/>
      <c r="D1" s="16"/>
      <c r="H1" s="18"/>
    </row>
    <row r="2" spans="1:8" s="17" customFormat="1" ht="13.2">
      <c r="A2" s="13"/>
      <c r="B2" s="19" t="s">
        <v>27</v>
      </c>
      <c r="C2" s="14"/>
      <c r="D2" s="16"/>
      <c r="G2" s="20"/>
      <c r="H2" s="18"/>
    </row>
    <row r="3" spans="1:8" s="17" customFormat="1" ht="13.2">
      <c r="A3" s="13"/>
      <c r="B3" s="14" t="s">
        <v>28</v>
      </c>
      <c r="C3" s="14"/>
      <c r="D3" s="16"/>
      <c r="E3" s="21" t="s">
        <v>29</v>
      </c>
      <c r="F3" s="22">
        <v>23850</v>
      </c>
      <c r="H3" s="23"/>
    </row>
    <row r="4" spans="1:8" s="13" customFormat="1" ht="13.2">
      <c r="A4" s="24" t="s">
        <v>0</v>
      </c>
      <c r="B4" s="24" t="s">
        <v>30</v>
      </c>
      <c r="C4" s="25" t="s">
        <v>31</v>
      </c>
      <c r="D4" s="26" t="s">
        <v>32</v>
      </c>
      <c r="E4" s="27" t="s">
        <v>33</v>
      </c>
      <c r="F4" s="27" t="s">
        <v>34</v>
      </c>
      <c r="H4" s="28"/>
    </row>
    <row r="5" spans="1:8" s="34" customFormat="1" ht="13.2">
      <c r="A5" s="29">
        <v>1</v>
      </c>
      <c r="B5" s="30" t="s">
        <v>35</v>
      </c>
      <c r="C5" s="30"/>
      <c r="D5" s="31" t="e">
        <f>E5/$F$3</f>
        <v>#REF!</v>
      </c>
      <c r="E5" s="32" t="e">
        <f>#REF!</f>
        <v>#REF!</v>
      </c>
      <c r="F5" s="33"/>
      <c r="H5" s="35"/>
    </row>
    <row r="6" spans="1:8" s="34" customFormat="1" ht="13.2">
      <c r="A6" s="29">
        <v>2</v>
      </c>
      <c r="B6" s="30" t="s">
        <v>36</v>
      </c>
      <c r="C6" s="30"/>
      <c r="D6" s="31" t="e">
        <f>E6/$F$3</f>
        <v>#REF!</v>
      </c>
      <c r="E6" s="32" t="e">
        <f>SUM(E7:E13)</f>
        <v>#REF!</v>
      </c>
      <c r="F6" s="33"/>
      <c r="H6" s="35"/>
    </row>
    <row r="7" spans="1:8" s="34" customFormat="1" ht="13.2">
      <c r="A7" s="36"/>
      <c r="B7" s="37" t="s">
        <v>37</v>
      </c>
      <c r="C7" s="37"/>
      <c r="D7" s="31" t="e">
        <f>E7/$F$3</f>
        <v>#REF!</v>
      </c>
      <c r="E7" s="38" t="e">
        <f>G7*F3</f>
        <v>#REF!</v>
      </c>
      <c r="F7" s="39"/>
      <c r="G7" s="40" t="e">
        <f>#REF!</f>
        <v>#REF!</v>
      </c>
      <c r="H7" s="35"/>
    </row>
    <row r="8" spans="1:8" s="34" customFormat="1" ht="13.2">
      <c r="A8" s="36"/>
      <c r="B8" s="41" t="s">
        <v>38</v>
      </c>
      <c r="C8" s="42">
        <v>0.03</v>
      </c>
      <c r="D8" s="31" t="e">
        <f>E8/$F$3</f>
        <v>#REF!</v>
      </c>
      <c r="E8" s="43" t="e">
        <f>ROUND(C8*E5,-6)</f>
        <v>#REF!</v>
      </c>
      <c r="F8" s="44"/>
      <c r="G8" s="40"/>
      <c r="H8" s="35"/>
    </row>
    <row r="9" spans="1:8" s="34" customFormat="1" ht="13.2">
      <c r="A9" s="36"/>
      <c r="B9" s="37" t="s">
        <v>39</v>
      </c>
      <c r="C9" s="37"/>
      <c r="D9" s="31" t="e">
        <f t="shared" ref="D9:D32" si="0">E9/$F$3</f>
        <v>#REF!</v>
      </c>
      <c r="E9" s="45" t="e">
        <f>E8*5%</f>
        <v>#REF!</v>
      </c>
      <c r="F9" s="39"/>
      <c r="G9" s="40"/>
      <c r="H9" s="35"/>
    </row>
    <row r="10" spans="1:8" s="34" customFormat="1" ht="13.2">
      <c r="A10" s="36"/>
      <c r="B10" s="37" t="s">
        <v>40</v>
      </c>
      <c r="C10" s="42">
        <v>2E-3</v>
      </c>
      <c r="D10" s="31" t="e">
        <f t="shared" si="0"/>
        <v>#REF!</v>
      </c>
      <c r="E10" s="45" t="e">
        <f>C10*E5</f>
        <v>#REF!</v>
      </c>
      <c r="F10" s="39"/>
      <c r="H10" s="35"/>
    </row>
    <row r="11" spans="1:8" s="51" customFormat="1" ht="13.2">
      <c r="A11" s="46" t="s">
        <v>41</v>
      </c>
      <c r="B11" s="47" t="s">
        <v>42</v>
      </c>
      <c r="C11" s="48">
        <v>4.0000000000000001E-3</v>
      </c>
      <c r="D11" s="31" t="e">
        <f t="shared" si="0"/>
        <v>#REF!</v>
      </c>
      <c r="E11" s="49" t="e">
        <f>C11*E5</f>
        <v>#REF!</v>
      </c>
      <c r="F11" s="50"/>
      <c r="H11" s="52"/>
    </row>
    <row r="12" spans="1:8" s="51" customFormat="1" ht="13.2">
      <c r="A12" s="46" t="s">
        <v>41</v>
      </c>
      <c r="B12" s="47" t="s">
        <v>43</v>
      </c>
      <c r="C12" s="48">
        <v>2E-3</v>
      </c>
      <c r="D12" s="31" t="e">
        <f t="shared" si="0"/>
        <v>#REF!</v>
      </c>
      <c r="E12" s="49" t="e">
        <f>C12*E5</f>
        <v>#REF!</v>
      </c>
      <c r="F12" s="50"/>
      <c r="H12" s="52"/>
    </row>
    <row r="13" spans="1:8" s="51" customFormat="1" ht="13.2">
      <c r="A13" s="46"/>
      <c r="B13" s="47" t="s">
        <v>44</v>
      </c>
      <c r="C13" s="48"/>
      <c r="D13" s="31"/>
      <c r="E13" s="49" t="e">
        <f>SUM(E14:E15)</f>
        <v>#REF!</v>
      </c>
      <c r="F13" s="50"/>
      <c r="H13" s="52"/>
    </row>
    <row r="14" spans="1:8" s="34" customFormat="1" ht="13.2">
      <c r="A14" s="36"/>
      <c r="B14" s="53" t="s">
        <v>45</v>
      </c>
      <c r="C14" s="42">
        <v>1.4999999999999999E-2</v>
      </c>
      <c r="D14" s="31" t="e">
        <f t="shared" si="0"/>
        <v>#REF!</v>
      </c>
      <c r="E14" s="54" t="e">
        <f>ROUND(C14*E5,0)*0.8</f>
        <v>#REF!</v>
      </c>
      <c r="F14" s="39"/>
      <c r="H14" s="35"/>
    </row>
    <row r="15" spans="1:8" s="34" customFormat="1" ht="13.2">
      <c r="A15" s="36"/>
      <c r="B15" s="53" t="s">
        <v>46</v>
      </c>
      <c r="C15" s="42">
        <v>0</v>
      </c>
      <c r="D15" s="31">
        <f t="shared" si="0"/>
        <v>0</v>
      </c>
      <c r="E15" s="39"/>
      <c r="F15" s="55"/>
      <c r="H15" s="35"/>
    </row>
    <row r="16" spans="1:8" s="34" customFormat="1" ht="26.4">
      <c r="A16" s="29">
        <v>3</v>
      </c>
      <c r="B16" s="30" t="s">
        <v>47</v>
      </c>
      <c r="C16" s="56"/>
      <c r="D16" s="31" t="e">
        <f t="shared" si="0"/>
        <v>#REF!</v>
      </c>
      <c r="E16" s="57" t="e">
        <f>E5-E6</f>
        <v>#REF!</v>
      </c>
      <c r="F16" s="30" t="s">
        <v>48</v>
      </c>
      <c r="H16" s="35"/>
    </row>
    <row r="17" spans="1:8" s="34" customFormat="1" ht="13.2">
      <c r="A17" s="58"/>
      <c r="B17" s="30" t="s">
        <v>49</v>
      </c>
      <c r="C17" s="59"/>
      <c r="D17" s="31" t="e">
        <f t="shared" si="0"/>
        <v>#REF!</v>
      </c>
      <c r="E17" s="60" t="e">
        <f>E16/E5</f>
        <v>#REF!</v>
      </c>
      <c r="F17" s="61"/>
      <c r="G17" s="62"/>
      <c r="H17" s="63"/>
    </row>
    <row r="18" spans="1:8" s="34" customFormat="1" ht="13.2">
      <c r="A18" s="29">
        <v>4</v>
      </c>
      <c r="B18" s="30" t="s">
        <v>50</v>
      </c>
      <c r="C18" s="64"/>
      <c r="D18" s="31" t="e">
        <f t="shared" si="0"/>
        <v>#REF!</v>
      </c>
      <c r="E18" s="57" t="e">
        <f>SUM(E20:E24)</f>
        <v>#REF!</v>
      </c>
      <c r="F18" s="61"/>
      <c r="H18" s="63"/>
    </row>
    <row r="19" spans="1:8" s="51" customFormat="1" ht="13.2">
      <c r="A19" s="65"/>
      <c r="B19" s="37" t="s">
        <v>51</v>
      </c>
      <c r="C19" s="66"/>
      <c r="D19" s="31">
        <f t="shared" si="0"/>
        <v>1.2578616352201257E-4</v>
      </c>
      <c r="E19" s="39">
        <v>3</v>
      </c>
      <c r="F19" s="67"/>
      <c r="H19" s="52"/>
    </row>
    <row r="20" spans="1:8" s="51" customFormat="1" ht="39.6">
      <c r="A20" s="46" t="s">
        <v>41</v>
      </c>
      <c r="B20" s="47" t="s">
        <v>52</v>
      </c>
      <c r="C20" s="48" t="e">
        <f>E20/E5</f>
        <v>#REF!</v>
      </c>
      <c r="D20" s="31" t="e">
        <f t="shared" si="0"/>
        <v>#REF!</v>
      </c>
      <c r="E20" s="49" t="e">
        <f>((E7-G20)*E19*9%/360)</f>
        <v>#REF!</v>
      </c>
      <c r="F20" s="50" t="s">
        <v>53</v>
      </c>
      <c r="H20" s="52"/>
    </row>
    <row r="21" spans="1:8" s="17" customFormat="1" ht="13.2">
      <c r="A21" s="13"/>
      <c r="D21" s="31">
        <f t="shared" si="0"/>
        <v>0</v>
      </c>
      <c r="H21" s="18"/>
    </row>
    <row r="22" spans="1:8" s="51" customFormat="1" ht="39.6">
      <c r="A22" s="46" t="s">
        <v>41</v>
      </c>
      <c r="B22" s="47" t="s">
        <v>54</v>
      </c>
      <c r="C22" s="48">
        <v>0.03</v>
      </c>
      <c r="D22" s="31" t="e">
        <f t="shared" si="0"/>
        <v>#REF!</v>
      </c>
      <c r="E22" s="49" t="e">
        <f>C22*E16</f>
        <v>#REF!</v>
      </c>
      <c r="F22" s="50" t="s">
        <v>55</v>
      </c>
      <c r="H22" s="52"/>
    </row>
    <row r="23" spans="1:8" s="51" customFormat="1" ht="13.2">
      <c r="A23" s="46"/>
      <c r="B23" s="47" t="s">
        <v>56</v>
      </c>
      <c r="C23" s="48">
        <v>0</v>
      </c>
      <c r="D23" s="31" t="e">
        <f t="shared" si="0"/>
        <v>#REF!</v>
      </c>
      <c r="E23" s="49" t="e">
        <f>C23*E5</f>
        <v>#REF!</v>
      </c>
      <c r="F23" s="50"/>
      <c r="H23" s="52"/>
    </row>
    <row r="24" spans="1:8" s="51" customFormat="1" ht="13.2">
      <c r="A24" s="46" t="s">
        <v>41</v>
      </c>
      <c r="B24" s="47" t="s">
        <v>57</v>
      </c>
      <c r="C24" s="48"/>
      <c r="D24" s="31">
        <f t="shared" si="0"/>
        <v>0</v>
      </c>
      <c r="E24" s="49">
        <v>0</v>
      </c>
      <c r="F24" s="50"/>
      <c r="H24" s="52"/>
    </row>
    <row r="25" spans="1:8" s="34" customFormat="1" ht="13.2">
      <c r="A25" s="29">
        <v>5</v>
      </c>
      <c r="B25" s="30" t="s">
        <v>58</v>
      </c>
      <c r="C25" s="64"/>
      <c r="D25" s="31" t="e">
        <f t="shared" si="0"/>
        <v>#REF!</v>
      </c>
      <c r="E25" s="57" t="e">
        <f>E16-E18</f>
        <v>#REF!</v>
      </c>
      <c r="F25" s="61"/>
      <c r="G25" s="34" t="e">
        <f>E25/E8</f>
        <v>#REF!</v>
      </c>
      <c r="H25" s="35"/>
    </row>
    <row r="26" spans="1:8" s="34" customFormat="1" ht="26.4">
      <c r="A26" s="58"/>
      <c r="B26" s="30" t="s">
        <v>59</v>
      </c>
      <c r="C26" s="59"/>
      <c r="D26" s="31" t="e">
        <f t="shared" si="0"/>
        <v>#REF!</v>
      </c>
      <c r="E26" s="60" t="e">
        <f>E25/E5</f>
        <v>#REF!</v>
      </c>
      <c r="F26" s="61" t="s">
        <v>60</v>
      </c>
      <c r="H26" s="63"/>
    </row>
    <row r="27" spans="1:8" s="69" customFormat="1" ht="13.2">
      <c r="A27" s="36"/>
      <c r="B27" s="37"/>
      <c r="C27" s="42"/>
      <c r="D27" s="31">
        <f t="shared" si="0"/>
        <v>0</v>
      </c>
      <c r="E27" s="68"/>
      <c r="F27" s="55"/>
      <c r="H27" s="70"/>
    </row>
    <row r="28" spans="1:8" s="34" customFormat="1" ht="13.2">
      <c r="A28" s="29">
        <v>6</v>
      </c>
      <c r="B28" s="30" t="s">
        <v>61</v>
      </c>
      <c r="C28" s="64">
        <f>SUM(C29:C30)</f>
        <v>0</v>
      </c>
      <c r="D28" s="31" t="e">
        <f t="shared" si="0"/>
        <v>#REF!</v>
      </c>
      <c r="E28" s="57" t="e">
        <f>C28*E5</f>
        <v>#REF!</v>
      </c>
      <c r="F28" s="61"/>
      <c r="H28" s="35"/>
    </row>
    <row r="29" spans="1:8" s="51" customFormat="1" ht="39.6">
      <c r="A29" s="46"/>
      <c r="B29" s="47" t="s">
        <v>62</v>
      </c>
      <c r="C29" s="48">
        <v>0</v>
      </c>
      <c r="D29" s="31" t="e">
        <f t="shared" si="0"/>
        <v>#REF!</v>
      </c>
      <c r="E29" s="49" t="e">
        <f>C29*E5</f>
        <v>#REF!</v>
      </c>
      <c r="F29" s="50" t="s">
        <v>48</v>
      </c>
      <c r="H29" s="52"/>
    </row>
    <row r="30" spans="1:8" s="51" customFormat="1" ht="39.6">
      <c r="A30" s="46"/>
      <c r="B30" s="47" t="s">
        <v>63</v>
      </c>
      <c r="C30" s="48">
        <v>0</v>
      </c>
      <c r="D30" s="31" t="e">
        <f t="shared" si="0"/>
        <v>#REF!</v>
      </c>
      <c r="E30" s="49" t="e">
        <f>C30*E5</f>
        <v>#REF!</v>
      </c>
      <c r="F30" s="50" t="s">
        <v>48</v>
      </c>
      <c r="H30" s="52"/>
    </row>
    <row r="31" spans="1:8" s="17" customFormat="1" ht="13.2">
      <c r="A31" s="29">
        <v>7</v>
      </c>
      <c r="B31" s="30" t="s">
        <v>64</v>
      </c>
      <c r="C31" s="64"/>
      <c r="D31" s="31" t="e">
        <f t="shared" si="0"/>
        <v>#REF!</v>
      </c>
      <c r="E31" s="57" t="e">
        <f>E25-E28</f>
        <v>#REF!</v>
      </c>
      <c r="F31" s="61"/>
      <c r="H31" s="18"/>
    </row>
    <row r="32" spans="1:8" s="34" customFormat="1" ht="26.4">
      <c r="A32" s="71"/>
      <c r="B32" s="72" t="s">
        <v>65</v>
      </c>
      <c r="C32" s="73"/>
      <c r="D32" s="31" t="e">
        <f t="shared" si="0"/>
        <v>#REF!</v>
      </c>
      <c r="E32" s="74" t="e">
        <f>E31/E5</f>
        <v>#REF!</v>
      </c>
      <c r="F32" s="75"/>
      <c r="H32" s="63"/>
    </row>
    <row r="33" spans="1:8" s="17" customFormat="1" ht="13.2">
      <c r="A33" s="13"/>
      <c r="B33" s="76"/>
      <c r="C33" s="76"/>
      <c r="D33" s="77"/>
      <c r="E33" s="78"/>
      <c r="H33" s="18"/>
    </row>
    <row r="34" spans="1:8" s="17" customFormat="1" ht="13.2">
      <c r="A34" s="13"/>
      <c r="B34" s="79"/>
      <c r="C34" s="79"/>
      <c r="D34" s="18"/>
      <c r="E34" s="80"/>
      <c r="H34" s="18"/>
    </row>
    <row r="35" spans="1:8" s="17" customFormat="1" ht="13.2">
      <c r="A35" s="13"/>
      <c r="B35" s="81"/>
      <c r="C35" s="81"/>
      <c r="D35" s="82"/>
      <c r="E35" s="83"/>
      <c r="F35" s="84" t="s">
        <v>66</v>
      </c>
      <c r="H35" s="18"/>
    </row>
    <row r="36" spans="1:8" s="17" customFormat="1" ht="13.2">
      <c r="A36" s="13"/>
      <c r="B36" s="85" t="s">
        <v>67</v>
      </c>
      <c r="C36" s="86" t="s">
        <v>68</v>
      </c>
      <c r="D36" s="87"/>
      <c r="E36" s="83"/>
      <c r="F36" s="88" t="s">
        <v>69</v>
      </c>
      <c r="H36" s="18"/>
    </row>
    <row r="37" spans="1:8" s="17" customFormat="1" ht="13.2">
      <c r="A37" s="13"/>
      <c r="B37" s="89"/>
      <c r="C37" s="89"/>
      <c r="D37" s="90"/>
      <c r="E37" s="91"/>
      <c r="F37" s="92"/>
      <c r="H37" s="18"/>
    </row>
    <row r="38" spans="1:8" s="17" customFormat="1" ht="13.2">
      <c r="A38" s="13"/>
      <c r="B38" s="79"/>
      <c r="C38" s="79"/>
      <c r="D38" s="18"/>
      <c r="E38" s="80"/>
      <c r="H38" s="18"/>
    </row>
  </sheetData>
  <pageMargins left="0.7" right="0.7" top="0.75" bottom="0.75" header="0.3" footer="0.3"/>
  <pageSetup paperSize="9" orientation="portrait" horizontalDpi="0" verticalDpi="0"/>
  <legacyDrawing r:id="rId1"/>
</worksheet>
</file>

<file path=docMetadata/LabelInfo.xml><?xml version="1.0" encoding="utf-8"?>
<clbl:labelList xmlns:clbl="http://schemas.microsoft.com/office/2020/mipLabelMetadata">
  <clbl:label id="{2f173612-6f45-4520-9df8-32d7ba5f2c44}" enabled="0" method="" siteId="{2f173612-6f45-4520-9df8-32d7ba5f2c4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CISCO</vt:lpstr>
      <vt:lpstr>PAKD</vt:lpstr>
      <vt:lpstr>CISCO!Print_Area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Thao.Nguyen Thi /CMCSISG-QA Executive</dc:creator>
  <cp:keywords/>
  <dc:description/>
  <cp:lastModifiedBy>Phương Nguyễn</cp:lastModifiedBy>
  <cp:revision/>
  <cp:lastPrinted>2025-08-25T09:38:13Z</cp:lastPrinted>
  <dcterms:created xsi:type="dcterms:W3CDTF">2018-01-03T07:37:56Z</dcterms:created>
  <dcterms:modified xsi:type="dcterms:W3CDTF">2025-09-05T10:04:50Z</dcterms:modified>
  <cp:category/>
  <cp:contentStatus/>
</cp:coreProperties>
</file>