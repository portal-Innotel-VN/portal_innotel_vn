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Xuan\Hop Dong\HTE\Chốt\"/>
    </mc:Choice>
  </mc:AlternateContent>
  <xr:revisionPtr revIDLastSave="0" documentId="13_ncr:1_{756AA4DB-C528-4B62-AC13-508E7618F5D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áo Giá" sheetId="2" r:id="rId1"/>
    <sheet name="Trang_tính1" sheetId="3" r:id="rId2"/>
    <sheet name="Tính COM" sheetId="4" r:id="rId3"/>
  </sheets>
  <definedNames>
    <definedName name="_xlnm.Print_Area" localSheetId="0">'Báo Giá'!$A$1:$M$35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4" l="1"/>
  <c r="G7" i="4"/>
  <c r="C7" i="4"/>
  <c r="C8" i="4" s="1"/>
  <c r="C9" i="4" s="1"/>
  <c r="C2" i="3"/>
  <c r="D2" i="3"/>
  <c r="E2" i="3" s="1"/>
  <c r="F2" i="3" s="1"/>
  <c r="B4" i="3"/>
  <c r="O14" i="2"/>
  <c r="D7" i="4"/>
  <c r="P14" i="2" l="1"/>
  <c r="Q14" i="2" s="1"/>
  <c r="P19" i="2"/>
  <c r="O19" i="2"/>
  <c r="H7" i="4" l="1"/>
  <c r="I7" i="4" s="1"/>
  <c r="U14" i="2"/>
  <c r="V14" i="2" s="1"/>
  <c r="H14" i="2"/>
  <c r="N14" i="2" s="1"/>
  <c r="N15" i="2"/>
  <c r="O17" i="2"/>
  <c r="S14" i="2"/>
  <c r="I9" i="4" l="1"/>
  <c r="I8" i="4"/>
  <c r="J14" i="2"/>
  <c r="S20" i="2"/>
  <c r="T20" i="2" s="1"/>
  <c r="T14" i="2" l="1"/>
  <c r="T21" i="2" s="1"/>
  <c r="K14" i="2" l="1"/>
  <c r="S21" i="2"/>
  <c r="A2" i="3"/>
  <c r="N16" i="2" l="1"/>
  <c r="N17" i="2"/>
  <c r="H2" i="3"/>
  <c r="K20" i="2" l="1"/>
</calcChain>
</file>

<file path=xl/sharedStrings.xml><?xml version="1.0" encoding="utf-8"?>
<sst xmlns="http://schemas.openxmlformats.org/spreadsheetml/2006/main" count="95" uniqueCount="88">
  <si>
    <t>BẢNG CHÀO GIÁ</t>
  </si>
  <si>
    <t>STT</t>
  </si>
  <si>
    <t>ĐVT</t>
  </si>
  <si>
    <t>THỜI HẠN BẢO HÀNH</t>
  </si>
  <si>
    <t>CÁC ĐIỀU KHOẢN THƯƠNG MẠI</t>
  </si>
  <si>
    <r>
      <t xml:space="preserve">THUAN PHONG INNOVATIVE TELECOMMUNICATION CO., LTD.
</t>
    </r>
    <r>
      <rPr>
        <sz val="10"/>
        <rFont val="Arial"/>
        <family val="2"/>
      </rPr>
      <t>Website: http://www.innotel.com.vn            Email: sales@innotel.com.vn
Tel: (84 28) 38621119.                      Fax: (84 28) 38630366.
55/31 Tran Dinh Xu Street, Dist 1, HCMC, Vietnam</t>
    </r>
  </si>
  <si>
    <t>MÃ HÀNG</t>
  </si>
  <si>
    <t>MÔ TẢ</t>
  </si>
  <si>
    <t>TỔNG CỘNG</t>
  </si>
  <si>
    <t>Nhà Phân phối : Công ty Thuận Phong( Innotel)</t>
  </si>
  <si>
    <t>SL</t>
  </si>
  <si>
    <t>TÊN SẢN PHẨM</t>
  </si>
  <si>
    <t>LOẠI SẢN PHẨM</t>
  </si>
  <si>
    <t xml:space="preserve">Võ Nguyễn Thanh Xuân </t>
  </si>
  <si>
    <t>Người báo giá: VÕ TNGUYỄN THANH XUÂN</t>
  </si>
  <si>
    <t>Email: xuan@innotel.com.vn</t>
  </si>
  <si>
    <t>cái</t>
  </si>
  <si>
    <t>Hardware</t>
  </si>
  <si>
    <t>1. Hiệu lực báo giá: 7 ngày kể từ ngày chào giá</t>
  </si>
  <si>
    <t>Giá nhâp</t>
  </si>
  <si>
    <t>Giá bán</t>
  </si>
  <si>
    <t>Thuế
(%)</t>
  </si>
  <si>
    <t>Lợi nhuận</t>
  </si>
  <si>
    <t>NCC</t>
  </si>
  <si>
    <t>Số lượng</t>
  </si>
  <si>
    <t>Tổng LN</t>
  </si>
  <si>
    <t>Giá nhập</t>
  </si>
  <si>
    <t>Ghi chú</t>
  </si>
  <si>
    <t>ĐƠN GIÁ
(Đã VAT)</t>
  </si>
  <si>
    <t>THÀNH TIỀN 
(Đã VAT)</t>
  </si>
  <si>
    <t>4. Bảo hành theo tiêu chuẩn nhà sản xuất.</t>
  </si>
  <si>
    <t>LN</t>
  </si>
  <si>
    <t>PAN-PA-460</t>
  </si>
  <si>
    <t>Palo Alto Networks PA-460</t>
  </si>
  <si>
    <t>PAN-PA-460-BND-CORESEC-3YR</t>
  </si>
  <si>
    <t>PA-460, Precision AI Network Security Subscription Bundle (Advanced Threat Prevention, Advanced URL Filtering, Advanced Wildfire, Advanced DNS Security and SD-WAN ), 3 years (36 months) term</t>
  </si>
  <si>
    <t>PAN-SVC-BKLN-460-3YR</t>
  </si>
  <si>
    <t>PA-460, Partner enabled premium support, 3 years (36 months), term.</t>
  </si>
  <si>
    <t>PAN-PWR-C13-C14</t>
  </si>
  <si>
    <t>Power cord for PDU with IEC-60320 C13 and IEC-60320 C13 cord ends,15A, 250V max, 10ft</t>
  </si>
  <si>
    <t>PAN-PWR-50W-AC</t>
  </si>
  <si>
    <t>50W AC power adapter for PA-440, PA-450 and PA-460</t>
  </si>
  <si>
    <t>PAN-PA-400-RACKTRAY</t>
  </si>
  <si>
    <t>Rack mountable tray for up to two PA-400s and 4 power adapters for a 4 post rack mount (PA-440/450/460 models only)</t>
  </si>
  <si>
    <t>Subscription</t>
  </si>
  <si>
    <t>Platforms</t>
  </si>
  <si>
    <t>Support</t>
  </si>
  <si>
    <t>Accessories</t>
  </si>
  <si>
    <t>Giá bán Telecom</t>
  </si>
  <si>
    <t>Elite</t>
  </si>
  <si>
    <t>2. Thời gian giao hàng: 4 - 6 tuần kể từ ngày nhận được thanh toán đợt 1</t>
  </si>
  <si>
    <t>3. Thanh toán: thành 2 đợt</t>
  </si>
  <si>
    <t>Order 4 - 6 tuần</t>
  </si>
  <si>
    <t>Ngày hết hạn báo giá: 12-06-25</t>
  </si>
  <si>
    <t>1-1</t>
  </si>
  <si>
    <t>1-2</t>
  </si>
  <si>
    <t>1-3</t>
  </si>
  <si>
    <t>1-4</t>
  </si>
  <si>
    <t>1-5</t>
  </si>
  <si>
    <t xml:space="preserve">  - Đợt 1: Thanh toán 40% tổng giá trị ngay khi ký hợp đồng</t>
  </si>
  <si>
    <t xml:space="preserve">  - Đợt 2: Thanh toán 60% còn lại khi nhận được thông báo giao hàng</t>
  </si>
  <si>
    <t>ĐƠN GIÁ
(USD)</t>
  </si>
  <si>
    <t xml:space="preserve">Đại lý: CÔNG TY CỔ PHẦN DỊCH VỤ KỸ THUẬT VIỄN THÔNG HÀ NỘI </t>
  </si>
  <si>
    <t xml:space="preserve">Người dùng cuối: CÔNG TY CỔ PHẦN DỊCH VỤ KỸ THUẬT VIỄN THÔNG HÀ NỘI </t>
  </si>
  <si>
    <t>Người nhận: Mr. Bình</t>
  </si>
  <si>
    <t xml:space="preserve">Email: </t>
  </si>
  <si>
    <t xml:space="preserve">Mobi: </t>
  </si>
  <si>
    <t>BOM: Palo Alto Networks PA-460</t>
  </si>
  <si>
    <t>Ngày báo giá: 16-07-25</t>
  </si>
  <si>
    <t>Qno: 160725</t>
  </si>
  <si>
    <t>Giá bán HTE</t>
  </si>
  <si>
    <t>Ellite</t>
  </si>
  <si>
    <t>Tỷ giá</t>
  </si>
  <si>
    <t>Chênh lệch</t>
  </si>
  <si>
    <t>Tổng Chênh lệch</t>
  </si>
  <si>
    <t>Hoàn KH</t>
  </si>
  <si>
    <t>Thuế Chênh lệch 22%</t>
  </si>
  <si>
    <t>Giá bán đề xuất</t>
  </si>
  <si>
    <t>Tỷ lệ</t>
  </si>
  <si>
    <t>SG1725072141</t>
  </si>
  <si>
    <t>1607/INNOTEL- THE</t>
  </si>
  <si>
    <t>Đơn giá</t>
  </si>
  <si>
    <t>ĐƠN HÀNG PALO ALTO PAN-PA-460 (DỰ ÁN OPTIMA)</t>
  </si>
  <si>
    <t>Chi COM theo Thanh toán Lần 1 (40%)</t>
  </si>
  <si>
    <t>Chi COM theo Thanh toán Lần 2 (60%)</t>
  </si>
  <si>
    <t>Số HĐ mua Ellite</t>
  </si>
  <si>
    <t>Số HĐ bán HTE</t>
  </si>
  <si>
    <t>Đơn giá 
bán HTE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</si>
</sst>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  <numFmt numFmtId="166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b/>
      <u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0"/>
      <color rgb="FFC00000"/>
      <name val="Arial"/>
      <family val="2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center"/>
    </xf>
    <xf numFmtId="0" fontId="2" fillId="0" borderId="14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3" fillId="0" borderId="12" xfId="0" applyFont="1" applyBorder="1"/>
    <xf numFmtId="0" fontId="3" fillId="0" borderId="1" xfId="0" applyFont="1" applyBorder="1" applyAlignment="1">
      <alignment horizontal="center"/>
    </xf>
    <xf numFmtId="3" fontId="5" fillId="0" borderId="14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7" fillId="0" borderId="14" xfId="0" applyFont="1" applyBorder="1"/>
    <xf numFmtId="0" fontId="3" fillId="0" borderId="14" xfId="0" applyFont="1" applyBorder="1"/>
    <xf numFmtId="0" fontId="3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right"/>
    </xf>
    <xf numFmtId="0" fontId="3" fillId="0" borderId="15" xfId="0" applyFont="1" applyBorder="1"/>
    <xf numFmtId="0" fontId="3" fillId="0" borderId="1" xfId="0" applyFont="1" applyBorder="1" applyAlignment="1">
      <alignment horizontal="left"/>
    </xf>
    <xf numFmtId="0" fontId="3" fillId="0" borderId="12" xfId="0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3" fontId="5" fillId="0" borderId="14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4" fontId="8" fillId="0" borderId="7" xfId="1" applyNumberFormat="1" applyFont="1" applyFill="1" applyBorder="1" applyAlignment="1">
      <alignment horizontal="right" vertical="center"/>
    </xf>
    <xf numFmtId="3" fontId="9" fillId="0" borderId="7" xfId="1" applyNumberFormat="1" applyFont="1" applyBorder="1" applyAlignment="1">
      <alignment horizontal="right" vertical="center"/>
    </xf>
    <xf numFmtId="3" fontId="8" fillId="0" borderId="7" xfId="1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3" fontId="10" fillId="0" borderId="7" xfId="0" applyNumberFormat="1" applyFont="1" applyBorder="1" applyAlignment="1">
      <alignment horizontal="right" vertical="center"/>
    </xf>
    <xf numFmtId="3" fontId="10" fillId="0" borderId="7" xfId="0" applyNumberFormat="1" applyFont="1" applyBorder="1" applyAlignment="1">
      <alignment horizontal="center" vertical="center"/>
    </xf>
    <xf numFmtId="0" fontId="3" fillId="0" borderId="2" xfId="0" applyFont="1" applyBorder="1"/>
    <xf numFmtId="0" fontId="3" fillId="0" borderId="4" xfId="0" applyFont="1" applyBorder="1"/>
    <xf numFmtId="0" fontId="11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3" fontId="8" fillId="3" borderId="7" xfId="1" applyNumberFormat="1" applyFont="1" applyFill="1" applyBorder="1" applyAlignment="1">
      <alignment horizontal="center" vertical="center"/>
    </xf>
    <xf numFmtId="164" fontId="8" fillId="3" borderId="7" xfId="1" applyNumberFormat="1" applyFont="1" applyFill="1" applyBorder="1" applyAlignment="1">
      <alignment horizontal="right" vertical="center"/>
    </xf>
    <xf numFmtId="3" fontId="9" fillId="3" borderId="7" xfId="1" applyNumberFormat="1" applyFont="1" applyFill="1" applyBorder="1" applyAlignment="1">
      <alignment horizontal="right" vertical="center"/>
    </xf>
    <xf numFmtId="3" fontId="9" fillId="3" borderId="7" xfId="1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3" fontId="9" fillId="0" borderId="7" xfId="1" quotePrefix="1" applyNumberFormat="1" applyFont="1" applyBorder="1" applyAlignment="1">
      <alignment horizontal="center" vertical="center" wrapText="1"/>
    </xf>
    <xf numFmtId="164" fontId="0" fillId="0" borderId="0" xfId="1" applyNumberFormat="1" applyFont="1"/>
    <xf numFmtId="9" fontId="8" fillId="0" borderId="7" xfId="2" applyFont="1" applyFill="1" applyBorder="1" applyAlignment="1">
      <alignment horizontal="center" vertical="center"/>
    </xf>
    <xf numFmtId="0" fontId="14" fillId="0" borderId="7" xfId="0" applyFont="1" applyBorder="1" applyAlignment="1">
      <alignment vertical="center" wrapText="1"/>
    </xf>
    <xf numFmtId="164" fontId="3" fillId="0" borderId="1" xfId="1" applyNumberFormat="1" applyFont="1" applyBorder="1"/>
    <xf numFmtId="164" fontId="3" fillId="0" borderId="1" xfId="1" applyNumberFormat="1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164" fontId="2" fillId="2" borderId="7" xfId="1" applyNumberFormat="1" applyFont="1" applyFill="1" applyBorder="1" applyAlignment="1">
      <alignment horizontal="center" vertical="center" wrapText="1"/>
    </xf>
    <xf numFmtId="164" fontId="8" fillId="0" borderId="7" xfId="1" applyNumberFormat="1" applyFont="1" applyFill="1" applyBorder="1" applyAlignment="1">
      <alignment horizontal="center" vertical="center"/>
    </xf>
    <xf numFmtId="164" fontId="3" fillId="0" borderId="14" xfId="1" applyNumberFormat="1" applyFont="1" applyBorder="1" applyAlignment="1">
      <alignment horizontal="right"/>
    </xf>
    <xf numFmtId="164" fontId="3" fillId="0" borderId="1" xfId="1" applyNumberFormat="1" applyFont="1" applyBorder="1" applyAlignment="1">
      <alignment horizontal="right"/>
    </xf>
    <xf numFmtId="164" fontId="5" fillId="0" borderId="1" xfId="1" applyNumberFormat="1" applyFont="1" applyBorder="1" applyAlignment="1">
      <alignment horizontal="right"/>
    </xf>
    <xf numFmtId="164" fontId="3" fillId="0" borderId="18" xfId="1" applyNumberFormat="1" applyFont="1" applyBorder="1" applyAlignment="1">
      <alignment vertical="center"/>
    </xf>
    <xf numFmtId="164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vertical="center"/>
    </xf>
    <xf numFmtId="165" fontId="3" fillId="0" borderId="1" xfId="0" applyNumberFormat="1" applyFont="1" applyBorder="1"/>
    <xf numFmtId="10" fontId="3" fillId="0" borderId="1" xfId="2" applyNumberFormat="1" applyFont="1" applyBorder="1"/>
    <xf numFmtId="164" fontId="3" fillId="0" borderId="1" xfId="0" applyNumberFormat="1" applyFont="1" applyBorder="1"/>
    <xf numFmtId="10" fontId="16" fillId="0" borderId="1" xfId="2" applyNumberFormat="1" applyFont="1" applyBorder="1"/>
    <xf numFmtId="0" fontId="13" fillId="0" borderId="7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center" vertical="top" wrapText="1"/>
    </xf>
    <xf numFmtId="0" fontId="5" fillId="0" borderId="3" xfId="0" applyFont="1" applyBorder="1"/>
    <xf numFmtId="0" fontId="5" fillId="0" borderId="0" xfId="0" applyFont="1"/>
    <xf numFmtId="0" fontId="3" fillId="0" borderId="12" xfId="0" applyFont="1" applyBorder="1" applyAlignment="1">
      <alignment vertical="center"/>
    </xf>
    <xf numFmtId="164" fontId="3" fillId="0" borderId="17" xfId="1" applyNumberFormat="1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165" fontId="3" fillId="0" borderId="15" xfId="0" applyNumberFormat="1" applyFont="1" applyBorder="1" applyAlignment="1">
      <alignment vertical="center"/>
    </xf>
    <xf numFmtId="164" fontId="3" fillId="0" borderId="15" xfId="1" applyNumberFormat="1" applyFont="1" applyBorder="1" applyAlignment="1">
      <alignment vertical="center"/>
    </xf>
    <xf numFmtId="0" fontId="3" fillId="0" borderId="17" xfId="0" applyFont="1" applyBorder="1"/>
    <xf numFmtId="0" fontId="3" fillId="0" borderId="19" xfId="0" applyFont="1" applyBorder="1"/>
    <xf numFmtId="0" fontId="3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 vertical="center"/>
    </xf>
    <xf numFmtId="0" fontId="3" fillId="0" borderId="19" xfId="0" applyFont="1" applyBorder="1" applyAlignment="1">
      <alignment horizontal="right"/>
    </xf>
    <xf numFmtId="164" fontId="3" fillId="0" borderId="19" xfId="1" applyNumberFormat="1" applyFont="1" applyBorder="1" applyAlignment="1">
      <alignment horizontal="right"/>
    </xf>
    <xf numFmtId="0" fontId="5" fillId="0" borderId="19" xfId="0" applyFont="1" applyBorder="1" applyAlignment="1">
      <alignment horizontal="right"/>
    </xf>
    <xf numFmtId="0" fontId="5" fillId="0" borderId="1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3" fontId="9" fillId="0" borderId="7" xfId="1" applyNumberFormat="1" applyFont="1" applyBorder="1" applyAlignment="1">
      <alignment horizontal="center" vertical="center"/>
    </xf>
    <xf numFmtId="164" fontId="9" fillId="0" borderId="7" xfId="1" applyNumberFormat="1" applyFont="1" applyFill="1" applyBorder="1" applyAlignment="1">
      <alignment horizontal="right" vertical="center"/>
    </xf>
    <xf numFmtId="9" fontId="9" fillId="0" borderId="7" xfId="2" applyFont="1" applyFill="1" applyBorder="1" applyAlignment="1">
      <alignment horizontal="center" vertical="center"/>
    </xf>
    <xf numFmtId="164" fontId="9" fillId="0" borderId="7" xfId="1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3" fontId="9" fillId="3" borderId="0" xfId="1" applyNumberFormat="1" applyFont="1" applyFill="1" applyBorder="1" applyAlignment="1">
      <alignment horizontal="center" vertical="center"/>
    </xf>
    <xf numFmtId="3" fontId="9" fillId="0" borderId="0" xfId="1" quotePrefix="1" applyNumberFormat="1" applyFont="1" applyBorder="1" applyAlignment="1">
      <alignment horizontal="center" vertical="center" wrapText="1"/>
    </xf>
    <xf numFmtId="3" fontId="10" fillId="0" borderId="0" xfId="0" applyNumberFormat="1" applyFont="1" applyAlignment="1">
      <alignment horizontal="center" vertical="center"/>
    </xf>
    <xf numFmtId="0" fontId="2" fillId="2" borderId="20" xfId="0" applyFont="1" applyFill="1" applyBorder="1" applyAlignment="1">
      <alignment horizontal="center" vertical="center" wrapText="1"/>
    </xf>
    <xf numFmtId="164" fontId="3" fillId="0" borderId="14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3" fontId="17" fillId="0" borderId="0" xfId="0" applyNumberFormat="1" applyFont="1"/>
    <xf numFmtId="43" fontId="3" fillId="0" borderId="1" xfId="0" applyNumberFormat="1" applyFont="1" applyBorder="1" applyAlignment="1">
      <alignment vertic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/>
    <xf numFmtId="0" fontId="0" fillId="0" borderId="0" xfId="0" applyAlignment="1">
      <alignment vertical="center"/>
    </xf>
    <xf numFmtId="164" fontId="0" fillId="0" borderId="0" xfId="1" applyNumberFormat="1" applyFont="1" applyAlignment="1">
      <alignment vertical="center"/>
    </xf>
    <xf numFmtId="0" fontId="0" fillId="0" borderId="0" xfId="0" applyAlignment="1">
      <alignment horizontal="center" vertical="center"/>
    </xf>
    <xf numFmtId="164" fontId="0" fillId="0" borderId="7" xfId="1" applyNumberFormat="1" applyFont="1" applyBorder="1" applyAlignment="1">
      <alignment vertical="center"/>
    </xf>
    <xf numFmtId="0" fontId="18" fillId="4" borderId="7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 wrapText="1"/>
    </xf>
    <xf numFmtId="164" fontId="18" fillId="0" borderId="7" xfId="1" applyNumberFormat="1" applyFont="1" applyBorder="1" applyAlignment="1">
      <alignment vertical="center"/>
    </xf>
    <xf numFmtId="164" fontId="1" fillId="0" borderId="7" xfId="1" applyNumberFormat="1" applyFont="1" applyBorder="1" applyAlignment="1">
      <alignment vertical="center"/>
    </xf>
    <xf numFmtId="43" fontId="0" fillId="0" borderId="0" xfId="1" applyFont="1"/>
    <xf numFmtId="0" fontId="3" fillId="0" borderId="17" xfId="0" applyFont="1" applyBorder="1" applyAlignment="1">
      <alignment vertical="center" wrapText="1"/>
    </xf>
    <xf numFmtId="0" fontId="3" fillId="0" borderId="19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9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10" fillId="0" borderId="8" xfId="0" applyFont="1" applyBorder="1" applyAlignment="1">
      <alignment horizontal="right" vertical="center"/>
    </xf>
    <xf numFmtId="0" fontId="10" fillId="0" borderId="9" xfId="0" applyFont="1" applyBorder="1" applyAlignment="1">
      <alignment horizontal="right" vertical="center"/>
    </xf>
    <xf numFmtId="0" fontId="10" fillId="0" borderId="13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5" fillId="0" borderId="0" xfId="0" applyFont="1"/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left" wrapText="1"/>
    </xf>
    <xf numFmtId="0" fontId="3" fillId="0" borderId="11" xfId="0" applyFont="1" applyBorder="1" applyAlignment="1">
      <alignment horizontal="left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164" fontId="0" fillId="0" borderId="7" xfId="1" applyNumberFormat="1" applyFont="1" applyBorder="1" applyAlignment="1">
      <alignment horizontal="right" vertical="center"/>
    </xf>
    <xf numFmtId="166" fontId="0" fillId="0" borderId="0" xfId="2" applyNumberFormat="1" applyFont="1"/>
    <xf numFmtId="0" fontId="18" fillId="3" borderId="7" xfId="0" applyFont="1" applyFill="1" applyBorder="1" applyAlignment="1">
      <alignment horizontal="center" vertical="center"/>
    </xf>
    <xf numFmtId="164" fontId="0" fillId="3" borderId="7" xfId="1" applyNumberFormat="1" applyFont="1" applyFill="1" applyBorder="1" applyAlignment="1">
      <alignment vertical="center"/>
    </xf>
    <xf numFmtId="164" fontId="0" fillId="3" borderId="7" xfId="1" applyNumberFormat="1" applyFont="1" applyFill="1" applyBorder="1" applyAlignment="1">
      <alignment horizontal="right" vertical="center"/>
    </xf>
    <xf numFmtId="10" fontId="0" fillId="3" borderId="7" xfId="2" applyNumberFormat="1" applyFont="1" applyFill="1" applyBorder="1" applyAlignment="1">
      <alignment vertical="center"/>
    </xf>
    <xf numFmtId="164" fontId="18" fillId="3" borderId="7" xfId="1" applyNumberFormat="1" applyFont="1" applyFill="1" applyBorder="1" applyAlignment="1">
      <alignment vertical="center"/>
    </xf>
    <xf numFmtId="0" fontId="19" fillId="0" borderId="0" xfId="0" applyFont="1" applyAlignment="1">
      <alignment horizontal="center" vertical="center"/>
    </xf>
  </cellXfs>
  <cellStyles count="3">
    <cellStyle name="Bình thường" xfId="0" builtinId="0"/>
    <cellStyle name="Dấu phẩy" xfId="1" builtinId="3"/>
    <cellStyle name="Phần tră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38100</xdr:rowOff>
    </xdr:from>
    <xdr:to>
      <xdr:col>2</xdr:col>
      <xdr:colOff>674166</xdr:colOff>
      <xdr:row>3</xdr:row>
      <xdr:rowOff>113393</xdr:rowOff>
    </xdr:to>
    <xdr:pic>
      <xdr:nvPicPr>
        <xdr:cNvPr id="2" name="Picture 28">
          <a:extLst>
            <a:ext uri="{FF2B5EF4-FFF2-40B4-BE49-F238E27FC236}">
              <a16:creationId xmlns:a16="http://schemas.microsoft.com/office/drawing/2014/main" id="{8012318C-29A9-4D98-BF58-1C44022BF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1" y="38100"/>
          <a:ext cx="1817649" cy="551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332617</xdr:colOff>
      <xdr:row>3</xdr:row>
      <xdr:rowOff>10166</xdr:rowOff>
    </xdr:from>
    <xdr:to>
      <xdr:col>11</xdr:col>
      <xdr:colOff>847330</xdr:colOff>
      <xdr:row>3</xdr:row>
      <xdr:rowOff>643559</xdr:rowOff>
    </xdr:to>
    <xdr:pic>
      <xdr:nvPicPr>
        <xdr:cNvPr id="4" name="图片 1">
          <a:extLst>
            <a:ext uri="{FF2B5EF4-FFF2-40B4-BE49-F238E27FC236}">
              <a16:creationId xmlns:a16="http://schemas.microsoft.com/office/drawing/2014/main" id="{4A6E655B-311E-5F40-9E3C-FB5662ABB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4046" y="486416"/>
          <a:ext cx="1383393" cy="63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205740</xdr:colOff>
      <xdr:row>27</xdr:row>
      <xdr:rowOff>0</xdr:rowOff>
    </xdr:from>
    <xdr:to>
      <xdr:col>2</xdr:col>
      <xdr:colOff>320040</xdr:colOff>
      <xdr:row>29</xdr:row>
      <xdr:rowOff>40407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85DCD6-D38B-5AA3-B372-609EED2A0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" y="20574000"/>
          <a:ext cx="975360" cy="3909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5"/>
  <sheetViews>
    <sheetView showGridLines="0" topLeftCell="A2" zoomScaleNormal="100" zoomScaleSheetLayoutView="85" workbookViewId="0">
      <selection activeCell="E14" sqref="E14"/>
    </sheetView>
  </sheetViews>
  <sheetFormatPr defaultRowHeight="13.2" x14ac:dyDescent="0.25"/>
  <cols>
    <col min="1" max="1" width="5" style="1" customWidth="1"/>
    <col min="2" max="2" width="12.5546875" style="2" customWidth="1"/>
    <col min="3" max="3" width="11.6640625" style="2" customWidth="1"/>
    <col min="4" max="4" width="13.109375" style="2" customWidth="1"/>
    <col min="5" max="5" width="36.88671875" style="2" customWidth="1"/>
    <col min="6" max="6" width="6.33203125" style="11" customWidth="1"/>
    <col min="7" max="7" width="6.6640625" style="16" customWidth="1"/>
    <col min="8" max="8" width="12.77734375" style="14" customWidth="1"/>
    <col min="9" max="9" width="5.88671875" style="14" customWidth="1"/>
    <col min="10" max="10" width="12.5546875" style="57" customWidth="1"/>
    <col min="11" max="11" width="12.44140625" style="14" customWidth="1"/>
    <col min="12" max="13" width="13" style="16" customWidth="1"/>
    <col min="14" max="14" width="15.21875" style="16" customWidth="1"/>
    <col min="15" max="16" width="14.77734375" style="51" customWidth="1"/>
    <col min="17" max="18" width="14.77734375" style="11" customWidth="1"/>
    <col min="19" max="19" width="17.5546875" style="2" customWidth="1"/>
    <col min="20" max="20" width="16.33203125" style="64" customWidth="1"/>
    <col min="21" max="21" width="12.88671875" style="2" customWidth="1"/>
    <col min="22" max="22" width="12.44140625" style="2" bestFit="1" customWidth="1"/>
    <col min="23" max="23" width="15.109375" style="2" bestFit="1" customWidth="1"/>
    <col min="24" max="255" width="9.21875" style="2"/>
    <col min="256" max="256" width="5" style="2" customWidth="1"/>
    <col min="257" max="257" width="23.77734375" style="2" customWidth="1"/>
    <col min="258" max="258" width="46.77734375" style="2" customWidth="1"/>
    <col min="259" max="259" width="5.77734375" style="2" customWidth="1"/>
    <col min="260" max="260" width="10" style="2" customWidth="1"/>
    <col min="261" max="261" width="12.21875" style="2" customWidth="1"/>
    <col min="262" max="262" width="13.77734375" style="2" customWidth="1"/>
    <col min="263" max="263" width="12.5546875" style="2" customWidth="1"/>
    <col min="264" max="264" width="13" style="2" customWidth="1"/>
    <col min="265" max="265" width="13.77734375" style="2" bestFit="1" customWidth="1"/>
    <col min="266" max="511" width="9.21875" style="2"/>
    <col min="512" max="512" width="5" style="2" customWidth="1"/>
    <col min="513" max="513" width="23.77734375" style="2" customWidth="1"/>
    <col min="514" max="514" width="46.77734375" style="2" customWidth="1"/>
    <col min="515" max="515" width="5.77734375" style="2" customWidth="1"/>
    <col min="516" max="516" width="10" style="2" customWidth="1"/>
    <col min="517" max="517" width="12.21875" style="2" customWidth="1"/>
    <col min="518" max="518" width="13.77734375" style="2" customWidth="1"/>
    <col min="519" max="519" width="12.5546875" style="2" customWidth="1"/>
    <col min="520" max="520" width="13" style="2" customWidth="1"/>
    <col min="521" max="521" width="13.77734375" style="2" bestFit="1" customWidth="1"/>
    <col min="522" max="767" width="9.21875" style="2"/>
    <col min="768" max="768" width="5" style="2" customWidth="1"/>
    <col min="769" max="769" width="23.77734375" style="2" customWidth="1"/>
    <col min="770" max="770" width="46.77734375" style="2" customWidth="1"/>
    <col min="771" max="771" width="5.77734375" style="2" customWidth="1"/>
    <col min="772" max="772" width="10" style="2" customWidth="1"/>
    <col min="773" max="773" width="12.21875" style="2" customWidth="1"/>
    <col min="774" max="774" width="13.77734375" style="2" customWidth="1"/>
    <col min="775" max="775" width="12.5546875" style="2" customWidth="1"/>
    <col min="776" max="776" width="13" style="2" customWidth="1"/>
    <col min="777" max="777" width="13.77734375" style="2" bestFit="1" customWidth="1"/>
    <col min="778" max="1023" width="9.21875" style="2"/>
    <col min="1024" max="1024" width="5" style="2" customWidth="1"/>
    <col min="1025" max="1025" width="23.77734375" style="2" customWidth="1"/>
    <col min="1026" max="1026" width="46.77734375" style="2" customWidth="1"/>
    <col min="1027" max="1027" width="5.77734375" style="2" customWidth="1"/>
    <col min="1028" max="1028" width="10" style="2" customWidth="1"/>
    <col min="1029" max="1029" width="12.21875" style="2" customWidth="1"/>
    <col min="1030" max="1030" width="13.77734375" style="2" customWidth="1"/>
    <col min="1031" max="1031" width="12.5546875" style="2" customWidth="1"/>
    <col min="1032" max="1032" width="13" style="2" customWidth="1"/>
    <col min="1033" max="1033" width="13.77734375" style="2" bestFit="1" customWidth="1"/>
    <col min="1034" max="1279" width="9.21875" style="2"/>
    <col min="1280" max="1280" width="5" style="2" customWidth="1"/>
    <col min="1281" max="1281" width="23.77734375" style="2" customWidth="1"/>
    <col min="1282" max="1282" width="46.77734375" style="2" customWidth="1"/>
    <col min="1283" max="1283" width="5.77734375" style="2" customWidth="1"/>
    <col min="1284" max="1284" width="10" style="2" customWidth="1"/>
    <col min="1285" max="1285" width="12.21875" style="2" customWidth="1"/>
    <col min="1286" max="1286" width="13.77734375" style="2" customWidth="1"/>
    <col min="1287" max="1287" width="12.5546875" style="2" customWidth="1"/>
    <col min="1288" max="1288" width="13" style="2" customWidth="1"/>
    <col min="1289" max="1289" width="13.77734375" style="2" bestFit="1" customWidth="1"/>
    <col min="1290" max="1535" width="9.21875" style="2"/>
    <col min="1536" max="1536" width="5" style="2" customWidth="1"/>
    <col min="1537" max="1537" width="23.77734375" style="2" customWidth="1"/>
    <col min="1538" max="1538" width="46.77734375" style="2" customWidth="1"/>
    <col min="1539" max="1539" width="5.77734375" style="2" customWidth="1"/>
    <col min="1540" max="1540" width="10" style="2" customWidth="1"/>
    <col min="1541" max="1541" width="12.21875" style="2" customWidth="1"/>
    <col min="1542" max="1542" width="13.77734375" style="2" customWidth="1"/>
    <col min="1543" max="1543" width="12.5546875" style="2" customWidth="1"/>
    <col min="1544" max="1544" width="13" style="2" customWidth="1"/>
    <col min="1545" max="1545" width="13.77734375" style="2" bestFit="1" customWidth="1"/>
    <col min="1546" max="1791" width="9.21875" style="2"/>
    <col min="1792" max="1792" width="5" style="2" customWidth="1"/>
    <col min="1793" max="1793" width="23.77734375" style="2" customWidth="1"/>
    <col min="1794" max="1794" width="46.77734375" style="2" customWidth="1"/>
    <col min="1795" max="1795" width="5.77734375" style="2" customWidth="1"/>
    <col min="1796" max="1796" width="10" style="2" customWidth="1"/>
    <col min="1797" max="1797" width="12.21875" style="2" customWidth="1"/>
    <col min="1798" max="1798" width="13.77734375" style="2" customWidth="1"/>
    <col min="1799" max="1799" width="12.5546875" style="2" customWidth="1"/>
    <col min="1800" max="1800" width="13" style="2" customWidth="1"/>
    <col min="1801" max="1801" width="13.77734375" style="2" bestFit="1" customWidth="1"/>
    <col min="1802" max="2047" width="9.21875" style="2"/>
    <col min="2048" max="2048" width="5" style="2" customWidth="1"/>
    <col min="2049" max="2049" width="23.77734375" style="2" customWidth="1"/>
    <col min="2050" max="2050" width="46.77734375" style="2" customWidth="1"/>
    <col min="2051" max="2051" width="5.77734375" style="2" customWidth="1"/>
    <col min="2052" max="2052" width="10" style="2" customWidth="1"/>
    <col min="2053" max="2053" width="12.21875" style="2" customWidth="1"/>
    <col min="2054" max="2054" width="13.77734375" style="2" customWidth="1"/>
    <col min="2055" max="2055" width="12.5546875" style="2" customWidth="1"/>
    <col min="2056" max="2056" width="13" style="2" customWidth="1"/>
    <col min="2057" max="2057" width="13.77734375" style="2" bestFit="1" customWidth="1"/>
    <col min="2058" max="2303" width="9.21875" style="2"/>
    <col min="2304" max="2304" width="5" style="2" customWidth="1"/>
    <col min="2305" max="2305" width="23.77734375" style="2" customWidth="1"/>
    <col min="2306" max="2306" width="46.77734375" style="2" customWidth="1"/>
    <col min="2307" max="2307" width="5.77734375" style="2" customWidth="1"/>
    <col min="2308" max="2308" width="10" style="2" customWidth="1"/>
    <col min="2309" max="2309" width="12.21875" style="2" customWidth="1"/>
    <col min="2310" max="2310" width="13.77734375" style="2" customWidth="1"/>
    <col min="2311" max="2311" width="12.5546875" style="2" customWidth="1"/>
    <col min="2312" max="2312" width="13" style="2" customWidth="1"/>
    <col min="2313" max="2313" width="13.77734375" style="2" bestFit="1" customWidth="1"/>
    <col min="2314" max="2559" width="9.21875" style="2"/>
    <col min="2560" max="2560" width="5" style="2" customWidth="1"/>
    <col min="2561" max="2561" width="23.77734375" style="2" customWidth="1"/>
    <col min="2562" max="2562" width="46.77734375" style="2" customWidth="1"/>
    <col min="2563" max="2563" width="5.77734375" style="2" customWidth="1"/>
    <col min="2564" max="2564" width="10" style="2" customWidth="1"/>
    <col min="2565" max="2565" width="12.21875" style="2" customWidth="1"/>
    <col min="2566" max="2566" width="13.77734375" style="2" customWidth="1"/>
    <col min="2567" max="2567" width="12.5546875" style="2" customWidth="1"/>
    <col min="2568" max="2568" width="13" style="2" customWidth="1"/>
    <col min="2569" max="2569" width="13.77734375" style="2" bestFit="1" customWidth="1"/>
    <col min="2570" max="2815" width="9.21875" style="2"/>
    <col min="2816" max="2816" width="5" style="2" customWidth="1"/>
    <col min="2817" max="2817" width="23.77734375" style="2" customWidth="1"/>
    <col min="2818" max="2818" width="46.77734375" style="2" customWidth="1"/>
    <col min="2819" max="2819" width="5.77734375" style="2" customWidth="1"/>
    <col min="2820" max="2820" width="10" style="2" customWidth="1"/>
    <col min="2821" max="2821" width="12.21875" style="2" customWidth="1"/>
    <col min="2822" max="2822" width="13.77734375" style="2" customWidth="1"/>
    <col min="2823" max="2823" width="12.5546875" style="2" customWidth="1"/>
    <col min="2824" max="2824" width="13" style="2" customWidth="1"/>
    <col min="2825" max="2825" width="13.77734375" style="2" bestFit="1" customWidth="1"/>
    <col min="2826" max="3071" width="9.21875" style="2"/>
    <col min="3072" max="3072" width="5" style="2" customWidth="1"/>
    <col min="3073" max="3073" width="23.77734375" style="2" customWidth="1"/>
    <col min="3074" max="3074" width="46.77734375" style="2" customWidth="1"/>
    <col min="3075" max="3075" width="5.77734375" style="2" customWidth="1"/>
    <col min="3076" max="3076" width="10" style="2" customWidth="1"/>
    <col min="3077" max="3077" width="12.21875" style="2" customWidth="1"/>
    <col min="3078" max="3078" width="13.77734375" style="2" customWidth="1"/>
    <col min="3079" max="3079" width="12.5546875" style="2" customWidth="1"/>
    <col min="3080" max="3080" width="13" style="2" customWidth="1"/>
    <col min="3081" max="3081" width="13.77734375" style="2" bestFit="1" customWidth="1"/>
    <col min="3082" max="3327" width="9.21875" style="2"/>
    <col min="3328" max="3328" width="5" style="2" customWidth="1"/>
    <col min="3329" max="3329" width="23.77734375" style="2" customWidth="1"/>
    <col min="3330" max="3330" width="46.77734375" style="2" customWidth="1"/>
    <col min="3331" max="3331" width="5.77734375" style="2" customWidth="1"/>
    <col min="3332" max="3332" width="10" style="2" customWidth="1"/>
    <col min="3333" max="3333" width="12.21875" style="2" customWidth="1"/>
    <col min="3334" max="3334" width="13.77734375" style="2" customWidth="1"/>
    <col min="3335" max="3335" width="12.5546875" style="2" customWidth="1"/>
    <col min="3336" max="3336" width="13" style="2" customWidth="1"/>
    <col min="3337" max="3337" width="13.77734375" style="2" bestFit="1" customWidth="1"/>
    <col min="3338" max="3583" width="9.21875" style="2"/>
    <col min="3584" max="3584" width="5" style="2" customWidth="1"/>
    <col min="3585" max="3585" width="23.77734375" style="2" customWidth="1"/>
    <col min="3586" max="3586" width="46.77734375" style="2" customWidth="1"/>
    <col min="3587" max="3587" width="5.77734375" style="2" customWidth="1"/>
    <col min="3588" max="3588" width="10" style="2" customWidth="1"/>
    <col min="3589" max="3589" width="12.21875" style="2" customWidth="1"/>
    <col min="3590" max="3590" width="13.77734375" style="2" customWidth="1"/>
    <col min="3591" max="3591" width="12.5546875" style="2" customWidth="1"/>
    <col min="3592" max="3592" width="13" style="2" customWidth="1"/>
    <col min="3593" max="3593" width="13.77734375" style="2" bestFit="1" customWidth="1"/>
    <col min="3594" max="3839" width="9.21875" style="2"/>
    <col min="3840" max="3840" width="5" style="2" customWidth="1"/>
    <col min="3841" max="3841" width="23.77734375" style="2" customWidth="1"/>
    <col min="3842" max="3842" width="46.77734375" style="2" customWidth="1"/>
    <col min="3843" max="3843" width="5.77734375" style="2" customWidth="1"/>
    <col min="3844" max="3844" width="10" style="2" customWidth="1"/>
    <col min="3845" max="3845" width="12.21875" style="2" customWidth="1"/>
    <col min="3846" max="3846" width="13.77734375" style="2" customWidth="1"/>
    <col min="3847" max="3847" width="12.5546875" style="2" customWidth="1"/>
    <col min="3848" max="3848" width="13" style="2" customWidth="1"/>
    <col min="3849" max="3849" width="13.77734375" style="2" bestFit="1" customWidth="1"/>
    <col min="3850" max="4095" width="9.21875" style="2"/>
    <col min="4096" max="4096" width="5" style="2" customWidth="1"/>
    <col min="4097" max="4097" width="23.77734375" style="2" customWidth="1"/>
    <col min="4098" max="4098" width="46.77734375" style="2" customWidth="1"/>
    <col min="4099" max="4099" width="5.77734375" style="2" customWidth="1"/>
    <col min="4100" max="4100" width="10" style="2" customWidth="1"/>
    <col min="4101" max="4101" width="12.21875" style="2" customWidth="1"/>
    <col min="4102" max="4102" width="13.77734375" style="2" customWidth="1"/>
    <col min="4103" max="4103" width="12.5546875" style="2" customWidth="1"/>
    <col min="4104" max="4104" width="13" style="2" customWidth="1"/>
    <col min="4105" max="4105" width="13.77734375" style="2" bestFit="1" customWidth="1"/>
    <col min="4106" max="4351" width="9.21875" style="2"/>
    <col min="4352" max="4352" width="5" style="2" customWidth="1"/>
    <col min="4353" max="4353" width="23.77734375" style="2" customWidth="1"/>
    <col min="4354" max="4354" width="46.77734375" style="2" customWidth="1"/>
    <col min="4355" max="4355" width="5.77734375" style="2" customWidth="1"/>
    <col min="4356" max="4356" width="10" style="2" customWidth="1"/>
    <col min="4357" max="4357" width="12.21875" style="2" customWidth="1"/>
    <col min="4358" max="4358" width="13.77734375" style="2" customWidth="1"/>
    <col min="4359" max="4359" width="12.5546875" style="2" customWidth="1"/>
    <col min="4360" max="4360" width="13" style="2" customWidth="1"/>
    <col min="4361" max="4361" width="13.77734375" style="2" bestFit="1" customWidth="1"/>
    <col min="4362" max="4607" width="9.21875" style="2"/>
    <col min="4608" max="4608" width="5" style="2" customWidth="1"/>
    <col min="4609" max="4609" width="23.77734375" style="2" customWidth="1"/>
    <col min="4610" max="4610" width="46.77734375" style="2" customWidth="1"/>
    <col min="4611" max="4611" width="5.77734375" style="2" customWidth="1"/>
    <col min="4612" max="4612" width="10" style="2" customWidth="1"/>
    <col min="4613" max="4613" width="12.21875" style="2" customWidth="1"/>
    <col min="4614" max="4614" width="13.77734375" style="2" customWidth="1"/>
    <col min="4615" max="4615" width="12.5546875" style="2" customWidth="1"/>
    <col min="4616" max="4616" width="13" style="2" customWidth="1"/>
    <col min="4617" max="4617" width="13.77734375" style="2" bestFit="1" customWidth="1"/>
    <col min="4618" max="4863" width="9.21875" style="2"/>
    <col min="4864" max="4864" width="5" style="2" customWidth="1"/>
    <col min="4865" max="4865" width="23.77734375" style="2" customWidth="1"/>
    <col min="4866" max="4866" width="46.77734375" style="2" customWidth="1"/>
    <col min="4867" max="4867" width="5.77734375" style="2" customWidth="1"/>
    <col min="4868" max="4868" width="10" style="2" customWidth="1"/>
    <col min="4869" max="4869" width="12.21875" style="2" customWidth="1"/>
    <col min="4870" max="4870" width="13.77734375" style="2" customWidth="1"/>
    <col min="4871" max="4871" width="12.5546875" style="2" customWidth="1"/>
    <col min="4872" max="4872" width="13" style="2" customWidth="1"/>
    <col min="4873" max="4873" width="13.77734375" style="2" bestFit="1" customWidth="1"/>
    <col min="4874" max="5119" width="9.21875" style="2"/>
    <col min="5120" max="5120" width="5" style="2" customWidth="1"/>
    <col min="5121" max="5121" width="23.77734375" style="2" customWidth="1"/>
    <col min="5122" max="5122" width="46.77734375" style="2" customWidth="1"/>
    <col min="5123" max="5123" width="5.77734375" style="2" customWidth="1"/>
    <col min="5124" max="5124" width="10" style="2" customWidth="1"/>
    <col min="5125" max="5125" width="12.21875" style="2" customWidth="1"/>
    <col min="5126" max="5126" width="13.77734375" style="2" customWidth="1"/>
    <col min="5127" max="5127" width="12.5546875" style="2" customWidth="1"/>
    <col min="5128" max="5128" width="13" style="2" customWidth="1"/>
    <col min="5129" max="5129" width="13.77734375" style="2" bestFit="1" customWidth="1"/>
    <col min="5130" max="5375" width="9.21875" style="2"/>
    <col min="5376" max="5376" width="5" style="2" customWidth="1"/>
    <col min="5377" max="5377" width="23.77734375" style="2" customWidth="1"/>
    <col min="5378" max="5378" width="46.77734375" style="2" customWidth="1"/>
    <col min="5379" max="5379" width="5.77734375" style="2" customWidth="1"/>
    <col min="5380" max="5380" width="10" style="2" customWidth="1"/>
    <col min="5381" max="5381" width="12.21875" style="2" customWidth="1"/>
    <col min="5382" max="5382" width="13.77734375" style="2" customWidth="1"/>
    <col min="5383" max="5383" width="12.5546875" style="2" customWidth="1"/>
    <col min="5384" max="5384" width="13" style="2" customWidth="1"/>
    <col min="5385" max="5385" width="13.77734375" style="2" bestFit="1" customWidth="1"/>
    <col min="5386" max="5631" width="9.21875" style="2"/>
    <col min="5632" max="5632" width="5" style="2" customWidth="1"/>
    <col min="5633" max="5633" width="23.77734375" style="2" customWidth="1"/>
    <col min="5634" max="5634" width="46.77734375" style="2" customWidth="1"/>
    <col min="5635" max="5635" width="5.77734375" style="2" customWidth="1"/>
    <col min="5636" max="5636" width="10" style="2" customWidth="1"/>
    <col min="5637" max="5637" width="12.21875" style="2" customWidth="1"/>
    <col min="5638" max="5638" width="13.77734375" style="2" customWidth="1"/>
    <col min="5639" max="5639" width="12.5546875" style="2" customWidth="1"/>
    <col min="5640" max="5640" width="13" style="2" customWidth="1"/>
    <col min="5641" max="5641" width="13.77734375" style="2" bestFit="1" customWidth="1"/>
    <col min="5642" max="5887" width="9.21875" style="2"/>
    <col min="5888" max="5888" width="5" style="2" customWidth="1"/>
    <col min="5889" max="5889" width="23.77734375" style="2" customWidth="1"/>
    <col min="5890" max="5890" width="46.77734375" style="2" customWidth="1"/>
    <col min="5891" max="5891" width="5.77734375" style="2" customWidth="1"/>
    <col min="5892" max="5892" width="10" style="2" customWidth="1"/>
    <col min="5893" max="5893" width="12.21875" style="2" customWidth="1"/>
    <col min="5894" max="5894" width="13.77734375" style="2" customWidth="1"/>
    <col min="5895" max="5895" width="12.5546875" style="2" customWidth="1"/>
    <col min="5896" max="5896" width="13" style="2" customWidth="1"/>
    <col min="5897" max="5897" width="13.77734375" style="2" bestFit="1" customWidth="1"/>
    <col min="5898" max="6143" width="9.21875" style="2"/>
    <col min="6144" max="6144" width="5" style="2" customWidth="1"/>
    <col min="6145" max="6145" width="23.77734375" style="2" customWidth="1"/>
    <col min="6146" max="6146" width="46.77734375" style="2" customWidth="1"/>
    <col min="6147" max="6147" width="5.77734375" style="2" customWidth="1"/>
    <col min="6148" max="6148" width="10" style="2" customWidth="1"/>
    <col min="6149" max="6149" width="12.21875" style="2" customWidth="1"/>
    <col min="6150" max="6150" width="13.77734375" style="2" customWidth="1"/>
    <col min="6151" max="6151" width="12.5546875" style="2" customWidth="1"/>
    <col min="6152" max="6152" width="13" style="2" customWidth="1"/>
    <col min="6153" max="6153" width="13.77734375" style="2" bestFit="1" customWidth="1"/>
    <col min="6154" max="6399" width="9.21875" style="2"/>
    <col min="6400" max="6400" width="5" style="2" customWidth="1"/>
    <col min="6401" max="6401" width="23.77734375" style="2" customWidth="1"/>
    <col min="6402" max="6402" width="46.77734375" style="2" customWidth="1"/>
    <col min="6403" max="6403" width="5.77734375" style="2" customWidth="1"/>
    <col min="6404" max="6404" width="10" style="2" customWidth="1"/>
    <col min="6405" max="6405" width="12.21875" style="2" customWidth="1"/>
    <col min="6406" max="6406" width="13.77734375" style="2" customWidth="1"/>
    <col min="6407" max="6407" width="12.5546875" style="2" customWidth="1"/>
    <col min="6408" max="6408" width="13" style="2" customWidth="1"/>
    <col min="6409" max="6409" width="13.77734375" style="2" bestFit="1" customWidth="1"/>
    <col min="6410" max="6655" width="9.21875" style="2"/>
    <col min="6656" max="6656" width="5" style="2" customWidth="1"/>
    <col min="6657" max="6657" width="23.77734375" style="2" customWidth="1"/>
    <col min="6658" max="6658" width="46.77734375" style="2" customWidth="1"/>
    <col min="6659" max="6659" width="5.77734375" style="2" customWidth="1"/>
    <col min="6660" max="6660" width="10" style="2" customWidth="1"/>
    <col min="6661" max="6661" width="12.21875" style="2" customWidth="1"/>
    <col min="6662" max="6662" width="13.77734375" style="2" customWidth="1"/>
    <col min="6663" max="6663" width="12.5546875" style="2" customWidth="1"/>
    <col min="6664" max="6664" width="13" style="2" customWidth="1"/>
    <col min="6665" max="6665" width="13.77734375" style="2" bestFit="1" customWidth="1"/>
    <col min="6666" max="6911" width="9.21875" style="2"/>
    <col min="6912" max="6912" width="5" style="2" customWidth="1"/>
    <col min="6913" max="6913" width="23.77734375" style="2" customWidth="1"/>
    <col min="6914" max="6914" width="46.77734375" style="2" customWidth="1"/>
    <col min="6915" max="6915" width="5.77734375" style="2" customWidth="1"/>
    <col min="6916" max="6916" width="10" style="2" customWidth="1"/>
    <col min="6917" max="6917" width="12.21875" style="2" customWidth="1"/>
    <col min="6918" max="6918" width="13.77734375" style="2" customWidth="1"/>
    <col min="6919" max="6919" width="12.5546875" style="2" customWidth="1"/>
    <col min="6920" max="6920" width="13" style="2" customWidth="1"/>
    <col min="6921" max="6921" width="13.77734375" style="2" bestFit="1" customWidth="1"/>
    <col min="6922" max="7167" width="9.21875" style="2"/>
    <col min="7168" max="7168" width="5" style="2" customWidth="1"/>
    <col min="7169" max="7169" width="23.77734375" style="2" customWidth="1"/>
    <col min="7170" max="7170" width="46.77734375" style="2" customWidth="1"/>
    <col min="7171" max="7171" width="5.77734375" style="2" customWidth="1"/>
    <col min="7172" max="7172" width="10" style="2" customWidth="1"/>
    <col min="7173" max="7173" width="12.21875" style="2" customWidth="1"/>
    <col min="7174" max="7174" width="13.77734375" style="2" customWidth="1"/>
    <col min="7175" max="7175" width="12.5546875" style="2" customWidth="1"/>
    <col min="7176" max="7176" width="13" style="2" customWidth="1"/>
    <col min="7177" max="7177" width="13.77734375" style="2" bestFit="1" customWidth="1"/>
    <col min="7178" max="7423" width="9.21875" style="2"/>
    <col min="7424" max="7424" width="5" style="2" customWidth="1"/>
    <col min="7425" max="7425" width="23.77734375" style="2" customWidth="1"/>
    <col min="7426" max="7426" width="46.77734375" style="2" customWidth="1"/>
    <col min="7427" max="7427" width="5.77734375" style="2" customWidth="1"/>
    <col min="7428" max="7428" width="10" style="2" customWidth="1"/>
    <col min="7429" max="7429" width="12.21875" style="2" customWidth="1"/>
    <col min="7430" max="7430" width="13.77734375" style="2" customWidth="1"/>
    <col min="7431" max="7431" width="12.5546875" style="2" customWidth="1"/>
    <col min="7432" max="7432" width="13" style="2" customWidth="1"/>
    <col min="7433" max="7433" width="13.77734375" style="2" bestFit="1" customWidth="1"/>
    <col min="7434" max="7679" width="9.21875" style="2"/>
    <col min="7680" max="7680" width="5" style="2" customWidth="1"/>
    <col min="7681" max="7681" width="23.77734375" style="2" customWidth="1"/>
    <col min="7682" max="7682" width="46.77734375" style="2" customWidth="1"/>
    <col min="7683" max="7683" width="5.77734375" style="2" customWidth="1"/>
    <col min="7684" max="7684" width="10" style="2" customWidth="1"/>
    <col min="7685" max="7685" width="12.21875" style="2" customWidth="1"/>
    <col min="7686" max="7686" width="13.77734375" style="2" customWidth="1"/>
    <col min="7687" max="7687" width="12.5546875" style="2" customWidth="1"/>
    <col min="7688" max="7688" width="13" style="2" customWidth="1"/>
    <col min="7689" max="7689" width="13.77734375" style="2" bestFit="1" customWidth="1"/>
    <col min="7690" max="7935" width="9.21875" style="2"/>
    <col min="7936" max="7936" width="5" style="2" customWidth="1"/>
    <col min="7937" max="7937" width="23.77734375" style="2" customWidth="1"/>
    <col min="7938" max="7938" width="46.77734375" style="2" customWidth="1"/>
    <col min="7939" max="7939" width="5.77734375" style="2" customWidth="1"/>
    <col min="7940" max="7940" width="10" style="2" customWidth="1"/>
    <col min="7941" max="7941" width="12.21875" style="2" customWidth="1"/>
    <col min="7942" max="7942" width="13.77734375" style="2" customWidth="1"/>
    <col min="7943" max="7943" width="12.5546875" style="2" customWidth="1"/>
    <col min="7944" max="7944" width="13" style="2" customWidth="1"/>
    <col min="7945" max="7945" width="13.77734375" style="2" bestFit="1" customWidth="1"/>
    <col min="7946" max="8191" width="9.21875" style="2"/>
    <col min="8192" max="8192" width="5" style="2" customWidth="1"/>
    <col min="8193" max="8193" width="23.77734375" style="2" customWidth="1"/>
    <col min="8194" max="8194" width="46.77734375" style="2" customWidth="1"/>
    <col min="8195" max="8195" width="5.77734375" style="2" customWidth="1"/>
    <col min="8196" max="8196" width="10" style="2" customWidth="1"/>
    <col min="8197" max="8197" width="12.21875" style="2" customWidth="1"/>
    <col min="8198" max="8198" width="13.77734375" style="2" customWidth="1"/>
    <col min="8199" max="8199" width="12.5546875" style="2" customWidth="1"/>
    <col min="8200" max="8200" width="13" style="2" customWidth="1"/>
    <col min="8201" max="8201" width="13.77734375" style="2" bestFit="1" customWidth="1"/>
    <col min="8202" max="8447" width="9.21875" style="2"/>
    <col min="8448" max="8448" width="5" style="2" customWidth="1"/>
    <col min="8449" max="8449" width="23.77734375" style="2" customWidth="1"/>
    <col min="8450" max="8450" width="46.77734375" style="2" customWidth="1"/>
    <col min="8451" max="8451" width="5.77734375" style="2" customWidth="1"/>
    <col min="8452" max="8452" width="10" style="2" customWidth="1"/>
    <col min="8453" max="8453" width="12.21875" style="2" customWidth="1"/>
    <col min="8454" max="8454" width="13.77734375" style="2" customWidth="1"/>
    <col min="8455" max="8455" width="12.5546875" style="2" customWidth="1"/>
    <col min="8456" max="8456" width="13" style="2" customWidth="1"/>
    <col min="8457" max="8457" width="13.77734375" style="2" bestFit="1" customWidth="1"/>
    <col min="8458" max="8703" width="9.21875" style="2"/>
    <col min="8704" max="8704" width="5" style="2" customWidth="1"/>
    <col min="8705" max="8705" width="23.77734375" style="2" customWidth="1"/>
    <col min="8706" max="8706" width="46.77734375" style="2" customWidth="1"/>
    <col min="8707" max="8707" width="5.77734375" style="2" customWidth="1"/>
    <col min="8708" max="8708" width="10" style="2" customWidth="1"/>
    <col min="8709" max="8709" width="12.21875" style="2" customWidth="1"/>
    <col min="8710" max="8710" width="13.77734375" style="2" customWidth="1"/>
    <col min="8711" max="8711" width="12.5546875" style="2" customWidth="1"/>
    <col min="8712" max="8712" width="13" style="2" customWidth="1"/>
    <col min="8713" max="8713" width="13.77734375" style="2" bestFit="1" customWidth="1"/>
    <col min="8714" max="8959" width="9.21875" style="2"/>
    <col min="8960" max="8960" width="5" style="2" customWidth="1"/>
    <col min="8961" max="8961" width="23.77734375" style="2" customWidth="1"/>
    <col min="8962" max="8962" width="46.77734375" style="2" customWidth="1"/>
    <col min="8963" max="8963" width="5.77734375" style="2" customWidth="1"/>
    <col min="8964" max="8964" width="10" style="2" customWidth="1"/>
    <col min="8965" max="8965" width="12.21875" style="2" customWidth="1"/>
    <col min="8966" max="8966" width="13.77734375" style="2" customWidth="1"/>
    <col min="8967" max="8967" width="12.5546875" style="2" customWidth="1"/>
    <col min="8968" max="8968" width="13" style="2" customWidth="1"/>
    <col min="8969" max="8969" width="13.77734375" style="2" bestFit="1" customWidth="1"/>
    <col min="8970" max="9215" width="9.21875" style="2"/>
    <col min="9216" max="9216" width="5" style="2" customWidth="1"/>
    <col min="9217" max="9217" width="23.77734375" style="2" customWidth="1"/>
    <col min="9218" max="9218" width="46.77734375" style="2" customWidth="1"/>
    <col min="9219" max="9219" width="5.77734375" style="2" customWidth="1"/>
    <col min="9220" max="9220" width="10" style="2" customWidth="1"/>
    <col min="9221" max="9221" width="12.21875" style="2" customWidth="1"/>
    <col min="9222" max="9222" width="13.77734375" style="2" customWidth="1"/>
    <col min="9223" max="9223" width="12.5546875" style="2" customWidth="1"/>
    <col min="9224" max="9224" width="13" style="2" customWidth="1"/>
    <col min="9225" max="9225" width="13.77734375" style="2" bestFit="1" customWidth="1"/>
    <col min="9226" max="9471" width="9.21875" style="2"/>
    <col min="9472" max="9472" width="5" style="2" customWidth="1"/>
    <col min="9473" max="9473" width="23.77734375" style="2" customWidth="1"/>
    <col min="9474" max="9474" width="46.77734375" style="2" customWidth="1"/>
    <col min="9475" max="9475" width="5.77734375" style="2" customWidth="1"/>
    <col min="9476" max="9476" width="10" style="2" customWidth="1"/>
    <col min="9477" max="9477" width="12.21875" style="2" customWidth="1"/>
    <col min="9478" max="9478" width="13.77734375" style="2" customWidth="1"/>
    <col min="9479" max="9479" width="12.5546875" style="2" customWidth="1"/>
    <col min="9480" max="9480" width="13" style="2" customWidth="1"/>
    <col min="9481" max="9481" width="13.77734375" style="2" bestFit="1" customWidth="1"/>
    <col min="9482" max="9727" width="9.21875" style="2"/>
    <col min="9728" max="9728" width="5" style="2" customWidth="1"/>
    <col min="9729" max="9729" width="23.77734375" style="2" customWidth="1"/>
    <col min="9730" max="9730" width="46.77734375" style="2" customWidth="1"/>
    <col min="9731" max="9731" width="5.77734375" style="2" customWidth="1"/>
    <col min="9732" max="9732" width="10" style="2" customWidth="1"/>
    <col min="9733" max="9733" width="12.21875" style="2" customWidth="1"/>
    <col min="9734" max="9734" width="13.77734375" style="2" customWidth="1"/>
    <col min="9735" max="9735" width="12.5546875" style="2" customWidth="1"/>
    <col min="9736" max="9736" width="13" style="2" customWidth="1"/>
    <col min="9737" max="9737" width="13.77734375" style="2" bestFit="1" customWidth="1"/>
    <col min="9738" max="9983" width="9.21875" style="2"/>
    <col min="9984" max="9984" width="5" style="2" customWidth="1"/>
    <col min="9985" max="9985" width="23.77734375" style="2" customWidth="1"/>
    <col min="9986" max="9986" width="46.77734375" style="2" customWidth="1"/>
    <col min="9987" max="9987" width="5.77734375" style="2" customWidth="1"/>
    <col min="9988" max="9988" width="10" style="2" customWidth="1"/>
    <col min="9989" max="9989" width="12.21875" style="2" customWidth="1"/>
    <col min="9990" max="9990" width="13.77734375" style="2" customWidth="1"/>
    <col min="9991" max="9991" width="12.5546875" style="2" customWidth="1"/>
    <col min="9992" max="9992" width="13" style="2" customWidth="1"/>
    <col min="9993" max="9993" width="13.77734375" style="2" bestFit="1" customWidth="1"/>
    <col min="9994" max="10239" width="9.21875" style="2"/>
    <col min="10240" max="10240" width="5" style="2" customWidth="1"/>
    <col min="10241" max="10241" width="23.77734375" style="2" customWidth="1"/>
    <col min="10242" max="10242" width="46.77734375" style="2" customWidth="1"/>
    <col min="10243" max="10243" width="5.77734375" style="2" customWidth="1"/>
    <col min="10244" max="10244" width="10" style="2" customWidth="1"/>
    <col min="10245" max="10245" width="12.21875" style="2" customWidth="1"/>
    <col min="10246" max="10246" width="13.77734375" style="2" customWidth="1"/>
    <col min="10247" max="10247" width="12.5546875" style="2" customWidth="1"/>
    <col min="10248" max="10248" width="13" style="2" customWidth="1"/>
    <col min="10249" max="10249" width="13.77734375" style="2" bestFit="1" customWidth="1"/>
    <col min="10250" max="10495" width="9.21875" style="2"/>
    <col min="10496" max="10496" width="5" style="2" customWidth="1"/>
    <col min="10497" max="10497" width="23.77734375" style="2" customWidth="1"/>
    <col min="10498" max="10498" width="46.77734375" style="2" customWidth="1"/>
    <col min="10499" max="10499" width="5.77734375" style="2" customWidth="1"/>
    <col min="10500" max="10500" width="10" style="2" customWidth="1"/>
    <col min="10501" max="10501" width="12.21875" style="2" customWidth="1"/>
    <col min="10502" max="10502" width="13.77734375" style="2" customWidth="1"/>
    <col min="10503" max="10503" width="12.5546875" style="2" customWidth="1"/>
    <col min="10504" max="10504" width="13" style="2" customWidth="1"/>
    <col min="10505" max="10505" width="13.77734375" style="2" bestFit="1" customWidth="1"/>
    <col min="10506" max="10751" width="9.21875" style="2"/>
    <col min="10752" max="10752" width="5" style="2" customWidth="1"/>
    <col min="10753" max="10753" width="23.77734375" style="2" customWidth="1"/>
    <col min="10754" max="10754" width="46.77734375" style="2" customWidth="1"/>
    <col min="10755" max="10755" width="5.77734375" style="2" customWidth="1"/>
    <col min="10756" max="10756" width="10" style="2" customWidth="1"/>
    <col min="10757" max="10757" width="12.21875" style="2" customWidth="1"/>
    <col min="10758" max="10758" width="13.77734375" style="2" customWidth="1"/>
    <col min="10759" max="10759" width="12.5546875" style="2" customWidth="1"/>
    <col min="10760" max="10760" width="13" style="2" customWidth="1"/>
    <col min="10761" max="10761" width="13.77734375" style="2" bestFit="1" customWidth="1"/>
    <col min="10762" max="11007" width="9.21875" style="2"/>
    <col min="11008" max="11008" width="5" style="2" customWidth="1"/>
    <col min="11009" max="11009" width="23.77734375" style="2" customWidth="1"/>
    <col min="11010" max="11010" width="46.77734375" style="2" customWidth="1"/>
    <col min="11011" max="11011" width="5.77734375" style="2" customWidth="1"/>
    <col min="11012" max="11012" width="10" style="2" customWidth="1"/>
    <col min="11013" max="11013" width="12.21875" style="2" customWidth="1"/>
    <col min="11014" max="11014" width="13.77734375" style="2" customWidth="1"/>
    <col min="11015" max="11015" width="12.5546875" style="2" customWidth="1"/>
    <col min="11016" max="11016" width="13" style="2" customWidth="1"/>
    <col min="11017" max="11017" width="13.77734375" style="2" bestFit="1" customWidth="1"/>
    <col min="11018" max="11263" width="9.21875" style="2"/>
    <col min="11264" max="11264" width="5" style="2" customWidth="1"/>
    <col min="11265" max="11265" width="23.77734375" style="2" customWidth="1"/>
    <col min="11266" max="11266" width="46.77734375" style="2" customWidth="1"/>
    <col min="11267" max="11267" width="5.77734375" style="2" customWidth="1"/>
    <col min="11268" max="11268" width="10" style="2" customWidth="1"/>
    <col min="11269" max="11269" width="12.21875" style="2" customWidth="1"/>
    <col min="11270" max="11270" width="13.77734375" style="2" customWidth="1"/>
    <col min="11271" max="11271" width="12.5546875" style="2" customWidth="1"/>
    <col min="11272" max="11272" width="13" style="2" customWidth="1"/>
    <col min="11273" max="11273" width="13.77734375" style="2" bestFit="1" customWidth="1"/>
    <col min="11274" max="11519" width="9.21875" style="2"/>
    <col min="11520" max="11520" width="5" style="2" customWidth="1"/>
    <col min="11521" max="11521" width="23.77734375" style="2" customWidth="1"/>
    <col min="11522" max="11522" width="46.77734375" style="2" customWidth="1"/>
    <col min="11523" max="11523" width="5.77734375" style="2" customWidth="1"/>
    <col min="11524" max="11524" width="10" style="2" customWidth="1"/>
    <col min="11525" max="11525" width="12.21875" style="2" customWidth="1"/>
    <col min="11526" max="11526" width="13.77734375" style="2" customWidth="1"/>
    <col min="11527" max="11527" width="12.5546875" style="2" customWidth="1"/>
    <col min="11528" max="11528" width="13" style="2" customWidth="1"/>
    <col min="11529" max="11529" width="13.77734375" style="2" bestFit="1" customWidth="1"/>
    <col min="11530" max="11775" width="9.21875" style="2"/>
    <col min="11776" max="11776" width="5" style="2" customWidth="1"/>
    <col min="11777" max="11777" width="23.77734375" style="2" customWidth="1"/>
    <col min="11778" max="11778" width="46.77734375" style="2" customWidth="1"/>
    <col min="11779" max="11779" width="5.77734375" style="2" customWidth="1"/>
    <col min="11780" max="11780" width="10" style="2" customWidth="1"/>
    <col min="11781" max="11781" width="12.21875" style="2" customWidth="1"/>
    <col min="11782" max="11782" width="13.77734375" style="2" customWidth="1"/>
    <col min="11783" max="11783" width="12.5546875" style="2" customWidth="1"/>
    <col min="11784" max="11784" width="13" style="2" customWidth="1"/>
    <col min="11785" max="11785" width="13.77734375" style="2" bestFit="1" customWidth="1"/>
    <col min="11786" max="12031" width="9.21875" style="2"/>
    <col min="12032" max="12032" width="5" style="2" customWidth="1"/>
    <col min="12033" max="12033" width="23.77734375" style="2" customWidth="1"/>
    <col min="12034" max="12034" width="46.77734375" style="2" customWidth="1"/>
    <col min="12035" max="12035" width="5.77734375" style="2" customWidth="1"/>
    <col min="12036" max="12036" width="10" style="2" customWidth="1"/>
    <col min="12037" max="12037" width="12.21875" style="2" customWidth="1"/>
    <col min="12038" max="12038" width="13.77734375" style="2" customWidth="1"/>
    <col min="12039" max="12039" width="12.5546875" style="2" customWidth="1"/>
    <col min="12040" max="12040" width="13" style="2" customWidth="1"/>
    <col min="12041" max="12041" width="13.77734375" style="2" bestFit="1" customWidth="1"/>
    <col min="12042" max="12287" width="9.21875" style="2"/>
    <col min="12288" max="12288" width="5" style="2" customWidth="1"/>
    <col min="12289" max="12289" width="23.77734375" style="2" customWidth="1"/>
    <col min="12290" max="12290" width="46.77734375" style="2" customWidth="1"/>
    <col min="12291" max="12291" width="5.77734375" style="2" customWidth="1"/>
    <col min="12292" max="12292" width="10" style="2" customWidth="1"/>
    <col min="12293" max="12293" width="12.21875" style="2" customWidth="1"/>
    <col min="12294" max="12294" width="13.77734375" style="2" customWidth="1"/>
    <col min="12295" max="12295" width="12.5546875" style="2" customWidth="1"/>
    <col min="12296" max="12296" width="13" style="2" customWidth="1"/>
    <col min="12297" max="12297" width="13.77734375" style="2" bestFit="1" customWidth="1"/>
    <col min="12298" max="12543" width="9.21875" style="2"/>
    <col min="12544" max="12544" width="5" style="2" customWidth="1"/>
    <col min="12545" max="12545" width="23.77734375" style="2" customWidth="1"/>
    <col min="12546" max="12546" width="46.77734375" style="2" customWidth="1"/>
    <col min="12547" max="12547" width="5.77734375" style="2" customWidth="1"/>
    <col min="12548" max="12548" width="10" style="2" customWidth="1"/>
    <col min="12549" max="12549" width="12.21875" style="2" customWidth="1"/>
    <col min="12550" max="12550" width="13.77734375" style="2" customWidth="1"/>
    <col min="12551" max="12551" width="12.5546875" style="2" customWidth="1"/>
    <col min="12552" max="12552" width="13" style="2" customWidth="1"/>
    <col min="12553" max="12553" width="13.77734375" style="2" bestFit="1" customWidth="1"/>
    <col min="12554" max="12799" width="9.21875" style="2"/>
    <col min="12800" max="12800" width="5" style="2" customWidth="1"/>
    <col min="12801" max="12801" width="23.77734375" style="2" customWidth="1"/>
    <col min="12802" max="12802" width="46.77734375" style="2" customWidth="1"/>
    <col min="12803" max="12803" width="5.77734375" style="2" customWidth="1"/>
    <col min="12804" max="12804" width="10" style="2" customWidth="1"/>
    <col min="12805" max="12805" width="12.21875" style="2" customWidth="1"/>
    <col min="12806" max="12806" width="13.77734375" style="2" customWidth="1"/>
    <col min="12807" max="12807" width="12.5546875" style="2" customWidth="1"/>
    <col min="12808" max="12808" width="13" style="2" customWidth="1"/>
    <col min="12809" max="12809" width="13.77734375" style="2" bestFit="1" customWidth="1"/>
    <col min="12810" max="13055" width="9.21875" style="2"/>
    <col min="13056" max="13056" width="5" style="2" customWidth="1"/>
    <col min="13057" max="13057" width="23.77734375" style="2" customWidth="1"/>
    <col min="13058" max="13058" width="46.77734375" style="2" customWidth="1"/>
    <col min="13059" max="13059" width="5.77734375" style="2" customWidth="1"/>
    <col min="13060" max="13060" width="10" style="2" customWidth="1"/>
    <col min="13061" max="13061" width="12.21875" style="2" customWidth="1"/>
    <col min="13062" max="13062" width="13.77734375" style="2" customWidth="1"/>
    <col min="13063" max="13063" width="12.5546875" style="2" customWidth="1"/>
    <col min="13064" max="13064" width="13" style="2" customWidth="1"/>
    <col min="13065" max="13065" width="13.77734375" style="2" bestFit="1" customWidth="1"/>
    <col min="13066" max="13311" width="9.21875" style="2"/>
    <col min="13312" max="13312" width="5" style="2" customWidth="1"/>
    <col min="13313" max="13313" width="23.77734375" style="2" customWidth="1"/>
    <col min="13314" max="13314" width="46.77734375" style="2" customWidth="1"/>
    <col min="13315" max="13315" width="5.77734375" style="2" customWidth="1"/>
    <col min="13316" max="13316" width="10" style="2" customWidth="1"/>
    <col min="13317" max="13317" width="12.21875" style="2" customWidth="1"/>
    <col min="13318" max="13318" width="13.77734375" style="2" customWidth="1"/>
    <col min="13319" max="13319" width="12.5546875" style="2" customWidth="1"/>
    <col min="13320" max="13320" width="13" style="2" customWidth="1"/>
    <col min="13321" max="13321" width="13.77734375" style="2" bestFit="1" customWidth="1"/>
    <col min="13322" max="13567" width="9.21875" style="2"/>
    <col min="13568" max="13568" width="5" style="2" customWidth="1"/>
    <col min="13569" max="13569" width="23.77734375" style="2" customWidth="1"/>
    <col min="13570" max="13570" width="46.77734375" style="2" customWidth="1"/>
    <col min="13571" max="13571" width="5.77734375" style="2" customWidth="1"/>
    <col min="13572" max="13572" width="10" style="2" customWidth="1"/>
    <col min="13573" max="13573" width="12.21875" style="2" customWidth="1"/>
    <col min="13574" max="13574" width="13.77734375" style="2" customWidth="1"/>
    <col min="13575" max="13575" width="12.5546875" style="2" customWidth="1"/>
    <col min="13576" max="13576" width="13" style="2" customWidth="1"/>
    <col min="13577" max="13577" width="13.77734375" style="2" bestFit="1" customWidth="1"/>
    <col min="13578" max="13823" width="9.21875" style="2"/>
    <col min="13824" max="13824" width="5" style="2" customWidth="1"/>
    <col min="13825" max="13825" width="23.77734375" style="2" customWidth="1"/>
    <col min="13826" max="13826" width="46.77734375" style="2" customWidth="1"/>
    <col min="13827" max="13827" width="5.77734375" style="2" customWidth="1"/>
    <col min="13828" max="13828" width="10" style="2" customWidth="1"/>
    <col min="13829" max="13829" width="12.21875" style="2" customWidth="1"/>
    <col min="13830" max="13830" width="13.77734375" style="2" customWidth="1"/>
    <col min="13831" max="13831" width="12.5546875" style="2" customWidth="1"/>
    <col min="13832" max="13832" width="13" style="2" customWidth="1"/>
    <col min="13833" max="13833" width="13.77734375" style="2" bestFit="1" customWidth="1"/>
    <col min="13834" max="14079" width="9.21875" style="2"/>
    <col min="14080" max="14080" width="5" style="2" customWidth="1"/>
    <col min="14081" max="14081" width="23.77734375" style="2" customWidth="1"/>
    <col min="14082" max="14082" width="46.77734375" style="2" customWidth="1"/>
    <col min="14083" max="14083" width="5.77734375" style="2" customWidth="1"/>
    <col min="14084" max="14084" width="10" style="2" customWidth="1"/>
    <col min="14085" max="14085" width="12.21875" style="2" customWidth="1"/>
    <col min="14086" max="14086" width="13.77734375" style="2" customWidth="1"/>
    <col min="14087" max="14087" width="12.5546875" style="2" customWidth="1"/>
    <col min="14088" max="14088" width="13" style="2" customWidth="1"/>
    <col min="14089" max="14089" width="13.77734375" style="2" bestFit="1" customWidth="1"/>
    <col min="14090" max="14335" width="9.21875" style="2"/>
    <col min="14336" max="14336" width="5" style="2" customWidth="1"/>
    <col min="14337" max="14337" width="23.77734375" style="2" customWidth="1"/>
    <col min="14338" max="14338" width="46.77734375" style="2" customWidth="1"/>
    <col min="14339" max="14339" width="5.77734375" style="2" customWidth="1"/>
    <col min="14340" max="14340" width="10" style="2" customWidth="1"/>
    <col min="14341" max="14341" width="12.21875" style="2" customWidth="1"/>
    <col min="14342" max="14342" width="13.77734375" style="2" customWidth="1"/>
    <col min="14343" max="14343" width="12.5546875" style="2" customWidth="1"/>
    <col min="14344" max="14344" width="13" style="2" customWidth="1"/>
    <col min="14345" max="14345" width="13.77734375" style="2" bestFit="1" customWidth="1"/>
    <col min="14346" max="14591" width="9.21875" style="2"/>
    <col min="14592" max="14592" width="5" style="2" customWidth="1"/>
    <col min="14593" max="14593" width="23.77734375" style="2" customWidth="1"/>
    <col min="14594" max="14594" width="46.77734375" style="2" customWidth="1"/>
    <col min="14595" max="14595" width="5.77734375" style="2" customWidth="1"/>
    <col min="14596" max="14596" width="10" style="2" customWidth="1"/>
    <col min="14597" max="14597" width="12.21875" style="2" customWidth="1"/>
    <col min="14598" max="14598" width="13.77734375" style="2" customWidth="1"/>
    <col min="14599" max="14599" width="12.5546875" style="2" customWidth="1"/>
    <col min="14600" max="14600" width="13" style="2" customWidth="1"/>
    <col min="14601" max="14601" width="13.77734375" style="2" bestFit="1" customWidth="1"/>
    <col min="14602" max="14847" width="9.21875" style="2"/>
    <col min="14848" max="14848" width="5" style="2" customWidth="1"/>
    <col min="14849" max="14849" width="23.77734375" style="2" customWidth="1"/>
    <col min="14850" max="14850" width="46.77734375" style="2" customWidth="1"/>
    <col min="14851" max="14851" width="5.77734375" style="2" customWidth="1"/>
    <col min="14852" max="14852" width="10" style="2" customWidth="1"/>
    <col min="14853" max="14853" width="12.21875" style="2" customWidth="1"/>
    <col min="14854" max="14854" width="13.77734375" style="2" customWidth="1"/>
    <col min="14855" max="14855" width="12.5546875" style="2" customWidth="1"/>
    <col min="14856" max="14856" width="13" style="2" customWidth="1"/>
    <col min="14857" max="14857" width="13.77734375" style="2" bestFit="1" customWidth="1"/>
    <col min="14858" max="15103" width="9.21875" style="2"/>
    <col min="15104" max="15104" width="5" style="2" customWidth="1"/>
    <col min="15105" max="15105" width="23.77734375" style="2" customWidth="1"/>
    <col min="15106" max="15106" width="46.77734375" style="2" customWidth="1"/>
    <col min="15107" max="15107" width="5.77734375" style="2" customWidth="1"/>
    <col min="15108" max="15108" width="10" style="2" customWidth="1"/>
    <col min="15109" max="15109" width="12.21875" style="2" customWidth="1"/>
    <col min="15110" max="15110" width="13.77734375" style="2" customWidth="1"/>
    <col min="15111" max="15111" width="12.5546875" style="2" customWidth="1"/>
    <col min="15112" max="15112" width="13" style="2" customWidth="1"/>
    <col min="15113" max="15113" width="13.77734375" style="2" bestFit="1" customWidth="1"/>
    <col min="15114" max="15359" width="9.21875" style="2"/>
    <col min="15360" max="15360" width="5" style="2" customWidth="1"/>
    <col min="15361" max="15361" width="23.77734375" style="2" customWidth="1"/>
    <col min="15362" max="15362" width="46.77734375" style="2" customWidth="1"/>
    <col min="15363" max="15363" width="5.77734375" style="2" customWidth="1"/>
    <col min="15364" max="15364" width="10" style="2" customWidth="1"/>
    <col min="15365" max="15365" width="12.21875" style="2" customWidth="1"/>
    <col min="15366" max="15366" width="13.77734375" style="2" customWidth="1"/>
    <col min="15367" max="15367" width="12.5546875" style="2" customWidth="1"/>
    <col min="15368" max="15368" width="13" style="2" customWidth="1"/>
    <col min="15369" max="15369" width="13.77734375" style="2" bestFit="1" customWidth="1"/>
    <col min="15370" max="15615" width="9.21875" style="2"/>
    <col min="15616" max="15616" width="5" style="2" customWidth="1"/>
    <col min="15617" max="15617" width="23.77734375" style="2" customWidth="1"/>
    <col min="15618" max="15618" width="46.77734375" style="2" customWidth="1"/>
    <col min="15619" max="15619" width="5.77734375" style="2" customWidth="1"/>
    <col min="15620" max="15620" width="10" style="2" customWidth="1"/>
    <col min="15621" max="15621" width="12.21875" style="2" customWidth="1"/>
    <col min="15622" max="15622" width="13.77734375" style="2" customWidth="1"/>
    <col min="15623" max="15623" width="12.5546875" style="2" customWidth="1"/>
    <col min="15624" max="15624" width="13" style="2" customWidth="1"/>
    <col min="15625" max="15625" width="13.77734375" style="2" bestFit="1" customWidth="1"/>
    <col min="15626" max="15871" width="9.21875" style="2"/>
    <col min="15872" max="15872" width="5" style="2" customWidth="1"/>
    <col min="15873" max="15873" width="23.77734375" style="2" customWidth="1"/>
    <col min="15874" max="15874" width="46.77734375" style="2" customWidth="1"/>
    <col min="15875" max="15875" width="5.77734375" style="2" customWidth="1"/>
    <col min="15876" max="15876" width="10" style="2" customWidth="1"/>
    <col min="15877" max="15877" width="12.21875" style="2" customWidth="1"/>
    <col min="15878" max="15878" width="13.77734375" style="2" customWidth="1"/>
    <col min="15879" max="15879" width="12.5546875" style="2" customWidth="1"/>
    <col min="15880" max="15880" width="13" style="2" customWidth="1"/>
    <col min="15881" max="15881" width="13.77734375" style="2" bestFit="1" customWidth="1"/>
    <col min="15882" max="16127" width="9.21875" style="2"/>
    <col min="16128" max="16128" width="5" style="2" customWidth="1"/>
    <col min="16129" max="16129" width="23.77734375" style="2" customWidth="1"/>
    <col min="16130" max="16130" width="46.77734375" style="2" customWidth="1"/>
    <col min="16131" max="16131" width="5.77734375" style="2" customWidth="1"/>
    <col min="16132" max="16132" width="10" style="2" customWidth="1"/>
    <col min="16133" max="16133" width="12.21875" style="2" customWidth="1"/>
    <col min="16134" max="16134" width="13.77734375" style="2" customWidth="1"/>
    <col min="16135" max="16135" width="12.5546875" style="2" customWidth="1"/>
    <col min="16136" max="16136" width="13" style="2" customWidth="1"/>
    <col min="16137" max="16137" width="13.77734375" style="2" bestFit="1" customWidth="1"/>
    <col min="16138" max="16378" width="9.21875" style="2"/>
    <col min="16379" max="16384" width="9.21875" style="2" customWidth="1"/>
  </cols>
  <sheetData>
    <row r="1" spans="1:23" ht="12.75" customHeight="1" x14ac:dyDescent="0.25">
      <c r="C1" s="35"/>
      <c r="D1" s="35"/>
      <c r="E1" s="123" t="s">
        <v>5</v>
      </c>
      <c r="F1" s="124"/>
      <c r="G1" s="124"/>
      <c r="H1" s="124"/>
      <c r="I1" s="124"/>
      <c r="J1" s="124"/>
      <c r="K1" s="124"/>
      <c r="L1" s="124"/>
      <c r="M1" s="124"/>
      <c r="N1" s="68"/>
    </row>
    <row r="2" spans="1:23" ht="12.75" customHeight="1" x14ac:dyDescent="0.25">
      <c r="C2" s="36"/>
      <c r="D2" s="36"/>
      <c r="E2" s="125"/>
      <c r="F2" s="126"/>
      <c r="G2" s="126"/>
      <c r="H2" s="126"/>
      <c r="I2" s="126"/>
      <c r="J2" s="126"/>
      <c r="K2" s="126"/>
      <c r="L2" s="126"/>
      <c r="M2" s="126"/>
      <c r="N2" s="69"/>
    </row>
    <row r="3" spans="1:23" ht="12.75" customHeight="1" x14ac:dyDescent="0.25">
      <c r="C3" s="36"/>
      <c r="D3" s="36"/>
      <c r="E3" s="125"/>
      <c r="F3" s="126"/>
      <c r="G3" s="126"/>
      <c r="H3" s="126"/>
      <c r="I3" s="126"/>
      <c r="J3" s="126"/>
      <c r="K3" s="126"/>
      <c r="L3" s="126"/>
      <c r="M3" s="126"/>
      <c r="N3" s="69"/>
    </row>
    <row r="4" spans="1:23" ht="51" customHeight="1" x14ac:dyDescent="0.3">
      <c r="A4"/>
      <c r="B4" s="127" t="s">
        <v>0</v>
      </c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89"/>
    </row>
    <row r="5" spans="1:23" ht="14.4" customHeight="1" x14ac:dyDescent="0.25">
      <c r="A5" s="117" t="s">
        <v>62</v>
      </c>
      <c r="B5" s="118"/>
      <c r="C5" s="118"/>
      <c r="D5" s="118"/>
      <c r="E5" s="119"/>
      <c r="F5" s="131" t="s">
        <v>9</v>
      </c>
      <c r="G5" s="132"/>
      <c r="H5" s="132"/>
      <c r="I5" s="132"/>
      <c r="J5" s="132"/>
      <c r="K5" s="132"/>
      <c r="L5" s="132"/>
      <c r="M5" s="133"/>
      <c r="N5" s="90"/>
    </row>
    <row r="6" spans="1:23" ht="14.4" customHeight="1" x14ac:dyDescent="0.25">
      <c r="A6" s="117" t="s">
        <v>64</v>
      </c>
      <c r="B6" s="118"/>
      <c r="C6" s="118"/>
      <c r="D6" s="118"/>
      <c r="E6" s="119"/>
      <c r="F6" s="134" t="s">
        <v>68</v>
      </c>
      <c r="G6" s="115"/>
      <c r="H6" s="115"/>
      <c r="I6" s="115"/>
      <c r="J6" s="115"/>
      <c r="K6" s="115"/>
      <c r="L6" s="115"/>
      <c r="M6" s="116"/>
      <c r="N6" s="91"/>
    </row>
    <row r="7" spans="1:23" ht="14.4" customHeight="1" x14ac:dyDescent="0.25">
      <c r="A7" s="117" t="s">
        <v>63</v>
      </c>
      <c r="B7" s="118"/>
      <c r="C7" s="118"/>
      <c r="D7" s="118"/>
      <c r="E7" s="119"/>
      <c r="F7" s="134" t="s">
        <v>53</v>
      </c>
      <c r="G7" s="115"/>
      <c r="H7" s="115"/>
      <c r="I7" s="115"/>
      <c r="J7" s="115"/>
      <c r="K7" s="115"/>
      <c r="L7" s="115"/>
      <c r="M7" s="116"/>
      <c r="N7" s="91"/>
    </row>
    <row r="8" spans="1:23" ht="14.4" customHeight="1" x14ac:dyDescent="0.25">
      <c r="A8" s="135" t="s">
        <v>65</v>
      </c>
      <c r="B8" s="136"/>
      <c r="C8" s="136"/>
      <c r="D8" s="136"/>
      <c r="E8" s="137"/>
      <c r="F8" s="134" t="s">
        <v>14</v>
      </c>
      <c r="G8" s="115"/>
      <c r="H8" s="115"/>
      <c r="I8" s="115"/>
      <c r="J8" s="115"/>
      <c r="K8" s="115"/>
      <c r="L8" s="115"/>
      <c r="M8" s="116"/>
      <c r="N8" s="91"/>
    </row>
    <row r="9" spans="1:23" ht="14.4" customHeight="1" x14ac:dyDescent="0.25">
      <c r="A9" s="135" t="s">
        <v>66</v>
      </c>
      <c r="B9" s="136"/>
      <c r="C9" s="136"/>
      <c r="D9" s="136"/>
      <c r="E9" s="137"/>
      <c r="F9" s="134" t="s">
        <v>15</v>
      </c>
      <c r="G9" s="115"/>
      <c r="H9" s="115"/>
      <c r="I9" s="115"/>
      <c r="J9" s="115"/>
      <c r="K9" s="115"/>
      <c r="L9" s="115"/>
      <c r="M9" s="116"/>
      <c r="N9" s="91"/>
    </row>
    <row r="10" spans="1:23" ht="14.4" customHeight="1" x14ac:dyDescent="0.25">
      <c r="A10" s="117" t="s">
        <v>67</v>
      </c>
      <c r="B10" s="118"/>
      <c r="C10" s="118"/>
      <c r="D10" s="118"/>
      <c r="E10" s="119"/>
      <c r="F10" s="115" t="s">
        <v>69</v>
      </c>
      <c r="G10" s="115"/>
      <c r="H10" s="115"/>
      <c r="I10" s="115"/>
      <c r="J10" s="115"/>
      <c r="K10" s="115"/>
      <c r="L10" s="115"/>
      <c r="M10" s="116"/>
      <c r="N10" s="91"/>
    </row>
    <row r="11" spans="1:23" x14ac:dyDescent="0.25">
      <c r="A11" s="3"/>
      <c r="B11" s="129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92"/>
      <c r="O11" s="51">
        <v>26300</v>
      </c>
    </row>
    <row r="12" spans="1:23" s="4" customFormat="1" ht="26.4" x14ac:dyDescent="0.3">
      <c r="A12" s="17" t="s">
        <v>1</v>
      </c>
      <c r="B12" s="17" t="s">
        <v>11</v>
      </c>
      <c r="C12" s="17" t="s">
        <v>12</v>
      </c>
      <c r="D12" s="17" t="s">
        <v>6</v>
      </c>
      <c r="E12" s="17" t="s">
        <v>7</v>
      </c>
      <c r="F12" s="17" t="s">
        <v>10</v>
      </c>
      <c r="G12" s="17" t="s">
        <v>2</v>
      </c>
      <c r="H12" s="17" t="s">
        <v>61</v>
      </c>
      <c r="I12" s="17" t="s">
        <v>21</v>
      </c>
      <c r="J12" s="54" t="s">
        <v>28</v>
      </c>
      <c r="K12" s="17" t="s">
        <v>29</v>
      </c>
      <c r="L12" s="17" t="s">
        <v>3</v>
      </c>
      <c r="M12" s="17" t="s">
        <v>27</v>
      </c>
      <c r="N12" s="96"/>
      <c r="O12" s="59" t="s">
        <v>26</v>
      </c>
      <c r="P12" s="71" t="s">
        <v>48</v>
      </c>
      <c r="Q12" s="98" t="s">
        <v>70</v>
      </c>
      <c r="R12" s="4" t="s">
        <v>23</v>
      </c>
      <c r="S12" s="4" t="s">
        <v>31</v>
      </c>
      <c r="T12" s="67" t="s">
        <v>25</v>
      </c>
    </row>
    <row r="13" spans="1:23" s="5" customFormat="1" ht="15" customHeight="1" x14ac:dyDescent="0.3">
      <c r="A13" s="39"/>
      <c r="B13" s="40"/>
      <c r="C13" s="41"/>
      <c r="D13" s="41"/>
      <c r="E13" s="41"/>
      <c r="F13" s="41"/>
      <c r="G13" s="42"/>
      <c r="H13" s="43"/>
      <c r="I13" s="43"/>
      <c r="J13" s="43"/>
      <c r="K13" s="44"/>
      <c r="L13" s="45"/>
      <c r="M13" s="45"/>
      <c r="N13" s="93"/>
      <c r="Q13" s="16"/>
      <c r="R13" s="16"/>
      <c r="T13" s="61"/>
    </row>
    <row r="14" spans="1:23" s="5" customFormat="1" ht="22.2" customHeight="1" x14ac:dyDescent="0.3">
      <c r="A14" s="28">
        <v>1</v>
      </c>
      <c r="B14" s="38" t="s">
        <v>45</v>
      </c>
      <c r="C14" s="38" t="s">
        <v>17</v>
      </c>
      <c r="D14" s="38" t="s">
        <v>32</v>
      </c>
      <c r="E14" s="66" t="s">
        <v>33</v>
      </c>
      <c r="F14" s="38">
        <v>2</v>
      </c>
      <c r="G14" s="85" t="s">
        <v>16</v>
      </c>
      <c r="H14" s="86">
        <f>Q14*O11</f>
        <v>517764155.00000006</v>
      </c>
      <c r="I14" s="87">
        <v>0.08</v>
      </c>
      <c r="J14" s="88">
        <f>H14*(1+I14)</f>
        <v>559185287.4000001</v>
      </c>
      <c r="K14" s="30">
        <f>J14*F14</f>
        <v>1118370574.8000002</v>
      </c>
      <c r="L14" s="47"/>
      <c r="M14" s="47" t="s">
        <v>52</v>
      </c>
      <c r="N14" s="94">
        <f>H14*F14</f>
        <v>1035528310.0000001</v>
      </c>
      <c r="O14" s="52">
        <f>14876</f>
        <v>14876</v>
      </c>
      <c r="P14" s="52">
        <f>17000*0.95</f>
        <v>16150</v>
      </c>
      <c r="Q14" s="74">
        <f>P14*1.15*1.06</f>
        <v>19686.850000000002</v>
      </c>
      <c r="R14" s="73" t="s">
        <v>49</v>
      </c>
      <c r="S14" s="61">
        <f>P14-O14</f>
        <v>1274</v>
      </c>
      <c r="T14" s="61">
        <f>S14*F14</f>
        <v>2548</v>
      </c>
      <c r="U14" s="52">
        <f>(Q14*O11)-(P14*O11)</f>
        <v>93019155.00000006</v>
      </c>
      <c r="V14" s="61">
        <f>U14*2</f>
        <v>186038310.00000012</v>
      </c>
      <c r="W14" s="100"/>
    </row>
    <row r="15" spans="1:23" s="5" customFormat="1" ht="79.2" x14ac:dyDescent="0.3">
      <c r="A15" s="84" t="s">
        <v>54</v>
      </c>
      <c r="B15" s="38" t="s">
        <v>44</v>
      </c>
      <c r="C15" s="37"/>
      <c r="D15" s="37" t="s">
        <v>34</v>
      </c>
      <c r="E15" s="50" t="s">
        <v>35</v>
      </c>
      <c r="F15" s="37"/>
      <c r="G15" s="31"/>
      <c r="H15" s="29"/>
      <c r="I15" s="49"/>
      <c r="J15" s="55"/>
      <c r="K15" s="30"/>
      <c r="L15" s="47"/>
      <c r="M15" s="47"/>
      <c r="N15" s="94">
        <f>N14*0.08</f>
        <v>82842264.800000012</v>
      </c>
      <c r="O15" s="52"/>
      <c r="P15" s="52"/>
      <c r="Q15" s="97"/>
      <c r="R15" s="72"/>
      <c r="S15" s="61"/>
      <c r="T15" s="61"/>
    </row>
    <row r="16" spans="1:23" s="5" customFormat="1" ht="39.6" x14ac:dyDescent="0.3">
      <c r="A16" s="84" t="s">
        <v>55</v>
      </c>
      <c r="B16" s="38" t="s">
        <v>46</v>
      </c>
      <c r="C16" s="37"/>
      <c r="D16" s="37" t="s">
        <v>36</v>
      </c>
      <c r="E16" s="50" t="s">
        <v>37</v>
      </c>
      <c r="F16" s="37"/>
      <c r="G16" s="31"/>
      <c r="H16" s="29"/>
      <c r="I16" s="49"/>
      <c r="J16" s="55"/>
      <c r="K16" s="30"/>
      <c r="L16" s="47"/>
      <c r="M16" s="47"/>
      <c r="N16" s="94">
        <f>K14*0.4</f>
        <v>447348229.92000008</v>
      </c>
      <c r="O16" s="52"/>
      <c r="P16" s="52"/>
      <c r="Q16" s="97"/>
      <c r="R16" s="21"/>
      <c r="S16" s="61"/>
      <c r="T16" s="61"/>
    </row>
    <row r="17" spans="1:21" s="5" customFormat="1" ht="39.6" x14ac:dyDescent="0.25">
      <c r="A17" s="84" t="s">
        <v>56</v>
      </c>
      <c r="B17" s="38" t="s">
        <v>47</v>
      </c>
      <c r="C17" s="37"/>
      <c r="D17" s="37" t="s">
        <v>38</v>
      </c>
      <c r="E17" s="50" t="s">
        <v>39</v>
      </c>
      <c r="F17" s="37"/>
      <c r="G17" s="31"/>
      <c r="H17" s="29"/>
      <c r="I17" s="49"/>
      <c r="J17" s="55"/>
      <c r="K17" s="30"/>
      <c r="L17" s="47"/>
      <c r="M17" s="47"/>
      <c r="N17" s="94">
        <f>K14*0.6</f>
        <v>671022344.88000011</v>
      </c>
      <c r="O17" s="99">
        <f>390640000/14876</f>
        <v>26259.747243882764</v>
      </c>
      <c r="P17" s="52"/>
      <c r="Q17" s="21"/>
      <c r="R17" s="21"/>
      <c r="S17" s="61"/>
      <c r="T17" s="61"/>
    </row>
    <row r="18" spans="1:21" s="5" customFormat="1" ht="26.4" x14ac:dyDescent="0.3">
      <c r="A18" s="84" t="s">
        <v>57</v>
      </c>
      <c r="B18" s="38" t="s">
        <v>47</v>
      </c>
      <c r="C18" s="37"/>
      <c r="D18" s="37" t="s">
        <v>40</v>
      </c>
      <c r="E18" s="50" t="s">
        <v>41</v>
      </c>
      <c r="F18" s="37"/>
      <c r="G18" s="31"/>
      <c r="H18" s="29"/>
      <c r="I18" s="49"/>
      <c r="J18" s="55"/>
      <c r="K18" s="30"/>
      <c r="L18" s="47"/>
      <c r="M18" s="47"/>
      <c r="N18" s="94"/>
      <c r="O18" s="52"/>
      <c r="P18" s="52"/>
      <c r="Q18" s="21"/>
      <c r="R18" s="21"/>
      <c r="S18" s="61"/>
      <c r="T18" s="61"/>
    </row>
    <row r="19" spans="1:21" s="5" customFormat="1" ht="43.8" customHeight="1" x14ac:dyDescent="0.3">
      <c r="A19" s="84" t="s">
        <v>58</v>
      </c>
      <c r="B19" s="38" t="s">
        <v>47</v>
      </c>
      <c r="C19" s="37"/>
      <c r="D19" s="37" t="s">
        <v>42</v>
      </c>
      <c r="E19" s="50" t="s">
        <v>43</v>
      </c>
      <c r="F19" s="37"/>
      <c r="G19" s="31"/>
      <c r="H19" s="29"/>
      <c r="I19" s="49"/>
      <c r="J19" s="55"/>
      <c r="K19" s="30"/>
      <c r="L19" s="47"/>
      <c r="M19" s="47"/>
      <c r="N19" s="94"/>
      <c r="O19" s="52">
        <f>3380000*1.05</f>
        <v>3549000</v>
      </c>
      <c r="P19" s="52">
        <f>4810000*1.1</f>
        <v>5291000</v>
      </c>
      <c r="Q19" s="21"/>
      <c r="R19" s="21"/>
      <c r="S19" s="61"/>
      <c r="T19" s="61"/>
    </row>
    <row r="20" spans="1:21" s="5" customFormat="1" ht="16.5" customHeight="1" x14ac:dyDescent="0.3">
      <c r="A20" s="32"/>
      <c r="B20" s="120" t="s">
        <v>8</v>
      </c>
      <c r="C20" s="121"/>
      <c r="D20" s="121"/>
      <c r="E20" s="121"/>
      <c r="F20" s="121"/>
      <c r="G20" s="121"/>
      <c r="H20" s="121"/>
      <c r="I20" s="121"/>
      <c r="J20" s="122"/>
      <c r="K20" s="33">
        <f>SUM(K14:K19)</f>
        <v>1118370574.8000002</v>
      </c>
      <c r="L20" s="34"/>
      <c r="M20" s="34"/>
      <c r="N20" s="95"/>
      <c r="O20" s="52"/>
      <c r="P20" s="52"/>
      <c r="Q20" s="53"/>
      <c r="R20" s="53"/>
      <c r="S20" s="61" t="e">
        <f>#REF!-O20</f>
        <v>#REF!</v>
      </c>
      <c r="T20" s="61" t="e">
        <f>S20*F20</f>
        <v>#REF!</v>
      </c>
    </row>
    <row r="21" spans="1:21" ht="15" customHeight="1" x14ac:dyDescent="0.25">
      <c r="A21" s="6"/>
      <c r="B21" s="18" t="s">
        <v>4</v>
      </c>
      <c r="C21" s="18"/>
      <c r="D21" s="18"/>
      <c r="E21" s="19"/>
      <c r="F21" s="20"/>
      <c r="G21" s="21"/>
      <c r="H21" s="22"/>
      <c r="I21" s="22"/>
      <c r="J21" s="56"/>
      <c r="K21" s="12"/>
      <c r="L21" s="27"/>
      <c r="M21" s="27"/>
      <c r="N21" s="27"/>
      <c r="Q21" s="53"/>
      <c r="R21" s="53"/>
      <c r="S21" s="63" t="e">
        <f>T21/#REF!</f>
        <v>#REF!</v>
      </c>
      <c r="T21" s="51">
        <f>SUM(T14:T19)</f>
        <v>2548</v>
      </c>
      <c r="U21" s="64"/>
    </row>
    <row r="22" spans="1:21" ht="15" customHeight="1" x14ac:dyDescent="0.25">
      <c r="B22" s="2" t="s">
        <v>18</v>
      </c>
      <c r="K22" s="13"/>
      <c r="L22" s="15"/>
      <c r="M22" s="15"/>
      <c r="N22" s="15"/>
      <c r="S22" s="65"/>
      <c r="T22" s="51"/>
      <c r="U22" s="64"/>
    </row>
    <row r="23" spans="1:21" ht="15" customHeight="1" x14ac:dyDescent="0.25">
      <c r="B23" s="2" t="s">
        <v>50</v>
      </c>
      <c r="K23" s="13"/>
      <c r="L23" s="15"/>
      <c r="M23" s="15"/>
      <c r="N23" s="15"/>
      <c r="U23" s="64"/>
    </row>
    <row r="24" spans="1:21" ht="15" customHeight="1" x14ac:dyDescent="0.25">
      <c r="B24" s="2" t="s">
        <v>51</v>
      </c>
      <c r="K24" s="13"/>
      <c r="L24" s="15"/>
      <c r="M24" s="15"/>
      <c r="N24" s="15"/>
    </row>
    <row r="25" spans="1:21" ht="15" customHeight="1" x14ac:dyDescent="0.25">
      <c r="A25" s="9"/>
      <c r="B25" s="75" t="s">
        <v>59</v>
      </c>
      <c r="C25" s="76"/>
      <c r="D25" s="76"/>
      <c r="E25" s="76"/>
      <c r="F25" s="77"/>
      <c r="G25" s="78"/>
      <c r="H25" s="79"/>
      <c r="I25" s="79"/>
      <c r="J25" s="80"/>
      <c r="K25" s="81"/>
      <c r="L25" s="82"/>
      <c r="M25" s="83"/>
      <c r="N25" s="83"/>
    </row>
    <row r="26" spans="1:21" ht="15" customHeight="1" x14ac:dyDescent="0.25">
      <c r="A26" s="9"/>
      <c r="B26" s="75" t="s">
        <v>60</v>
      </c>
      <c r="C26" s="76"/>
      <c r="D26" s="76"/>
      <c r="E26" s="76"/>
      <c r="F26" s="77"/>
      <c r="G26" s="78"/>
      <c r="H26" s="79"/>
      <c r="I26" s="79"/>
      <c r="J26" s="80"/>
      <c r="K26" s="81"/>
      <c r="L26" s="82"/>
      <c r="M26" s="83"/>
      <c r="N26" s="83"/>
    </row>
    <row r="27" spans="1:21" ht="15" customHeight="1" x14ac:dyDescent="0.25">
      <c r="A27" s="9"/>
      <c r="B27" s="112" t="s">
        <v>30</v>
      </c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4"/>
      <c r="N27" s="70"/>
      <c r="Q27" s="60"/>
      <c r="R27" s="60"/>
      <c r="U27" s="62"/>
    </row>
    <row r="28" spans="1:21" ht="13.8" x14ac:dyDescent="0.25">
      <c r="A28" s="46"/>
      <c r="B28" s="23"/>
      <c r="C28" s="23"/>
      <c r="D28" s="23"/>
      <c r="K28" s="13"/>
      <c r="L28" s="15"/>
      <c r="M28" s="15"/>
      <c r="N28" s="15"/>
    </row>
    <row r="29" spans="1:21" ht="13.8" x14ac:dyDescent="0.25">
      <c r="A29" s="10"/>
      <c r="B29" s="23"/>
      <c r="C29" s="11"/>
      <c r="D29" s="11"/>
      <c r="E29" s="24"/>
      <c r="F29" s="2"/>
      <c r="K29" s="13"/>
    </row>
    <row r="30" spans="1:21" ht="13.8" x14ac:dyDescent="0.25">
      <c r="A30" s="10"/>
      <c r="B30" s="26" t="s">
        <v>13</v>
      </c>
      <c r="C30" s="25"/>
      <c r="D30" s="25"/>
      <c r="E30" s="24"/>
      <c r="F30" s="2"/>
      <c r="K30" s="13"/>
    </row>
    <row r="31" spans="1:21" ht="13.8" x14ac:dyDescent="0.25">
      <c r="A31" s="10"/>
      <c r="B31" s="10"/>
      <c r="C31" s="10"/>
      <c r="D31" s="10"/>
      <c r="E31" s="11"/>
      <c r="F31" s="24"/>
      <c r="K31" s="13"/>
      <c r="L31" s="15"/>
      <c r="M31" s="15"/>
      <c r="N31" s="15"/>
    </row>
    <row r="32" spans="1:21" ht="13.8" x14ac:dyDescent="0.25">
      <c r="A32" s="10"/>
      <c r="C32" s="11"/>
      <c r="D32" s="11"/>
      <c r="E32" s="24"/>
      <c r="F32" s="2"/>
      <c r="K32" s="13"/>
    </row>
    <row r="33" spans="1:14" ht="13.8" x14ac:dyDescent="0.25">
      <c r="A33" s="6"/>
      <c r="C33" s="26"/>
      <c r="D33" s="26"/>
      <c r="K33" s="13"/>
      <c r="L33" s="15"/>
      <c r="M33" s="15"/>
      <c r="N33" s="15"/>
    </row>
    <row r="34" spans="1:14" ht="13.8" x14ac:dyDescent="0.25">
      <c r="K34" s="13"/>
      <c r="L34" s="15"/>
      <c r="M34" s="15"/>
      <c r="N34" s="15"/>
    </row>
    <row r="35" spans="1:14" ht="13.8" x14ac:dyDescent="0.25">
      <c r="E35" s="7"/>
      <c r="F35" s="8"/>
      <c r="G35" s="15"/>
      <c r="H35" s="13"/>
      <c r="I35" s="13"/>
      <c r="J35" s="58"/>
      <c r="K35" s="13"/>
      <c r="L35" s="15"/>
      <c r="M35" s="15"/>
      <c r="N35" s="15"/>
    </row>
  </sheetData>
  <mergeCells count="17">
    <mergeCell ref="A9:E9"/>
    <mergeCell ref="B27:M27"/>
    <mergeCell ref="F10:M10"/>
    <mergeCell ref="A10:E10"/>
    <mergeCell ref="B20:J20"/>
    <mergeCell ref="E1:M3"/>
    <mergeCell ref="B4:M4"/>
    <mergeCell ref="B11:M11"/>
    <mergeCell ref="F5:M5"/>
    <mergeCell ref="A5:E5"/>
    <mergeCell ref="F6:M6"/>
    <mergeCell ref="A6:E6"/>
    <mergeCell ref="F7:M7"/>
    <mergeCell ref="A7:E7"/>
    <mergeCell ref="F8:M8"/>
    <mergeCell ref="A8:E8"/>
    <mergeCell ref="F9:M9"/>
  </mergeCells>
  <phoneticPr fontId="15" type="noConversion"/>
  <printOptions horizontalCentered="1"/>
  <pageMargins left="0.2" right="0.2" top="0.1" bottom="0.1" header="0.3" footer="0.3"/>
  <pageSetup paperSize="9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2A7F4-2073-4A57-B929-9A64FBD9C1B0}">
  <dimension ref="A1:I5"/>
  <sheetViews>
    <sheetView workbookViewId="0">
      <selection activeCell="A2" sqref="A2"/>
    </sheetView>
  </sheetViews>
  <sheetFormatPr defaultRowHeight="14.4" x14ac:dyDescent="0.3"/>
  <cols>
    <col min="1" max="1" width="11.5546875" customWidth="1"/>
    <col min="2" max="2" width="12.5546875" style="48" bestFit="1" customWidth="1"/>
    <col min="3" max="3" width="16" style="48" customWidth="1"/>
    <col min="4" max="4" width="12.21875" style="48" customWidth="1"/>
    <col min="5" max="5" width="16.33203125" style="48" customWidth="1"/>
    <col min="7" max="7" width="11.109375" style="48" customWidth="1"/>
    <col min="8" max="8" width="14.5546875" style="48" customWidth="1"/>
    <col min="9" max="9" width="10.44140625" style="48" customWidth="1"/>
  </cols>
  <sheetData>
    <row r="1" spans="1:9" x14ac:dyDescent="0.3">
      <c r="B1" s="48" t="s">
        <v>19</v>
      </c>
      <c r="C1" s="48" t="s">
        <v>77</v>
      </c>
      <c r="D1" s="101" t="s">
        <v>20</v>
      </c>
      <c r="E1" s="48" t="s">
        <v>22</v>
      </c>
      <c r="F1" s="48" t="s">
        <v>78</v>
      </c>
      <c r="G1" s="48" t="s">
        <v>24</v>
      </c>
      <c r="H1" s="48" t="s">
        <v>25</v>
      </c>
      <c r="I1" s="48" t="s">
        <v>23</v>
      </c>
    </row>
    <row r="2" spans="1:9" x14ac:dyDescent="0.3">
      <c r="A2" t="str">
        <f>'Báo Giá'!D14</f>
        <v>PAN-PA-460</v>
      </c>
      <c r="B2" s="48">
        <v>372100000</v>
      </c>
      <c r="C2" s="48">
        <f>17000*0.95*26300</f>
        <v>424745000</v>
      </c>
      <c r="D2" s="48">
        <f>19686.85*26300</f>
        <v>517764154.99999994</v>
      </c>
      <c r="E2" s="48">
        <f>D2-B2-(D2-C2)</f>
        <v>52645000</v>
      </c>
      <c r="F2" s="139">
        <f>E2/B2</f>
        <v>0.14148078473528622</v>
      </c>
      <c r="G2" s="48">
        <v>2</v>
      </c>
      <c r="H2" s="48">
        <f>E2*G2</f>
        <v>105290000</v>
      </c>
      <c r="I2" s="102" t="s">
        <v>71</v>
      </c>
    </row>
    <row r="4" spans="1:9" x14ac:dyDescent="0.3">
      <c r="B4" s="48">
        <f>14876*0.95</f>
        <v>14132.199999999999</v>
      </c>
    </row>
    <row r="5" spans="1:9" x14ac:dyDescent="0.3">
      <c r="B5" s="111"/>
      <c r="C5" s="1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61AD5-2EA2-4622-BEC7-F038CA666BF1}">
  <dimension ref="A2:I13"/>
  <sheetViews>
    <sheetView tabSelected="1" workbookViewId="0">
      <selection activeCell="F7" sqref="F7"/>
    </sheetView>
  </sheetViews>
  <sheetFormatPr defaultRowHeight="14.4" x14ac:dyDescent="0.3"/>
  <cols>
    <col min="1" max="1" width="14.77734375" style="103" customWidth="1"/>
    <col min="2" max="2" width="19.109375" style="103" customWidth="1"/>
    <col min="3" max="3" width="14.6640625" style="103" bestFit="1" customWidth="1"/>
    <col min="4" max="4" width="13.44140625" style="103" customWidth="1"/>
    <col min="5" max="5" width="9.44140625" style="103" customWidth="1"/>
    <col min="6" max="6" width="15.77734375" style="103" customWidth="1"/>
    <col min="7" max="9" width="14.33203125" style="103" customWidth="1"/>
    <col min="10" max="10" width="14" style="103" customWidth="1"/>
    <col min="11" max="16384" width="8.88671875" style="103"/>
  </cols>
  <sheetData>
    <row r="2" spans="1:9" ht="18" x14ac:dyDescent="0.3">
      <c r="A2" s="145" t="s">
        <v>82</v>
      </c>
      <c r="B2" s="145"/>
      <c r="C2" s="145"/>
      <c r="D2" s="145"/>
      <c r="E2" s="145"/>
      <c r="F2" s="145"/>
      <c r="G2" s="145"/>
      <c r="H2" s="145"/>
      <c r="I2" s="145"/>
    </row>
    <row r="4" spans="1:9" x14ac:dyDescent="0.3">
      <c r="C4" s="103" t="s">
        <v>72</v>
      </c>
      <c r="D4" s="103">
        <v>26300</v>
      </c>
    </row>
    <row r="5" spans="1:9" s="105" customFormat="1" ht="28.8" x14ac:dyDescent="0.3">
      <c r="A5" s="140" t="s">
        <v>85</v>
      </c>
      <c r="B5" s="140" t="s">
        <v>86</v>
      </c>
      <c r="C5" s="140" t="s">
        <v>81</v>
      </c>
      <c r="D5" s="108" t="s">
        <v>87</v>
      </c>
      <c r="E5" s="107" t="s">
        <v>24</v>
      </c>
      <c r="F5" s="107" t="s">
        <v>73</v>
      </c>
      <c r="G5" s="107" t="s">
        <v>74</v>
      </c>
      <c r="H5" s="108" t="s">
        <v>76</v>
      </c>
      <c r="I5" s="107" t="s">
        <v>75</v>
      </c>
    </row>
    <row r="6" spans="1:9" s="104" customFormat="1" x14ac:dyDescent="0.3">
      <c r="A6" s="141" t="s">
        <v>79</v>
      </c>
      <c r="B6" s="141"/>
      <c r="C6" s="141">
        <v>372100000</v>
      </c>
      <c r="D6" s="106"/>
      <c r="E6" s="106"/>
      <c r="F6" s="106"/>
      <c r="G6" s="106"/>
      <c r="H6" s="106"/>
      <c r="I6" s="106"/>
    </row>
    <row r="7" spans="1:9" s="104" customFormat="1" x14ac:dyDescent="0.3">
      <c r="A7" s="141"/>
      <c r="B7" s="141" t="s">
        <v>80</v>
      </c>
      <c r="C7" s="144">
        <f>17000*0.95*D4</f>
        <v>424745000</v>
      </c>
      <c r="D7" s="109">
        <f>19686.85*D4</f>
        <v>517764154.99999994</v>
      </c>
      <c r="E7" s="106">
        <v>2</v>
      </c>
      <c r="F7" s="110">
        <f>D7-C7</f>
        <v>93019154.99999994</v>
      </c>
      <c r="G7" s="106">
        <f>F7*E7</f>
        <v>186038309.99999988</v>
      </c>
      <c r="H7" s="106">
        <f>G7*0.22</f>
        <v>40928428.199999973</v>
      </c>
      <c r="I7" s="109">
        <f>G7-H7</f>
        <v>145109881.79999989</v>
      </c>
    </row>
    <row r="8" spans="1:9" s="104" customFormat="1" x14ac:dyDescent="0.3">
      <c r="A8" s="142" t="s">
        <v>22</v>
      </c>
      <c r="B8" s="142"/>
      <c r="C8" s="141">
        <f>C7-C6</f>
        <v>52645000</v>
      </c>
      <c r="D8" s="138" t="s">
        <v>83</v>
      </c>
      <c r="E8" s="138"/>
      <c r="F8" s="138"/>
      <c r="G8" s="138"/>
      <c r="H8" s="138"/>
      <c r="I8" s="106">
        <f>I7*0.4</f>
        <v>58043952.719999962</v>
      </c>
    </row>
    <row r="9" spans="1:9" s="104" customFormat="1" x14ac:dyDescent="0.3">
      <c r="A9" s="142" t="s">
        <v>78</v>
      </c>
      <c r="B9" s="142"/>
      <c r="C9" s="143">
        <f>C8/C6</f>
        <v>0.14148078473528622</v>
      </c>
      <c r="D9" s="138" t="s">
        <v>84</v>
      </c>
      <c r="E9" s="138"/>
      <c r="F9" s="138"/>
      <c r="G9" s="138"/>
      <c r="H9" s="138"/>
      <c r="I9" s="106">
        <f>I7*0.6</f>
        <v>87065929.079999939</v>
      </c>
    </row>
    <row r="10" spans="1:9" s="104" customFormat="1" x14ac:dyDescent="0.3"/>
    <row r="11" spans="1:9" s="104" customFormat="1" x14ac:dyDescent="0.3"/>
    <row r="12" spans="1:9" s="104" customFormat="1" x14ac:dyDescent="0.3"/>
    <row r="13" spans="1:9" s="104" customFormat="1" x14ac:dyDescent="0.3"/>
  </sheetData>
  <mergeCells count="5">
    <mergeCell ref="A2:I2"/>
    <mergeCell ref="A8:B8"/>
    <mergeCell ref="A9:B9"/>
    <mergeCell ref="D8:H8"/>
    <mergeCell ref="D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3</vt:i4>
      </vt:variant>
      <vt:variant>
        <vt:lpstr>Phạm vi Có tên</vt:lpstr>
      </vt:variant>
      <vt:variant>
        <vt:i4>1</vt:i4>
      </vt:variant>
    </vt:vector>
  </HeadingPairs>
  <TitlesOfParts>
    <vt:vector size="4" baseType="lpstr">
      <vt:lpstr>Báo Giá</vt:lpstr>
      <vt:lpstr>Trang_tính1</vt:lpstr>
      <vt:lpstr>Tính COM</vt:lpstr>
      <vt:lpstr>'Báo Giá'!Vùng_In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XuanVNT</cp:lastModifiedBy>
  <cp:lastPrinted>2025-07-16T06:17:40Z</cp:lastPrinted>
  <dcterms:created xsi:type="dcterms:W3CDTF">2022-12-12T03:18:33Z</dcterms:created>
  <dcterms:modified xsi:type="dcterms:W3CDTF">2025-07-26T04:35:08Z</dcterms:modified>
</cp:coreProperties>
</file>