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Xuan\Bao Gia\2025\ĐIAG\Tháng 10\Excel\"/>
    </mc:Choice>
  </mc:AlternateContent>
  <xr:revisionPtr revIDLastSave="0" documentId="13_ncr:1_{6EB67431-358C-413B-BDEE-9934C2C0F3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áo Giá" sheetId="2" r:id="rId1"/>
    <sheet name="Trang_tính1" sheetId="3" r:id="rId2"/>
    <sheet name="Trang_tính2" sheetId="4" r:id="rId3"/>
    <sheet name="Trang_tính3" sheetId="5" r:id="rId4"/>
  </sheets>
  <definedNames>
    <definedName name="_xlnm.Print_Area" localSheetId="0">'Báo Giá'!$A$1:$L$55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8" i="2" l="1"/>
  <c r="S34" i="2"/>
  <c r="S33" i="2"/>
  <c r="S32" i="2"/>
  <c r="S31" i="2"/>
  <c r="S27" i="2"/>
  <c r="S25" i="2"/>
  <c r="S24" i="2"/>
  <c r="S22" i="2"/>
  <c r="S21" i="2"/>
  <c r="S20" i="2"/>
  <c r="S19" i="2"/>
  <c r="S18" i="2"/>
  <c r="S17" i="2"/>
  <c r="N17" i="2"/>
  <c r="S16" i="2"/>
  <c r="S15" i="2"/>
  <c r="S14" i="2"/>
  <c r="N32" i="2"/>
  <c r="O32" i="2" s="1"/>
  <c r="N31" i="2"/>
  <c r="O31" i="2" s="1"/>
  <c r="O26" i="2"/>
  <c r="O28" i="2"/>
  <c r="O29" i="2"/>
  <c r="O30" i="2"/>
  <c r="O35" i="2"/>
  <c r="O36" i="2"/>
  <c r="O37" i="2"/>
  <c r="O39" i="2"/>
  <c r="O17" i="2"/>
  <c r="N16" i="2"/>
  <c r="O16" i="2" s="1"/>
  <c r="P32" i="2" l="1"/>
  <c r="P31" i="2"/>
  <c r="P30" i="2"/>
  <c r="N21" i="2"/>
  <c r="O21" i="2" s="1"/>
  <c r="N38" i="2"/>
  <c r="N15" i="2"/>
  <c r="O15" i="2" s="1"/>
  <c r="P38" i="2" l="1"/>
  <c r="O38" i="2"/>
  <c r="N33" i="2"/>
  <c r="O33" i="2" s="1"/>
  <c r="N20" i="2" l="1"/>
  <c r="P20" i="2" l="1"/>
  <c r="Q20" i="2" s="1"/>
  <c r="O20" i="2"/>
  <c r="P28" i="2"/>
  <c r="H20" i="2" l="1"/>
  <c r="J20" i="2" s="1"/>
  <c r="T20" i="2"/>
  <c r="U20" i="2" s="1"/>
  <c r="P16" i="2"/>
  <c r="Q16" i="2" s="1"/>
  <c r="T16" i="2" l="1"/>
  <c r="U16" i="2" s="1"/>
  <c r="H16" i="2"/>
  <c r="J16" i="2" l="1"/>
  <c r="N22" i="2" l="1"/>
  <c r="P15" i="2"/>
  <c r="N14" i="2"/>
  <c r="P22" i="2" l="1"/>
  <c r="Q22" i="2" s="1"/>
  <c r="O22" i="2"/>
  <c r="P14" i="2"/>
  <c r="O14" i="2"/>
  <c r="P39" i="2"/>
  <c r="Q39" i="2" s="1"/>
  <c r="P29" i="2"/>
  <c r="P36" i="2"/>
  <c r="P35" i="2"/>
  <c r="Q35" i="2" s="1"/>
  <c r="H35" i="2" l="1"/>
  <c r="T35" i="2"/>
  <c r="U35" i="2" s="1"/>
  <c r="H39" i="2"/>
  <c r="J39" i="2" s="1"/>
  <c r="T39" i="2"/>
  <c r="U39" i="2" s="1"/>
  <c r="H22" i="2"/>
  <c r="J22" i="2" s="1"/>
  <c r="T22" i="2"/>
  <c r="U22" i="2" s="1"/>
  <c r="J35" i="2"/>
  <c r="Q32" i="2"/>
  <c r="Q31" i="2"/>
  <c r="Q29" i="2"/>
  <c r="Q28" i="2"/>
  <c r="N34" i="2"/>
  <c r="O34" i="2" s="1"/>
  <c r="P33" i="2"/>
  <c r="Q30" i="2"/>
  <c r="P26" i="2"/>
  <c r="Q26" i="2" s="1"/>
  <c r="N25" i="2"/>
  <c r="O25" i="2" s="1"/>
  <c r="N24" i="2"/>
  <c r="O24" i="2" s="1"/>
  <c r="N23" i="2"/>
  <c r="N19" i="2"/>
  <c r="N18" i="2"/>
  <c r="O18" i="2" s="1"/>
  <c r="H32" i="2" l="1"/>
  <c r="T32" i="2"/>
  <c r="U32" i="2" s="1"/>
  <c r="H30" i="2"/>
  <c r="T30" i="2"/>
  <c r="U30" i="2" s="1"/>
  <c r="H28" i="2"/>
  <c r="J28" i="2" s="1"/>
  <c r="T28" i="2"/>
  <c r="U28" i="2" s="1"/>
  <c r="P23" i="2"/>
  <c r="Q23" i="2" s="1"/>
  <c r="T23" i="2" s="1"/>
  <c r="U23" i="2" s="1"/>
  <c r="O23" i="2"/>
  <c r="H29" i="2"/>
  <c r="J29" i="2" s="1"/>
  <c r="T29" i="2"/>
  <c r="U29" i="2" s="1"/>
  <c r="H26" i="2"/>
  <c r="J26" i="2" s="1"/>
  <c r="T26" i="2"/>
  <c r="U26" i="2" s="1"/>
  <c r="P19" i="2"/>
  <c r="Q19" i="2" s="1"/>
  <c r="T19" i="2" s="1"/>
  <c r="U19" i="2" s="1"/>
  <c r="O19" i="2"/>
  <c r="H31" i="2"/>
  <c r="J31" i="2" s="1"/>
  <c r="T31" i="2"/>
  <c r="U31" i="2" s="1"/>
  <c r="J32" i="2"/>
  <c r="P34" i="2"/>
  <c r="Q34" i="2" s="1"/>
  <c r="T34" i="2" s="1"/>
  <c r="U34" i="2" s="1"/>
  <c r="P24" i="2"/>
  <c r="Q24" i="2" s="1"/>
  <c r="T24" i="2" s="1"/>
  <c r="U24" i="2" s="1"/>
  <c r="J30" i="2"/>
  <c r="H23" i="2"/>
  <c r="P21" i="2"/>
  <c r="Q21" i="2" s="1"/>
  <c r="P18" i="2"/>
  <c r="Q18" i="2" s="1"/>
  <c r="H19" i="2" l="1"/>
  <c r="H21" i="2"/>
  <c r="T21" i="2"/>
  <c r="U21" i="2" s="1"/>
  <c r="H34" i="2"/>
  <c r="H24" i="2"/>
  <c r="J21" i="2"/>
  <c r="T18" i="2"/>
  <c r="U18" i="2" s="1"/>
  <c r="H18" i="2"/>
  <c r="J23" i="2"/>
  <c r="J19" i="2"/>
  <c r="J34" i="2" l="1"/>
  <c r="J18" i="2"/>
  <c r="J24" i="2"/>
  <c r="N27" i="2" l="1"/>
  <c r="P27" i="2" l="1"/>
  <c r="O27" i="2"/>
  <c r="O40" i="2" s="1"/>
  <c r="T40" i="2"/>
  <c r="P37" i="2" l="1"/>
  <c r="Q37" i="2" s="1"/>
  <c r="H37" i="2" l="1"/>
  <c r="T37" i="2"/>
  <c r="U37" i="2" s="1"/>
  <c r="J37" i="2"/>
  <c r="P17" i="2"/>
  <c r="Q17" i="2" s="1"/>
  <c r="Q15" i="2"/>
  <c r="Q36" i="2"/>
  <c r="H36" i="2" l="1"/>
  <c r="T36" i="2"/>
  <c r="U36" i="2" s="1"/>
  <c r="T17" i="2"/>
  <c r="U17" i="2" s="1"/>
  <c r="H17" i="2"/>
  <c r="J36" i="2"/>
  <c r="T15" i="2"/>
  <c r="U15" i="2" s="1"/>
  <c r="H15" i="2"/>
  <c r="Q38" i="2"/>
  <c r="T38" i="2" s="1"/>
  <c r="U38" i="2" s="1"/>
  <c r="Q33" i="2"/>
  <c r="P25" i="2"/>
  <c r="Q25" i="2" s="1"/>
  <c r="Q27" i="2"/>
  <c r="N9" i="2"/>
  <c r="N10" i="2"/>
  <c r="H27" i="2" l="1"/>
  <c r="T27" i="2"/>
  <c r="U27" i="2" s="1"/>
  <c r="H25" i="2"/>
  <c r="T25" i="2"/>
  <c r="U25" i="2" s="1"/>
  <c r="H33" i="2"/>
  <c r="J33" i="2" s="1"/>
  <c r="T33" i="2"/>
  <c r="U33" i="2" s="1"/>
  <c r="H38" i="2"/>
  <c r="J17" i="2"/>
  <c r="J15" i="2"/>
  <c r="Q14" i="2"/>
  <c r="H14" i="2" s="1"/>
  <c r="J38" i="2" l="1"/>
  <c r="T14" i="2"/>
  <c r="U14" i="2" s="1"/>
  <c r="U40" i="2" s="1"/>
  <c r="V40" i="2" s="1"/>
  <c r="J25" i="2"/>
  <c r="J27" i="2"/>
  <c r="C2" i="3"/>
  <c r="C4" i="3"/>
  <c r="E4" i="3" s="1"/>
  <c r="G4" i="3" s="1"/>
  <c r="C3" i="3"/>
  <c r="E3" i="3" s="1"/>
  <c r="G3" i="3" s="1"/>
  <c r="A3" i="3"/>
  <c r="A4" i="3"/>
  <c r="A2" i="3"/>
  <c r="J14" i="2" l="1"/>
  <c r="J40" i="2" s="1"/>
  <c r="E2" i="3"/>
  <c r="G2" i="3" s="1"/>
  <c r="M10" i="2" l="1"/>
</calcChain>
</file>

<file path=xl/sharedStrings.xml><?xml version="1.0" encoding="utf-8"?>
<sst xmlns="http://schemas.openxmlformats.org/spreadsheetml/2006/main" count="391" uniqueCount="245">
  <si>
    <t>BẢNG CHÀO GIÁ</t>
  </si>
  <si>
    <t>STT</t>
  </si>
  <si>
    <t>ĐVT</t>
  </si>
  <si>
    <t>ĐƠN GIÁ
(VNĐ)</t>
  </si>
  <si>
    <t>THỜI HẠN BẢO HÀNH</t>
  </si>
  <si>
    <t>CÁC ĐIỀU KHOẢN THƯƠNG MẠI</t>
  </si>
  <si>
    <r>
      <t xml:space="preserve">THUAN PHONG INNOVATIVE TELECOMMUNICATION CO., LTD.
</t>
    </r>
    <r>
      <rPr>
        <sz val="10"/>
        <rFont val="Arial"/>
        <family val="2"/>
      </rPr>
      <t>Website: http://www.innotel.com.vn            Email: sales@innotel.com.vn
Tel: (84 28) 38621119.                      Fax: (84 28) 38630366.
55/31 Tran Dinh Xu Street, Dist 1, HCMC, Vietnam</t>
    </r>
  </si>
  <si>
    <t>MÃ HÀNG</t>
  </si>
  <si>
    <t>MÔ TẢ</t>
  </si>
  <si>
    <t>TỔNG CỘNG</t>
  </si>
  <si>
    <t>Nhà Phân phối : Công ty Thuận Phong( Innotel)</t>
  </si>
  <si>
    <t>SL</t>
  </si>
  <si>
    <t>TÊN SẢN PHẨM</t>
  </si>
  <si>
    <t xml:space="preserve">Võ Nguyễn Thanh Xuân </t>
  </si>
  <si>
    <t>Người báo giá: VÕ TNGUYỄN THANH XUÂN</t>
  </si>
  <si>
    <t>Email: xuan@innotel.com.vn</t>
  </si>
  <si>
    <t>1. Hiệu lực báo giá: 7 ngày kể từ ngày chào giá</t>
  </si>
  <si>
    <t>Giá nhâp</t>
  </si>
  <si>
    <t>Giá bán</t>
  </si>
  <si>
    <t>Thuế
(%)</t>
  </si>
  <si>
    <t>Lợi nhuận</t>
  </si>
  <si>
    <t>NCC</t>
  </si>
  <si>
    <t>Lê Trần Gia</t>
  </si>
  <si>
    <t>T2Q</t>
  </si>
  <si>
    <t>Số lượng</t>
  </si>
  <si>
    <t>Tổng LN</t>
  </si>
  <si>
    <t>Ghi chú</t>
  </si>
  <si>
    <t>Có sẵn</t>
  </si>
  <si>
    <t>THÀNH TIỀN 
(Đã VAT)</t>
  </si>
  <si>
    <t>Giá nhập</t>
  </si>
  <si>
    <t xml:space="preserve">Mobi: </t>
  </si>
  <si>
    <t>bộ</t>
  </si>
  <si>
    <t>Thương hiệu</t>
  </si>
  <si>
    <t>VIETRACK</t>
  </si>
  <si>
    <t>#</t>
  </si>
  <si>
    <t>TÊN HÀNG</t>
  </si>
  <si>
    <t>THƯƠNG HIỆU</t>
  </si>
  <si>
    <t>XUẤT</t>
  </si>
  <si>
    <t>XỨ</t>
  </si>
  <si>
    <t>ĐẶT</t>
  </si>
  <si>
    <t>HÀNG</t>
  </si>
  <si>
    <t>SỐ LƯỢNG</t>
  </si>
  <si>
    <t>ĐƠN GIÁ</t>
  </si>
  <si>
    <t>THÀNH TIỀN</t>
  </si>
  <si>
    <t>%</t>
  </si>
  <si>
    <t>VAT</t>
  </si>
  <si>
    <t>VRW10G155 : Tủ chứa thiết bị gắn tường, 10U, 600mm x 550mm, màu xám trắng</t>
  </si>
  <si>
    <t>VN</t>
  </si>
  <si>
    <t>có sẳn</t>
  </si>
  <si>
    <t>Cái</t>
  </si>
  <si>
    <t>2,00</t>
  </si>
  <si>
    <t>5.000.000</t>
  </si>
  <si>
    <t>VRV15-6100 : Tủ chứa máy chủ dòng V, 15U, 600mm x 1000mm, màu đen</t>
  </si>
  <si>
    <t>2 tuần</t>
  </si>
  <si>
    <t>19.000.000</t>
  </si>
  <si>
    <t>VRP106-MCB16 : Thanh phân phối nguồn điện, 6 ổ cắm Universal, 16A, 250V, MCB</t>
  </si>
  <si>
    <t>CN</t>
  </si>
  <si>
    <t>4,00</t>
  </si>
  <si>
    <t>3.400.000</t>
  </si>
  <si>
    <t>PP9510 : Hộp đấu nối sợi quang UC9500, 4 khe Snap-in, 1U, rỗng</t>
  </si>
  <si>
    <t>Draka</t>
  </si>
  <si>
    <t>8.000.000</t>
  </si>
  <si>
    <t>PPST9521-24 : Khay hàn quang UC9500, 24 sợi</t>
  </si>
  <si>
    <t>PPST9521-C : Nắp đậy khay hàn quang UC9500</t>
  </si>
  <si>
    <t>PPA9514-6LCSM : Thanh khớp nối sợi quang UC9500, SM, LC-LC đôi, 12 sợi</t>
  </si>
  <si>
    <t>1.400.000</t>
  </si>
  <si>
    <t>PT09LC-1 : Cáp đấu nối sợi quang, OS2, LC-Pigtail đơn, 1m</t>
  </si>
  <si>
    <t>Sợi</t>
  </si>
  <si>
    <t>14,00</t>
  </si>
  <si>
    <t>UG004SM : Cáp sợi quang, Outdoor, Un-Armoured, PE, SM  G652D, 4 sợi</t>
  </si>
  <si>
    <t>Mét</t>
  </si>
  <si>
    <t>700,00</t>
  </si>
  <si>
    <t>7.700.000</t>
  </si>
  <si>
    <t xml:space="preserve">4. Bảo hành theo tiêu chuẩn nhà sản xuất. </t>
  </si>
  <si>
    <t>LN</t>
  </si>
  <si>
    <t xml:space="preserve">Giá bán </t>
  </si>
  <si>
    <t>2. Thời gian giao hàng: 5 - 7 ngày tại HCM kể từ ngày đặt hàng đối với các sản phẩm có sẵn</t>
  </si>
  <si>
    <t>Đại lý: Trung Tâm Y Khoa Diag</t>
  </si>
  <si>
    <t>Người dùng cuối: Trung Tâm Y Khoa Diag</t>
  </si>
  <si>
    <t>Người nhận: Mr. Thuận</t>
  </si>
  <si>
    <t>Email: thuan.lam@diag.vn</t>
  </si>
  <si>
    <t>Nguyên Kim</t>
  </si>
  <si>
    <t>3. Thanh toán: Thanh toán 100% tổng giá trị trong vòng 30 ngày kể từ khi bàn giao hàng hóa</t>
  </si>
  <si>
    <t>cái</t>
  </si>
  <si>
    <t>LCD</t>
  </si>
  <si>
    <t>BOM: Thiết bị văn phòng</t>
  </si>
  <si>
    <t>Combo KB + Mouse có dây Logitech MK120</t>
  </si>
  <si>
    <t>920-002586</t>
  </si>
  <si>
    <t>Logitech</t>
  </si>
  <si>
    <t>Key + Mouse</t>
  </si>
  <si>
    <t>ES216G</t>
  </si>
  <si>
    <t>Omada 16-Port Gigabit Easy Managed Switch</t>
  </si>
  <si>
    <t>TP-Link</t>
  </si>
  <si>
    <t>Switch</t>
  </si>
  <si>
    <t>HP</t>
  </si>
  <si>
    <t>2000S2
(6FW06A)</t>
  </si>
  <si>
    <t>Scanner</t>
  </si>
  <si>
    <t>4003DN
(2Z609A)</t>
  </si>
  <si>
    <t>Printer</t>
  </si>
  <si>
    <t>Swiss Army Knife Ultra</t>
  </si>
  <si>
    <t>Bộ phát wifi Swiss Army Knife Ultra</t>
  </si>
  <si>
    <t>Access Point</t>
  </si>
  <si>
    <t>Unifi</t>
  </si>
  <si>
    <t xml:space="preserve">WD HDD Purple 6TB 3.5" SATA 3/ 256MB Cache/ 5400RPM (Màu tím)	 </t>
  </si>
  <si>
    <t>WD64PURZ</t>
  </si>
  <si>
    <t>Western</t>
  </si>
  <si>
    <t>HDD</t>
  </si>
  <si>
    <t>Màn hình LCD MSI PRO MP251L E2  24.5''	IPS/120Hz/1ms</t>
  </si>
  <si>
    <t>MP251L</t>
  </si>
  <si>
    <t>MSI</t>
  </si>
  <si>
    <t>Màn hình LCD MSI Pro MP251W E2 24.5'' trắng</t>
  </si>
  <si>
    <t>MP251W</t>
  </si>
  <si>
    <t>Power</t>
  </si>
  <si>
    <t>U-POE-AF</t>
  </si>
  <si>
    <t>Nguồn U-POE-AF</t>
  </si>
  <si>
    <t>Máy In Laser Màu HP Pro M155A (7KW48A) - Hàng Nhập Khẩu</t>
  </si>
  <si>
    <t>2 năm</t>
  </si>
  <si>
    <t>3 năm</t>
  </si>
  <si>
    <t>1 năm</t>
  </si>
  <si>
    <t>5 năm</t>
  </si>
  <si>
    <t>3 tháng</t>
  </si>
  <si>
    <t>SSD</t>
  </si>
  <si>
    <t xml:space="preserve">Kingmax </t>
  </si>
  <si>
    <t>Ổ ĐĨA CỨNG MÁY TÍNH KINGMAX PQ3480 256GB(ZEUS M.2 PCIE-GEN3x4)</t>
  </si>
  <si>
    <t>PQ3480</t>
  </si>
  <si>
    <t>7KW48</t>
  </si>
  <si>
    <t>Qty</t>
  </si>
  <si>
    <t>Product #</t>
  </si>
  <si>
    <t>Product Description</t>
  </si>
  <si>
    <t>P52534-B21</t>
  </si>
  <si>
    <t>HPE ProLiant DL380 Gen11 8SFF NC Configure-to-order Server</t>
  </si>
  <si>
    <t>P52534-B21  UUF</t>
  </si>
  <si>
    <t>HPE ProLiant DL380 Gen11 8SFF NC Configure-to-order Server Asia Pacific English</t>
  </si>
  <si>
    <t>P67091-B21</t>
  </si>
  <si>
    <t>Intel Xeon-Silver 4510 2.4GHz 12-core 150W Processor for HPE</t>
  </si>
  <si>
    <t>P67091-B21  0D1</t>
  </si>
  <si>
    <t>Factory Integrated</t>
  </si>
  <si>
    <t>P64707-B21</t>
  </si>
  <si>
    <t>HPE 64GB (1x64GB) Dual Rank x4 DDR5-5600 CAS-46-45-45 EC8 Registered Smart Memory Kit</t>
  </si>
  <si>
    <t>P64707-B21  0D1</t>
  </si>
  <si>
    <t>P48813-B21</t>
  </si>
  <si>
    <t>HPE ProLiant DL380 Gen11 2U 8SFF x1 Tri-Mode U.3 Drive Cage Kit</t>
  </si>
  <si>
    <t>P48813-B21  0D1</t>
  </si>
  <si>
    <t>S0K89C</t>
  </si>
  <si>
    <t>NVIDIA L4 24GB PCIe Accelerator for HPE</t>
  </si>
  <si>
    <t>S0K89C      0D1</t>
  </si>
  <si>
    <t>P01366-B21</t>
  </si>
  <si>
    <t>HPE 96W Smart Storage Lithium-ion Battery with 145mm Cable Kit</t>
  </si>
  <si>
    <t>P01366-B21  0D1</t>
  </si>
  <si>
    <t>P48918-B21</t>
  </si>
  <si>
    <t>HPE ProLiant DL360 Gen11 Storage Controller Enablement Cable Kit</t>
  </si>
  <si>
    <t>P48918-B21  0D1</t>
  </si>
  <si>
    <t>P58335-B21</t>
  </si>
  <si>
    <t>HPE MR408i-o Gen11 x8 Lanes 4GB Cache OCP SPDM Storage Controller</t>
  </si>
  <si>
    <t>P58335-B21  0D1</t>
  </si>
  <si>
    <t>P51181-B21</t>
  </si>
  <si>
    <t>Broadcom BCM5719 Ethernet 1Gb 4-port BASE-T OCP3 Adapter for HPE</t>
  </si>
  <si>
    <t>P51181-B21  0D1</t>
  </si>
  <si>
    <t>P38997-B21</t>
  </si>
  <si>
    <t>HPE 1600W Flex Slot Platinum Hot Plug Low Halogen Power Supply Kit</t>
  </si>
  <si>
    <t>P38997-B21  0D1</t>
  </si>
  <si>
    <t>P8B31A</t>
  </si>
  <si>
    <t>HPE OneView w/o iLO including 3yr 24x7 Support 1-server FIO LTU</t>
  </si>
  <si>
    <t>P51911-B21</t>
  </si>
  <si>
    <t>HPE ProLiant DL360 Gen11 CPU1 to OCP2 x8 Enablement Kit</t>
  </si>
  <si>
    <t>P51911-B21  0D1</t>
  </si>
  <si>
    <t>P48820-B21</t>
  </si>
  <si>
    <t>HPE ProLiant DL380/DL560 Gen11 2U High Performance Fan Kit</t>
  </si>
  <si>
    <t>P48820-B21  0D1</t>
  </si>
  <si>
    <t>P35876-B21</t>
  </si>
  <si>
    <t>HPE CE Mark Removal FIO Enablement Kit</t>
  </si>
  <si>
    <t>P48818-B21</t>
  </si>
  <si>
    <t>HPE ProLiant DL380/DL560 Gen11 High Performance 2U Heat Sink Kit</t>
  </si>
  <si>
    <t>P48818-B21  0D1</t>
  </si>
  <si>
    <t>P52341-B21</t>
  </si>
  <si>
    <t>HPE ProLiant DL3XX Gen11 Easy Install Rail 3 Kit</t>
  </si>
  <si>
    <t>P52341-B21  0D1</t>
  </si>
  <si>
    <t>HU4B2A3</t>
  </si>
  <si>
    <t>HPE 3Y Tech Care Basic Service</t>
  </si>
  <si>
    <t>HU4B2A300DK</t>
  </si>
  <si>
    <t>HPE DL380 Gen11 Support</t>
  </si>
  <si>
    <t>Card mạng</t>
  </si>
  <si>
    <t>MÁY IN HP PRO 4003DN (2Z609A ) - WARRANTY 03 YEAR</t>
  </si>
  <si>
    <t>Điện thoại Yealink Sip-T30</t>
  </si>
  <si>
    <t>Sip-T30</t>
  </si>
  <si>
    <t>Yealink</t>
  </si>
  <si>
    <t>Phone</t>
  </si>
  <si>
    <t>Ánh Dương</t>
  </si>
  <si>
    <t>Du Hưng</t>
  </si>
  <si>
    <t>Zebra</t>
  </si>
  <si>
    <t>Elite</t>
  </si>
  <si>
    <t>1 - 2 tuần</t>
  </si>
  <si>
    <t>P1112640-015</t>
  </si>
  <si>
    <t>DS9308-SR4U2100AZW</t>
  </si>
  <si>
    <r>
      <rPr>
        <b/>
        <sz val="10"/>
        <rFont val="Arial"/>
        <family val="2"/>
      </rPr>
      <t>Mô đun máy in Zebra Kit,</t>
    </r>
    <r>
      <rPr>
        <sz val="10"/>
        <rFont val="Arial"/>
        <family val="2"/>
      </rPr>
      <t xml:space="preserve"> Ethernet Module, ZD421D, ZD421T, ZD421C, ZD411D, ZD411T, ZD611D, ZD611T</t>
    </r>
  </si>
  <si>
    <r>
      <rPr>
        <b/>
        <sz val="10"/>
        <rFont val="Arial"/>
        <family val="2"/>
      </rPr>
      <t>Máy quét mã vạch Zebra DS9308-SR</t>
    </r>
    <r>
      <rPr>
        <sz val="10"/>
        <rFont val="Arial"/>
        <family val="2"/>
      </rPr>
      <t xml:space="preserve"> BLACK USB KIT: DS9308-SR00004ZZWW SCANNER, CBA-U21-S07ZBR SHIELDED USB CABLE</t>
    </r>
  </si>
  <si>
    <t>Module</t>
  </si>
  <si>
    <t>DS-2CD1121G0-I</t>
  </si>
  <si>
    <r>
      <rPr>
        <b/>
        <sz val="10"/>
        <rFont val="Arial"/>
        <family val="2"/>
      </rPr>
      <t>Camera Hikvision DS-2CD1121G0-I</t>
    </r>
    <r>
      <rPr>
        <sz val="10"/>
        <rFont val="Arial"/>
        <family val="2"/>
      </rPr>
      <t xml:space="preserve"> (2.8MM)</t>
    </r>
  </si>
  <si>
    <t>DS-2CD1323G2-LIUF 2.8MM</t>
  </si>
  <si>
    <r>
      <rPr>
        <b/>
        <sz val="10"/>
        <rFont val="Arial"/>
        <family val="2"/>
      </rPr>
      <t>Camera Hikvision DS-2CD1323G2-LIUF</t>
    </r>
    <r>
      <rPr>
        <sz val="10"/>
        <rFont val="Arial"/>
        <family val="2"/>
      </rPr>
      <t xml:space="preserve"> 2.8MM</t>
    </r>
  </si>
  <si>
    <t>Bộ phát UniFi U7 Lite</t>
  </si>
  <si>
    <t>U7 Lite</t>
  </si>
  <si>
    <t>Nguồn U-poe</t>
  </si>
  <si>
    <t>U-POE</t>
  </si>
  <si>
    <t>- Máy in 1 năm
- Đầu in 6 tháng</t>
  </si>
  <si>
    <t>Két đựng tiền JJ335</t>
  </si>
  <si>
    <t>JJ335</t>
  </si>
  <si>
    <t>Két</t>
  </si>
  <si>
    <t>Thế giới mã vạch</t>
  </si>
  <si>
    <t>Camera</t>
  </si>
  <si>
    <t>HIKVISION</t>
  </si>
  <si>
    <t>MÁY SCANJET HP PRO 2000 S2 (6FW06A) - 01Y</t>
  </si>
  <si>
    <t>DeskMini</t>
  </si>
  <si>
    <t>ASROCK</t>
  </si>
  <si>
    <t>ASROCK  X300</t>
  </si>
  <si>
    <t>DeskMini X300 Series</t>
  </si>
  <si>
    <t>CPU</t>
  </si>
  <si>
    <t>AMD</t>
  </si>
  <si>
    <t>AMD Ryzen 5
5500GT</t>
  </si>
  <si>
    <t>CPU AMD Ryzen 5 5500GT</t>
  </si>
  <si>
    <t>Card Wifi Tplink	 Archer T2E</t>
  </si>
  <si>
    <t xml:space="preserve"> Archer T2E</t>
  </si>
  <si>
    <t>Hub</t>
  </si>
  <si>
    <t>Ugreen</t>
  </si>
  <si>
    <t>Bộ chia Hub USB 3.0 4 cổng màu đen dài 50CM Ugreen ( 20290)</t>
  </si>
  <si>
    <t>RAM</t>
  </si>
  <si>
    <t>16GB DDR4</t>
  </si>
  <si>
    <t>Kingmax 16GB DDR4-3200 NOTE</t>
  </si>
  <si>
    <t>ZD4A043-30PM00EZ</t>
  </si>
  <si>
    <r>
      <rPr>
        <b/>
        <sz val="10"/>
        <rFont val="Arial"/>
        <family val="2"/>
      </rPr>
      <t>Máy in mã vạch Zebra Thermal Transfer Printer (74/300M) ZD421</t>
    </r>
    <r>
      <rPr>
        <sz val="10"/>
        <rFont val="Arial"/>
        <family val="2"/>
      </rPr>
      <t>; 300 dpi, USB, USB Host, Modular Connectivity Slot, BTLE5, APAC Cord bundle (EU, UK, AUS, JP), Swiss Font, EZPL</t>
    </r>
  </si>
  <si>
    <t>TG-3468</t>
  </si>
  <si>
    <t>Card LAN TPlink TG-3468</t>
  </si>
  <si>
    <t>Vĩnh Xuân</t>
  </si>
  <si>
    <t>Ngày hết hạn báo giá: …-11-25</t>
  </si>
  <si>
    <t>ICT Sài Gòn</t>
  </si>
  <si>
    <t>Ngày báo giá: 28-11-25</t>
  </si>
  <si>
    <t>Dự kiến giữa T12/2025 về hàng</t>
  </si>
  <si>
    <t>Qno: 151025-9</t>
  </si>
  <si>
    <t>Tổng giá nhập</t>
  </si>
  <si>
    <t>Lê Huy</t>
  </si>
  <si>
    <t>Giá nhập tốt nhất</t>
  </si>
  <si>
    <t>Phương Khang</t>
  </si>
  <si>
    <t>Lê Hoàng</t>
  </si>
  <si>
    <t>NSS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</si>
</sst>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8"/>
      <name val="Calibri"/>
      <family val="2"/>
      <scheme val="minor"/>
    </font>
    <font>
      <sz val="8"/>
      <color rgb="FF000000"/>
      <name val="Segoe UI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medium">
        <color rgb="FFC00000"/>
      </top>
      <bottom/>
      <diagonal/>
    </border>
    <border>
      <left/>
      <right/>
      <top/>
      <bottom style="medium">
        <color rgb="FFC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9">
    <xf numFmtId="0" fontId="0" fillId="0" borderId="0" xfId="0"/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3" fontId="5" fillId="0" borderId="14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8" fillId="0" borderId="7" xfId="1" applyNumberFormat="1" applyFont="1" applyFill="1" applyBorder="1" applyAlignment="1">
      <alignment horizontal="right" vertical="center"/>
    </xf>
    <xf numFmtId="3" fontId="9" fillId="0" borderId="7" xfId="1" applyNumberFormat="1" applyFont="1" applyBorder="1" applyAlignment="1">
      <alignment horizontal="right" vertical="center"/>
    </xf>
    <xf numFmtId="3" fontId="8" fillId="0" borderId="7" xfId="1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3" fontId="10" fillId="0" borderId="7" xfId="0" applyNumberFormat="1" applyFont="1" applyBorder="1" applyAlignment="1">
      <alignment horizontal="right" vertical="center"/>
    </xf>
    <xf numFmtId="3" fontId="10" fillId="0" borderId="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3" fontId="8" fillId="3" borderId="7" xfId="1" applyNumberFormat="1" applyFont="1" applyFill="1" applyBorder="1" applyAlignment="1">
      <alignment horizontal="center" vertical="center"/>
    </xf>
    <xf numFmtId="164" fontId="8" fillId="3" borderId="7" xfId="1" applyNumberFormat="1" applyFont="1" applyFill="1" applyBorder="1" applyAlignment="1">
      <alignment horizontal="right" vertical="center"/>
    </xf>
    <xf numFmtId="3" fontId="9" fillId="3" borderId="7" xfId="1" applyNumberFormat="1" applyFont="1" applyFill="1" applyBorder="1" applyAlignment="1">
      <alignment horizontal="right" vertical="center"/>
    </xf>
    <xf numFmtId="3" fontId="9" fillId="3" borderId="7" xfId="1" applyNumberFormat="1" applyFont="1" applyFill="1" applyBorder="1" applyAlignment="1">
      <alignment horizontal="center" vertical="center"/>
    </xf>
    <xf numFmtId="3" fontId="9" fillId="0" borderId="7" xfId="1" quotePrefix="1" applyNumberFormat="1" applyFont="1" applyBorder="1" applyAlignment="1">
      <alignment horizontal="center" vertical="center" wrapText="1"/>
    </xf>
    <xf numFmtId="164" fontId="0" fillId="0" borderId="0" xfId="1" applyNumberFormat="1" applyFont="1"/>
    <xf numFmtId="9" fontId="8" fillId="0" borderId="7" xfId="2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vertical="center"/>
    </xf>
    <xf numFmtId="0" fontId="12" fillId="0" borderId="7" xfId="0" applyFont="1" applyBorder="1" applyAlignment="1">
      <alignment vertical="center" wrapText="1"/>
    </xf>
    <xf numFmtId="164" fontId="3" fillId="0" borderId="12" xfId="1" applyNumberFormat="1" applyFont="1" applyBorder="1" applyAlignment="1">
      <alignment vertical="center"/>
    </xf>
    <xf numFmtId="164" fontId="3" fillId="0" borderId="18" xfId="1" applyNumberFormat="1" applyFont="1" applyBorder="1" applyAlignment="1">
      <alignment vertical="center"/>
    </xf>
    <xf numFmtId="0" fontId="14" fillId="4" borderId="20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right" vertical="center" wrapText="1"/>
    </xf>
    <xf numFmtId="0" fontId="14" fillId="5" borderId="0" xfId="0" applyFont="1" applyFill="1" applyAlignment="1">
      <alignment vertical="center" wrapText="1"/>
    </xf>
    <xf numFmtId="0" fontId="14" fillId="5" borderId="0" xfId="0" applyFont="1" applyFill="1" applyAlignment="1">
      <alignment horizontal="center" vertical="center" wrapText="1"/>
    </xf>
    <xf numFmtId="9" fontId="14" fillId="5" borderId="0" xfId="0" applyNumberFormat="1" applyFont="1" applyFill="1" applyAlignment="1">
      <alignment horizontal="center" vertical="center" wrapText="1"/>
    </xf>
    <xf numFmtId="0" fontId="14" fillId="4" borderId="0" xfId="0" applyFont="1" applyFill="1" applyAlignment="1">
      <alignment horizontal="right" vertical="center" wrapText="1"/>
    </xf>
    <xf numFmtId="0" fontId="14" fillId="4" borderId="0" xfId="0" applyFont="1" applyFill="1" applyAlignment="1">
      <alignment vertical="center" wrapText="1"/>
    </xf>
    <xf numFmtId="0" fontId="14" fillId="4" borderId="0" xfId="0" applyFont="1" applyFill="1" applyAlignment="1">
      <alignment horizontal="center" vertical="center" wrapText="1"/>
    </xf>
    <xf numFmtId="9" fontId="14" fillId="4" borderId="0" xfId="0" applyNumberFormat="1" applyFont="1" applyFill="1" applyAlignment="1">
      <alignment horizontal="center" vertical="center" wrapText="1"/>
    </xf>
    <xf numFmtId="0" fontId="3" fillId="0" borderId="14" xfId="0" applyFont="1" applyBorder="1" applyAlignment="1">
      <alignment vertical="center"/>
    </xf>
    <xf numFmtId="164" fontId="0" fillId="0" borderId="0" xfId="1" applyNumberFormat="1" applyFont="1" applyAlignment="1">
      <alignment vertical="center"/>
    </xf>
    <xf numFmtId="10" fontId="3" fillId="0" borderId="1" xfId="2" applyNumberFormat="1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64" fontId="5" fillId="0" borderId="1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15" fillId="4" borderId="7" xfId="0" applyFont="1" applyFill="1" applyBorder="1" applyAlignment="1">
      <alignment vertical="center"/>
    </xf>
    <xf numFmtId="0" fontId="16" fillId="4" borderId="7" xfId="0" applyFont="1" applyFill="1" applyBorder="1" applyAlignment="1">
      <alignment vertical="center"/>
    </xf>
    <xf numFmtId="0" fontId="17" fillId="0" borderId="7" xfId="0" applyFont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164" fontId="3" fillId="0" borderId="0" xfId="1" applyNumberFormat="1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right" vertical="center"/>
    </xf>
    <xf numFmtId="3" fontId="5" fillId="0" borderId="14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2" fillId="0" borderId="1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64" fontId="2" fillId="0" borderId="1" xfId="1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164" fontId="3" fillId="0" borderId="19" xfId="1" applyNumberFormat="1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7" xfId="0" applyFont="1" applyBorder="1" applyAlignment="1">
      <alignment vertical="center" wrapText="1"/>
    </xf>
    <xf numFmtId="0" fontId="3" fillId="0" borderId="19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0" fillId="0" borderId="8" xfId="0" applyFont="1" applyBorder="1" applyAlignment="1">
      <alignment horizontal="right" vertical="center"/>
    </xf>
    <xf numFmtId="0" fontId="10" fillId="0" borderId="9" xfId="0" applyFont="1" applyBorder="1" applyAlignment="1">
      <alignment horizontal="right" vertical="center"/>
    </xf>
    <xf numFmtId="164" fontId="3" fillId="0" borderId="17" xfId="1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0" fontId="14" fillId="4" borderId="20" xfId="0" applyFont="1" applyFill="1" applyBorder="1" applyAlignment="1">
      <alignment horizontal="right" vertical="center"/>
    </xf>
    <xf numFmtId="0" fontId="14" fillId="4" borderId="21" xfId="0" applyFont="1" applyFill="1" applyBorder="1" applyAlignment="1">
      <alignment horizontal="right" vertical="center"/>
    </xf>
    <xf numFmtId="0" fontId="14" fillId="4" borderId="20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165" fontId="19" fillId="0" borderId="1" xfId="0" applyNumberFormat="1" applyFont="1" applyBorder="1" applyAlignment="1">
      <alignment vertical="center"/>
    </xf>
    <xf numFmtId="164" fontId="19" fillId="0" borderId="1" xfId="0" applyNumberFormat="1" applyFont="1" applyBorder="1" applyAlignment="1">
      <alignment horizontal="center" vertical="center"/>
    </xf>
    <xf numFmtId="43" fontId="19" fillId="0" borderId="1" xfId="0" applyNumberFormat="1" applyFont="1" applyBorder="1" applyAlignment="1">
      <alignment horizontal="center" vertical="center"/>
    </xf>
    <xf numFmtId="164" fontId="3" fillId="0" borderId="19" xfId="1" applyNumberFormat="1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164" fontId="3" fillId="0" borderId="17" xfId="1" applyNumberFormat="1" applyFont="1" applyBorder="1" applyAlignment="1">
      <alignment vertical="center"/>
    </xf>
    <xf numFmtId="164" fontId="3" fillId="0" borderId="12" xfId="1" applyNumberFormat="1" applyFont="1" applyBorder="1" applyAlignment="1">
      <alignment horizontal="center" vertical="center" wrapText="1"/>
    </xf>
    <xf numFmtId="165" fontId="19" fillId="0" borderId="14" xfId="0" applyNumberFormat="1" applyFont="1" applyBorder="1" applyAlignment="1">
      <alignment vertical="center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vertical="center"/>
    </xf>
    <xf numFmtId="164" fontId="18" fillId="0" borderId="7" xfId="1" applyNumberFormat="1" applyFont="1" applyBorder="1" applyAlignment="1">
      <alignment vertical="center"/>
    </xf>
    <xf numFmtId="164" fontId="19" fillId="0" borderId="7" xfId="1" applyNumberFormat="1" applyFont="1" applyBorder="1" applyAlignment="1">
      <alignment vertical="center"/>
    </xf>
  </cellXfs>
  <cellStyles count="3">
    <cellStyle name="Bình thường" xfId="0" builtinId="0"/>
    <cellStyle name="Dấu phẩy" xfId="1" builtinId="3"/>
    <cellStyle name="Phần tră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38100</xdr:rowOff>
    </xdr:from>
    <xdr:to>
      <xdr:col>3</xdr:col>
      <xdr:colOff>18846</xdr:colOff>
      <xdr:row>3</xdr:row>
      <xdr:rowOff>113393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8012318C-29A9-4D98-BF58-1C44022BF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38100"/>
          <a:ext cx="1817649" cy="551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332617</xdr:colOff>
      <xdr:row>3</xdr:row>
      <xdr:rowOff>10166</xdr:rowOff>
    </xdr:from>
    <xdr:to>
      <xdr:col>10</xdr:col>
      <xdr:colOff>847330</xdr:colOff>
      <xdr:row>3</xdr:row>
      <xdr:rowOff>643559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id="{4A6E655B-311E-5F40-9E3C-FB5662ABB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4046" y="486416"/>
          <a:ext cx="1383393" cy="63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205739</xdr:colOff>
      <xdr:row>45</xdr:row>
      <xdr:rowOff>60960</xdr:rowOff>
    </xdr:from>
    <xdr:to>
      <xdr:col>2</xdr:col>
      <xdr:colOff>579568</xdr:colOff>
      <xdr:row>48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85DCD6-D38B-5AA3-B372-609EED2A0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39" y="10972800"/>
          <a:ext cx="1090109" cy="579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0"/>
  <sheetViews>
    <sheetView showGridLines="0" tabSelected="1" topLeftCell="F37" zoomScaleNormal="100" zoomScaleSheetLayoutView="85" workbookViewId="0">
      <selection activeCell="R12" sqref="R12:S39"/>
    </sheetView>
  </sheetViews>
  <sheetFormatPr defaultRowHeight="13.2" x14ac:dyDescent="0.3"/>
  <cols>
    <col min="1" max="1" width="5" style="58" customWidth="1"/>
    <col min="2" max="2" width="10.44140625" style="3" customWidth="1"/>
    <col min="3" max="3" width="11.6640625" style="3" customWidth="1"/>
    <col min="4" max="4" width="21.21875" style="3" customWidth="1"/>
    <col min="5" max="5" width="36.88671875" style="1" customWidth="1"/>
    <col min="6" max="6" width="6.33203125" style="3" customWidth="1"/>
    <col min="7" max="7" width="6.6640625" style="3" customWidth="1"/>
    <col min="8" max="8" width="14.109375" style="73" customWidth="1"/>
    <col min="9" max="9" width="5.88671875" style="73" customWidth="1"/>
    <col min="10" max="10" width="12.44140625" style="73" customWidth="1"/>
    <col min="11" max="11" width="13" style="3" customWidth="1"/>
    <col min="12" max="12" width="13.88671875" style="3" customWidth="1"/>
    <col min="13" max="13" width="16.44140625" style="24" hidden="1" customWidth="1"/>
    <col min="14" max="14" width="14.77734375" style="24" customWidth="1"/>
    <col min="15" max="15" width="14.77734375" style="24" hidden="1" customWidth="1"/>
    <col min="16" max="17" width="14.77734375" style="24" customWidth="1"/>
    <col min="18" max="19" width="14.77734375" style="114" customWidth="1"/>
    <col min="20" max="21" width="14.21875" style="24" customWidth="1"/>
    <col min="22" max="22" width="9.21875" style="1"/>
    <col min="23" max="23" width="12.6640625" style="41" bestFit="1" customWidth="1"/>
    <col min="24" max="252" width="9.21875" style="1"/>
    <col min="253" max="253" width="5" style="1" customWidth="1"/>
    <col min="254" max="254" width="23.77734375" style="1" customWidth="1"/>
    <col min="255" max="255" width="46.77734375" style="1" customWidth="1"/>
    <col min="256" max="256" width="5.77734375" style="1" customWidth="1"/>
    <col min="257" max="257" width="10" style="1" customWidth="1"/>
    <col min="258" max="258" width="12.21875" style="1" customWidth="1"/>
    <col min="259" max="259" width="13.77734375" style="1" customWidth="1"/>
    <col min="260" max="260" width="12.5546875" style="1" customWidth="1"/>
    <col min="261" max="261" width="13" style="1" customWidth="1"/>
    <col min="262" max="262" width="13.77734375" style="1" bestFit="1" customWidth="1"/>
    <col min="263" max="508" width="9.21875" style="1"/>
    <col min="509" max="509" width="5" style="1" customWidth="1"/>
    <col min="510" max="510" width="23.77734375" style="1" customWidth="1"/>
    <col min="511" max="511" width="46.77734375" style="1" customWidth="1"/>
    <col min="512" max="512" width="5.77734375" style="1" customWidth="1"/>
    <col min="513" max="513" width="10" style="1" customWidth="1"/>
    <col min="514" max="514" width="12.21875" style="1" customWidth="1"/>
    <col min="515" max="515" width="13.77734375" style="1" customWidth="1"/>
    <col min="516" max="516" width="12.5546875" style="1" customWidth="1"/>
    <col min="517" max="517" width="13" style="1" customWidth="1"/>
    <col min="518" max="518" width="13.77734375" style="1" bestFit="1" customWidth="1"/>
    <col min="519" max="764" width="9.21875" style="1"/>
    <col min="765" max="765" width="5" style="1" customWidth="1"/>
    <col min="766" max="766" width="23.77734375" style="1" customWidth="1"/>
    <col min="767" max="767" width="46.77734375" style="1" customWidth="1"/>
    <col min="768" max="768" width="5.77734375" style="1" customWidth="1"/>
    <col min="769" max="769" width="10" style="1" customWidth="1"/>
    <col min="770" max="770" width="12.21875" style="1" customWidth="1"/>
    <col min="771" max="771" width="13.77734375" style="1" customWidth="1"/>
    <col min="772" max="772" width="12.5546875" style="1" customWidth="1"/>
    <col min="773" max="773" width="13" style="1" customWidth="1"/>
    <col min="774" max="774" width="13.77734375" style="1" bestFit="1" customWidth="1"/>
    <col min="775" max="1020" width="9.21875" style="1"/>
    <col min="1021" max="1021" width="5" style="1" customWidth="1"/>
    <col min="1022" max="1022" width="23.77734375" style="1" customWidth="1"/>
    <col min="1023" max="1023" width="46.77734375" style="1" customWidth="1"/>
    <col min="1024" max="1024" width="5.77734375" style="1" customWidth="1"/>
    <col min="1025" max="1025" width="10" style="1" customWidth="1"/>
    <col min="1026" max="1026" width="12.21875" style="1" customWidth="1"/>
    <col min="1027" max="1027" width="13.77734375" style="1" customWidth="1"/>
    <col min="1028" max="1028" width="12.5546875" style="1" customWidth="1"/>
    <col min="1029" max="1029" width="13" style="1" customWidth="1"/>
    <col min="1030" max="1030" width="13.77734375" style="1" bestFit="1" customWidth="1"/>
    <col min="1031" max="1276" width="9.21875" style="1"/>
    <col min="1277" max="1277" width="5" style="1" customWidth="1"/>
    <col min="1278" max="1278" width="23.77734375" style="1" customWidth="1"/>
    <col min="1279" max="1279" width="46.77734375" style="1" customWidth="1"/>
    <col min="1280" max="1280" width="5.77734375" style="1" customWidth="1"/>
    <col min="1281" max="1281" width="10" style="1" customWidth="1"/>
    <col min="1282" max="1282" width="12.21875" style="1" customWidth="1"/>
    <col min="1283" max="1283" width="13.77734375" style="1" customWidth="1"/>
    <col min="1284" max="1284" width="12.5546875" style="1" customWidth="1"/>
    <col min="1285" max="1285" width="13" style="1" customWidth="1"/>
    <col min="1286" max="1286" width="13.77734375" style="1" bestFit="1" customWidth="1"/>
    <col min="1287" max="1532" width="9.21875" style="1"/>
    <col min="1533" max="1533" width="5" style="1" customWidth="1"/>
    <col min="1534" max="1534" width="23.77734375" style="1" customWidth="1"/>
    <col min="1535" max="1535" width="46.77734375" style="1" customWidth="1"/>
    <col min="1536" max="1536" width="5.77734375" style="1" customWidth="1"/>
    <col min="1537" max="1537" width="10" style="1" customWidth="1"/>
    <col min="1538" max="1538" width="12.21875" style="1" customWidth="1"/>
    <col min="1539" max="1539" width="13.77734375" style="1" customWidth="1"/>
    <col min="1540" max="1540" width="12.5546875" style="1" customWidth="1"/>
    <col min="1541" max="1541" width="13" style="1" customWidth="1"/>
    <col min="1542" max="1542" width="13.77734375" style="1" bestFit="1" customWidth="1"/>
    <col min="1543" max="1788" width="9.21875" style="1"/>
    <col min="1789" max="1789" width="5" style="1" customWidth="1"/>
    <col min="1790" max="1790" width="23.77734375" style="1" customWidth="1"/>
    <col min="1791" max="1791" width="46.77734375" style="1" customWidth="1"/>
    <col min="1792" max="1792" width="5.77734375" style="1" customWidth="1"/>
    <col min="1793" max="1793" width="10" style="1" customWidth="1"/>
    <col min="1794" max="1794" width="12.21875" style="1" customWidth="1"/>
    <col min="1795" max="1795" width="13.77734375" style="1" customWidth="1"/>
    <col min="1796" max="1796" width="12.5546875" style="1" customWidth="1"/>
    <col min="1797" max="1797" width="13" style="1" customWidth="1"/>
    <col min="1798" max="1798" width="13.77734375" style="1" bestFit="1" customWidth="1"/>
    <col min="1799" max="2044" width="9.21875" style="1"/>
    <col min="2045" max="2045" width="5" style="1" customWidth="1"/>
    <col min="2046" max="2046" width="23.77734375" style="1" customWidth="1"/>
    <col min="2047" max="2047" width="46.77734375" style="1" customWidth="1"/>
    <col min="2048" max="2048" width="5.77734375" style="1" customWidth="1"/>
    <col min="2049" max="2049" width="10" style="1" customWidth="1"/>
    <col min="2050" max="2050" width="12.21875" style="1" customWidth="1"/>
    <col min="2051" max="2051" width="13.77734375" style="1" customWidth="1"/>
    <col min="2052" max="2052" width="12.5546875" style="1" customWidth="1"/>
    <col min="2053" max="2053" width="13" style="1" customWidth="1"/>
    <col min="2054" max="2054" width="13.77734375" style="1" bestFit="1" customWidth="1"/>
    <col min="2055" max="2300" width="9.21875" style="1"/>
    <col min="2301" max="2301" width="5" style="1" customWidth="1"/>
    <col min="2302" max="2302" width="23.77734375" style="1" customWidth="1"/>
    <col min="2303" max="2303" width="46.77734375" style="1" customWidth="1"/>
    <col min="2304" max="2304" width="5.77734375" style="1" customWidth="1"/>
    <col min="2305" max="2305" width="10" style="1" customWidth="1"/>
    <col min="2306" max="2306" width="12.21875" style="1" customWidth="1"/>
    <col min="2307" max="2307" width="13.77734375" style="1" customWidth="1"/>
    <col min="2308" max="2308" width="12.5546875" style="1" customWidth="1"/>
    <col min="2309" max="2309" width="13" style="1" customWidth="1"/>
    <col min="2310" max="2310" width="13.77734375" style="1" bestFit="1" customWidth="1"/>
    <col min="2311" max="2556" width="9.21875" style="1"/>
    <col min="2557" max="2557" width="5" style="1" customWidth="1"/>
    <col min="2558" max="2558" width="23.77734375" style="1" customWidth="1"/>
    <col min="2559" max="2559" width="46.77734375" style="1" customWidth="1"/>
    <col min="2560" max="2560" width="5.77734375" style="1" customWidth="1"/>
    <col min="2561" max="2561" width="10" style="1" customWidth="1"/>
    <col min="2562" max="2562" width="12.21875" style="1" customWidth="1"/>
    <col min="2563" max="2563" width="13.77734375" style="1" customWidth="1"/>
    <col min="2564" max="2564" width="12.5546875" style="1" customWidth="1"/>
    <col min="2565" max="2565" width="13" style="1" customWidth="1"/>
    <col min="2566" max="2566" width="13.77734375" style="1" bestFit="1" customWidth="1"/>
    <col min="2567" max="2812" width="9.21875" style="1"/>
    <col min="2813" max="2813" width="5" style="1" customWidth="1"/>
    <col min="2814" max="2814" width="23.77734375" style="1" customWidth="1"/>
    <col min="2815" max="2815" width="46.77734375" style="1" customWidth="1"/>
    <col min="2816" max="2816" width="5.77734375" style="1" customWidth="1"/>
    <col min="2817" max="2817" width="10" style="1" customWidth="1"/>
    <col min="2818" max="2818" width="12.21875" style="1" customWidth="1"/>
    <col min="2819" max="2819" width="13.77734375" style="1" customWidth="1"/>
    <col min="2820" max="2820" width="12.5546875" style="1" customWidth="1"/>
    <col min="2821" max="2821" width="13" style="1" customWidth="1"/>
    <col min="2822" max="2822" width="13.77734375" style="1" bestFit="1" customWidth="1"/>
    <col min="2823" max="3068" width="9.21875" style="1"/>
    <col min="3069" max="3069" width="5" style="1" customWidth="1"/>
    <col min="3070" max="3070" width="23.77734375" style="1" customWidth="1"/>
    <col min="3071" max="3071" width="46.77734375" style="1" customWidth="1"/>
    <col min="3072" max="3072" width="5.77734375" style="1" customWidth="1"/>
    <col min="3073" max="3073" width="10" style="1" customWidth="1"/>
    <col min="3074" max="3074" width="12.21875" style="1" customWidth="1"/>
    <col min="3075" max="3075" width="13.77734375" style="1" customWidth="1"/>
    <col min="3076" max="3076" width="12.5546875" style="1" customWidth="1"/>
    <col min="3077" max="3077" width="13" style="1" customWidth="1"/>
    <col min="3078" max="3078" width="13.77734375" style="1" bestFit="1" customWidth="1"/>
    <col min="3079" max="3324" width="9.21875" style="1"/>
    <col min="3325" max="3325" width="5" style="1" customWidth="1"/>
    <col min="3326" max="3326" width="23.77734375" style="1" customWidth="1"/>
    <col min="3327" max="3327" width="46.77734375" style="1" customWidth="1"/>
    <col min="3328" max="3328" width="5.77734375" style="1" customWidth="1"/>
    <col min="3329" max="3329" width="10" style="1" customWidth="1"/>
    <col min="3330" max="3330" width="12.21875" style="1" customWidth="1"/>
    <col min="3331" max="3331" width="13.77734375" style="1" customWidth="1"/>
    <col min="3332" max="3332" width="12.5546875" style="1" customWidth="1"/>
    <col min="3333" max="3333" width="13" style="1" customWidth="1"/>
    <col min="3334" max="3334" width="13.77734375" style="1" bestFit="1" customWidth="1"/>
    <col min="3335" max="3580" width="9.21875" style="1"/>
    <col min="3581" max="3581" width="5" style="1" customWidth="1"/>
    <col min="3582" max="3582" width="23.77734375" style="1" customWidth="1"/>
    <col min="3583" max="3583" width="46.77734375" style="1" customWidth="1"/>
    <col min="3584" max="3584" width="5.77734375" style="1" customWidth="1"/>
    <col min="3585" max="3585" width="10" style="1" customWidth="1"/>
    <col min="3586" max="3586" width="12.21875" style="1" customWidth="1"/>
    <col min="3587" max="3587" width="13.77734375" style="1" customWidth="1"/>
    <col min="3588" max="3588" width="12.5546875" style="1" customWidth="1"/>
    <col min="3589" max="3589" width="13" style="1" customWidth="1"/>
    <col min="3590" max="3590" width="13.77734375" style="1" bestFit="1" customWidth="1"/>
    <col min="3591" max="3836" width="9.21875" style="1"/>
    <col min="3837" max="3837" width="5" style="1" customWidth="1"/>
    <col min="3838" max="3838" width="23.77734375" style="1" customWidth="1"/>
    <col min="3839" max="3839" width="46.77734375" style="1" customWidth="1"/>
    <col min="3840" max="3840" width="5.77734375" style="1" customWidth="1"/>
    <col min="3841" max="3841" width="10" style="1" customWidth="1"/>
    <col min="3842" max="3842" width="12.21875" style="1" customWidth="1"/>
    <col min="3843" max="3843" width="13.77734375" style="1" customWidth="1"/>
    <col min="3844" max="3844" width="12.5546875" style="1" customWidth="1"/>
    <col min="3845" max="3845" width="13" style="1" customWidth="1"/>
    <col min="3846" max="3846" width="13.77734375" style="1" bestFit="1" customWidth="1"/>
    <col min="3847" max="4092" width="9.21875" style="1"/>
    <col min="4093" max="4093" width="5" style="1" customWidth="1"/>
    <col min="4094" max="4094" width="23.77734375" style="1" customWidth="1"/>
    <col min="4095" max="4095" width="46.77734375" style="1" customWidth="1"/>
    <col min="4096" max="4096" width="5.77734375" style="1" customWidth="1"/>
    <col min="4097" max="4097" width="10" style="1" customWidth="1"/>
    <col min="4098" max="4098" width="12.21875" style="1" customWidth="1"/>
    <col min="4099" max="4099" width="13.77734375" style="1" customWidth="1"/>
    <col min="4100" max="4100" width="12.5546875" style="1" customWidth="1"/>
    <col min="4101" max="4101" width="13" style="1" customWidth="1"/>
    <col min="4102" max="4102" width="13.77734375" style="1" bestFit="1" customWidth="1"/>
    <col min="4103" max="4348" width="9.21875" style="1"/>
    <col min="4349" max="4349" width="5" style="1" customWidth="1"/>
    <col min="4350" max="4350" width="23.77734375" style="1" customWidth="1"/>
    <col min="4351" max="4351" width="46.77734375" style="1" customWidth="1"/>
    <col min="4352" max="4352" width="5.77734375" style="1" customWidth="1"/>
    <col min="4353" max="4353" width="10" style="1" customWidth="1"/>
    <col min="4354" max="4354" width="12.21875" style="1" customWidth="1"/>
    <col min="4355" max="4355" width="13.77734375" style="1" customWidth="1"/>
    <col min="4356" max="4356" width="12.5546875" style="1" customWidth="1"/>
    <col min="4357" max="4357" width="13" style="1" customWidth="1"/>
    <col min="4358" max="4358" width="13.77734375" style="1" bestFit="1" customWidth="1"/>
    <col min="4359" max="4604" width="9.21875" style="1"/>
    <col min="4605" max="4605" width="5" style="1" customWidth="1"/>
    <col min="4606" max="4606" width="23.77734375" style="1" customWidth="1"/>
    <col min="4607" max="4607" width="46.77734375" style="1" customWidth="1"/>
    <col min="4608" max="4608" width="5.77734375" style="1" customWidth="1"/>
    <col min="4609" max="4609" width="10" style="1" customWidth="1"/>
    <col min="4610" max="4610" width="12.21875" style="1" customWidth="1"/>
    <col min="4611" max="4611" width="13.77734375" style="1" customWidth="1"/>
    <col min="4612" max="4612" width="12.5546875" style="1" customWidth="1"/>
    <col min="4613" max="4613" width="13" style="1" customWidth="1"/>
    <col min="4614" max="4614" width="13.77734375" style="1" bestFit="1" customWidth="1"/>
    <col min="4615" max="4860" width="9.21875" style="1"/>
    <col min="4861" max="4861" width="5" style="1" customWidth="1"/>
    <col min="4862" max="4862" width="23.77734375" style="1" customWidth="1"/>
    <col min="4863" max="4863" width="46.77734375" style="1" customWidth="1"/>
    <col min="4864" max="4864" width="5.77734375" style="1" customWidth="1"/>
    <col min="4865" max="4865" width="10" style="1" customWidth="1"/>
    <col min="4866" max="4866" width="12.21875" style="1" customWidth="1"/>
    <col min="4867" max="4867" width="13.77734375" style="1" customWidth="1"/>
    <col min="4868" max="4868" width="12.5546875" style="1" customWidth="1"/>
    <col min="4869" max="4869" width="13" style="1" customWidth="1"/>
    <col min="4870" max="4870" width="13.77734375" style="1" bestFit="1" customWidth="1"/>
    <col min="4871" max="5116" width="9.21875" style="1"/>
    <col min="5117" max="5117" width="5" style="1" customWidth="1"/>
    <col min="5118" max="5118" width="23.77734375" style="1" customWidth="1"/>
    <col min="5119" max="5119" width="46.77734375" style="1" customWidth="1"/>
    <col min="5120" max="5120" width="5.77734375" style="1" customWidth="1"/>
    <col min="5121" max="5121" width="10" style="1" customWidth="1"/>
    <col min="5122" max="5122" width="12.21875" style="1" customWidth="1"/>
    <col min="5123" max="5123" width="13.77734375" style="1" customWidth="1"/>
    <col min="5124" max="5124" width="12.5546875" style="1" customWidth="1"/>
    <col min="5125" max="5125" width="13" style="1" customWidth="1"/>
    <col min="5126" max="5126" width="13.77734375" style="1" bestFit="1" customWidth="1"/>
    <col min="5127" max="5372" width="9.21875" style="1"/>
    <col min="5373" max="5373" width="5" style="1" customWidth="1"/>
    <col min="5374" max="5374" width="23.77734375" style="1" customWidth="1"/>
    <col min="5375" max="5375" width="46.77734375" style="1" customWidth="1"/>
    <col min="5376" max="5376" width="5.77734375" style="1" customWidth="1"/>
    <col min="5377" max="5377" width="10" style="1" customWidth="1"/>
    <col min="5378" max="5378" width="12.21875" style="1" customWidth="1"/>
    <col min="5379" max="5379" width="13.77734375" style="1" customWidth="1"/>
    <col min="5380" max="5380" width="12.5546875" style="1" customWidth="1"/>
    <col min="5381" max="5381" width="13" style="1" customWidth="1"/>
    <col min="5382" max="5382" width="13.77734375" style="1" bestFit="1" customWidth="1"/>
    <col min="5383" max="5628" width="9.21875" style="1"/>
    <col min="5629" max="5629" width="5" style="1" customWidth="1"/>
    <col min="5630" max="5630" width="23.77734375" style="1" customWidth="1"/>
    <col min="5631" max="5631" width="46.77734375" style="1" customWidth="1"/>
    <col min="5632" max="5632" width="5.77734375" style="1" customWidth="1"/>
    <col min="5633" max="5633" width="10" style="1" customWidth="1"/>
    <col min="5634" max="5634" width="12.21875" style="1" customWidth="1"/>
    <col min="5635" max="5635" width="13.77734375" style="1" customWidth="1"/>
    <col min="5636" max="5636" width="12.5546875" style="1" customWidth="1"/>
    <col min="5637" max="5637" width="13" style="1" customWidth="1"/>
    <col min="5638" max="5638" width="13.77734375" style="1" bestFit="1" customWidth="1"/>
    <col min="5639" max="5884" width="9.21875" style="1"/>
    <col min="5885" max="5885" width="5" style="1" customWidth="1"/>
    <col min="5886" max="5886" width="23.77734375" style="1" customWidth="1"/>
    <col min="5887" max="5887" width="46.77734375" style="1" customWidth="1"/>
    <col min="5888" max="5888" width="5.77734375" style="1" customWidth="1"/>
    <col min="5889" max="5889" width="10" style="1" customWidth="1"/>
    <col min="5890" max="5890" width="12.21875" style="1" customWidth="1"/>
    <col min="5891" max="5891" width="13.77734375" style="1" customWidth="1"/>
    <col min="5892" max="5892" width="12.5546875" style="1" customWidth="1"/>
    <col min="5893" max="5893" width="13" style="1" customWidth="1"/>
    <col min="5894" max="5894" width="13.77734375" style="1" bestFit="1" customWidth="1"/>
    <col min="5895" max="6140" width="9.21875" style="1"/>
    <col min="6141" max="6141" width="5" style="1" customWidth="1"/>
    <col min="6142" max="6142" width="23.77734375" style="1" customWidth="1"/>
    <col min="6143" max="6143" width="46.77734375" style="1" customWidth="1"/>
    <col min="6144" max="6144" width="5.77734375" style="1" customWidth="1"/>
    <col min="6145" max="6145" width="10" style="1" customWidth="1"/>
    <col min="6146" max="6146" width="12.21875" style="1" customWidth="1"/>
    <col min="6147" max="6147" width="13.77734375" style="1" customWidth="1"/>
    <col min="6148" max="6148" width="12.5546875" style="1" customWidth="1"/>
    <col min="6149" max="6149" width="13" style="1" customWidth="1"/>
    <col min="6150" max="6150" width="13.77734375" style="1" bestFit="1" customWidth="1"/>
    <col min="6151" max="6396" width="9.21875" style="1"/>
    <col min="6397" max="6397" width="5" style="1" customWidth="1"/>
    <col min="6398" max="6398" width="23.77734375" style="1" customWidth="1"/>
    <col min="6399" max="6399" width="46.77734375" style="1" customWidth="1"/>
    <col min="6400" max="6400" width="5.77734375" style="1" customWidth="1"/>
    <col min="6401" max="6401" width="10" style="1" customWidth="1"/>
    <col min="6402" max="6402" width="12.21875" style="1" customWidth="1"/>
    <col min="6403" max="6403" width="13.77734375" style="1" customWidth="1"/>
    <col min="6404" max="6404" width="12.5546875" style="1" customWidth="1"/>
    <col min="6405" max="6405" width="13" style="1" customWidth="1"/>
    <col min="6406" max="6406" width="13.77734375" style="1" bestFit="1" customWidth="1"/>
    <col min="6407" max="6652" width="9.21875" style="1"/>
    <col min="6653" max="6653" width="5" style="1" customWidth="1"/>
    <col min="6654" max="6654" width="23.77734375" style="1" customWidth="1"/>
    <col min="6655" max="6655" width="46.77734375" style="1" customWidth="1"/>
    <col min="6656" max="6656" width="5.77734375" style="1" customWidth="1"/>
    <col min="6657" max="6657" width="10" style="1" customWidth="1"/>
    <col min="6658" max="6658" width="12.21875" style="1" customWidth="1"/>
    <col min="6659" max="6659" width="13.77734375" style="1" customWidth="1"/>
    <col min="6660" max="6660" width="12.5546875" style="1" customWidth="1"/>
    <col min="6661" max="6661" width="13" style="1" customWidth="1"/>
    <col min="6662" max="6662" width="13.77734375" style="1" bestFit="1" customWidth="1"/>
    <col min="6663" max="6908" width="9.21875" style="1"/>
    <col min="6909" max="6909" width="5" style="1" customWidth="1"/>
    <col min="6910" max="6910" width="23.77734375" style="1" customWidth="1"/>
    <col min="6911" max="6911" width="46.77734375" style="1" customWidth="1"/>
    <col min="6912" max="6912" width="5.77734375" style="1" customWidth="1"/>
    <col min="6913" max="6913" width="10" style="1" customWidth="1"/>
    <col min="6914" max="6914" width="12.21875" style="1" customWidth="1"/>
    <col min="6915" max="6915" width="13.77734375" style="1" customWidth="1"/>
    <col min="6916" max="6916" width="12.5546875" style="1" customWidth="1"/>
    <col min="6917" max="6917" width="13" style="1" customWidth="1"/>
    <col min="6918" max="6918" width="13.77734375" style="1" bestFit="1" customWidth="1"/>
    <col min="6919" max="7164" width="9.21875" style="1"/>
    <col min="7165" max="7165" width="5" style="1" customWidth="1"/>
    <col min="7166" max="7166" width="23.77734375" style="1" customWidth="1"/>
    <col min="7167" max="7167" width="46.77734375" style="1" customWidth="1"/>
    <col min="7168" max="7168" width="5.77734375" style="1" customWidth="1"/>
    <col min="7169" max="7169" width="10" style="1" customWidth="1"/>
    <col min="7170" max="7170" width="12.21875" style="1" customWidth="1"/>
    <col min="7171" max="7171" width="13.77734375" style="1" customWidth="1"/>
    <col min="7172" max="7172" width="12.5546875" style="1" customWidth="1"/>
    <col min="7173" max="7173" width="13" style="1" customWidth="1"/>
    <col min="7174" max="7174" width="13.77734375" style="1" bestFit="1" customWidth="1"/>
    <col min="7175" max="7420" width="9.21875" style="1"/>
    <col min="7421" max="7421" width="5" style="1" customWidth="1"/>
    <col min="7422" max="7422" width="23.77734375" style="1" customWidth="1"/>
    <col min="7423" max="7423" width="46.77734375" style="1" customWidth="1"/>
    <col min="7424" max="7424" width="5.77734375" style="1" customWidth="1"/>
    <col min="7425" max="7425" width="10" style="1" customWidth="1"/>
    <col min="7426" max="7426" width="12.21875" style="1" customWidth="1"/>
    <col min="7427" max="7427" width="13.77734375" style="1" customWidth="1"/>
    <col min="7428" max="7428" width="12.5546875" style="1" customWidth="1"/>
    <col min="7429" max="7429" width="13" style="1" customWidth="1"/>
    <col min="7430" max="7430" width="13.77734375" style="1" bestFit="1" customWidth="1"/>
    <col min="7431" max="7676" width="9.21875" style="1"/>
    <col min="7677" max="7677" width="5" style="1" customWidth="1"/>
    <col min="7678" max="7678" width="23.77734375" style="1" customWidth="1"/>
    <col min="7679" max="7679" width="46.77734375" style="1" customWidth="1"/>
    <col min="7680" max="7680" width="5.77734375" style="1" customWidth="1"/>
    <col min="7681" max="7681" width="10" style="1" customWidth="1"/>
    <col min="7682" max="7682" width="12.21875" style="1" customWidth="1"/>
    <col min="7683" max="7683" width="13.77734375" style="1" customWidth="1"/>
    <col min="7684" max="7684" width="12.5546875" style="1" customWidth="1"/>
    <col min="7685" max="7685" width="13" style="1" customWidth="1"/>
    <col min="7686" max="7686" width="13.77734375" style="1" bestFit="1" customWidth="1"/>
    <col min="7687" max="7932" width="9.21875" style="1"/>
    <col min="7933" max="7933" width="5" style="1" customWidth="1"/>
    <col min="7934" max="7934" width="23.77734375" style="1" customWidth="1"/>
    <col min="7935" max="7935" width="46.77734375" style="1" customWidth="1"/>
    <col min="7936" max="7936" width="5.77734375" style="1" customWidth="1"/>
    <col min="7937" max="7937" width="10" style="1" customWidth="1"/>
    <col min="7938" max="7938" width="12.21875" style="1" customWidth="1"/>
    <col min="7939" max="7939" width="13.77734375" style="1" customWidth="1"/>
    <col min="7940" max="7940" width="12.5546875" style="1" customWidth="1"/>
    <col min="7941" max="7941" width="13" style="1" customWidth="1"/>
    <col min="7942" max="7942" width="13.77734375" style="1" bestFit="1" customWidth="1"/>
    <col min="7943" max="8188" width="9.21875" style="1"/>
    <col min="8189" max="8189" width="5" style="1" customWidth="1"/>
    <col min="8190" max="8190" width="23.77734375" style="1" customWidth="1"/>
    <col min="8191" max="8191" width="46.77734375" style="1" customWidth="1"/>
    <col min="8192" max="8192" width="5.77734375" style="1" customWidth="1"/>
    <col min="8193" max="8193" width="10" style="1" customWidth="1"/>
    <col min="8194" max="8194" width="12.21875" style="1" customWidth="1"/>
    <col min="8195" max="8195" width="13.77734375" style="1" customWidth="1"/>
    <col min="8196" max="8196" width="12.5546875" style="1" customWidth="1"/>
    <col min="8197" max="8197" width="13" style="1" customWidth="1"/>
    <col min="8198" max="8198" width="13.77734375" style="1" bestFit="1" customWidth="1"/>
    <col min="8199" max="8444" width="9.21875" style="1"/>
    <col min="8445" max="8445" width="5" style="1" customWidth="1"/>
    <col min="8446" max="8446" width="23.77734375" style="1" customWidth="1"/>
    <col min="8447" max="8447" width="46.77734375" style="1" customWidth="1"/>
    <col min="8448" max="8448" width="5.77734375" style="1" customWidth="1"/>
    <col min="8449" max="8449" width="10" style="1" customWidth="1"/>
    <col min="8450" max="8450" width="12.21875" style="1" customWidth="1"/>
    <col min="8451" max="8451" width="13.77734375" style="1" customWidth="1"/>
    <col min="8452" max="8452" width="12.5546875" style="1" customWidth="1"/>
    <col min="8453" max="8453" width="13" style="1" customWidth="1"/>
    <col min="8454" max="8454" width="13.77734375" style="1" bestFit="1" customWidth="1"/>
    <col min="8455" max="8700" width="9.21875" style="1"/>
    <col min="8701" max="8701" width="5" style="1" customWidth="1"/>
    <col min="8702" max="8702" width="23.77734375" style="1" customWidth="1"/>
    <col min="8703" max="8703" width="46.77734375" style="1" customWidth="1"/>
    <col min="8704" max="8704" width="5.77734375" style="1" customWidth="1"/>
    <col min="8705" max="8705" width="10" style="1" customWidth="1"/>
    <col min="8706" max="8706" width="12.21875" style="1" customWidth="1"/>
    <col min="8707" max="8707" width="13.77734375" style="1" customWidth="1"/>
    <col min="8708" max="8708" width="12.5546875" style="1" customWidth="1"/>
    <col min="8709" max="8709" width="13" style="1" customWidth="1"/>
    <col min="8710" max="8710" width="13.77734375" style="1" bestFit="1" customWidth="1"/>
    <col min="8711" max="8956" width="9.21875" style="1"/>
    <col min="8957" max="8957" width="5" style="1" customWidth="1"/>
    <col min="8958" max="8958" width="23.77734375" style="1" customWidth="1"/>
    <col min="8959" max="8959" width="46.77734375" style="1" customWidth="1"/>
    <col min="8960" max="8960" width="5.77734375" style="1" customWidth="1"/>
    <col min="8961" max="8961" width="10" style="1" customWidth="1"/>
    <col min="8962" max="8962" width="12.21875" style="1" customWidth="1"/>
    <col min="8963" max="8963" width="13.77734375" style="1" customWidth="1"/>
    <col min="8964" max="8964" width="12.5546875" style="1" customWidth="1"/>
    <col min="8965" max="8965" width="13" style="1" customWidth="1"/>
    <col min="8966" max="8966" width="13.77734375" style="1" bestFit="1" customWidth="1"/>
    <col min="8967" max="9212" width="9.21875" style="1"/>
    <col min="9213" max="9213" width="5" style="1" customWidth="1"/>
    <col min="9214" max="9214" width="23.77734375" style="1" customWidth="1"/>
    <col min="9215" max="9215" width="46.77734375" style="1" customWidth="1"/>
    <col min="9216" max="9216" width="5.77734375" style="1" customWidth="1"/>
    <col min="9217" max="9217" width="10" style="1" customWidth="1"/>
    <col min="9218" max="9218" width="12.21875" style="1" customWidth="1"/>
    <col min="9219" max="9219" width="13.77734375" style="1" customWidth="1"/>
    <col min="9220" max="9220" width="12.5546875" style="1" customWidth="1"/>
    <col min="9221" max="9221" width="13" style="1" customWidth="1"/>
    <col min="9222" max="9222" width="13.77734375" style="1" bestFit="1" customWidth="1"/>
    <col min="9223" max="9468" width="9.21875" style="1"/>
    <col min="9469" max="9469" width="5" style="1" customWidth="1"/>
    <col min="9470" max="9470" width="23.77734375" style="1" customWidth="1"/>
    <col min="9471" max="9471" width="46.77734375" style="1" customWidth="1"/>
    <col min="9472" max="9472" width="5.77734375" style="1" customWidth="1"/>
    <col min="9473" max="9473" width="10" style="1" customWidth="1"/>
    <col min="9474" max="9474" width="12.21875" style="1" customWidth="1"/>
    <col min="9475" max="9475" width="13.77734375" style="1" customWidth="1"/>
    <col min="9476" max="9476" width="12.5546875" style="1" customWidth="1"/>
    <col min="9477" max="9477" width="13" style="1" customWidth="1"/>
    <col min="9478" max="9478" width="13.77734375" style="1" bestFit="1" customWidth="1"/>
    <col min="9479" max="9724" width="9.21875" style="1"/>
    <col min="9725" max="9725" width="5" style="1" customWidth="1"/>
    <col min="9726" max="9726" width="23.77734375" style="1" customWidth="1"/>
    <col min="9727" max="9727" width="46.77734375" style="1" customWidth="1"/>
    <col min="9728" max="9728" width="5.77734375" style="1" customWidth="1"/>
    <col min="9729" max="9729" width="10" style="1" customWidth="1"/>
    <col min="9730" max="9730" width="12.21875" style="1" customWidth="1"/>
    <col min="9731" max="9731" width="13.77734375" style="1" customWidth="1"/>
    <col min="9732" max="9732" width="12.5546875" style="1" customWidth="1"/>
    <col min="9733" max="9733" width="13" style="1" customWidth="1"/>
    <col min="9734" max="9734" width="13.77734375" style="1" bestFit="1" customWidth="1"/>
    <col min="9735" max="9980" width="9.21875" style="1"/>
    <col min="9981" max="9981" width="5" style="1" customWidth="1"/>
    <col min="9982" max="9982" width="23.77734375" style="1" customWidth="1"/>
    <col min="9983" max="9983" width="46.77734375" style="1" customWidth="1"/>
    <col min="9984" max="9984" width="5.77734375" style="1" customWidth="1"/>
    <col min="9985" max="9985" width="10" style="1" customWidth="1"/>
    <col min="9986" max="9986" width="12.21875" style="1" customWidth="1"/>
    <col min="9987" max="9987" width="13.77734375" style="1" customWidth="1"/>
    <col min="9988" max="9988" width="12.5546875" style="1" customWidth="1"/>
    <col min="9989" max="9989" width="13" style="1" customWidth="1"/>
    <col min="9990" max="9990" width="13.77734375" style="1" bestFit="1" customWidth="1"/>
    <col min="9991" max="10236" width="9.21875" style="1"/>
    <col min="10237" max="10237" width="5" style="1" customWidth="1"/>
    <col min="10238" max="10238" width="23.77734375" style="1" customWidth="1"/>
    <col min="10239" max="10239" width="46.77734375" style="1" customWidth="1"/>
    <col min="10240" max="10240" width="5.77734375" style="1" customWidth="1"/>
    <col min="10241" max="10241" width="10" style="1" customWidth="1"/>
    <col min="10242" max="10242" width="12.21875" style="1" customWidth="1"/>
    <col min="10243" max="10243" width="13.77734375" style="1" customWidth="1"/>
    <col min="10244" max="10244" width="12.5546875" style="1" customWidth="1"/>
    <col min="10245" max="10245" width="13" style="1" customWidth="1"/>
    <col min="10246" max="10246" width="13.77734375" style="1" bestFit="1" customWidth="1"/>
    <col min="10247" max="10492" width="9.21875" style="1"/>
    <col min="10493" max="10493" width="5" style="1" customWidth="1"/>
    <col min="10494" max="10494" width="23.77734375" style="1" customWidth="1"/>
    <col min="10495" max="10495" width="46.77734375" style="1" customWidth="1"/>
    <col min="10496" max="10496" width="5.77734375" style="1" customWidth="1"/>
    <col min="10497" max="10497" width="10" style="1" customWidth="1"/>
    <col min="10498" max="10498" width="12.21875" style="1" customWidth="1"/>
    <col min="10499" max="10499" width="13.77734375" style="1" customWidth="1"/>
    <col min="10500" max="10500" width="12.5546875" style="1" customWidth="1"/>
    <col min="10501" max="10501" width="13" style="1" customWidth="1"/>
    <col min="10502" max="10502" width="13.77734375" style="1" bestFit="1" customWidth="1"/>
    <col min="10503" max="10748" width="9.21875" style="1"/>
    <col min="10749" max="10749" width="5" style="1" customWidth="1"/>
    <col min="10750" max="10750" width="23.77734375" style="1" customWidth="1"/>
    <col min="10751" max="10751" width="46.77734375" style="1" customWidth="1"/>
    <col min="10752" max="10752" width="5.77734375" style="1" customWidth="1"/>
    <col min="10753" max="10753" width="10" style="1" customWidth="1"/>
    <col min="10754" max="10754" width="12.21875" style="1" customWidth="1"/>
    <col min="10755" max="10755" width="13.77734375" style="1" customWidth="1"/>
    <col min="10756" max="10756" width="12.5546875" style="1" customWidth="1"/>
    <col min="10757" max="10757" width="13" style="1" customWidth="1"/>
    <col min="10758" max="10758" width="13.77734375" style="1" bestFit="1" customWidth="1"/>
    <col min="10759" max="11004" width="9.21875" style="1"/>
    <col min="11005" max="11005" width="5" style="1" customWidth="1"/>
    <col min="11006" max="11006" width="23.77734375" style="1" customWidth="1"/>
    <col min="11007" max="11007" width="46.77734375" style="1" customWidth="1"/>
    <col min="11008" max="11008" width="5.77734375" style="1" customWidth="1"/>
    <col min="11009" max="11009" width="10" style="1" customWidth="1"/>
    <col min="11010" max="11010" width="12.21875" style="1" customWidth="1"/>
    <col min="11011" max="11011" width="13.77734375" style="1" customWidth="1"/>
    <col min="11012" max="11012" width="12.5546875" style="1" customWidth="1"/>
    <col min="11013" max="11013" width="13" style="1" customWidth="1"/>
    <col min="11014" max="11014" width="13.77734375" style="1" bestFit="1" customWidth="1"/>
    <col min="11015" max="11260" width="9.21875" style="1"/>
    <col min="11261" max="11261" width="5" style="1" customWidth="1"/>
    <col min="11262" max="11262" width="23.77734375" style="1" customWidth="1"/>
    <col min="11263" max="11263" width="46.77734375" style="1" customWidth="1"/>
    <col min="11264" max="11264" width="5.77734375" style="1" customWidth="1"/>
    <col min="11265" max="11265" width="10" style="1" customWidth="1"/>
    <col min="11266" max="11266" width="12.21875" style="1" customWidth="1"/>
    <col min="11267" max="11267" width="13.77734375" style="1" customWidth="1"/>
    <col min="11268" max="11268" width="12.5546875" style="1" customWidth="1"/>
    <col min="11269" max="11269" width="13" style="1" customWidth="1"/>
    <col min="11270" max="11270" width="13.77734375" style="1" bestFit="1" customWidth="1"/>
    <col min="11271" max="11516" width="9.21875" style="1"/>
    <col min="11517" max="11517" width="5" style="1" customWidth="1"/>
    <col min="11518" max="11518" width="23.77734375" style="1" customWidth="1"/>
    <col min="11519" max="11519" width="46.77734375" style="1" customWidth="1"/>
    <col min="11520" max="11520" width="5.77734375" style="1" customWidth="1"/>
    <col min="11521" max="11521" width="10" style="1" customWidth="1"/>
    <col min="11522" max="11522" width="12.21875" style="1" customWidth="1"/>
    <col min="11523" max="11523" width="13.77734375" style="1" customWidth="1"/>
    <col min="11524" max="11524" width="12.5546875" style="1" customWidth="1"/>
    <col min="11525" max="11525" width="13" style="1" customWidth="1"/>
    <col min="11526" max="11526" width="13.77734375" style="1" bestFit="1" customWidth="1"/>
    <col min="11527" max="11772" width="9.21875" style="1"/>
    <col min="11773" max="11773" width="5" style="1" customWidth="1"/>
    <col min="11774" max="11774" width="23.77734375" style="1" customWidth="1"/>
    <col min="11775" max="11775" width="46.77734375" style="1" customWidth="1"/>
    <col min="11776" max="11776" width="5.77734375" style="1" customWidth="1"/>
    <col min="11777" max="11777" width="10" style="1" customWidth="1"/>
    <col min="11778" max="11778" width="12.21875" style="1" customWidth="1"/>
    <col min="11779" max="11779" width="13.77734375" style="1" customWidth="1"/>
    <col min="11780" max="11780" width="12.5546875" style="1" customWidth="1"/>
    <col min="11781" max="11781" width="13" style="1" customWidth="1"/>
    <col min="11782" max="11782" width="13.77734375" style="1" bestFit="1" customWidth="1"/>
    <col min="11783" max="12028" width="9.21875" style="1"/>
    <col min="12029" max="12029" width="5" style="1" customWidth="1"/>
    <col min="12030" max="12030" width="23.77734375" style="1" customWidth="1"/>
    <col min="12031" max="12031" width="46.77734375" style="1" customWidth="1"/>
    <col min="12032" max="12032" width="5.77734375" style="1" customWidth="1"/>
    <col min="12033" max="12033" width="10" style="1" customWidth="1"/>
    <col min="12034" max="12034" width="12.21875" style="1" customWidth="1"/>
    <col min="12035" max="12035" width="13.77734375" style="1" customWidth="1"/>
    <col min="12036" max="12036" width="12.5546875" style="1" customWidth="1"/>
    <col min="12037" max="12037" width="13" style="1" customWidth="1"/>
    <col min="12038" max="12038" width="13.77734375" style="1" bestFit="1" customWidth="1"/>
    <col min="12039" max="12284" width="9.21875" style="1"/>
    <col min="12285" max="12285" width="5" style="1" customWidth="1"/>
    <col min="12286" max="12286" width="23.77734375" style="1" customWidth="1"/>
    <col min="12287" max="12287" width="46.77734375" style="1" customWidth="1"/>
    <col min="12288" max="12288" width="5.77734375" style="1" customWidth="1"/>
    <col min="12289" max="12289" width="10" style="1" customWidth="1"/>
    <col min="12290" max="12290" width="12.21875" style="1" customWidth="1"/>
    <col min="12291" max="12291" width="13.77734375" style="1" customWidth="1"/>
    <col min="12292" max="12292" width="12.5546875" style="1" customWidth="1"/>
    <col min="12293" max="12293" width="13" style="1" customWidth="1"/>
    <col min="12294" max="12294" width="13.77734375" style="1" bestFit="1" customWidth="1"/>
    <col min="12295" max="12540" width="9.21875" style="1"/>
    <col min="12541" max="12541" width="5" style="1" customWidth="1"/>
    <col min="12542" max="12542" width="23.77734375" style="1" customWidth="1"/>
    <col min="12543" max="12543" width="46.77734375" style="1" customWidth="1"/>
    <col min="12544" max="12544" width="5.77734375" style="1" customWidth="1"/>
    <col min="12545" max="12545" width="10" style="1" customWidth="1"/>
    <col min="12546" max="12546" width="12.21875" style="1" customWidth="1"/>
    <col min="12547" max="12547" width="13.77734375" style="1" customWidth="1"/>
    <col min="12548" max="12548" width="12.5546875" style="1" customWidth="1"/>
    <col min="12549" max="12549" width="13" style="1" customWidth="1"/>
    <col min="12550" max="12550" width="13.77734375" style="1" bestFit="1" customWidth="1"/>
    <col min="12551" max="12796" width="9.21875" style="1"/>
    <col min="12797" max="12797" width="5" style="1" customWidth="1"/>
    <col min="12798" max="12798" width="23.77734375" style="1" customWidth="1"/>
    <col min="12799" max="12799" width="46.77734375" style="1" customWidth="1"/>
    <col min="12800" max="12800" width="5.77734375" style="1" customWidth="1"/>
    <col min="12801" max="12801" width="10" style="1" customWidth="1"/>
    <col min="12802" max="12802" width="12.21875" style="1" customWidth="1"/>
    <col min="12803" max="12803" width="13.77734375" style="1" customWidth="1"/>
    <col min="12804" max="12804" width="12.5546875" style="1" customWidth="1"/>
    <col min="12805" max="12805" width="13" style="1" customWidth="1"/>
    <col min="12806" max="12806" width="13.77734375" style="1" bestFit="1" customWidth="1"/>
    <col min="12807" max="13052" width="9.21875" style="1"/>
    <col min="13053" max="13053" width="5" style="1" customWidth="1"/>
    <col min="13054" max="13054" width="23.77734375" style="1" customWidth="1"/>
    <col min="13055" max="13055" width="46.77734375" style="1" customWidth="1"/>
    <col min="13056" max="13056" width="5.77734375" style="1" customWidth="1"/>
    <col min="13057" max="13057" width="10" style="1" customWidth="1"/>
    <col min="13058" max="13058" width="12.21875" style="1" customWidth="1"/>
    <col min="13059" max="13059" width="13.77734375" style="1" customWidth="1"/>
    <col min="13060" max="13060" width="12.5546875" style="1" customWidth="1"/>
    <col min="13061" max="13061" width="13" style="1" customWidth="1"/>
    <col min="13062" max="13062" width="13.77734375" style="1" bestFit="1" customWidth="1"/>
    <col min="13063" max="13308" width="9.21875" style="1"/>
    <col min="13309" max="13309" width="5" style="1" customWidth="1"/>
    <col min="13310" max="13310" width="23.77734375" style="1" customWidth="1"/>
    <col min="13311" max="13311" width="46.77734375" style="1" customWidth="1"/>
    <col min="13312" max="13312" width="5.77734375" style="1" customWidth="1"/>
    <col min="13313" max="13313" width="10" style="1" customWidth="1"/>
    <col min="13314" max="13314" width="12.21875" style="1" customWidth="1"/>
    <col min="13315" max="13315" width="13.77734375" style="1" customWidth="1"/>
    <col min="13316" max="13316" width="12.5546875" style="1" customWidth="1"/>
    <col min="13317" max="13317" width="13" style="1" customWidth="1"/>
    <col min="13318" max="13318" width="13.77734375" style="1" bestFit="1" customWidth="1"/>
    <col min="13319" max="13564" width="9.21875" style="1"/>
    <col min="13565" max="13565" width="5" style="1" customWidth="1"/>
    <col min="13566" max="13566" width="23.77734375" style="1" customWidth="1"/>
    <col min="13567" max="13567" width="46.77734375" style="1" customWidth="1"/>
    <col min="13568" max="13568" width="5.77734375" style="1" customWidth="1"/>
    <col min="13569" max="13569" width="10" style="1" customWidth="1"/>
    <col min="13570" max="13570" width="12.21875" style="1" customWidth="1"/>
    <col min="13571" max="13571" width="13.77734375" style="1" customWidth="1"/>
    <col min="13572" max="13572" width="12.5546875" style="1" customWidth="1"/>
    <col min="13573" max="13573" width="13" style="1" customWidth="1"/>
    <col min="13574" max="13574" width="13.77734375" style="1" bestFit="1" customWidth="1"/>
    <col min="13575" max="13820" width="9.21875" style="1"/>
    <col min="13821" max="13821" width="5" style="1" customWidth="1"/>
    <col min="13822" max="13822" width="23.77734375" style="1" customWidth="1"/>
    <col min="13823" max="13823" width="46.77734375" style="1" customWidth="1"/>
    <col min="13824" max="13824" width="5.77734375" style="1" customWidth="1"/>
    <col min="13825" max="13825" width="10" style="1" customWidth="1"/>
    <col min="13826" max="13826" width="12.21875" style="1" customWidth="1"/>
    <col min="13827" max="13827" width="13.77734375" style="1" customWidth="1"/>
    <col min="13828" max="13828" width="12.5546875" style="1" customWidth="1"/>
    <col min="13829" max="13829" width="13" style="1" customWidth="1"/>
    <col min="13830" max="13830" width="13.77734375" style="1" bestFit="1" customWidth="1"/>
    <col min="13831" max="14076" width="9.21875" style="1"/>
    <col min="14077" max="14077" width="5" style="1" customWidth="1"/>
    <col min="14078" max="14078" width="23.77734375" style="1" customWidth="1"/>
    <col min="14079" max="14079" width="46.77734375" style="1" customWidth="1"/>
    <col min="14080" max="14080" width="5.77734375" style="1" customWidth="1"/>
    <col min="14081" max="14081" width="10" style="1" customWidth="1"/>
    <col min="14082" max="14082" width="12.21875" style="1" customWidth="1"/>
    <col min="14083" max="14083" width="13.77734375" style="1" customWidth="1"/>
    <col min="14084" max="14084" width="12.5546875" style="1" customWidth="1"/>
    <col min="14085" max="14085" width="13" style="1" customWidth="1"/>
    <col min="14086" max="14086" width="13.77734375" style="1" bestFit="1" customWidth="1"/>
    <col min="14087" max="14332" width="9.21875" style="1"/>
    <col min="14333" max="14333" width="5" style="1" customWidth="1"/>
    <col min="14334" max="14334" width="23.77734375" style="1" customWidth="1"/>
    <col min="14335" max="14335" width="46.77734375" style="1" customWidth="1"/>
    <col min="14336" max="14336" width="5.77734375" style="1" customWidth="1"/>
    <col min="14337" max="14337" width="10" style="1" customWidth="1"/>
    <col min="14338" max="14338" width="12.21875" style="1" customWidth="1"/>
    <col min="14339" max="14339" width="13.77734375" style="1" customWidth="1"/>
    <col min="14340" max="14340" width="12.5546875" style="1" customWidth="1"/>
    <col min="14341" max="14341" width="13" style="1" customWidth="1"/>
    <col min="14342" max="14342" width="13.77734375" style="1" bestFit="1" customWidth="1"/>
    <col min="14343" max="14588" width="9.21875" style="1"/>
    <col min="14589" max="14589" width="5" style="1" customWidth="1"/>
    <col min="14590" max="14590" width="23.77734375" style="1" customWidth="1"/>
    <col min="14591" max="14591" width="46.77734375" style="1" customWidth="1"/>
    <col min="14592" max="14592" width="5.77734375" style="1" customWidth="1"/>
    <col min="14593" max="14593" width="10" style="1" customWidth="1"/>
    <col min="14594" max="14594" width="12.21875" style="1" customWidth="1"/>
    <col min="14595" max="14595" width="13.77734375" style="1" customWidth="1"/>
    <col min="14596" max="14596" width="12.5546875" style="1" customWidth="1"/>
    <col min="14597" max="14597" width="13" style="1" customWidth="1"/>
    <col min="14598" max="14598" width="13.77734375" style="1" bestFit="1" customWidth="1"/>
    <col min="14599" max="14844" width="9.21875" style="1"/>
    <col min="14845" max="14845" width="5" style="1" customWidth="1"/>
    <col min="14846" max="14846" width="23.77734375" style="1" customWidth="1"/>
    <col min="14847" max="14847" width="46.77734375" style="1" customWidth="1"/>
    <col min="14848" max="14848" width="5.77734375" style="1" customWidth="1"/>
    <col min="14849" max="14849" width="10" style="1" customWidth="1"/>
    <col min="14850" max="14850" width="12.21875" style="1" customWidth="1"/>
    <col min="14851" max="14851" width="13.77734375" style="1" customWidth="1"/>
    <col min="14852" max="14852" width="12.5546875" style="1" customWidth="1"/>
    <col min="14853" max="14853" width="13" style="1" customWidth="1"/>
    <col min="14854" max="14854" width="13.77734375" style="1" bestFit="1" customWidth="1"/>
    <col min="14855" max="15100" width="9.21875" style="1"/>
    <col min="15101" max="15101" width="5" style="1" customWidth="1"/>
    <col min="15102" max="15102" width="23.77734375" style="1" customWidth="1"/>
    <col min="15103" max="15103" width="46.77734375" style="1" customWidth="1"/>
    <col min="15104" max="15104" width="5.77734375" style="1" customWidth="1"/>
    <col min="15105" max="15105" width="10" style="1" customWidth="1"/>
    <col min="15106" max="15106" width="12.21875" style="1" customWidth="1"/>
    <col min="15107" max="15107" width="13.77734375" style="1" customWidth="1"/>
    <col min="15108" max="15108" width="12.5546875" style="1" customWidth="1"/>
    <col min="15109" max="15109" width="13" style="1" customWidth="1"/>
    <col min="15110" max="15110" width="13.77734375" style="1" bestFit="1" customWidth="1"/>
    <col min="15111" max="15356" width="9.21875" style="1"/>
    <col min="15357" max="15357" width="5" style="1" customWidth="1"/>
    <col min="15358" max="15358" width="23.77734375" style="1" customWidth="1"/>
    <col min="15359" max="15359" width="46.77734375" style="1" customWidth="1"/>
    <col min="15360" max="15360" width="5.77734375" style="1" customWidth="1"/>
    <col min="15361" max="15361" width="10" style="1" customWidth="1"/>
    <col min="15362" max="15362" width="12.21875" style="1" customWidth="1"/>
    <col min="15363" max="15363" width="13.77734375" style="1" customWidth="1"/>
    <col min="15364" max="15364" width="12.5546875" style="1" customWidth="1"/>
    <col min="15365" max="15365" width="13" style="1" customWidth="1"/>
    <col min="15366" max="15366" width="13.77734375" style="1" bestFit="1" customWidth="1"/>
    <col min="15367" max="15612" width="9.21875" style="1"/>
    <col min="15613" max="15613" width="5" style="1" customWidth="1"/>
    <col min="15614" max="15614" width="23.77734375" style="1" customWidth="1"/>
    <col min="15615" max="15615" width="46.77734375" style="1" customWidth="1"/>
    <col min="15616" max="15616" width="5.77734375" style="1" customWidth="1"/>
    <col min="15617" max="15617" width="10" style="1" customWidth="1"/>
    <col min="15618" max="15618" width="12.21875" style="1" customWidth="1"/>
    <col min="15619" max="15619" width="13.77734375" style="1" customWidth="1"/>
    <col min="15620" max="15620" width="12.5546875" style="1" customWidth="1"/>
    <col min="15621" max="15621" width="13" style="1" customWidth="1"/>
    <col min="15622" max="15622" width="13.77734375" style="1" bestFit="1" customWidth="1"/>
    <col min="15623" max="15868" width="9.21875" style="1"/>
    <col min="15869" max="15869" width="5" style="1" customWidth="1"/>
    <col min="15870" max="15870" width="23.77734375" style="1" customWidth="1"/>
    <col min="15871" max="15871" width="46.77734375" style="1" customWidth="1"/>
    <col min="15872" max="15872" width="5.77734375" style="1" customWidth="1"/>
    <col min="15873" max="15873" width="10" style="1" customWidth="1"/>
    <col min="15874" max="15874" width="12.21875" style="1" customWidth="1"/>
    <col min="15875" max="15875" width="13.77734375" style="1" customWidth="1"/>
    <col min="15876" max="15876" width="12.5546875" style="1" customWidth="1"/>
    <col min="15877" max="15877" width="13" style="1" customWidth="1"/>
    <col min="15878" max="15878" width="13.77734375" style="1" bestFit="1" customWidth="1"/>
    <col min="15879" max="16124" width="9.21875" style="1"/>
    <col min="16125" max="16125" width="5" style="1" customWidth="1"/>
    <col min="16126" max="16126" width="23.77734375" style="1" customWidth="1"/>
    <col min="16127" max="16127" width="46.77734375" style="1" customWidth="1"/>
    <col min="16128" max="16128" width="5.77734375" style="1" customWidth="1"/>
    <col min="16129" max="16129" width="10" style="1" customWidth="1"/>
    <col min="16130" max="16130" width="12.21875" style="1" customWidth="1"/>
    <col min="16131" max="16131" width="13.77734375" style="1" customWidth="1"/>
    <col min="16132" max="16132" width="12.5546875" style="1" customWidth="1"/>
    <col min="16133" max="16133" width="13" style="1" customWidth="1"/>
    <col min="16134" max="16134" width="13.77734375" style="1" bestFit="1" customWidth="1"/>
    <col min="16135" max="16375" width="9.21875" style="1"/>
    <col min="16376" max="16384" width="9.21875" style="1" customWidth="1"/>
  </cols>
  <sheetData>
    <row r="1" spans="1:23" ht="12.75" customHeight="1" x14ac:dyDescent="0.3">
      <c r="C1" s="59"/>
      <c r="D1" s="59"/>
      <c r="E1" s="83" t="s">
        <v>6</v>
      </c>
      <c r="F1" s="84"/>
      <c r="G1" s="84"/>
      <c r="H1" s="84"/>
      <c r="I1" s="84"/>
      <c r="J1" s="84"/>
      <c r="K1" s="84"/>
      <c r="L1" s="84"/>
    </row>
    <row r="2" spans="1:23" ht="12.75" customHeight="1" x14ac:dyDescent="0.3">
      <c r="C2" s="60"/>
      <c r="D2" s="60"/>
      <c r="E2" s="85"/>
      <c r="F2" s="86"/>
      <c r="G2" s="86"/>
      <c r="H2" s="86"/>
      <c r="I2" s="86"/>
      <c r="J2" s="86"/>
      <c r="K2" s="86"/>
      <c r="L2" s="86"/>
    </row>
    <row r="3" spans="1:23" ht="12.75" customHeight="1" x14ac:dyDescent="0.3">
      <c r="C3" s="60"/>
      <c r="D3" s="60"/>
      <c r="E3" s="85"/>
      <c r="F3" s="86"/>
      <c r="G3" s="86"/>
      <c r="H3" s="86"/>
      <c r="I3" s="86"/>
      <c r="J3" s="86"/>
      <c r="K3" s="86"/>
      <c r="L3" s="86"/>
    </row>
    <row r="4" spans="1:23" ht="51" customHeight="1" x14ac:dyDescent="0.3">
      <c r="A4" s="61"/>
      <c r="B4" s="87" t="s">
        <v>0</v>
      </c>
      <c r="C4" s="88"/>
      <c r="D4" s="88"/>
      <c r="E4" s="88"/>
      <c r="F4" s="88"/>
      <c r="G4" s="88"/>
      <c r="H4" s="88"/>
      <c r="I4" s="88"/>
      <c r="J4" s="88"/>
      <c r="K4" s="88"/>
      <c r="L4" s="88"/>
    </row>
    <row r="5" spans="1:23" ht="16.2" customHeight="1" x14ac:dyDescent="0.3">
      <c r="A5" s="94" t="s">
        <v>77</v>
      </c>
      <c r="B5" s="95"/>
      <c r="C5" s="95"/>
      <c r="D5" s="95"/>
      <c r="E5" s="96"/>
      <c r="F5" s="91" t="s">
        <v>10</v>
      </c>
      <c r="G5" s="92"/>
      <c r="H5" s="92"/>
      <c r="I5" s="92"/>
      <c r="J5" s="92"/>
      <c r="K5" s="92"/>
      <c r="L5" s="93"/>
      <c r="M5" s="26"/>
    </row>
    <row r="6" spans="1:23" ht="16.2" customHeight="1" x14ac:dyDescent="0.3">
      <c r="A6" s="94" t="s">
        <v>79</v>
      </c>
      <c r="B6" s="95"/>
      <c r="C6" s="95"/>
      <c r="D6" s="95"/>
      <c r="E6" s="96"/>
      <c r="F6" s="97" t="s">
        <v>236</v>
      </c>
      <c r="G6" s="98"/>
      <c r="H6" s="98"/>
      <c r="I6" s="98"/>
      <c r="J6" s="98"/>
      <c r="K6" s="98"/>
      <c r="L6" s="99"/>
    </row>
    <row r="7" spans="1:23" ht="16.2" customHeight="1" x14ac:dyDescent="0.3">
      <c r="A7" s="94" t="s">
        <v>78</v>
      </c>
      <c r="B7" s="95"/>
      <c r="C7" s="95"/>
      <c r="D7" s="95"/>
      <c r="E7" s="96"/>
      <c r="F7" s="97" t="s">
        <v>234</v>
      </c>
      <c r="G7" s="98"/>
      <c r="H7" s="98"/>
      <c r="I7" s="98"/>
      <c r="J7" s="98"/>
      <c r="K7" s="98"/>
      <c r="L7" s="99"/>
    </row>
    <row r="8" spans="1:23" ht="16.2" customHeight="1" x14ac:dyDescent="0.3">
      <c r="A8" s="100" t="s">
        <v>80</v>
      </c>
      <c r="B8" s="101"/>
      <c r="C8" s="101"/>
      <c r="D8" s="101"/>
      <c r="E8" s="102"/>
      <c r="F8" s="97" t="s">
        <v>14</v>
      </c>
      <c r="G8" s="98"/>
      <c r="H8" s="98"/>
      <c r="I8" s="98"/>
      <c r="J8" s="98"/>
      <c r="K8" s="98"/>
      <c r="L8" s="99"/>
    </row>
    <row r="9" spans="1:23" ht="16.2" customHeight="1" x14ac:dyDescent="0.3">
      <c r="A9" s="100" t="s">
        <v>30</v>
      </c>
      <c r="B9" s="101"/>
      <c r="C9" s="101"/>
      <c r="D9" s="101"/>
      <c r="E9" s="102"/>
      <c r="F9" s="97" t="s">
        <v>15</v>
      </c>
      <c r="G9" s="98"/>
      <c r="H9" s="98"/>
      <c r="I9" s="98"/>
      <c r="J9" s="98"/>
      <c r="K9" s="98"/>
      <c r="L9" s="99"/>
      <c r="N9" s="24">
        <f>18470*1.1</f>
        <v>20317</v>
      </c>
    </row>
    <row r="10" spans="1:23" ht="16.2" customHeight="1" x14ac:dyDescent="0.3">
      <c r="A10" s="94" t="s">
        <v>85</v>
      </c>
      <c r="B10" s="95"/>
      <c r="C10" s="95"/>
      <c r="D10" s="95"/>
      <c r="E10" s="96"/>
      <c r="F10" s="98" t="s">
        <v>238</v>
      </c>
      <c r="G10" s="98"/>
      <c r="H10" s="98"/>
      <c r="I10" s="98"/>
      <c r="J10" s="98"/>
      <c r="K10" s="98"/>
      <c r="L10" s="99"/>
      <c r="M10" s="24" t="e">
        <f>#REF!*1.1</f>
        <v>#REF!</v>
      </c>
      <c r="N10" s="24">
        <f>12100000*1.1</f>
        <v>13310000.000000002</v>
      </c>
    </row>
    <row r="11" spans="1:23" x14ac:dyDescent="0.3">
      <c r="A11" s="62"/>
      <c r="B11" s="89"/>
      <c r="C11" s="90"/>
      <c r="D11" s="90"/>
      <c r="E11" s="90"/>
      <c r="F11" s="90"/>
      <c r="G11" s="90"/>
      <c r="H11" s="90"/>
      <c r="I11" s="90"/>
      <c r="J11" s="90"/>
      <c r="K11" s="90"/>
      <c r="L11" s="90"/>
      <c r="R11" s="115"/>
      <c r="S11" s="115"/>
    </row>
    <row r="12" spans="1:23" s="64" customFormat="1" ht="26.4" x14ac:dyDescent="0.3">
      <c r="A12" s="4" t="s">
        <v>1</v>
      </c>
      <c r="B12" s="4" t="s">
        <v>12</v>
      </c>
      <c r="C12" s="4" t="s">
        <v>32</v>
      </c>
      <c r="D12" s="4" t="s">
        <v>7</v>
      </c>
      <c r="E12" s="4" t="s">
        <v>8</v>
      </c>
      <c r="F12" s="4" t="s">
        <v>11</v>
      </c>
      <c r="G12" s="4" t="s">
        <v>2</v>
      </c>
      <c r="H12" s="4" t="s">
        <v>3</v>
      </c>
      <c r="I12" s="4" t="s">
        <v>19</v>
      </c>
      <c r="J12" s="4" t="s">
        <v>28</v>
      </c>
      <c r="K12" s="4" t="s">
        <v>4</v>
      </c>
      <c r="L12" s="4" t="s">
        <v>26</v>
      </c>
      <c r="M12" s="63" t="s">
        <v>235</v>
      </c>
      <c r="N12" s="27" t="s">
        <v>29</v>
      </c>
      <c r="O12" s="82" t="s">
        <v>239</v>
      </c>
      <c r="P12" s="108" t="s">
        <v>75</v>
      </c>
      <c r="Q12" s="119"/>
      <c r="R12" s="124" t="s">
        <v>21</v>
      </c>
      <c r="S12" s="124" t="s">
        <v>241</v>
      </c>
      <c r="T12" s="122" t="s">
        <v>74</v>
      </c>
      <c r="U12" s="65"/>
      <c r="W12" s="63"/>
    </row>
    <row r="13" spans="1:23" ht="15" customHeight="1" x14ac:dyDescent="0.3">
      <c r="A13" s="15"/>
      <c r="B13" s="16"/>
      <c r="C13" s="16"/>
      <c r="D13" s="16"/>
      <c r="E13" s="16"/>
      <c r="F13" s="16"/>
      <c r="G13" s="17"/>
      <c r="H13" s="18"/>
      <c r="I13" s="18"/>
      <c r="J13" s="19"/>
      <c r="K13" s="20"/>
      <c r="L13" s="20"/>
      <c r="M13" s="26"/>
      <c r="N13" s="1"/>
      <c r="O13" s="1"/>
      <c r="P13" s="1"/>
      <c r="Q13" s="120"/>
      <c r="R13" s="125"/>
      <c r="S13" s="125"/>
      <c r="T13" s="26"/>
    </row>
    <row r="14" spans="1:23" ht="39.6" x14ac:dyDescent="0.3">
      <c r="A14" s="7">
        <v>1</v>
      </c>
      <c r="B14" s="14" t="s">
        <v>213</v>
      </c>
      <c r="C14" s="14" t="s">
        <v>214</v>
      </c>
      <c r="D14" s="14" t="s">
        <v>215</v>
      </c>
      <c r="E14" s="25" t="s">
        <v>216</v>
      </c>
      <c r="F14" s="14">
        <v>3</v>
      </c>
      <c r="G14" s="10" t="s">
        <v>83</v>
      </c>
      <c r="H14" s="8">
        <f>Q14</f>
        <v>3740000</v>
      </c>
      <c r="I14" s="23">
        <v>0.08</v>
      </c>
      <c r="J14" s="9">
        <f t="shared" ref="J14:J27" si="0">+F14*H14*(1+I14)</f>
        <v>12117600</v>
      </c>
      <c r="K14" s="21" t="s">
        <v>117</v>
      </c>
      <c r="L14" s="21" t="s">
        <v>237</v>
      </c>
      <c r="M14" s="26"/>
      <c r="N14" s="39">
        <f>3570000/1.08</f>
        <v>3305555.5555555555</v>
      </c>
      <c r="O14" s="39">
        <f>N14*F14</f>
        <v>9916666.666666666</v>
      </c>
      <c r="P14" s="39">
        <f>N14*1.13</f>
        <v>3735277.7777777775</v>
      </c>
      <c r="Q14" s="121">
        <f t="shared" ref="Q14:Q39" si="1">ROUNDUP(P14,-4)</f>
        <v>3740000</v>
      </c>
      <c r="R14" s="126" t="s">
        <v>233</v>
      </c>
      <c r="S14" s="127">
        <f>3570000/1.08</f>
        <v>3305555.5555555555</v>
      </c>
      <c r="T14" s="26">
        <f t="shared" ref="T14:T19" si="2">Q14-N14</f>
        <v>434444.4444444445</v>
      </c>
      <c r="U14" s="24">
        <f t="shared" ref="U14:U19" si="3">T14*F14</f>
        <v>1303333.3333333335</v>
      </c>
      <c r="V14" s="41"/>
    </row>
    <row r="15" spans="1:23" ht="26.4" x14ac:dyDescent="0.3">
      <c r="A15" s="7">
        <v>1.1000000000000001</v>
      </c>
      <c r="B15" s="14" t="s">
        <v>217</v>
      </c>
      <c r="C15" s="14" t="s">
        <v>218</v>
      </c>
      <c r="D15" s="14" t="s">
        <v>219</v>
      </c>
      <c r="E15" s="25" t="s">
        <v>220</v>
      </c>
      <c r="F15" s="14">
        <v>3</v>
      </c>
      <c r="G15" s="10" t="s">
        <v>83</v>
      </c>
      <c r="H15" s="8">
        <f t="shared" ref="H15:H39" si="4">Q15</f>
        <v>3440000</v>
      </c>
      <c r="I15" s="23">
        <v>0.08</v>
      </c>
      <c r="J15" s="9">
        <f t="shared" si="0"/>
        <v>11145600</v>
      </c>
      <c r="K15" s="21" t="s">
        <v>117</v>
      </c>
      <c r="L15" s="21" t="s">
        <v>27</v>
      </c>
      <c r="M15" s="26"/>
      <c r="N15" s="39">
        <f>3280000/1.08</f>
        <v>3037037.0370370368</v>
      </c>
      <c r="O15" s="39">
        <f t="shared" ref="O15:O39" si="5">N15*F15</f>
        <v>9111111.1111111101</v>
      </c>
      <c r="P15" s="39">
        <f>N15*1.13</f>
        <v>3431851.8518518512</v>
      </c>
      <c r="Q15" s="121">
        <f t="shared" si="1"/>
        <v>3440000</v>
      </c>
      <c r="R15" s="126" t="s">
        <v>240</v>
      </c>
      <c r="S15" s="126">
        <f>33200000/1.08</f>
        <v>30740740.740740739</v>
      </c>
      <c r="T15" s="26">
        <f t="shared" si="2"/>
        <v>402962.96296296315</v>
      </c>
      <c r="U15" s="24">
        <f t="shared" si="3"/>
        <v>1208888.8888888895</v>
      </c>
      <c r="V15" s="41"/>
    </row>
    <row r="16" spans="1:23" ht="22.2" customHeight="1" x14ac:dyDescent="0.3">
      <c r="A16" s="7">
        <v>1.2</v>
      </c>
      <c r="B16" s="14" t="s">
        <v>226</v>
      </c>
      <c r="C16" s="14" t="s">
        <v>122</v>
      </c>
      <c r="D16" s="14" t="s">
        <v>227</v>
      </c>
      <c r="E16" s="25" t="s">
        <v>228</v>
      </c>
      <c r="F16" s="14">
        <v>3</v>
      </c>
      <c r="G16" s="10" t="s">
        <v>83</v>
      </c>
      <c r="H16" s="8">
        <f t="shared" si="4"/>
        <v>2500000</v>
      </c>
      <c r="I16" s="23">
        <v>0.08</v>
      </c>
      <c r="J16" s="9">
        <f t="shared" si="0"/>
        <v>8100000.0000000009</v>
      </c>
      <c r="K16" s="21" t="s">
        <v>117</v>
      </c>
      <c r="L16" s="21" t="s">
        <v>27</v>
      </c>
      <c r="M16" s="26"/>
      <c r="N16" s="39">
        <f>2450000/1.08</f>
        <v>2268518.5185185182</v>
      </c>
      <c r="O16" s="39">
        <f t="shared" si="5"/>
        <v>6805555.5555555541</v>
      </c>
      <c r="P16" s="39">
        <f>N16*1.1</f>
        <v>2495370.3703703703</v>
      </c>
      <c r="Q16" s="121">
        <f t="shared" si="1"/>
        <v>2500000</v>
      </c>
      <c r="R16" s="126" t="s">
        <v>240</v>
      </c>
      <c r="S16" s="127">
        <f>2350000/1.08</f>
        <v>2175925.9259259258</v>
      </c>
      <c r="T16" s="26">
        <f t="shared" si="2"/>
        <v>231481.48148148181</v>
      </c>
      <c r="U16" s="24">
        <f t="shared" si="3"/>
        <v>694444.44444444543</v>
      </c>
      <c r="V16" s="41"/>
    </row>
    <row r="17" spans="1:22" ht="26.4" x14ac:dyDescent="0.3">
      <c r="A17" s="7">
        <v>1.3</v>
      </c>
      <c r="B17" s="14" t="s">
        <v>121</v>
      </c>
      <c r="C17" s="14" t="s">
        <v>122</v>
      </c>
      <c r="D17" s="14" t="s">
        <v>124</v>
      </c>
      <c r="E17" s="25" t="s">
        <v>123</v>
      </c>
      <c r="F17" s="14">
        <v>3</v>
      </c>
      <c r="G17" s="10" t="s">
        <v>83</v>
      </c>
      <c r="H17" s="8">
        <f t="shared" si="4"/>
        <v>1000000</v>
      </c>
      <c r="I17" s="23">
        <v>0.08</v>
      </c>
      <c r="J17" s="9">
        <f t="shared" si="0"/>
        <v>3240000</v>
      </c>
      <c r="K17" s="21" t="s">
        <v>117</v>
      </c>
      <c r="L17" s="21" t="s">
        <v>27</v>
      </c>
      <c r="M17" s="26"/>
      <c r="N17" s="39">
        <f>980000/1.08</f>
        <v>907407.4074074073</v>
      </c>
      <c r="O17" s="39">
        <f t="shared" si="5"/>
        <v>2722222.222222222</v>
      </c>
      <c r="P17" s="39">
        <f>N17*1.1</f>
        <v>998148.14814814809</v>
      </c>
      <c r="Q17" s="121">
        <f t="shared" si="1"/>
        <v>1000000</v>
      </c>
      <c r="R17" s="126" t="s">
        <v>240</v>
      </c>
      <c r="S17" s="126">
        <f>980000/1.08</f>
        <v>907407.4074074073</v>
      </c>
      <c r="T17" s="26">
        <f t="shared" si="2"/>
        <v>92592.5925925927</v>
      </c>
      <c r="U17" s="24">
        <f t="shared" si="3"/>
        <v>277777.7777777781</v>
      </c>
      <c r="V17" s="41"/>
    </row>
    <row r="18" spans="1:22" ht="36" customHeight="1" x14ac:dyDescent="0.3">
      <c r="A18" s="7">
        <v>2</v>
      </c>
      <c r="B18" s="14" t="s">
        <v>84</v>
      </c>
      <c r="C18" s="14" t="s">
        <v>109</v>
      </c>
      <c r="D18" s="14" t="s">
        <v>111</v>
      </c>
      <c r="E18" s="25" t="s">
        <v>110</v>
      </c>
      <c r="F18" s="14">
        <v>2</v>
      </c>
      <c r="G18" s="10" t="s">
        <v>31</v>
      </c>
      <c r="H18" s="8">
        <f t="shared" si="4"/>
        <v>2200000</v>
      </c>
      <c r="I18" s="23">
        <v>0.08</v>
      </c>
      <c r="J18" s="9">
        <f>+F18*H18*(1+I18)</f>
        <v>4752000</v>
      </c>
      <c r="K18" s="21" t="s">
        <v>116</v>
      </c>
      <c r="L18" s="21" t="s">
        <v>27</v>
      </c>
      <c r="M18" s="26"/>
      <c r="N18" s="39">
        <f>2200000/1.08</f>
        <v>2037037.0370370368</v>
      </c>
      <c r="O18" s="39">
        <f t="shared" si="5"/>
        <v>4074074.0740740737</v>
      </c>
      <c r="P18" s="39">
        <f>N18*1.08</f>
        <v>2200000</v>
      </c>
      <c r="Q18" s="121">
        <f>ROUNDUP(P18,-4)</f>
        <v>2200000</v>
      </c>
      <c r="R18" s="126" t="s">
        <v>242</v>
      </c>
      <c r="S18" s="126">
        <f>2120000/1.08</f>
        <v>1962962.9629629629</v>
      </c>
      <c r="T18" s="26">
        <f t="shared" si="2"/>
        <v>162962.96296296315</v>
      </c>
      <c r="U18" s="24">
        <f t="shared" si="3"/>
        <v>325925.92592592631</v>
      </c>
      <c r="V18" s="41"/>
    </row>
    <row r="19" spans="1:22" ht="36" customHeight="1" x14ac:dyDescent="0.3">
      <c r="A19" s="7">
        <v>3</v>
      </c>
      <c r="B19" s="14" t="s">
        <v>84</v>
      </c>
      <c r="C19" s="14" t="s">
        <v>109</v>
      </c>
      <c r="D19" s="14" t="s">
        <v>108</v>
      </c>
      <c r="E19" s="25" t="s">
        <v>107</v>
      </c>
      <c r="F19" s="14">
        <v>1</v>
      </c>
      <c r="G19" s="10" t="s">
        <v>31</v>
      </c>
      <c r="H19" s="8">
        <f t="shared" si="4"/>
        <v>2100000</v>
      </c>
      <c r="I19" s="23">
        <v>0.08</v>
      </c>
      <c r="J19" s="9">
        <f>+F19*H19*(1+I19)</f>
        <v>2268000</v>
      </c>
      <c r="K19" s="21" t="s">
        <v>116</v>
      </c>
      <c r="L19" s="21" t="s">
        <v>27</v>
      </c>
      <c r="M19" s="26">
        <v>2000000</v>
      </c>
      <c r="N19" s="39">
        <f>2000000/1.08</f>
        <v>1851851.8518518517</v>
      </c>
      <c r="O19" s="39">
        <f t="shared" si="5"/>
        <v>1851851.8518518517</v>
      </c>
      <c r="P19" s="39">
        <f>N19*1.13</f>
        <v>2092592.5925925921</v>
      </c>
      <c r="Q19" s="121">
        <f>ROUNDUP(P19,-4)</f>
        <v>2100000</v>
      </c>
      <c r="R19" s="126" t="s">
        <v>242</v>
      </c>
      <c r="S19" s="126">
        <f>1880000/1.08</f>
        <v>1740740.7407407407</v>
      </c>
      <c r="T19" s="26">
        <f t="shared" si="2"/>
        <v>248148.14814814832</v>
      </c>
      <c r="U19" s="24">
        <f t="shared" si="3"/>
        <v>248148.14814814832</v>
      </c>
      <c r="V19" s="41"/>
    </row>
    <row r="20" spans="1:22" ht="34.200000000000003" customHeight="1" x14ac:dyDescent="0.3">
      <c r="A20" s="7">
        <v>4</v>
      </c>
      <c r="B20" s="14" t="s">
        <v>181</v>
      </c>
      <c r="C20" s="14" t="s">
        <v>92</v>
      </c>
      <c r="D20" s="14" t="s">
        <v>231</v>
      </c>
      <c r="E20" s="25" t="s">
        <v>232</v>
      </c>
      <c r="F20" s="14">
        <v>1</v>
      </c>
      <c r="G20" s="10" t="s">
        <v>83</v>
      </c>
      <c r="H20" s="8">
        <f t="shared" si="4"/>
        <v>190000</v>
      </c>
      <c r="I20" s="23">
        <v>0.08</v>
      </c>
      <c r="J20" s="9">
        <f t="shared" ref="J20" si="6">+F20*H20*(1+I20)</f>
        <v>205200</v>
      </c>
      <c r="K20" s="21" t="s">
        <v>118</v>
      </c>
      <c r="L20" s="21" t="s">
        <v>27</v>
      </c>
      <c r="M20" s="26">
        <v>175000</v>
      </c>
      <c r="N20" s="39">
        <f>185000/1.08</f>
        <v>171296.29629629629</v>
      </c>
      <c r="O20" s="39">
        <f t="shared" si="5"/>
        <v>171296.29629629629</v>
      </c>
      <c r="P20" s="39">
        <f>N20*1.1</f>
        <v>188425.92592592593</v>
      </c>
      <c r="Q20" s="121">
        <f t="shared" ref="Q20" si="7">ROUNDUP(P20,-4)</f>
        <v>190000</v>
      </c>
      <c r="R20" s="126" t="s">
        <v>81</v>
      </c>
      <c r="S20" s="127">
        <f>185000/1.08</f>
        <v>171296.29629629629</v>
      </c>
      <c r="T20" s="26">
        <f t="shared" ref="T20:T39" si="8">Q20-N20</f>
        <v>18703.703703703708</v>
      </c>
      <c r="U20" s="24">
        <f t="shared" ref="U20:U39" si="9">T20*F20</f>
        <v>18703.703703703708</v>
      </c>
      <c r="V20" s="41"/>
    </row>
    <row r="21" spans="1:22" ht="34.200000000000003" customHeight="1" x14ac:dyDescent="0.3">
      <c r="A21" s="7">
        <v>5</v>
      </c>
      <c r="B21" s="14" t="s">
        <v>181</v>
      </c>
      <c r="C21" s="14" t="s">
        <v>92</v>
      </c>
      <c r="D21" s="14" t="s">
        <v>222</v>
      </c>
      <c r="E21" s="25" t="s">
        <v>221</v>
      </c>
      <c r="F21" s="14">
        <v>1</v>
      </c>
      <c r="G21" s="10" t="s">
        <v>83</v>
      </c>
      <c r="H21" s="8">
        <f t="shared" si="4"/>
        <v>320000</v>
      </c>
      <c r="I21" s="23">
        <v>0.08</v>
      </c>
      <c r="J21" s="9">
        <f t="shared" ref="J21:J24" si="10">+F21*H21*(1+I21)</f>
        <v>345600</v>
      </c>
      <c r="K21" s="21" t="s">
        <v>118</v>
      </c>
      <c r="L21" s="21" t="s">
        <v>27</v>
      </c>
      <c r="M21" s="26">
        <v>300000</v>
      </c>
      <c r="N21" s="39">
        <f>310000/1.08</f>
        <v>287037.03703703702</v>
      </c>
      <c r="O21" s="39">
        <f t="shared" si="5"/>
        <v>287037.03703703702</v>
      </c>
      <c r="P21" s="39">
        <f>N21*1.1</f>
        <v>315740.74074074073</v>
      </c>
      <c r="Q21" s="121">
        <f t="shared" ref="Q21:Q23" si="11">ROUNDUP(P21,-4)</f>
        <v>320000</v>
      </c>
      <c r="R21" s="126" t="s">
        <v>81</v>
      </c>
      <c r="S21" s="127">
        <f>310000/1.08</f>
        <v>287037.03703703702</v>
      </c>
      <c r="T21" s="26">
        <f t="shared" si="8"/>
        <v>32962.962962962978</v>
      </c>
      <c r="U21" s="24">
        <f t="shared" si="9"/>
        <v>32962.962962962978</v>
      </c>
      <c r="V21" s="41"/>
    </row>
    <row r="22" spans="1:22" ht="34.200000000000003" customHeight="1" x14ac:dyDescent="0.3">
      <c r="A22" s="7">
        <v>6</v>
      </c>
      <c r="B22" s="14" t="s">
        <v>223</v>
      </c>
      <c r="C22" s="14" t="s">
        <v>224</v>
      </c>
      <c r="D22" s="14">
        <v>20290</v>
      </c>
      <c r="E22" s="25" t="s">
        <v>225</v>
      </c>
      <c r="F22" s="14">
        <v>1</v>
      </c>
      <c r="G22" s="10" t="s">
        <v>31</v>
      </c>
      <c r="H22" s="8">
        <f t="shared" si="4"/>
        <v>200000</v>
      </c>
      <c r="I22" s="23">
        <v>0.08</v>
      </c>
      <c r="J22" s="9">
        <f t="shared" si="10"/>
        <v>216000</v>
      </c>
      <c r="K22" s="21" t="s">
        <v>118</v>
      </c>
      <c r="L22" s="21" t="s">
        <v>27</v>
      </c>
      <c r="M22" s="26"/>
      <c r="N22" s="39">
        <f>185000/1.08</f>
        <v>171296.29629629629</v>
      </c>
      <c r="O22" s="39">
        <f t="shared" si="5"/>
        <v>171296.29629629629</v>
      </c>
      <c r="P22" s="39">
        <f t="shared" ref="P22" si="12">N22*1.15</f>
        <v>196990.74074074073</v>
      </c>
      <c r="Q22" s="121">
        <f t="shared" si="11"/>
        <v>200000</v>
      </c>
      <c r="R22" s="126" t="s">
        <v>187</v>
      </c>
      <c r="S22" s="127">
        <f>185000/1.08</f>
        <v>171296.29629629629</v>
      </c>
      <c r="T22" s="26">
        <f t="shared" si="8"/>
        <v>28703.703703703708</v>
      </c>
      <c r="U22" s="24">
        <f t="shared" si="9"/>
        <v>28703.703703703708</v>
      </c>
      <c r="V22" s="41"/>
    </row>
    <row r="23" spans="1:22" ht="34.200000000000003" customHeight="1" x14ac:dyDescent="0.3">
      <c r="A23" s="7">
        <v>7</v>
      </c>
      <c r="B23" s="14" t="s">
        <v>98</v>
      </c>
      <c r="C23" s="14" t="s">
        <v>94</v>
      </c>
      <c r="D23" s="14" t="s">
        <v>97</v>
      </c>
      <c r="E23" s="25" t="s">
        <v>182</v>
      </c>
      <c r="F23" s="14">
        <v>1</v>
      </c>
      <c r="G23" s="10" t="s">
        <v>83</v>
      </c>
      <c r="H23" s="8">
        <f t="shared" si="4"/>
        <v>5240000</v>
      </c>
      <c r="I23" s="23">
        <v>0.08</v>
      </c>
      <c r="J23" s="9">
        <f t="shared" si="10"/>
        <v>5659200</v>
      </c>
      <c r="K23" s="21" t="s">
        <v>117</v>
      </c>
      <c r="L23" s="21" t="s">
        <v>27</v>
      </c>
      <c r="M23" s="26">
        <v>5100000</v>
      </c>
      <c r="N23" s="39">
        <f>5050000/1.08</f>
        <v>4675925.9259259254</v>
      </c>
      <c r="O23" s="39">
        <f t="shared" si="5"/>
        <v>4675925.9259259254</v>
      </c>
      <c r="P23" s="39">
        <f>N23*1.12</f>
        <v>5237037.0370370373</v>
      </c>
      <c r="Q23" s="121">
        <f t="shared" si="11"/>
        <v>5240000</v>
      </c>
      <c r="R23" s="126" t="s">
        <v>81</v>
      </c>
      <c r="S23" s="126"/>
      <c r="T23" s="26">
        <f t="shared" si="8"/>
        <v>564074.07407407463</v>
      </c>
      <c r="U23" s="24">
        <f t="shared" si="9"/>
        <v>564074.07407407463</v>
      </c>
      <c r="V23" s="41"/>
    </row>
    <row r="24" spans="1:22" ht="34.200000000000003" customHeight="1" x14ac:dyDescent="0.3">
      <c r="A24" s="7">
        <v>8</v>
      </c>
      <c r="B24" s="14" t="s">
        <v>98</v>
      </c>
      <c r="C24" s="14" t="s">
        <v>94</v>
      </c>
      <c r="D24" s="14" t="s">
        <v>125</v>
      </c>
      <c r="E24" s="25" t="s">
        <v>115</v>
      </c>
      <c r="F24" s="14">
        <v>1</v>
      </c>
      <c r="G24" s="10" t="s">
        <v>83</v>
      </c>
      <c r="H24" s="8">
        <f t="shared" si="4"/>
        <v>6070000</v>
      </c>
      <c r="I24" s="23">
        <v>0.08</v>
      </c>
      <c r="J24" s="9">
        <f t="shared" si="10"/>
        <v>6555600</v>
      </c>
      <c r="K24" s="21" t="s">
        <v>118</v>
      </c>
      <c r="L24" s="21" t="s">
        <v>27</v>
      </c>
      <c r="M24" s="26"/>
      <c r="N24" s="39">
        <f>5800000/1.08</f>
        <v>5370370.3703703703</v>
      </c>
      <c r="O24" s="39">
        <f t="shared" si="5"/>
        <v>5370370.3703703703</v>
      </c>
      <c r="P24" s="39">
        <f>N24*1.13</f>
        <v>6068518.5185185177</v>
      </c>
      <c r="Q24" s="121">
        <f>ROUNDUP(P24,-4)</f>
        <v>6070000</v>
      </c>
      <c r="R24" s="126" t="s">
        <v>22</v>
      </c>
      <c r="S24" s="126">
        <f>5500000/1.08</f>
        <v>5092592.5925925924</v>
      </c>
      <c r="T24" s="26">
        <f t="shared" si="8"/>
        <v>699629.62962962966</v>
      </c>
      <c r="U24" s="24">
        <f t="shared" si="9"/>
        <v>699629.62962962966</v>
      </c>
      <c r="V24" s="41"/>
    </row>
    <row r="25" spans="1:22" ht="34.200000000000003" customHeight="1" x14ac:dyDescent="0.3">
      <c r="A25" s="7">
        <v>9</v>
      </c>
      <c r="B25" s="14" t="s">
        <v>93</v>
      </c>
      <c r="C25" s="14" t="s">
        <v>92</v>
      </c>
      <c r="D25" s="14" t="s">
        <v>90</v>
      </c>
      <c r="E25" s="25" t="s">
        <v>91</v>
      </c>
      <c r="F25" s="14">
        <v>1</v>
      </c>
      <c r="G25" s="10" t="s">
        <v>83</v>
      </c>
      <c r="H25" s="8">
        <f t="shared" si="4"/>
        <v>1480000</v>
      </c>
      <c r="I25" s="23">
        <v>0.08</v>
      </c>
      <c r="J25" s="9">
        <f>+F25*H25*(1+I25)</f>
        <v>1598400</v>
      </c>
      <c r="K25" s="21" t="s">
        <v>119</v>
      </c>
      <c r="L25" s="21" t="s">
        <v>27</v>
      </c>
      <c r="M25" s="26">
        <v>2850000</v>
      </c>
      <c r="N25" s="39">
        <f>1420000/1.08</f>
        <v>1314814.8148148148</v>
      </c>
      <c r="O25" s="39">
        <f t="shared" si="5"/>
        <v>1314814.8148148148</v>
      </c>
      <c r="P25" s="39">
        <f>N25*1.12</f>
        <v>1472592.5925925928</v>
      </c>
      <c r="Q25" s="121">
        <f>ROUNDUP(P25,-4)</f>
        <v>1480000</v>
      </c>
      <c r="R25" s="126" t="s">
        <v>187</v>
      </c>
      <c r="S25" s="127">
        <f>1420000/1.08</f>
        <v>1314814.8148148148</v>
      </c>
      <c r="T25" s="26">
        <f t="shared" si="8"/>
        <v>165185.18518518517</v>
      </c>
      <c r="U25" s="24">
        <f t="shared" si="9"/>
        <v>165185.18518518517</v>
      </c>
      <c r="V25" s="41"/>
    </row>
    <row r="26" spans="1:22" ht="34.200000000000003" customHeight="1" x14ac:dyDescent="0.3">
      <c r="A26" s="7">
        <v>10</v>
      </c>
      <c r="B26" s="14" t="s">
        <v>186</v>
      </c>
      <c r="C26" s="14" t="s">
        <v>185</v>
      </c>
      <c r="D26" s="14" t="s">
        <v>184</v>
      </c>
      <c r="E26" s="25" t="s">
        <v>183</v>
      </c>
      <c r="F26" s="14">
        <v>1</v>
      </c>
      <c r="G26" s="10" t="s">
        <v>83</v>
      </c>
      <c r="H26" s="8">
        <f t="shared" si="4"/>
        <v>800000</v>
      </c>
      <c r="I26" s="23">
        <v>0.08</v>
      </c>
      <c r="J26" s="9">
        <f>+F26*H26*(1+I26)</f>
        <v>864000</v>
      </c>
      <c r="K26" s="21" t="s">
        <v>116</v>
      </c>
      <c r="L26" s="21" t="s">
        <v>27</v>
      </c>
      <c r="M26" s="26"/>
      <c r="N26" s="39">
        <v>710000</v>
      </c>
      <c r="O26" s="39">
        <f t="shared" si="5"/>
        <v>710000</v>
      </c>
      <c r="P26" s="39">
        <f>N26*1.12</f>
        <v>795200.00000000012</v>
      </c>
      <c r="Q26" s="121">
        <f>ROUNDUP(P26,-4)</f>
        <v>800000</v>
      </c>
      <c r="R26" s="126" t="s">
        <v>188</v>
      </c>
      <c r="S26" s="127">
        <v>710000</v>
      </c>
      <c r="T26" s="26">
        <f t="shared" si="8"/>
        <v>90000</v>
      </c>
      <c r="U26" s="24">
        <f t="shared" si="9"/>
        <v>90000</v>
      </c>
      <c r="V26" s="41"/>
    </row>
    <row r="27" spans="1:22" ht="34.200000000000003" customHeight="1" x14ac:dyDescent="0.3">
      <c r="A27" s="7">
        <v>11</v>
      </c>
      <c r="B27" s="14" t="s">
        <v>89</v>
      </c>
      <c r="C27" s="14" t="s">
        <v>88</v>
      </c>
      <c r="D27" s="14" t="s">
        <v>87</v>
      </c>
      <c r="E27" s="25" t="s">
        <v>86</v>
      </c>
      <c r="F27" s="14">
        <v>3</v>
      </c>
      <c r="G27" s="10" t="s">
        <v>31</v>
      </c>
      <c r="H27" s="8">
        <f t="shared" si="4"/>
        <v>230000</v>
      </c>
      <c r="I27" s="23">
        <v>0.08</v>
      </c>
      <c r="J27" s="9">
        <f t="shared" si="0"/>
        <v>745200</v>
      </c>
      <c r="K27" s="21" t="s">
        <v>118</v>
      </c>
      <c r="L27" s="21" t="s">
        <v>27</v>
      </c>
      <c r="M27" s="26">
        <v>170000</v>
      </c>
      <c r="N27" s="39">
        <f>218000/1.08</f>
        <v>201851.85185185182</v>
      </c>
      <c r="O27" s="39">
        <f t="shared" si="5"/>
        <v>605555.5555555555</v>
      </c>
      <c r="P27" s="39">
        <f>N27*1.1</f>
        <v>222037.03703703702</v>
      </c>
      <c r="Q27" s="121">
        <f t="shared" si="1"/>
        <v>230000</v>
      </c>
      <c r="R27" s="126" t="s">
        <v>81</v>
      </c>
      <c r="S27" s="127">
        <f>218000/1.08</f>
        <v>201851.85185185182</v>
      </c>
      <c r="T27" s="26">
        <f t="shared" si="8"/>
        <v>28148.148148148175</v>
      </c>
      <c r="U27" s="24">
        <f t="shared" si="9"/>
        <v>84444.444444444525</v>
      </c>
      <c r="V27" s="41"/>
    </row>
    <row r="28" spans="1:22" ht="66" x14ac:dyDescent="0.3">
      <c r="A28" s="7">
        <v>12</v>
      </c>
      <c r="B28" s="55" t="s">
        <v>98</v>
      </c>
      <c r="C28" s="55" t="s">
        <v>189</v>
      </c>
      <c r="D28" s="55" t="s">
        <v>229</v>
      </c>
      <c r="E28" s="66" t="s">
        <v>230</v>
      </c>
      <c r="F28" s="55">
        <v>1</v>
      </c>
      <c r="G28" s="55" t="s">
        <v>83</v>
      </c>
      <c r="H28" s="8">
        <f t="shared" si="4"/>
        <v>6270000</v>
      </c>
      <c r="I28" s="23">
        <v>0.08</v>
      </c>
      <c r="J28" s="9">
        <f t="shared" ref="J28:J39" si="13">+F28*H28*(1+I28)</f>
        <v>6771600</v>
      </c>
      <c r="K28" s="57" t="s">
        <v>205</v>
      </c>
      <c r="L28" s="56" t="s">
        <v>191</v>
      </c>
      <c r="M28" s="26"/>
      <c r="N28" s="24">
        <v>5700000</v>
      </c>
      <c r="O28" s="39">
        <f t="shared" si="5"/>
        <v>5700000</v>
      </c>
      <c r="P28" s="39">
        <f>N28*1.1</f>
        <v>6270000.0000000009</v>
      </c>
      <c r="Q28" s="121">
        <f t="shared" si="1"/>
        <v>6270000</v>
      </c>
      <c r="R28" s="125" t="s">
        <v>190</v>
      </c>
      <c r="S28" s="128">
        <v>5700000</v>
      </c>
      <c r="T28" s="26">
        <f t="shared" si="8"/>
        <v>570000</v>
      </c>
      <c r="U28" s="24">
        <f t="shared" si="9"/>
        <v>570000</v>
      </c>
    </row>
    <row r="29" spans="1:22" ht="39.6" x14ac:dyDescent="0.3">
      <c r="A29" s="7">
        <v>13</v>
      </c>
      <c r="B29" s="55" t="s">
        <v>196</v>
      </c>
      <c r="C29" s="55" t="s">
        <v>189</v>
      </c>
      <c r="D29" s="55" t="s">
        <v>192</v>
      </c>
      <c r="E29" s="66" t="s">
        <v>194</v>
      </c>
      <c r="F29" s="55">
        <v>1</v>
      </c>
      <c r="G29" s="55" t="s">
        <v>83</v>
      </c>
      <c r="H29" s="8">
        <f t="shared" si="4"/>
        <v>1880000</v>
      </c>
      <c r="I29" s="23">
        <v>0.08</v>
      </c>
      <c r="J29" s="9">
        <f t="shared" si="13"/>
        <v>2030400.0000000002</v>
      </c>
      <c r="K29" s="56" t="s">
        <v>120</v>
      </c>
      <c r="L29" s="56" t="s">
        <v>27</v>
      </c>
      <c r="M29" s="26"/>
      <c r="N29" s="67">
        <v>1500000</v>
      </c>
      <c r="O29" s="39">
        <f t="shared" si="5"/>
        <v>1500000</v>
      </c>
      <c r="P29" s="39">
        <f>N29*1.25</f>
        <v>1875000</v>
      </c>
      <c r="Q29" s="121">
        <f t="shared" si="1"/>
        <v>1880000</v>
      </c>
      <c r="R29" s="125" t="s">
        <v>190</v>
      </c>
      <c r="S29" s="128">
        <v>1500000</v>
      </c>
      <c r="T29" s="26">
        <f t="shared" si="8"/>
        <v>380000</v>
      </c>
      <c r="U29" s="24">
        <f t="shared" si="9"/>
        <v>380000</v>
      </c>
    </row>
    <row r="30" spans="1:22" ht="52.8" x14ac:dyDescent="0.3">
      <c r="A30" s="7">
        <v>14</v>
      </c>
      <c r="B30" s="55" t="s">
        <v>98</v>
      </c>
      <c r="C30" s="55" t="s">
        <v>189</v>
      </c>
      <c r="D30" s="55" t="s">
        <v>193</v>
      </c>
      <c r="E30" s="66" t="s">
        <v>195</v>
      </c>
      <c r="F30" s="55">
        <v>1</v>
      </c>
      <c r="G30" s="55" t="s">
        <v>83</v>
      </c>
      <c r="H30" s="8">
        <f t="shared" si="4"/>
        <v>2880000</v>
      </c>
      <c r="I30" s="23">
        <v>0.08</v>
      </c>
      <c r="J30" s="9">
        <f t="shared" si="13"/>
        <v>3110400</v>
      </c>
      <c r="K30" s="56" t="s">
        <v>117</v>
      </c>
      <c r="L30" s="56" t="s">
        <v>27</v>
      </c>
      <c r="M30" s="26">
        <v>2900000</v>
      </c>
      <c r="N30" s="67">
        <v>2500000</v>
      </c>
      <c r="O30" s="39">
        <f t="shared" si="5"/>
        <v>2500000</v>
      </c>
      <c r="P30" s="39">
        <f>N30*1.15</f>
        <v>2875000</v>
      </c>
      <c r="Q30" s="121">
        <f t="shared" si="1"/>
        <v>2880000</v>
      </c>
      <c r="R30" s="125" t="s">
        <v>190</v>
      </c>
      <c r="S30" s="128">
        <v>2500000</v>
      </c>
      <c r="T30" s="26">
        <f t="shared" si="8"/>
        <v>380000</v>
      </c>
      <c r="U30" s="24">
        <f t="shared" si="9"/>
        <v>380000</v>
      </c>
    </row>
    <row r="31" spans="1:22" ht="26.4" x14ac:dyDescent="0.3">
      <c r="A31" s="7">
        <v>15</v>
      </c>
      <c r="B31" s="55" t="s">
        <v>210</v>
      </c>
      <c r="C31" s="55" t="s">
        <v>211</v>
      </c>
      <c r="D31" s="55" t="s">
        <v>197</v>
      </c>
      <c r="E31" s="66" t="s">
        <v>198</v>
      </c>
      <c r="F31" s="55">
        <v>4</v>
      </c>
      <c r="G31" s="55" t="s">
        <v>83</v>
      </c>
      <c r="H31" s="8">
        <f t="shared" si="4"/>
        <v>580000</v>
      </c>
      <c r="I31" s="23">
        <v>0.08</v>
      </c>
      <c r="J31" s="9">
        <f t="shared" si="13"/>
        <v>2505600</v>
      </c>
      <c r="K31" s="56" t="s">
        <v>118</v>
      </c>
      <c r="L31" s="56" t="s">
        <v>27</v>
      </c>
      <c r="M31" s="26">
        <v>550000</v>
      </c>
      <c r="N31" s="67">
        <f>546304/1.08</f>
        <v>505837.03703703702</v>
      </c>
      <c r="O31" s="39">
        <f t="shared" si="5"/>
        <v>2023348.1481481481</v>
      </c>
      <c r="P31" s="39">
        <f>N31*1.13</f>
        <v>571595.8518518518</v>
      </c>
      <c r="Q31" s="121">
        <f t="shared" si="1"/>
        <v>580000</v>
      </c>
      <c r="R31" s="125" t="s">
        <v>243</v>
      </c>
      <c r="S31" s="128">
        <f>546304/1.08</f>
        <v>505837.03703703702</v>
      </c>
      <c r="T31" s="26">
        <f t="shared" si="8"/>
        <v>74162.962962962978</v>
      </c>
      <c r="U31" s="24">
        <f t="shared" si="9"/>
        <v>296651.85185185191</v>
      </c>
    </row>
    <row r="32" spans="1:22" ht="26.4" x14ac:dyDescent="0.3">
      <c r="A32" s="7">
        <v>16</v>
      </c>
      <c r="B32" s="55" t="s">
        <v>210</v>
      </c>
      <c r="C32" s="55" t="s">
        <v>211</v>
      </c>
      <c r="D32" s="55" t="s">
        <v>199</v>
      </c>
      <c r="E32" s="66" t="s">
        <v>200</v>
      </c>
      <c r="F32" s="55">
        <v>2</v>
      </c>
      <c r="G32" s="55" t="s">
        <v>83</v>
      </c>
      <c r="H32" s="8">
        <f t="shared" si="4"/>
        <v>750000</v>
      </c>
      <c r="I32" s="23">
        <v>0.08</v>
      </c>
      <c r="J32" s="9">
        <f t="shared" si="13"/>
        <v>1620000</v>
      </c>
      <c r="K32" s="56" t="s">
        <v>118</v>
      </c>
      <c r="L32" s="56" t="s">
        <v>27</v>
      </c>
      <c r="M32" s="26">
        <v>750000</v>
      </c>
      <c r="N32" s="67">
        <f>689040/1.08</f>
        <v>638000</v>
      </c>
      <c r="O32" s="39">
        <f t="shared" si="5"/>
        <v>1276000</v>
      </c>
      <c r="P32" s="39">
        <f>N32*1.17</f>
        <v>746460</v>
      </c>
      <c r="Q32" s="121">
        <f t="shared" si="1"/>
        <v>750000</v>
      </c>
      <c r="R32" s="125" t="s">
        <v>243</v>
      </c>
      <c r="S32" s="128">
        <f>689040/1.08</f>
        <v>638000</v>
      </c>
      <c r="T32" s="26">
        <f t="shared" si="8"/>
        <v>112000</v>
      </c>
      <c r="U32" s="24">
        <f t="shared" si="9"/>
        <v>224000</v>
      </c>
    </row>
    <row r="33" spans="1:24" ht="34.200000000000003" customHeight="1" x14ac:dyDescent="0.3">
      <c r="A33" s="7">
        <v>17</v>
      </c>
      <c r="B33" s="14" t="s">
        <v>96</v>
      </c>
      <c r="C33" s="14" t="s">
        <v>94</v>
      </c>
      <c r="D33" s="14" t="s">
        <v>95</v>
      </c>
      <c r="E33" s="25" t="s">
        <v>212</v>
      </c>
      <c r="F33" s="14">
        <v>1</v>
      </c>
      <c r="G33" s="10" t="s">
        <v>83</v>
      </c>
      <c r="H33" s="8">
        <f t="shared" si="4"/>
        <v>7150000</v>
      </c>
      <c r="I33" s="23">
        <v>0.08</v>
      </c>
      <c r="J33" s="9">
        <f t="shared" si="13"/>
        <v>7722000.0000000009</v>
      </c>
      <c r="K33" s="21" t="s">
        <v>118</v>
      </c>
      <c r="L33" s="21" t="s">
        <v>27</v>
      </c>
      <c r="M33" s="26"/>
      <c r="N33" s="39">
        <f>6950000/1.08</f>
        <v>6435185.1851851847</v>
      </c>
      <c r="O33" s="39">
        <f t="shared" si="5"/>
        <v>6435185.1851851847</v>
      </c>
      <c r="P33" s="39">
        <f>N33*1.11</f>
        <v>7143055.555555556</v>
      </c>
      <c r="Q33" s="121">
        <f t="shared" si="1"/>
        <v>7150000</v>
      </c>
      <c r="R33" s="126" t="s">
        <v>81</v>
      </c>
      <c r="S33" s="127">
        <f>6950000/1.08</f>
        <v>6435185.1851851847</v>
      </c>
      <c r="T33" s="26">
        <f t="shared" si="8"/>
        <v>714814.8148148153</v>
      </c>
      <c r="U33" s="24">
        <f t="shared" si="9"/>
        <v>714814.8148148153</v>
      </c>
      <c r="V33" s="41"/>
    </row>
    <row r="34" spans="1:24" ht="34.200000000000003" customHeight="1" x14ac:dyDescent="0.3">
      <c r="A34" s="7">
        <v>18</v>
      </c>
      <c r="B34" s="14" t="s">
        <v>101</v>
      </c>
      <c r="C34" s="14" t="s">
        <v>102</v>
      </c>
      <c r="D34" s="14" t="s">
        <v>202</v>
      </c>
      <c r="E34" s="25" t="s">
        <v>201</v>
      </c>
      <c r="F34" s="14">
        <v>1</v>
      </c>
      <c r="G34" s="10" t="s">
        <v>83</v>
      </c>
      <c r="H34" s="8">
        <f t="shared" si="4"/>
        <v>3600000</v>
      </c>
      <c r="I34" s="23">
        <v>0.08</v>
      </c>
      <c r="J34" s="9">
        <f t="shared" si="13"/>
        <v>3888000.0000000005</v>
      </c>
      <c r="K34" s="21" t="s">
        <v>118</v>
      </c>
      <c r="L34" s="21" t="s">
        <v>27</v>
      </c>
      <c r="M34" s="26">
        <v>3600000</v>
      </c>
      <c r="N34" s="39">
        <f>3130000</f>
        <v>3130000</v>
      </c>
      <c r="O34" s="39">
        <f t="shared" si="5"/>
        <v>3130000</v>
      </c>
      <c r="P34" s="39">
        <f>N34*1.15</f>
        <v>3599499.9999999995</v>
      </c>
      <c r="Q34" s="121">
        <f>ROUNDUP(P34,-4)</f>
        <v>3600000</v>
      </c>
      <c r="R34" s="126" t="s">
        <v>23</v>
      </c>
      <c r="S34" s="127">
        <f>3130000</f>
        <v>3130000</v>
      </c>
      <c r="T34" s="26">
        <f t="shared" si="8"/>
        <v>470000</v>
      </c>
      <c r="U34" s="24">
        <f t="shared" si="9"/>
        <v>470000</v>
      </c>
      <c r="V34" s="41"/>
    </row>
    <row r="35" spans="1:24" ht="34.200000000000003" customHeight="1" x14ac:dyDescent="0.3">
      <c r="A35" s="7">
        <v>18.100000000000001</v>
      </c>
      <c r="B35" s="14" t="s">
        <v>112</v>
      </c>
      <c r="C35" s="14"/>
      <c r="D35" s="14" t="s">
        <v>204</v>
      </c>
      <c r="E35" s="25" t="s">
        <v>203</v>
      </c>
      <c r="F35" s="14">
        <v>1</v>
      </c>
      <c r="G35" s="10" t="s">
        <v>83</v>
      </c>
      <c r="H35" s="8">
        <f t="shared" si="4"/>
        <v>470000</v>
      </c>
      <c r="I35" s="23">
        <v>0.08</v>
      </c>
      <c r="J35" s="9">
        <f t="shared" si="13"/>
        <v>507600.00000000006</v>
      </c>
      <c r="K35" s="21" t="s">
        <v>120</v>
      </c>
      <c r="L35" s="21" t="s">
        <v>27</v>
      </c>
      <c r="M35" s="26">
        <v>450000</v>
      </c>
      <c r="N35" s="39">
        <v>330000</v>
      </c>
      <c r="O35" s="39">
        <f t="shared" si="5"/>
        <v>330000</v>
      </c>
      <c r="P35" s="39">
        <f>N35*1.4</f>
        <v>461999.99999999994</v>
      </c>
      <c r="Q35" s="121">
        <f>ROUNDUP(P35,-4)</f>
        <v>470000</v>
      </c>
      <c r="R35" s="126" t="s">
        <v>23</v>
      </c>
      <c r="S35" s="127">
        <v>330000</v>
      </c>
      <c r="T35" s="26">
        <f t="shared" si="8"/>
        <v>140000</v>
      </c>
      <c r="U35" s="24">
        <f t="shared" si="9"/>
        <v>140000</v>
      </c>
      <c r="V35" s="41"/>
    </row>
    <row r="36" spans="1:24" ht="34.200000000000003" customHeight="1" x14ac:dyDescent="0.3">
      <c r="A36" s="7">
        <v>19</v>
      </c>
      <c r="B36" s="14" t="s">
        <v>101</v>
      </c>
      <c r="C36" s="14" t="s">
        <v>102</v>
      </c>
      <c r="D36" s="14" t="s">
        <v>99</v>
      </c>
      <c r="E36" s="25" t="s">
        <v>100</v>
      </c>
      <c r="F36" s="14">
        <v>1</v>
      </c>
      <c r="G36" s="10" t="s">
        <v>83</v>
      </c>
      <c r="H36" s="8">
        <f t="shared" si="4"/>
        <v>2750000</v>
      </c>
      <c r="I36" s="23">
        <v>0.08</v>
      </c>
      <c r="J36" s="9">
        <f t="shared" si="13"/>
        <v>2970000</v>
      </c>
      <c r="K36" s="21" t="s">
        <v>118</v>
      </c>
      <c r="L36" s="21" t="s">
        <v>27</v>
      </c>
      <c r="M36" s="26">
        <v>2750000</v>
      </c>
      <c r="N36" s="39">
        <v>2327000</v>
      </c>
      <c r="O36" s="39">
        <f t="shared" si="5"/>
        <v>2327000</v>
      </c>
      <c r="P36" s="39">
        <f>N36*1.18</f>
        <v>2745860</v>
      </c>
      <c r="Q36" s="121">
        <f>ROUNDUP(P36,-4)</f>
        <v>2750000</v>
      </c>
      <c r="R36" s="126" t="s">
        <v>23</v>
      </c>
      <c r="S36" s="127">
        <v>2327000</v>
      </c>
      <c r="T36" s="26">
        <f t="shared" si="8"/>
        <v>423000</v>
      </c>
      <c r="U36" s="24">
        <f t="shared" si="9"/>
        <v>423000</v>
      </c>
      <c r="V36" s="41"/>
    </row>
    <row r="37" spans="1:24" ht="34.200000000000003" customHeight="1" x14ac:dyDescent="0.3">
      <c r="A37" s="7">
        <v>19.100000000000001</v>
      </c>
      <c r="B37" s="14" t="s">
        <v>112</v>
      </c>
      <c r="C37" s="14"/>
      <c r="D37" s="14" t="s">
        <v>113</v>
      </c>
      <c r="E37" s="25" t="s">
        <v>114</v>
      </c>
      <c r="F37" s="14">
        <v>1</v>
      </c>
      <c r="G37" s="10" t="s">
        <v>83</v>
      </c>
      <c r="H37" s="8">
        <f t="shared" si="4"/>
        <v>470000</v>
      </c>
      <c r="I37" s="23">
        <v>0.08</v>
      </c>
      <c r="J37" s="9">
        <f t="shared" si="13"/>
        <v>507600.00000000006</v>
      </c>
      <c r="K37" s="21" t="s">
        <v>120</v>
      </c>
      <c r="L37" s="21" t="s">
        <v>27</v>
      </c>
      <c r="M37" s="26">
        <v>450000</v>
      </c>
      <c r="N37" s="39">
        <v>330000</v>
      </c>
      <c r="O37" s="39">
        <f t="shared" si="5"/>
        <v>330000</v>
      </c>
      <c r="P37" s="39">
        <f>N37*1.4</f>
        <v>461999.99999999994</v>
      </c>
      <c r="Q37" s="121">
        <f>ROUNDUP(P37,-4)</f>
        <v>470000</v>
      </c>
      <c r="R37" s="126" t="s">
        <v>23</v>
      </c>
      <c r="S37" s="127">
        <v>330000</v>
      </c>
      <c r="T37" s="26">
        <f t="shared" si="8"/>
        <v>140000</v>
      </c>
      <c r="U37" s="24">
        <f t="shared" si="9"/>
        <v>140000</v>
      </c>
      <c r="V37" s="41"/>
    </row>
    <row r="38" spans="1:24" ht="34.200000000000003" customHeight="1" x14ac:dyDescent="0.3">
      <c r="A38" s="7">
        <v>20</v>
      </c>
      <c r="B38" s="14" t="s">
        <v>106</v>
      </c>
      <c r="C38" s="14" t="s">
        <v>105</v>
      </c>
      <c r="D38" s="14" t="s">
        <v>104</v>
      </c>
      <c r="E38" s="25" t="s">
        <v>103</v>
      </c>
      <c r="F38" s="14">
        <v>1</v>
      </c>
      <c r="G38" s="10" t="s">
        <v>83</v>
      </c>
      <c r="H38" s="8">
        <f t="shared" si="4"/>
        <v>4820000</v>
      </c>
      <c r="I38" s="23">
        <v>0.08</v>
      </c>
      <c r="J38" s="9">
        <f t="shared" si="13"/>
        <v>5205600</v>
      </c>
      <c r="K38" s="21" t="s">
        <v>117</v>
      </c>
      <c r="L38" s="21" t="s">
        <v>27</v>
      </c>
      <c r="M38" s="26">
        <v>4700000</v>
      </c>
      <c r="N38" s="39">
        <f>4600000/1.08</f>
        <v>4259259.2592592593</v>
      </c>
      <c r="O38" s="39">
        <f t="shared" si="5"/>
        <v>4259259.2592592593</v>
      </c>
      <c r="P38" s="39">
        <f>N38*1.13</f>
        <v>4812962.9629629627</v>
      </c>
      <c r="Q38" s="121">
        <f t="shared" si="1"/>
        <v>4820000</v>
      </c>
      <c r="R38" s="126" t="s">
        <v>244</v>
      </c>
      <c r="S38" s="126">
        <f>4440000/1.1</f>
        <v>4036363.6363636362</v>
      </c>
      <c r="T38" s="26">
        <f t="shared" si="8"/>
        <v>560740.74074074067</v>
      </c>
      <c r="U38" s="24">
        <f t="shared" si="9"/>
        <v>560740.74074074067</v>
      </c>
      <c r="V38" s="41"/>
    </row>
    <row r="39" spans="1:24" ht="34.200000000000003" customHeight="1" x14ac:dyDescent="0.3">
      <c r="A39" s="7">
        <v>21</v>
      </c>
      <c r="B39" s="14" t="s">
        <v>208</v>
      </c>
      <c r="C39" s="14"/>
      <c r="D39" s="14" t="s">
        <v>207</v>
      </c>
      <c r="E39" s="25" t="s">
        <v>206</v>
      </c>
      <c r="F39" s="14">
        <v>1</v>
      </c>
      <c r="G39" s="10" t="s">
        <v>83</v>
      </c>
      <c r="H39" s="8">
        <f t="shared" si="4"/>
        <v>530000</v>
      </c>
      <c r="I39" s="23">
        <v>0.08</v>
      </c>
      <c r="J39" s="9">
        <f t="shared" si="13"/>
        <v>572400</v>
      </c>
      <c r="K39" s="21"/>
      <c r="L39" s="21" t="s">
        <v>27</v>
      </c>
      <c r="M39" s="26"/>
      <c r="N39" s="39">
        <v>454000</v>
      </c>
      <c r="O39" s="39">
        <f t="shared" si="5"/>
        <v>454000</v>
      </c>
      <c r="P39" s="39">
        <f>N39*1.15</f>
        <v>522099.99999999994</v>
      </c>
      <c r="Q39" s="121">
        <f t="shared" si="1"/>
        <v>530000</v>
      </c>
      <c r="R39" s="126" t="s">
        <v>209</v>
      </c>
      <c r="S39" s="127">
        <v>454000</v>
      </c>
      <c r="T39" s="26">
        <f t="shared" si="8"/>
        <v>76000</v>
      </c>
      <c r="U39" s="24">
        <f t="shared" si="9"/>
        <v>76000</v>
      </c>
      <c r="V39" s="41"/>
    </row>
    <row r="40" spans="1:24" ht="21.6" customHeight="1" x14ac:dyDescent="0.3">
      <c r="A40" s="11"/>
      <c r="B40" s="106" t="s">
        <v>9</v>
      </c>
      <c r="C40" s="107"/>
      <c r="D40" s="107"/>
      <c r="E40" s="107"/>
      <c r="F40" s="107"/>
      <c r="G40" s="107"/>
      <c r="H40" s="107"/>
      <c r="I40" s="107"/>
      <c r="J40" s="12">
        <f>SUM(J14:J39)</f>
        <v>95223600</v>
      </c>
      <c r="K40" s="13"/>
      <c r="L40" s="13"/>
      <c r="O40" s="67">
        <f>SUM(O14:O39)</f>
        <v>78052570.370370358</v>
      </c>
      <c r="P40" s="39"/>
      <c r="R40" s="123"/>
      <c r="S40" s="123"/>
      <c r="T40" s="24">
        <f>Q40-N40</f>
        <v>0</v>
      </c>
      <c r="U40" s="24">
        <f>SUM(U14:U39)</f>
        <v>10117429.629629634</v>
      </c>
      <c r="V40" s="40">
        <f>U40/O40</f>
        <v>0.12962327289954728</v>
      </c>
      <c r="W40" s="24"/>
      <c r="X40" s="40"/>
    </row>
    <row r="41" spans="1:24" ht="19.8" customHeight="1" x14ac:dyDescent="0.3">
      <c r="A41" s="68"/>
      <c r="B41" s="69" t="s">
        <v>5</v>
      </c>
      <c r="C41" s="69"/>
      <c r="D41" s="69"/>
      <c r="E41" s="38"/>
      <c r="F41" s="5"/>
      <c r="G41" s="5"/>
      <c r="H41" s="70"/>
      <c r="I41" s="70"/>
      <c r="J41" s="71"/>
      <c r="K41" s="6"/>
      <c r="L41" s="6"/>
      <c r="R41" s="116"/>
      <c r="S41" s="116"/>
      <c r="X41" s="72"/>
    </row>
    <row r="42" spans="1:24" ht="18.600000000000001" customHeight="1" x14ac:dyDescent="0.3">
      <c r="A42" s="80"/>
      <c r="B42" s="1" t="s">
        <v>16</v>
      </c>
      <c r="J42" s="74"/>
      <c r="K42" s="2"/>
      <c r="L42" s="2"/>
    </row>
    <row r="43" spans="1:24" ht="18.600000000000001" customHeight="1" x14ac:dyDescent="0.3">
      <c r="A43" s="80"/>
      <c r="B43" s="1" t="s">
        <v>76</v>
      </c>
      <c r="J43" s="74"/>
      <c r="K43" s="2"/>
      <c r="L43" s="2"/>
    </row>
    <row r="44" spans="1:24" ht="18.600000000000001" customHeight="1" x14ac:dyDescent="0.3">
      <c r="A44" s="80"/>
      <c r="B44" s="1" t="s">
        <v>82</v>
      </c>
      <c r="J44" s="74"/>
      <c r="K44" s="2"/>
      <c r="L44" s="2"/>
    </row>
    <row r="45" spans="1:24" ht="18.600000000000001" customHeight="1" x14ac:dyDescent="0.3">
      <c r="A45" s="81"/>
      <c r="B45" s="103" t="s">
        <v>73</v>
      </c>
      <c r="C45" s="104"/>
      <c r="D45" s="104"/>
      <c r="E45" s="104"/>
      <c r="F45" s="104"/>
      <c r="G45" s="104"/>
      <c r="H45" s="104"/>
      <c r="I45" s="104"/>
      <c r="J45" s="104"/>
      <c r="K45" s="104"/>
      <c r="L45" s="105"/>
      <c r="R45" s="117"/>
      <c r="S45" s="117"/>
    </row>
    <row r="46" spans="1:24" ht="13.8" x14ac:dyDescent="0.3">
      <c r="A46" s="75"/>
      <c r="B46" s="53"/>
      <c r="C46" s="53"/>
      <c r="D46" s="53"/>
      <c r="J46" s="74"/>
      <c r="K46" s="2"/>
      <c r="L46" s="2"/>
      <c r="R46" s="118"/>
      <c r="S46" s="118"/>
    </row>
    <row r="47" spans="1:24" ht="13.8" x14ac:dyDescent="0.3">
      <c r="A47" s="75"/>
      <c r="B47" s="53"/>
      <c r="C47" s="53"/>
      <c r="D47" s="53"/>
      <c r="J47" s="74"/>
      <c r="K47" s="2"/>
      <c r="L47" s="42"/>
      <c r="R47" s="118"/>
      <c r="S47" s="118"/>
    </row>
    <row r="48" spans="1:24" ht="13.8" x14ac:dyDescent="0.3">
      <c r="A48" s="75"/>
      <c r="B48" s="53"/>
      <c r="C48" s="53"/>
      <c r="D48" s="53"/>
      <c r="J48" s="74"/>
      <c r="K48" s="2"/>
      <c r="L48" s="42"/>
    </row>
    <row r="49" spans="1:15" ht="13.8" x14ac:dyDescent="0.3">
      <c r="A49" s="75"/>
      <c r="B49" s="53"/>
      <c r="C49" s="53"/>
      <c r="D49" s="53"/>
      <c r="J49" s="74"/>
      <c r="K49" s="2"/>
      <c r="L49" s="42"/>
    </row>
    <row r="50" spans="1:15" ht="13.8" x14ac:dyDescent="0.3">
      <c r="A50" s="54"/>
      <c r="B50" s="38" t="s">
        <v>13</v>
      </c>
      <c r="C50" s="76"/>
      <c r="D50" s="76"/>
      <c r="E50" s="77"/>
      <c r="F50" s="1"/>
      <c r="J50" s="74"/>
      <c r="L50" s="43"/>
    </row>
    <row r="51" spans="1:15" ht="13.8" x14ac:dyDescent="0.3">
      <c r="A51" s="54"/>
      <c r="B51" s="76"/>
      <c r="C51" s="76"/>
      <c r="D51" s="76"/>
      <c r="E51" s="3"/>
      <c r="F51" s="77"/>
      <c r="J51" s="74"/>
      <c r="K51" s="2"/>
      <c r="L51" s="44"/>
    </row>
    <row r="52" spans="1:15" ht="13.8" x14ac:dyDescent="0.3">
      <c r="A52" s="54"/>
      <c r="E52" s="77"/>
      <c r="F52" s="1"/>
      <c r="J52" s="74"/>
      <c r="L52" s="45"/>
    </row>
    <row r="53" spans="1:15" ht="13.8" x14ac:dyDescent="0.3">
      <c r="A53" s="68"/>
      <c r="C53" s="68"/>
      <c r="D53" s="68"/>
      <c r="J53" s="74"/>
      <c r="K53" s="2"/>
      <c r="L53" s="46"/>
    </row>
    <row r="54" spans="1:15" ht="13.8" x14ac:dyDescent="0.3">
      <c r="J54" s="74"/>
      <c r="K54" s="2"/>
      <c r="L54" s="2"/>
    </row>
    <row r="55" spans="1:15" ht="13.8" x14ac:dyDescent="0.3">
      <c r="E55" s="78"/>
      <c r="F55" s="2"/>
      <c r="G55" s="2"/>
      <c r="H55" s="74"/>
      <c r="I55" s="74"/>
      <c r="J55" s="74"/>
      <c r="K55" s="2"/>
      <c r="L55" s="2"/>
    </row>
    <row r="58" spans="1:15" x14ac:dyDescent="0.3">
      <c r="M58" s="79"/>
      <c r="N58" s="79"/>
      <c r="O58" s="79"/>
    </row>
    <row r="60" spans="1:15" x14ac:dyDescent="0.3">
      <c r="M60" s="79"/>
      <c r="N60" s="79"/>
      <c r="O60" s="79"/>
    </row>
  </sheetData>
  <mergeCells count="18">
    <mergeCell ref="B45:L45"/>
    <mergeCell ref="F10:L10"/>
    <mergeCell ref="A10:E10"/>
    <mergeCell ref="B40:I40"/>
    <mergeCell ref="P12:Q12"/>
    <mergeCell ref="E1:L3"/>
    <mergeCell ref="B4:L4"/>
    <mergeCell ref="B11:L11"/>
    <mergeCell ref="F5:L5"/>
    <mergeCell ref="A5:E5"/>
    <mergeCell ref="F6:L6"/>
    <mergeCell ref="A6:E6"/>
    <mergeCell ref="F7:L7"/>
    <mergeCell ref="A7:E7"/>
    <mergeCell ref="F8:L8"/>
    <mergeCell ref="A8:E8"/>
    <mergeCell ref="F9:L9"/>
    <mergeCell ref="A9:E9"/>
  </mergeCells>
  <phoneticPr fontId="13" type="noConversion"/>
  <printOptions horizontalCentered="1"/>
  <pageMargins left="0.2" right="0.2" top="0.25" bottom="0.1" header="0.3" footer="0.3"/>
  <pageSetup paperSize="9" scale="82" orientation="landscape" r:id="rId1"/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2A7F4-2073-4A57-B929-9A64FBD9C1B0}">
  <dimension ref="A1:H4"/>
  <sheetViews>
    <sheetView workbookViewId="0">
      <selection activeCell="C4" sqref="C4"/>
    </sheetView>
  </sheetViews>
  <sheetFormatPr defaultRowHeight="14.4" x14ac:dyDescent="0.3"/>
  <cols>
    <col min="1" max="1" width="11.5546875" customWidth="1"/>
    <col min="2" max="2" width="12.5546875" style="22" bestFit="1" customWidth="1"/>
    <col min="3" max="4" width="12.21875" style="22" customWidth="1"/>
    <col min="5" max="7" width="11.109375" style="22" customWidth="1"/>
    <col min="8" max="8" width="10.44140625" style="22" customWidth="1"/>
  </cols>
  <sheetData>
    <row r="1" spans="1:8" x14ac:dyDescent="0.3">
      <c r="B1" s="22" t="s">
        <v>17</v>
      </c>
      <c r="C1" s="109" t="s">
        <v>18</v>
      </c>
      <c r="D1" s="109"/>
      <c r="E1" s="22" t="s">
        <v>20</v>
      </c>
      <c r="F1" s="22" t="s">
        <v>24</v>
      </c>
      <c r="G1" s="22" t="s">
        <v>25</v>
      </c>
      <c r="H1" s="22" t="s">
        <v>21</v>
      </c>
    </row>
    <row r="2" spans="1:8" x14ac:dyDescent="0.3">
      <c r="A2" t="e">
        <f>'Báo Giá'!#REF!</f>
        <v>#REF!</v>
      </c>
      <c r="B2" s="22">
        <v>650000</v>
      </c>
      <c r="C2" s="22">
        <f>B2*1.15</f>
        <v>747500</v>
      </c>
      <c r="D2" s="22">
        <v>800000</v>
      </c>
      <c r="E2" s="22">
        <f>C2-B2</f>
        <v>97500</v>
      </c>
      <c r="F2" s="22">
        <v>1</v>
      </c>
      <c r="G2" s="22">
        <f>E2*F2</f>
        <v>97500</v>
      </c>
      <c r="H2" s="109" t="s">
        <v>22</v>
      </c>
    </row>
    <row r="3" spans="1:8" x14ac:dyDescent="0.3">
      <c r="A3" t="e">
        <f>'Báo Giá'!#REF!</f>
        <v>#REF!</v>
      </c>
      <c r="B3" s="22">
        <v>400000</v>
      </c>
      <c r="C3" s="22">
        <f>B3*1.15</f>
        <v>459999.99999999994</v>
      </c>
      <c r="D3" s="22">
        <v>500000</v>
      </c>
      <c r="E3" s="22">
        <f t="shared" ref="E3:E4" si="0">C3-B3</f>
        <v>59999.999999999942</v>
      </c>
      <c r="F3" s="22">
        <v>1</v>
      </c>
      <c r="G3" s="22">
        <f t="shared" ref="G3:G4" si="1">E3*F3</f>
        <v>59999.999999999942</v>
      </c>
      <c r="H3" s="109"/>
    </row>
    <row r="4" spans="1:8" x14ac:dyDescent="0.3">
      <c r="A4" t="e">
        <f>'Báo Giá'!#REF!</f>
        <v>#REF!</v>
      </c>
      <c r="B4" s="22">
        <v>2680000</v>
      </c>
      <c r="C4" s="22">
        <f>B4*1.12</f>
        <v>3001600.0000000005</v>
      </c>
      <c r="D4" s="22">
        <v>3000000</v>
      </c>
      <c r="E4" s="22">
        <f t="shared" si="0"/>
        <v>321600.00000000047</v>
      </c>
      <c r="F4" s="22">
        <v>2</v>
      </c>
      <c r="G4" s="22">
        <f t="shared" si="1"/>
        <v>643200.00000000093</v>
      </c>
      <c r="H4" s="22" t="s">
        <v>23</v>
      </c>
    </row>
  </sheetData>
  <mergeCells count="2">
    <mergeCell ref="H2:H3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CAB1-FF21-495E-A4C5-7BB65CE4A8C1}">
  <dimension ref="B3:K14"/>
  <sheetViews>
    <sheetView topLeftCell="A7" workbookViewId="0">
      <selection activeCell="I14" sqref="I14"/>
    </sheetView>
  </sheetViews>
  <sheetFormatPr defaultRowHeight="14.4" x14ac:dyDescent="0.3"/>
  <cols>
    <col min="3" max="3" width="44.6640625" customWidth="1"/>
  </cols>
  <sheetData>
    <row r="3" spans="2:11" ht="15" thickBot="1" x14ac:dyDescent="0.35"/>
    <row r="4" spans="2:11" x14ac:dyDescent="0.3">
      <c r="B4" s="110" t="s">
        <v>34</v>
      </c>
      <c r="C4" s="112" t="s">
        <v>35</v>
      </c>
      <c r="D4" s="112" t="s">
        <v>36</v>
      </c>
      <c r="E4" s="28" t="s">
        <v>37</v>
      </c>
      <c r="F4" s="28" t="s">
        <v>39</v>
      </c>
      <c r="G4" s="112" t="s">
        <v>2</v>
      </c>
      <c r="H4" s="112" t="s">
        <v>41</v>
      </c>
      <c r="I4" s="110" t="s">
        <v>42</v>
      </c>
      <c r="J4" s="110" t="s">
        <v>43</v>
      </c>
      <c r="K4" s="28" t="s">
        <v>44</v>
      </c>
    </row>
    <row r="5" spans="2:11" ht="15" thickBot="1" x14ac:dyDescent="0.35">
      <c r="B5" s="111"/>
      <c r="C5" s="113"/>
      <c r="D5" s="113"/>
      <c r="E5" s="29" t="s">
        <v>38</v>
      </c>
      <c r="F5" s="29" t="s">
        <v>40</v>
      </c>
      <c r="G5" s="113"/>
      <c r="H5" s="113"/>
      <c r="I5" s="111"/>
      <c r="J5" s="111"/>
      <c r="K5" s="29" t="s">
        <v>45</v>
      </c>
    </row>
    <row r="6" spans="2:11" ht="22.8" x14ac:dyDescent="0.3">
      <c r="B6" s="30">
        <v>1</v>
      </c>
      <c r="C6" s="31" t="s">
        <v>46</v>
      </c>
      <c r="D6" s="32" t="s">
        <v>33</v>
      </c>
      <c r="E6" s="32" t="s">
        <v>47</v>
      </c>
      <c r="F6" s="32" t="s">
        <v>48</v>
      </c>
      <c r="G6" s="32" t="s">
        <v>49</v>
      </c>
      <c r="H6" s="30" t="s">
        <v>50</v>
      </c>
      <c r="I6" s="30">
        <v>2500000</v>
      </c>
      <c r="J6" s="30" t="s">
        <v>51</v>
      </c>
      <c r="K6" s="33">
        <v>0.08</v>
      </c>
    </row>
    <row r="7" spans="2:11" ht="22.8" x14ac:dyDescent="0.3">
      <c r="B7" s="34">
        <v>2</v>
      </c>
      <c r="C7" s="35" t="s">
        <v>52</v>
      </c>
      <c r="D7" s="36" t="s">
        <v>33</v>
      </c>
      <c r="E7" s="36" t="s">
        <v>47</v>
      </c>
      <c r="F7" s="36" t="s">
        <v>53</v>
      </c>
      <c r="G7" s="36" t="s">
        <v>49</v>
      </c>
      <c r="H7" s="34" t="s">
        <v>50</v>
      </c>
      <c r="I7" s="34">
        <v>9500000</v>
      </c>
      <c r="J7" s="34" t="s">
        <v>54</v>
      </c>
      <c r="K7" s="37">
        <v>0.08</v>
      </c>
    </row>
    <row r="8" spans="2:11" ht="22.8" x14ac:dyDescent="0.3">
      <c r="B8" s="30">
        <v>3</v>
      </c>
      <c r="C8" s="31" t="s">
        <v>55</v>
      </c>
      <c r="D8" s="32" t="s">
        <v>33</v>
      </c>
      <c r="E8" s="32" t="s">
        <v>56</v>
      </c>
      <c r="F8" s="32" t="s">
        <v>48</v>
      </c>
      <c r="G8" s="32" t="s">
        <v>49</v>
      </c>
      <c r="H8" s="30" t="s">
        <v>57</v>
      </c>
      <c r="I8" s="30">
        <v>850000</v>
      </c>
      <c r="J8" s="30" t="s">
        <v>58</v>
      </c>
      <c r="K8" s="33">
        <v>0.08</v>
      </c>
    </row>
    <row r="9" spans="2:11" x14ac:dyDescent="0.3">
      <c r="B9" s="34">
        <v>4</v>
      </c>
      <c r="C9" s="35" t="s">
        <v>59</v>
      </c>
      <c r="D9" s="36" t="s">
        <v>60</v>
      </c>
      <c r="E9" s="36" t="s">
        <v>56</v>
      </c>
      <c r="F9" s="36" t="s">
        <v>48</v>
      </c>
      <c r="G9" s="36" t="s">
        <v>49</v>
      </c>
      <c r="H9" s="34" t="s">
        <v>57</v>
      </c>
      <c r="I9" s="34">
        <v>2000000</v>
      </c>
      <c r="J9" s="34" t="s">
        <v>61</v>
      </c>
      <c r="K9" s="37">
        <v>0.08</v>
      </c>
    </row>
    <row r="10" spans="2:11" x14ac:dyDescent="0.3">
      <c r="B10" s="30">
        <v>5</v>
      </c>
      <c r="C10" s="31" t="s">
        <v>62</v>
      </c>
      <c r="D10" s="32" t="s">
        <v>60</v>
      </c>
      <c r="E10" s="32" t="s">
        <v>56</v>
      </c>
      <c r="F10" s="32" t="s">
        <v>48</v>
      </c>
      <c r="G10" s="32" t="s">
        <v>49</v>
      </c>
      <c r="H10" s="30" t="s">
        <v>57</v>
      </c>
      <c r="I10" s="30">
        <v>80000</v>
      </c>
      <c r="J10" s="30">
        <v>320</v>
      </c>
      <c r="K10" s="33">
        <v>0.08</v>
      </c>
    </row>
    <row r="11" spans="2:11" x14ac:dyDescent="0.3">
      <c r="B11" s="34">
        <v>6</v>
      </c>
      <c r="C11" s="35" t="s">
        <v>63</v>
      </c>
      <c r="D11" s="36" t="s">
        <v>60</v>
      </c>
      <c r="E11" s="36" t="s">
        <v>56</v>
      </c>
      <c r="F11" s="36" t="s">
        <v>48</v>
      </c>
      <c r="G11" s="36" t="s">
        <v>49</v>
      </c>
      <c r="H11" s="34" t="s">
        <v>57</v>
      </c>
      <c r="I11" s="34">
        <v>30000</v>
      </c>
      <c r="J11" s="34">
        <v>120</v>
      </c>
      <c r="K11" s="37">
        <v>0.08</v>
      </c>
    </row>
    <row r="12" spans="2:11" ht="22.8" x14ac:dyDescent="0.3">
      <c r="B12" s="30">
        <v>7</v>
      </c>
      <c r="C12" s="31" t="s">
        <v>64</v>
      </c>
      <c r="D12" s="32" t="s">
        <v>60</v>
      </c>
      <c r="E12" s="32" t="s">
        <v>56</v>
      </c>
      <c r="F12" s="32" t="s">
        <v>48</v>
      </c>
      <c r="G12" s="32" t="s">
        <v>49</v>
      </c>
      <c r="H12" s="30" t="s">
        <v>57</v>
      </c>
      <c r="I12" s="30">
        <v>350000</v>
      </c>
      <c r="J12" s="30" t="s">
        <v>65</v>
      </c>
      <c r="K12" s="33">
        <v>0.08</v>
      </c>
    </row>
    <row r="13" spans="2:11" x14ac:dyDescent="0.3">
      <c r="B13" s="34">
        <v>8</v>
      </c>
      <c r="C13" s="35" t="s">
        <v>66</v>
      </c>
      <c r="D13" s="36" t="s">
        <v>60</v>
      </c>
      <c r="E13" s="36" t="s">
        <v>56</v>
      </c>
      <c r="F13" s="36" t="s">
        <v>48</v>
      </c>
      <c r="G13" s="36" t="s">
        <v>67</v>
      </c>
      <c r="H13" s="34" t="s">
        <v>68</v>
      </c>
      <c r="I13" s="34">
        <v>65000</v>
      </c>
      <c r="J13" s="34">
        <v>910</v>
      </c>
      <c r="K13" s="37">
        <v>0.1</v>
      </c>
    </row>
    <row r="14" spans="2:11" ht="22.8" x14ac:dyDescent="0.3">
      <c r="B14" s="30">
        <v>9</v>
      </c>
      <c r="C14" s="31" t="s">
        <v>69</v>
      </c>
      <c r="D14" s="32" t="s">
        <v>60</v>
      </c>
      <c r="E14" s="32" t="s">
        <v>56</v>
      </c>
      <c r="F14" s="32" t="s">
        <v>48</v>
      </c>
      <c r="G14" s="32" t="s">
        <v>70</v>
      </c>
      <c r="H14" s="30" t="s">
        <v>71</v>
      </c>
      <c r="I14" s="30">
        <v>11000</v>
      </c>
      <c r="J14" s="30" t="s">
        <v>72</v>
      </c>
      <c r="K14" s="33">
        <v>0.1</v>
      </c>
    </row>
  </sheetData>
  <mergeCells count="7">
    <mergeCell ref="J4:J5"/>
    <mergeCell ref="B4:B5"/>
    <mergeCell ref="C4:C5"/>
    <mergeCell ref="D4:D5"/>
    <mergeCell ref="G4:G5"/>
    <mergeCell ref="H4:H5"/>
    <mergeCell ref="I4:I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DA61E-C9FB-43D8-9EBC-BA8D3642E3D9}">
  <dimension ref="A1:C33"/>
  <sheetViews>
    <sheetView topLeftCell="A12" workbookViewId="0">
      <selection sqref="A1:C33"/>
    </sheetView>
  </sheetViews>
  <sheetFormatPr defaultRowHeight="14.4" x14ac:dyDescent="0.3"/>
  <cols>
    <col min="1" max="1" width="5.44140625" style="52" customWidth="1"/>
    <col min="2" max="2" width="18.6640625" customWidth="1"/>
    <col min="3" max="3" width="87.44140625" customWidth="1"/>
  </cols>
  <sheetData>
    <row r="1" spans="1:3" x14ac:dyDescent="0.3">
      <c r="A1" s="49" t="s">
        <v>126</v>
      </c>
      <c r="B1" s="49" t="s">
        <v>127</v>
      </c>
      <c r="C1" s="49" t="s">
        <v>128</v>
      </c>
    </row>
    <row r="2" spans="1:3" x14ac:dyDescent="0.3">
      <c r="A2" s="50">
        <v>1</v>
      </c>
      <c r="B2" s="47" t="s">
        <v>129</v>
      </c>
      <c r="C2" s="47" t="s">
        <v>130</v>
      </c>
    </row>
    <row r="3" spans="1:3" x14ac:dyDescent="0.3">
      <c r="A3" s="50">
        <v>1</v>
      </c>
      <c r="B3" s="47" t="s">
        <v>131</v>
      </c>
      <c r="C3" s="47" t="s">
        <v>132</v>
      </c>
    </row>
    <row r="4" spans="1:3" x14ac:dyDescent="0.3">
      <c r="A4" s="51">
        <v>1</v>
      </c>
      <c r="B4" s="48" t="s">
        <v>133</v>
      </c>
      <c r="C4" s="48" t="s">
        <v>134</v>
      </c>
    </row>
    <row r="5" spans="1:3" x14ac:dyDescent="0.3">
      <c r="A5" s="50">
        <v>1</v>
      </c>
      <c r="B5" s="47" t="s">
        <v>135</v>
      </c>
      <c r="C5" s="47" t="s">
        <v>136</v>
      </c>
    </row>
    <row r="6" spans="1:3" x14ac:dyDescent="0.3">
      <c r="A6" s="51">
        <v>1</v>
      </c>
      <c r="B6" s="48" t="s">
        <v>137</v>
      </c>
      <c r="C6" s="48" t="s">
        <v>138</v>
      </c>
    </row>
    <row r="7" spans="1:3" x14ac:dyDescent="0.3">
      <c r="A7" s="50">
        <v>1</v>
      </c>
      <c r="B7" s="47" t="s">
        <v>139</v>
      </c>
      <c r="C7" s="47" t="s">
        <v>136</v>
      </c>
    </row>
    <row r="8" spans="1:3" x14ac:dyDescent="0.3">
      <c r="A8" s="50">
        <v>1</v>
      </c>
      <c r="B8" s="47" t="s">
        <v>140</v>
      </c>
      <c r="C8" s="47" t="s">
        <v>141</v>
      </c>
    </row>
    <row r="9" spans="1:3" x14ac:dyDescent="0.3">
      <c r="A9" s="50">
        <v>1</v>
      </c>
      <c r="B9" s="47" t="s">
        <v>142</v>
      </c>
      <c r="C9" s="47" t="s">
        <v>136</v>
      </c>
    </row>
    <row r="10" spans="1:3" x14ac:dyDescent="0.3">
      <c r="A10" s="51">
        <v>1</v>
      </c>
      <c r="B10" s="48" t="s">
        <v>143</v>
      </c>
      <c r="C10" s="48" t="s">
        <v>144</v>
      </c>
    </row>
    <row r="11" spans="1:3" x14ac:dyDescent="0.3">
      <c r="A11" s="50">
        <v>1</v>
      </c>
      <c r="B11" s="47" t="s">
        <v>145</v>
      </c>
      <c r="C11" s="47" t="s">
        <v>136</v>
      </c>
    </row>
    <row r="12" spans="1:3" x14ac:dyDescent="0.3">
      <c r="A12" s="50">
        <v>1</v>
      </c>
      <c r="B12" s="47" t="s">
        <v>146</v>
      </c>
      <c r="C12" s="47" t="s">
        <v>147</v>
      </c>
    </row>
    <row r="13" spans="1:3" x14ac:dyDescent="0.3">
      <c r="A13" s="50">
        <v>1</v>
      </c>
      <c r="B13" s="47" t="s">
        <v>148</v>
      </c>
      <c r="C13" s="47" t="s">
        <v>136</v>
      </c>
    </row>
    <row r="14" spans="1:3" x14ac:dyDescent="0.3">
      <c r="A14" s="50">
        <v>1</v>
      </c>
      <c r="B14" s="47" t="s">
        <v>149</v>
      </c>
      <c r="C14" s="47" t="s">
        <v>150</v>
      </c>
    </row>
    <row r="15" spans="1:3" x14ac:dyDescent="0.3">
      <c r="A15" s="50">
        <v>1</v>
      </c>
      <c r="B15" s="47" t="s">
        <v>151</v>
      </c>
      <c r="C15" s="47" t="s">
        <v>136</v>
      </c>
    </row>
    <row r="16" spans="1:3" x14ac:dyDescent="0.3">
      <c r="A16" s="51">
        <v>1</v>
      </c>
      <c r="B16" s="48" t="s">
        <v>152</v>
      </c>
      <c r="C16" s="48" t="s">
        <v>153</v>
      </c>
    </row>
    <row r="17" spans="1:3" x14ac:dyDescent="0.3">
      <c r="A17" s="50">
        <v>1</v>
      </c>
      <c r="B17" s="47" t="s">
        <v>154</v>
      </c>
      <c r="C17" s="47" t="s">
        <v>136</v>
      </c>
    </row>
    <row r="18" spans="1:3" x14ac:dyDescent="0.3">
      <c r="A18" s="51">
        <v>1</v>
      </c>
      <c r="B18" s="48" t="s">
        <v>155</v>
      </c>
      <c r="C18" s="48" t="s">
        <v>156</v>
      </c>
    </row>
    <row r="19" spans="1:3" x14ac:dyDescent="0.3">
      <c r="A19" s="50">
        <v>1</v>
      </c>
      <c r="B19" s="47" t="s">
        <v>157</v>
      </c>
      <c r="C19" s="47" t="s">
        <v>136</v>
      </c>
    </row>
    <row r="20" spans="1:3" x14ac:dyDescent="0.3">
      <c r="A20" s="51">
        <v>2</v>
      </c>
      <c r="B20" s="48" t="s">
        <v>158</v>
      </c>
      <c r="C20" s="48" t="s">
        <v>159</v>
      </c>
    </row>
    <row r="21" spans="1:3" x14ac:dyDescent="0.3">
      <c r="A21" s="50">
        <v>2</v>
      </c>
      <c r="B21" s="47" t="s">
        <v>160</v>
      </c>
      <c r="C21" s="47" t="s">
        <v>136</v>
      </c>
    </row>
    <row r="22" spans="1:3" x14ac:dyDescent="0.3">
      <c r="A22" s="50">
        <v>1</v>
      </c>
      <c r="B22" s="47" t="s">
        <v>161</v>
      </c>
      <c r="C22" s="47" t="s">
        <v>162</v>
      </c>
    </row>
    <row r="23" spans="1:3" x14ac:dyDescent="0.3">
      <c r="A23" s="50">
        <v>1</v>
      </c>
      <c r="B23" s="47" t="s">
        <v>163</v>
      </c>
      <c r="C23" s="47" t="s">
        <v>164</v>
      </c>
    </row>
    <row r="24" spans="1:3" x14ac:dyDescent="0.3">
      <c r="A24" s="50">
        <v>1</v>
      </c>
      <c r="B24" s="47" t="s">
        <v>165</v>
      </c>
      <c r="C24" s="47" t="s">
        <v>136</v>
      </c>
    </row>
    <row r="25" spans="1:3" x14ac:dyDescent="0.3">
      <c r="A25" s="50">
        <v>1</v>
      </c>
      <c r="B25" s="47" t="s">
        <v>166</v>
      </c>
      <c r="C25" s="47" t="s">
        <v>167</v>
      </c>
    </row>
    <row r="26" spans="1:3" x14ac:dyDescent="0.3">
      <c r="A26" s="50">
        <v>1</v>
      </c>
      <c r="B26" s="47" t="s">
        <v>168</v>
      </c>
      <c r="C26" s="47" t="s">
        <v>136</v>
      </c>
    </row>
    <row r="27" spans="1:3" x14ac:dyDescent="0.3">
      <c r="A27" s="50">
        <v>1</v>
      </c>
      <c r="B27" s="47" t="s">
        <v>169</v>
      </c>
      <c r="C27" s="47" t="s">
        <v>170</v>
      </c>
    </row>
    <row r="28" spans="1:3" x14ac:dyDescent="0.3">
      <c r="A28" s="50">
        <v>1</v>
      </c>
      <c r="B28" s="47" t="s">
        <v>171</v>
      </c>
      <c r="C28" s="47" t="s">
        <v>172</v>
      </c>
    </row>
    <row r="29" spans="1:3" x14ac:dyDescent="0.3">
      <c r="A29" s="50">
        <v>1</v>
      </c>
      <c r="B29" s="47" t="s">
        <v>173</v>
      </c>
      <c r="C29" s="47" t="s">
        <v>136</v>
      </c>
    </row>
    <row r="30" spans="1:3" x14ac:dyDescent="0.3">
      <c r="A30" s="50">
        <v>1</v>
      </c>
      <c r="B30" s="47" t="s">
        <v>174</v>
      </c>
      <c r="C30" s="47" t="s">
        <v>175</v>
      </c>
    </row>
    <row r="31" spans="1:3" x14ac:dyDescent="0.3">
      <c r="A31" s="50">
        <v>1</v>
      </c>
      <c r="B31" s="47" t="s">
        <v>176</v>
      </c>
      <c r="C31" s="47" t="s">
        <v>136</v>
      </c>
    </row>
    <row r="32" spans="1:3" x14ac:dyDescent="0.3">
      <c r="A32" s="50">
        <v>1</v>
      </c>
      <c r="B32" s="48" t="s">
        <v>177</v>
      </c>
      <c r="C32" s="48" t="s">
        <v>178</v>
      </c>
    </row>
    <row r="33" spans="1:3" x14ac:dyDescent="0.3">
      <c r="A33" s="50">
        <v>1</v>
      </c>
      <c r="B33" s="47" t="s">
        <v>179</v>
      </c>
      <c r="C33" s="47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4</vt:i4>
      </vt:variant>
      <vt:variant>
        <vt:lpstr>Phạm vi Có tên</vt:lpstr>
      </vt:variant>
      <vt:variant>
        <vt:i4>1</vt:i4>
      </vt:variant>
    </vt:vector>
  </HeadingPairs>
  <TitlesOfParts>
    <vt:vector size="5" baseType="lpstr">
      <vt:lpstr>Báo Giá</vt:lpstr>
      <vt:lpstr>Trang_tính1</vt:lpstr>
      <vt:lpstr>Trang_tính2</vt:lpstr>
      <vt:lpstr>Trang_tính3</vt:lpstr>
      <vt:lpstr>'Báo Giá'!Vùng_In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Việt Nguyễn</cp:lastModifiedBy>
  <cp:lastPrinted>2025-11-28T02:52:01Z</cp:lastPrinted>
  <dcterms:created xsi:type="dcterms:W3CDTF">2022-12-12T03:18:33Z</dcterms:created>
  <dcterms:modified xsi:type="dcterms:W3CDTF">2025-12-04T03:39:14Z</dcterms:modified>
</cp:coreProperties>
</file>