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https://d.docs.live.net/6f7e8194983d7c84/000WORK/Tianhai Lace VN/Cau hinh/"/>
    </mc:Choice>
  </mc:AlternateContent>
  <xr:revisionPtr revIDLastSave="13" documentId="8_{71B4E612-C9B3-4BE0-8BB8-263F72720F11}" xr6:coauthVersionLast="47" xr6:coauthVersionMax="47" xr10:uidLastSave="{58A44B1C-C5B9-475B-8BF5-16D518389A03}"/>
  <bookViews>
    <workbookView xWindow="-120" yWindow="-120" windowWidth="29040" windowHeight="15720" xr2:uid="{00000000-000D-0000-FFFF-FFFF00000000}"/>
  </bookViews>
  <sheets>
    <sheet name="交换机配置要求" sheetId="1" r:id="rId1"/>
    <sheet name="INNOTE供货清单" sheetId="2" r:id="rId2"/>
    <sheet name="Rack Layout" sheetId="3" r:id="rId3"/>
    <sheet name="Switch Notes" sheetId="4" r:id="rId4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1" i="2" l="1"/>
  <c r="I70" i="2"/>
  <c r="I69" i="2"/>
  <c r="J48" i="2"/>
  <c r="J43" i="2"/>
  <c r="E19" i="1"/>
</calcChain>
</file>

<file path=xl/sharedStrings.xml><?xml version="1.0" encoding="utf-8"?>
<sst xmlns="http://schemas.openxmlformats.org/spreadsheetml/2006/main" count="767" uniqueCount="244">
  <si>
    <t>H3C S5024PV5-EI</t>
  </si>
  <si>
    <t>机房网段：192.168.100.0，请预留192.168.100.40前IP地址给服务器使用</t>
  </si>
  <si>
    <t>H3C S5570S-36F-EI</t>
  </si>
  <si>
    <t>总计</t>
  </si>
  <si>
    <r>
      <rPr>
        <b/>
        <sz val="10"/>
        <rFont val="Arial"/>
        <charset val="134"/>
      </rPr>
      <t>STT</t>
    </r>
    <r>
      <rPr>
        <b/>
        <sz val="10"/>
        <rFont val="Arial"/>
        <charset val="134"/>
      </rPr>
      <t xml:space="preserve">
次序</t>
    </r>
  </si>
  <si>
    <t>Mã thiết bị
设备代码</t>
  </si>
  <si>
    <t>Mô tả thiết bị
设备说明</t>
  </si>
  <si>
    <t>Nhãn Hiệu
品牌</t>
  </si>
  <si>
    <t>Bảo hành
保修</t>
  </si>
  <si>
    <r>
      <rPr>
        <b/>
        <sz val="10"/>
        <rFont val="Arial"/>
        <charset val="134"/>
      </rPr>
      <t>Đơn vị tính</t>
    </r>
    <r>
      <rPr>
        <b/>
        <sz val="10"/>
        <rFont val="Arial"/>
        <charset val="134"/>
      </rPr>
      <t xml:space="preserve">
计算单位</t>
    </r>
  </si>
  <si>
    <r>
      <rPr>
        <b/>
        <sz val="10"/>
        <rFont val="Arial"/>
        <charset val="134"/>
      </rPr>
      <t>SL</t>
    </r>
    <r>
      <rPr>
        <b/>
        <sz val="10"/>
        <rFont val="Arial"/>
        <charset val="134"/>
      </rPr>
      <t xml:space="preserve">
数量</t>
    </r>
  </si>
  <si>
    <r>
      <rPr>
        <sz val="10"/>
        <rFont val="Microsoft Sans Serif"/>
        <charset val="134"/>
      </rPr>
      <t>H3C S5570S-36F-EI</t>
    </r>
  </si>
  <si>
    <t>H3C S5570S-36F-EI L3 Ethernet Switch with 24*1000BASE-X SFP Ports, 8*10/100/1000BASE-T Ports and 4*1G/10G BASE-X SFP Plus Ports, Without Power Supplies;
SFP+ Cable 0.65m;
2 * SFP+ Module(850nm,300m,LC);
2 * Pluggable 70W AC Power Supply;
3 * 1Y 5×9 NBD-S CT Foundation BASIC Service, Global Version
H3C S5570S-36F-EI L3 以太网交换机: 24个 1000BASE-X SFP 端口，8个 10/100/1000BASE-T 电口，4个 1G/10G BASE-X SFP Plus 端口，不含电源单元。
SFP+ 电缆 (0.65米)；
2个 SFP+ 模块 (850nm, 300m, LC)；
2个 70W 交流可插拔电源模块；
3份 1年 5×9 下一工作日 (NBD-S) 基础服务 (全球版)</t>
  </si>
  <si>
    <r>
      <rPr>
        <sz val="10"/>
        <rFont val="Microsoft Sans Serif"/>
        <charset val="134"/>
      </rPr>
      <t>H3C</t>
    </r>
  </si>
  <si>
    <r>
      <rPr>
        <sz val="10"/>
        <rFont val="Microsoft Sans Serif"/>
        <charset val="134"/>
      </rPr>
      <t>3 năm/</t>
    </r>
    <r>
      <rPr>
        <sz val="10"/>
        <rFont val="Microsoft Sans Serif"/>
        <charset val="134"/>
      </rPr>
      <t>年</t>
    </r>
  </si>
  <si>
    <r>
      <rPr>
        <sz val="10"/>
        <rFont val="Microsoft Sans Serif"/>
        <charset val="134"/>
      </rPr>
      <t>cái</t>
    </r>
    <r>
      <rPr>
        <sz val="10"/>
        <rFont val="Microsoft Sans Serif"/>
        <charset val="134"/>
      </rPr>
      <t xml:space="preserve"> 个</t>
    </r>
  </si>
  <si>
    <r>
      <rPr>
        <sz val="10"/>
        <rFont val="Microsoft Sans Serif"/>
        <charset val="134"/>
      </rPr>
      <t>H3C S5024PV5-EI</t>
    </r>
  </si>
  <si>
    <t>H3C S5024PV5-EI L2 Ethernet Switch with 24*10/100/1000BASE-T Ports and 4*1000BASE-X Ports,(AC); 3 * 1Y 5×9 NBD-S CT Foundation BASIC Service, Global Version
H3C S5024PV5-EI L2 以太网交换机：24个 10/100/1000BASE-T 电口、4个 1000BASE-X SFP 光口、交流供电 (AC)；3份 1年 5×9 下一工作日 (NBD-S) 基础维保服务, 全球版</t>
  </si>
  <si>
    <t>SFP-GE-SX-MM850-
A</t>
  </si>
  <si>
    <t>1000BASE-SX SFP Transceiver, Multi-Mode (850nm, 550m, LC)
1000BASE-SX SFP 光模块，多模 （850nm, 550m, LC 接口）</t>
  </si>
  <si>
    <t>Dây nhảy quang 光纤跳线</t>
  </si>
  <si>
    <t>Dây nhảy quang SC/UPC-LC/UPC LSZH, MM(OM3), DX, 2.0mm, 1M
Hãng Vietfiber
SC/UPC-LC/UPC LSZH, 万兆多模(OM3), 双芯, 2.0mm, 1米 光纤跳线</t>
  </si>
  <si>
    <t>Vietfiber</t>
  </si>
  <si>
    <t>sợi 根</t>
  </si>
  <si>
    <r>
      <rPr>
        <b/>
        <sz val="10"/>
        <rFont val="Arial"/>
        <charset val="134"/>
      </rPr>
      <t>C</t>
    </r>
  </si>
  <si>
    <r>
      <rPr>
        <b/>
        <sz val="10"/>
        <rFont val="Arial"/>
        <charset val="134"/>
      </rPr>
      <t>Dịch vụ</t>
    </r>
    <r>
      <rPr>
        <b/>
        <sz val="10"/>
        <rFont val="Arial"/>
        <charset val="134"/>
      </rPr>
      <t xml:space="preserve"> 服务</t>
    </r>
  </si>
  <si>
    <t>Dịch vụ 服务</t>
  </si>
  <si>
    <r>
      <rPr>
        <sz val="10"/>
        <rFont val="Microsoft Sans Serif"/>
        <charset val="134"/>
      </rPr>
      <t>Lắp dặt lên tủ rack và cấu hình</t>
    </r>
    <r>
      <rPr>
        <sz val="10"/>
        <rFont val="Microsoft Sans Serif"/>
        <charset val="134"/>
      </rPr>
      <t>/ 机架安装与配置</t>
    </r>
  </si>
  <si>
    <r>
      <rPr>
        <sz val="10"/>
        <rFont val="Microsoft Sans Serif"/>
        <charset val="134"/>
      </rPr>
      <t>Innotel</t>
    </r>
  </si>
  <si>
    <r>
      <rPr>
        <sz val="10"/>
        <rFont val="Microsoft Sans Serif"/>
        <charset val="134"/>
      </rPr>
      <t xml:space="preserve">gói </t>
    </r>
    <r>
      <rPr>
        <sz val="10"/>
        <rFont val="Microsoft Sans Serif"/>
        <charset val="134"/>
      </rPr>
      <t>套</t>
    </r>
  </si>
  <si>
    <r>
      <rPr>
        <sz val="10"/>
        <rFont val="Microsoft Sans Serif"/>
        <charset val="134"/>
      </rPr>
      <t>Bảo hành</t>
    </r>
    <r>
      <rPr>
        <sz val="10"/>
        <rFont val="Microsoft Sans Serif"/>
        <charset val="134"/>
      </rPr>
      <t xml:space="preserve"> 保修</t>
    </r>
  </si>
  <si>
    <t>Dịch vụ bảo hành onsite và cho mượn thiết bị trong ngày làm việc(T2-CN), trong vòng 3 năm
三年期上门保修及周一至周日设备借用服务</t>
  </si>
  <si>
    <t>CỘNG 总共</t>
  </si>
  <si>
    <t>VAT 8%</t>
  </si>
  <si>
    <t>TỔNG THÀNH TIỀN 总共（含VAT)</t>
  </si>
  <si>
    <t>STT
次序</t>
  </si>
  <si>
    <r>
      <rPr>
        <b/>
        <sz val="10"/>
        <rFont val="Arial"/>
        <charset val="134"/>
      </rPr>
      <t>Bảo hành</t>
    </r>
  </si>
  <si>
    <t>Đơn vị tính
计算单位</t>
  </si>
  <si>
    <t>SL
数量</t>
  </si>
  <si>
    <r>
      <rPr>
        <sz val="10"/>
        <rFont val="Cambria"/>
        <charset val="134"/>
      </rPr>
      <t>Server 1</t>
    </r>
  </si>
  <si>
    <r>
      <rPr>
        <sz val="10"/>
        <rFont val="Cambria"/>
        <charset val="134"/>
      </rPr>
      <t>Windows Server 2025 Standard - 2 Core</t>
    </r>
  </si>
  <si>
    <r>
      <rPr>
        <sz val="10"/>
        <rFont val="Cambria"/>
        <charset val="134"/>
      </rPr>
      <t>Microscoft</t>
    </r>
  </si>
  <si>
    <r>
      <rPr>
        <sz val="10"/>
        <rFont val="Cambria"/>
        <charset val="134"/>
      </rPr>
      <t>Lic</t>
    </r>
  </si>
  <si>
    <r>
      <rPr>
        <sz val="10"/>
        <rFont val="Cambria"/>
        <charset val="134"/>
      </rPr>
      <t>Windows Server 2025 - 1 User CAL</t>
    </r>
  </si>
  <si>
    <r>
      <rPr>
        <sz val="10"/>
        <rFont val="Cambria"/>
        <charset val="134"/>
      </rPr>
      <t>Server 2</t>
    </r>
  </si>
  <si>
    <r>
      <rPr>
        <sz val="10"/>
        <rFont val="Cambria"/>
        <charset val="134"/>
      </rPr>
      <t>Server 3</t>
    </r>
  </si>
  <si>
    <r>
      <rPr>
        <sz val="10"/>
        <rFont val="Cambria"/>
        <charset val="134"/>
      </rPr>
      <t>SQL</t>
    </r>
  </si>
  <si>
    <r>
      <rPr>
        <sz val="10"/>
        <rFont val="Cambria"/>
        <charset val="134"/>
      </rPr>
      <t>SQL Server 2025 Standard edition Perpetual 1 Server License</t>
    </r>
  </si>
  <si>
    <r>
      <rPr>
        <sz val="10"/>
        <rFont val="Cambria"/>
        <charset val="134"/>
      </rPr>
      <t>SQL Server 2025 - 1 User CAL</t>
    </r>
  </si>
  <si>
    <r>
      <rPr>
        <b/>
        <sz val="10"/>
        <color rgb="FFFF0000"/>
        <rFont val="Arial"/>
        <charset val="134"/>
      </rPr>
      <t>VAT 0%</t>
    </r>
  </si>
  <si>
    <t xml:space="preserve">TỔNG THÀNH TIỀN 总共（含VAT) </t>
  </si>
  <si>
    <t>Mã thiết bị 设备型号</t>
  </si>
  <si>
    <t>Mô tả thiết bị 设备说明</t>
  </si>
  <si>
    <t>Nhãn Hiệu 品牌</t>
  </si>
  <si>
    <t>Bảo hành 保修</t>
  </si>
  <si>
    <t>SL 数量</t>
  </si>
  <si>
    <r>
      <rPr>
        <sz val="10"/>
        <rFont val="Microsoft Sans Serif"/>
        <charset val="134"/>
      </rPr>
      <t xml:space="preserve">H3C Magic BS216-
</t>
    </r>
    <r>
      <rPr>
        <sz val="10"/>
        <rFont val="Microsoft Sans Serif"/>
        <charset val="134"/>
      </rPr>
      <t>EU</t>
    </r>
  </si>
  <si>
    <r>
      <rPr>
        <sz val="10"/>
        <rFont val="Microsoft Sans Serif"/>
        <charset val="134"/>
      </rPr>
      <t>H3C Magic BS216 Ethernet Switch (16GE, AC), Overseas Version (EU)</t>
    </r>
    <r>
      <rPr>
        <sz val="10"/>
        <rFont val="Microsoft Sans Serif"/>
        <charset val="134"/>
      </rPr>
      <t xml:space="preserve">
H3C Magic BS216 以太网交换机 (16GE, AC), 海外版 (EU)</t>
    </r>
  </si>
  <si>
    <t>1 năm 年</t>
  </si>
  <si>
    <r>
      <rPr>
        <sz val="10"/>
        <rFont val="Arial MT"/>
        <charset val="134"/>
      </rPr>
      <t>cái</t>
    </r>
    <r>
      <rPr>
        <sz val="10"/>
        <rFont val="Arial MT"/>
        <charset val="134"/>
      </rPr>
      <t xml:space="preserve"> 个</t>
    </r>
  </si>
  <si>
    <r>
      <rPr>
        <sz val="10"/>
        <rFont val="Microsoft Sans Serif"/>
        <charset val="134"/>
      </rPr>
      <t>VRV42-6100</t>
    </r>
  </si>
  <si>
    <r>
      <rPr>
        <sz val="10"/>
        <rFont val="Microsoft Sans Serif"/>
        <charset val="134"/>
      </rPr>
      <t>Tủ chứa máy chủ dòng V, 42U, 600mm x 1000mm, màu đen</t>
    </r>
    <r>
      <rPr>
        <sz val="10"/>
        <rFont val="Microsoft Sans Serif"/>
        <charset val="134"/>
      </rPr>
      <t xml:space="preserve">
V系列服务器机柜, 42U, 600mm x 1000mm, 黑色.</t>
    </r>
  </si>
  <si>
    <r>
      <rPr>
        <sz val="10"/>
        <rFont val="Microsoft Sans Serif"/>
        <charset val="134"/>
      </rPr>
      <t>Vietrack</t>
    </r>
  </si>
  <si>
    <t>CỘNG 金额</t>
  </si>
  <si>
    <r>
      <rPr>
        <b/>
        <sz val="10"/>
        <color rgb="FFFF0000"/>
        <rFont val="Arial"/>
        <charset val="134"/>
      </rPr>
      <t>VAT 8%</t>
    </r>
  </si>
  <si>
    <t>TỔNG THÀNH TIỀN 总价含税</t>
  </si>
  <si>
    <t>Cáp mạng Cat6 网线</t>
  </si>
  <si>
    <r>
      <rPr>
        <sz val="10"/>
        <rFont val="Microsoft Sans Serif"/>
        <charset val="134"/>
      </rPr>
      <t>Dây cáp mạng gắn đầu nối RJ45 Cat6 UTP, 3M, Blue (Patch cord RJ45 -Cat6)
Hãng Vietfiber</t>
    </r>
    <r>
      <rPr>
        <sz val="10"/>
        <color rgb="FF000000"/>
        <rFont val="Times New Roman"/>
        <charset val="204"/>
      </rPr>
      <t xml:space="preserve">
RJ45 CAT6 UTP Cat6 UT 跳线，3米，蓝色（Patch cord RJ45 -Cat6）
品牌：Vietfiber</t>
    </r>
  </si>
  <si>
    <t>sợi 条</t>
  </si>
  <si>
    <t>STT</t>
  </si>
  <si>
    <t>Mã thiết bị</t>
  </si>
  <si>
    <t>Mô tả thiết bị</t>
  </si>
  <si>
    <t>Nhãn Hiệu</t>
  </si>
  <si>
    <t>Xuất xứ</t>
  </si>
  <si>
    <t>DVT</t>
  </si>
  <si>
    <t>SL</t>
  </si>
  <si>
    <t>ODF 48</t>
  </si>
  <si>
    <t>PP9510</t>
  </si>
  <si>
    <r>
      <rPr>
        <b/>
        <sz val="11"/>
        <rFont val="Arial"/>
        <charset val="134"/>
      </rPr>
      <t xml:space="preserve">PP9510 : Hộp đấu nối sợi quang UC9500, 4 khe Snap-in, 1U, rỗng
</t>
    </r>
    <r>
      <rPr>
        <b/>
        <sz val="11"/>
        <rFont val="Arial"/>
        <charset val="134"/>
      </rPr>
      <t>PP9510</t>
    </r>
    <r>
      <rPr>
        <b/>
        <sz val="11"/>
        <rFont val="宋体"/>
        <charset val="134"/>
      </rPr>
      <t>：</t>
    </r>
    <r>
      <rPr>
        <b/>
        <sz val="11"/>
        <rFont val="Arial"/>
        <charset val="134"/>
      </rPr>
      <t xml:space="preserve">UC9500 </t>
    </r>
    <r>
      <rPr>
        <b/>
        <sz val="11"/>
        <rFont val="宋体"/>
        <charset val="134"/>
      </rPr>
      <t>光纤配线架</t>
    </r>
    <r>
      <rPr>
        <b/>
        <sz val="11"/>
        <rFont val="Arial"/>
        <charset val="134"/>
      </rPr>
      <t>/</t>
    </r>
    <r>
      <rPr>
        <b/>
        <sz val="11"/>
        <rFont val="宋体"/>
        <charset val="134"/>
      </rPr>
      <t>接线盒，</t>
    </r>
    <r>
      <rPr>
        <b/>
        <sz val="11"/>
        <rFont val="Arial"/>
        <charset val="134"/>
      </rPr>
      <t>4</t>
    </r>
    <r>
      <rPr>
        <b/>
        <sz val="11"/>
        <rFont val="宋体"/>
        <charset val="134"/>
      </rPr>
      <t>个直插式插槽</t>
    </r>
    <r>
      <rPr>
        <b/>
        <sz val="11"/>
        <rFont val="Arial"/>
        <charset val="134"/>
      </rPr>
      <t xml:space="preserve"> (Snap-in)</t>
    </r>
    <r>
      <rPr>
        <b/>
        <sz val="11"/>
        <rFont val="宋体"/>
        <charset val="134"/>
      </rPr>
      <t>，</t>
    </r>
    <r>
      <rPr>
        <b/>
        <sz val="11"/>
        <rFont val="Arial"/>
        <charset val="134"/>
      </rPr>
      <t>1U</t>
    </r>
    <r>
      <rPr>
        <b/>
        <sz val="11"/>
        <rFont val="宋体"/>
        <charset val="134"/>
      </rPr>
      <t>，空架</t>
    </r>
  </si>
  <si>
    <t>Draka</t>
  </si>
  <si>
    <t>CN</t>
  </si>
  <si>
    <t>PPA9514-6LCM3</t>
  </si>
  <si>
    <r>
      <rPr>
        <sz val="11"/>
        <rFont val="Microsoft Sans Serif"/>
        <charset val="134"/>
      </rPr>
      <t>PPA9514-6LCM3 : Thanh khớp nối sợi quang UC9500, OM3, LC-LC đôi, 12 sợi</t>
    </r>
    <r>
      <rPr>
        <sz val="11"/>
        <rFont val="Microsoft Sans Serif"/>
        <charset val="134"/>
      </rPr>
      <t xml:space="preserve">
PPA9514-6LCM3</t>
    </r>
    <r>
      <rPr>
        <sz val="11"/>
        <rFont val="宋体"/>
        <charset val="134"/>
      </rPr>
      <t>：</t>
    </r>
    <r>
      <rPr>
        <sz val="11"/>
        <rFont val="Microsoft Sans Serif"/>
        <charset val="134"/>
      </rPr>
      <t xml:space="preserve">UC9500 </t>
    </r>
    <r>
      <rPr>
        <sz val="11"/>
        <rFont val="宋体"/>
        <charset val="134"/>
      </rPr>
      <t>光纤适配器面板</t>
    </r>
    <r>
      <rPr>
        <sz val="11"/>
        <rFont val="Microsoft Sans Serif"/>
        <charset val="134"/>
      </rPr>
      <t>/</t>
    </r>
    <r>
      <rPr>
        <sz val="11"/>
        <rFont val="宋体"/>
        <charset val="134"/>
      </rPr>
      <t>耦合器条，</t>
    </r>
    <r>
      <rPr>
        <sz val="11"/>
        <rFont val="Microsoft Sans Serif"/>
        <charset val="134"/>
      </rPr>
      <t>OM3</t>
    </r>
    <r>
      <rPr>
        <sz val="11"/>
        <rFont val="宋体"/>
        <charset val="134"/>
      </rPr>
      <t>，双工</t>
    </r>
    <r>
      <rPr>
        <sz val="11"/>
        <rFont val="Microsoft Sans Serif"/>
        <charset val="134"/>
      </rPr>
      <t xml:space="preserve"> LC-LC</t>
    </r>
    <r>
      <rPr>
        <sz val="11"/>
        <rFont val="宋体"/>
        <charset val="134"/>
      </rPr>
      <t>，</t>
    </r>
    <r>
      <rPr>
        <sz val="11"/>
        <rFont val="Microsoft Sans Serif"/>
        <charset val="134"/>
      </rPr>
      <t>12</t>
    </r>
    <r>
      <rPr>
        <sz val="11"/>
        <rFont val="宋体"/>
        <charset val="134"/>
      </rPr>
      <t>芯</t>
    </r>
  </si>
  <si>
    <t>PPA9515-0</t>
  </si>
  <si>
    <r>
      <rPr>
        <sz val="11"/>
        <rFont val="Microsoft Sans Serif"/>
        <charset val="134"/>
      </rPr>
      <t>PPA9515-0 : Thanh lắp khoảng trống cho UC9500</t>
    </r>
    <r>
      <rPr>
        <sz val="11"/>
        <rFont val="Microsoft Sans Serif"/>
        <charset val="134"/>
      </rPr>
      <t xml:space="preserve">
PPA9515-0</t>
    </r>
    <r>
      <rPr>
        <sz val="11"/>
        <rFont val="宋体"/>
        <charset val="134"/>
      </rPr>
      <t>：</t>
    </r>
    <r>
      <rPr>
        <sz val="11"/>
        <rFont val="Microsoft Sans Serif"/>
        <charset val="134"/>
      </rPr>
      <t xml:space="preserve">UC9500 </t>
    </r>
    <r>
      <rPr>
        <sz val="11"/>
        <rFont val="宋体"/>
        <charset val="134"/>
      </rPr>
      <t>盲板</t>
    </r>
    <r>
      <rPr>
        <sz val="11"/>
        <rFont val="Microsoft Sans Serif"/>
        <charset val="134"/>
      </rPr>
      <t>/</t>
    </r>
    <r>
      <rPr>
        <sz val="11"/>
        <rFont val="宋体"/>
        <charset val="134"/>
      </rPr>
      <t>空白面板（用于填补空隙</t>
    </r>
  </si>
  <si>
    <t>PPST95-48</t>
  </si>
  <si>
    <r>
      <rPr>
        <sz val="11"/>
        <rFont val="Microsoft Sans Serif"/>
        <charset val="134"/>
      </rPr>
      <t>PPST95-48 : Khay hàn quang UC9500, 48 sợi</t>
    </r>
    <r>
      <rPr>
        <sz val="11"/>
        <rFont val="Microsoft Sans Serif"/>
        <charset val="134"/>
      </rPr>
      <t xml:space="preserve">
PST95-48</t>
    </r>
    <r>
      <rPr>
        <sz val="11"/>
        <rFont val="宋体"/>
        <charset val="134"/>
      </rPr>
      <t>：</t>
    </r>
    <r>
      <rPr>
        <sz val="11"/>
        <rFont val="Microsoft Sans Serif"/>
        <charset val="134"/>
      </rPr>
      <t xml:space="preserve">UC9500 </t>
    </r>
    <r>
      <rPr>
        <sz val="11"/>
        <rFont val="宋体"/>
        <charset val="134"/>
      </rPr>
      <t>光纤熔接盘，</t>
    </r>
    <r>
      <rPr>
        <sz val="11"/>
        <rFont val="Microsoft Sans Serif"/>
        <charset val="134"/>
      </rPr>
      <t>48</t>
    </r>
    <r>
      <rPr>
        <sz val="11"/>
        <rFont val="宋体"/>
        <charset val="134"/>
      </rPr>
      <t>芯</t>
    </r>
  </si>
  <si>
    <t>PT33LC-1</t>
  </si>
  <si>
    <r>
      <rPr>
        <sz val="11"/>
        <rFont val="Microsoft Sans Serif"/>
        <charset val="134"/>
      </rPr>
      <t>PT33LC-1 : Cáp đấu nối sợi quang, OM3, LC-Pigtail đơn, 1m</t>
    </r>
    <r>
      <rPr>
        <sz val="11"/>
        <rFont val="Microsoft Sans Serif"/>
        <charset val="134"/>
      </rPr>
      <t xml:space="preserve">
PT33LC-1</t>
    </r>
    <r>
      <rPr>
        <sz val="11"/>
        <rFont val="宋体"/>
        <charset val="134"/>
      </rPr>
      <t>：</t>
    </r>
    <r>
      <rPr>
        <sz val="11"/>
        <rFont val="Microsoft Sans Serif"/>
        <charset val="134"/>
      </rPr>
      <t xml:space="preserve">OM3 </t>
    </r>
    <r>
      <rPr>
        <sz val="11"/>
        <rFont val="宋体"/>
        <charset val="134"/>
      </rPr>
      <t>光纤跳线</t>
    </r>
    <r>
      <rPr>
        <sz val="11"/>
        <rFont val="Microsoft Sans Serif"/>
        <charset val="134"/>
      </rPr>
      <t>/</t>
    </r>
    <r>
      <rPr>
        <sz val="11"/>
        <rFont val="宋体"/>
        <charset val="134"/>
      </rPr>
      <t>尾纤，单头</t>
    </r>
    <r>
      <rPr>
        <sz val="11"/>
        <rFont val="Microsoft Sans Serif"/>
        <charset val="134"/>
      </rPr>
      <t xml:space="preserve"> LC </t>
    </r>
    <r>
      <rPr>
        <sz val="11"/>
        <rFont val="宋体"/>
        <charset val="134"/>
      </rPr>
      <t>接口，</t>
    </r>
    <r>
      <rPr>
        <sz val="11"/>
        <rFont val="Microsoft Sans Serif"/>
        <charset val="134"/>
      </rPr>
      <t>1</t>
    </r>
    <r>
      <rPr>
        <sz val="11"/>
        <rFont val="宋体"/>
        <charset val="134"/>
      </rPr>
      <t>米</t>
    </r>
  </si>
  <si>
    <t>ODF 8</t>
  </si>
  <si>
    <t>ODF 32</t>
  </si>
  <si>
    <t>YPPBP02775</t>
  </si>
  <si>
    <r>
      <rPr>
        <b/>
        <sz val="11"/>
        <rFont val="Arial"/>
        <charset val="134"/>
      </rPr>
      <t>YPPBP02775 : Thanh đấu nối, STP/UTP, HD Keystone jack, 24 cổng, 1U, rỗng, thẳng</t>
    </r>
    <r>
      <rPr>
        <b/>
        <sz val="11"/>
        <rFont val="Arial"/>
        <charset val="134"/>
      </rPr>
      <t xml:space="preserve">
YPPBP02775</t>
    </r>
    <r>
      <rPr>
        <b/>
        <sz val="11"/>
        <rFont val="宋体"/>
        <charset val="134"/>
      </rPr>
      <t>：网络配线架，支持屏蔽</t>
    </r>
    <r>
      <rPr>
        <b/>
        <sz val="11"/>
        <rFont val="Arial"/>
        <charset val="134"/>
      </rPr>
      <t>/</t>
    </r>
    <r>
      <rPr>
        <b/>
        <sz val="11"/>
        <rFont val="宋体"/>
        <charset val="134"/>
      </rPr>
      <t>非屏蔽</t>
    </r>
    <r>
      <rPr>
        <b/>
        <sz val="11"/>
        <rFont val="Arial"/>
        <charset val="134"/>
      </rPr>
      <t xml:space="preserve"> (STP/UTP)</t>
    </r>
    <r>
      <rPr>
        <b/>
        <sz val="11"/>
        <rFont val="宋体"/>
        <charset val="134"/>
      </rPr>
      <t>，高密度</t>
    </r>
    <r>
      <rPr>
        <b/>
        <sz val="11"/>
        <rFont val="Arial"/>
        <charset val="134"/>
      </rPr>
      <t xml:space="preserve"> Keystone </t>
    </r>
    <r>
      <rPr>
        <b/>
        <sz val="11"/>
        <rFont val="宋体"/>
        <charset val="134"/>
      </rPr>
      <t>模块化，</t>
    </r>
    <r>
      <rPr>
        <b/>
        <sz val="11"/>
        <rFont val="Arial"/>
        <charset val="134"/>
      </rPr>
      <t>24</t>
    </r>
    <r>
      <rPr>
        <b/>
        <sz val="11"/>
        <rFont val="宋体"/>
        <charset val="134"/>
      </rPr>
      <t>口，</t>
    </r>
    <r>
      <rPr>
        <b/>
        <sz val="11"/>
        <rFont val="Arial"/>
        <charset val="134"/>
      </rPr>
      <t>1U</t>
    </r>
    <r>
      <rPr>
        <b/>
        <sz val="11"/>
        <rFont val="宋体"/>
        <charset val="134"/>
      </rPr>
      <t>，空架，直型</t>
    </r>
  </si>
  <si>
    <t>YMJBP02754</t>
  </si>
  <si>
    <r>
      <rPr>
        <sz val="11"/>
        <rFont val="Microsoft Sans Serif"/>
        <charset val="134"/>
      </rPr>
      <t>YMJBP02754 : Ổ cắm UTP, Cat.6, T568A/T568B, HD Keystone jack, RJ45, màu đen
YMJBP02754</t>
    </r>
    <r>
      <rPr>
        <sz val="11"/>
        <rFont val="宋体"/>
        <charset val="134"/>
      </rPr>
      <t>：非屏蔽网络信息模块</t>
    </r>
    <r>
      <rPr>
        <sz val="11"/>
        <rFont val="Microsoft Sans Serif"/>
        <charset val="134"/>
      </rPr>
      <t xml:space="preserve"> (UTP)</t>
    </r>
    <r>
      <rPr>
        <sz val="11"/>
        <rFont val="宋体"/>
        <charset val="134"/>
      </rPr>
      <t>，六类</t>
    </r>
    <r>
      <rPr>
        <sz val="11"/>
        <rFont val="Microsoft Sans Serif"/>
        <charset val="134"/>
      </rPr>
      <t xml:space="preserve"> (Cat.6)</t>
    </r>
    <r>
      <rPr>
        <sz val="11"/>
        <rFont val="宋体"/>
        <charset val="134"/>
      </rPr>
      <t>，支持</t>
    </r>
    <r>
      <rPr>
        <sz val="11"/>
        <rFont val="Microsoft Sans Serif"/>
        <charset val="134"/>
      </rPr>
      <t xml:space="preserve"> T568A/T568B </t>
    </r>
    <r>
      <rPr>
        <sz val="11"/>
        <rFont val="宋体"/>
        <charset val="134"/>
      </rPr>
      <t>线序，高密度</t>
    </r>
    <r>
      <rPr>
        <sz val="11"/>
        <rFont val="Microsoft Sans Serif"/>
        <charset val="134"/>
      </rPr>
      <t xml:space="preserve"> Keystone RJ45 </t>
    </r>
    <r>
      <rPr>
        <sz val="11"/>
        <rFont val="宋体"/>
        <charset val="134"/>
      </rPr>
      <t>模块，黑色</t>
    </r>
  </si>
  <si>
    <t>CỘNG</t>
  </si>
  <si>
    <t>TỔNG THÀNH TIỀN</t>
  </si>
  <si>
    <t>区域 Khu vực</t>
  </si>
  <si>
    <t>类别Loại thiết bị</t>
  </si>
  <si>
    <t>弱电机房 RACK2
Phòng điện nhẹ RACK2</t>
  </si>
  <si>
    <t>1楼 Tầng 1</t>
  </si>
  <si>
    <t>交换机Switch</t>
  </si>
  <si>
    <t>综合生产车间
Xưởng sản xuất tổng hợp</t>
  </si>
  <si>
    <t>交换机 Switch</t>
  </si>
  <si>
    <t>夹层(办公室)
Tầng lửng (Văn phòng)</t>
  </si>
  <si>
    <t>2楼 Tầng 2</t>
  </si>
  <si>
    <t>染整车间 Xưởng nhuộm</t>
  </si>
  <si>
    <t>保安室 Phòng bảo vệ</t>
  </si>
  <si>
    <t>织机专用，与erp物理分离：
Dành riêng cho máy dệt, cách ly vật lý với mạng ERP:</t>
  </si>
  <si>
    <t>备用 Dự phòng</t>
  </si>
  <si>
    <t>H3C S5570S-36F-EI（erp核心交换机Switch  lõi ERP）</t>
  </si>
  <si>
    <t>型号 Model</t>
  </si>
  <si>
    <t>数量 Số lượng</t>
  </si>
  <si>
    <t>备注 Note</t>
  </si>
  <si>
    <t>终端数量
Số lượng thiết bị đầu cuối</t>
  </si>
  <si>
    <t>交换机设置要求 YÊU CẦU CẤU HÌNH SWITCH：</t>
  </si>
  <si>
    <t>1、交换机分区域网段设置 Cấu hình dải mạng theo từng khu vực của Switch：</t>
  </si>
  <si>
    <t>交换机型号 Model switch</t>
  </si>
  <si>
    <t>综合生产车间1楼网段 Dải mạng tầng 1 - Xưởng sản xuất tổng hợp：192.168.101.0</t>
  </si>
  <si>
    <t>综合生产车间2楼网段  Dải mạng tầng 2 - Xưởng sản xuất tổng hợp：192.168.102.0</t>
  </si>
  <si>
    <t>综合生产车间夹层(办公室)网段 Dải mạng tầng lửng khu VP - Xưởng sản xuất tổng hợp：192.168.103.0</t>
  </si>
  <si>
    <t>染整车间1楼网段 Dải mạng tầng 1 - Xưởng Nhuộm：192.168.104.0</t>
  </si>
  <si>
    <t>染整车间2楼（办公室）网段Dải mạng tầng 2 khu VP - Xưởng nhuộm：192.168.105.0</t>
  </si>
  <si>
    <t>保安室网段 Dải mạng Nhà bảo vệ：192.168.106.0</t>
  </si>
  <si>
    <t>预留网段Dải mạng dự phòng：192.168.107.0</t>
  </si>
  <si>
    <t>织机专用网段Dải mạng chuyên dụng cho máy dệt：192.168.200.0</t>
  </si>
  <si>
    <t>H3C S5570S-36F-EI（织机核心交换机Switch trung tâm máy dệt）</t>
  </si>
  <si>
    <t>2、两台核心交换机做IRF堆叠设置
Cấu hình Stack IRF cho 2 Switch trung tâm</t>
  </si>
  <si>
    <t>3、交换机需要设置IP地址、telnet功能、密码便于管理
Switch cần được cấu hình địa chỉ IP quản lý, tính năng Telnet và mật khẩu để thuận tiện cho việc quản trị.</t>
  </si>
  <si>
    <t>4、提供设置表清单 Cung cấp danh sách/bảng thông số cấu hình chi tiết</t>
  </si>
  <si>
    <t>2楼（办公室）Tầng 2 (VP)</t>
  </si>
  <si>
    <t>Dải mạng phòng máy chủ (Server room): 192.168.100.0, đề nghị dự phòng các địa chỉ IP trước 192.168.100.40 để sử dụng cho máy chủ.</t>
  </si>
  <si>
    <t>H3C S5570S-36F-EI（织机核心交换机Core Switch máy dệt）</t>
  </si>
  <si>
    <t>机柜设备布置图</t>
  </si>
  <si>
    <t>TỦ RACK R1</t>
  </si>
  <si>
    <t>RACK R2</t>
  </si>
  <si>
    <t>RACK R3</t>
  </si>
  <si>
    <t>RACK R4</t>
  </si>
  <si>
    <t xml:space="preserve">位置Vị trí    </t>
  </si>
  <si>
    <t>网络、电话 Mạng, điện thoại</t>
  </si>
  <si>
    <t>ERP服务器Máy chủ ERP</t>
  </si>
  <si>
    <t>视频监控Hệ thống CCTV</t>
  </si>
  <si>
    <t>UPSHệ thống系统</t>
  </si>
  <si>
    <t>42U</t>
  </si>
  <si>
    <t>空 Trống</t>
  </si>
  <si>
    <t>空Trống</t>
  </si>
  <si>
    <t>41U</t>
  </si>
  <si>
    <t>24口网线端口配线架 Thanh đấu nối mạng (Patch Panel) 24 cổng</t>
  </si>
  <si>
    <t>24口网线端口配线架Thanh đấu nối mạng  24 cổng</t>
  </si>
  <si>
    <t>24口网线端口配线架Thanh đấu nối mạng 24 cổng</t>
  </si>
  <si>
    <t>40U</t>
  </si>
  <si>
    <t>24口理线器 Thanh quản lý cáp 24 cổng</t>
  </si>
  <si>
    <t>24口理线器Thanh quản lý cáp 24 cổng</t>
  </si>
  <si>
    <t>39U</t>
  </si>
  <si>
    <t>38U</t>
  </si>
  <si>
    <t>OFD-1A(外网光纤终端盒Hộp phối quang mạng ngoài1）-VNPT</t>
  </si>
  <si>
    <t>S5560S-28F-EI（织机核心交换机Switch trung tâm máy dệt）</t>
  </si>
  <si>
    <t>OFD-1B(监控专网光纤终端盒Hộp phối quang chuyên dụng cho mạng camera）</t>
  </si>
  <si>
    <t>37U</t>
  </si>
  <si>
    <t>24口网络配线架Thanh đấu nối mạng 24 cổng</t>
  </si>
  <si>
    <t>UPS配电柜Tủ phân phối điện UPS</t>
  </si>
  <si>
    <t>36U</t>
  </si>
  <si>
    <t>35U</t>
  </si>
  <si>
    <t>OFD-2A(网络光纤终端盒Hộp phối quang mạng 2）-VIETTEL</t>
  </si>
  <si>
    <t>S5560S-28F-EI（erp核心交换机witch trung tâm ERP）</t>
  </si>
  <si>
    <t>S7303X-G（监控专网核心交换机Core Switch CCTV）</t>
  </si>
  <si>
    <t>34U</t>
  </si>
  <si>
    <t>24口网络配线架Thanh đấu nối mạng  24 cổng</t>
  </si>
  <si>
    <t>33U</t>
  </si>
  <si>
    <t>32U</t>
  </si>
  <si>
    <t>OFD-3A（内网光纤终端盒Hộp phối quang mạng nội bộ）</t>
  </si>
  <si>
    <t>31U</t>
  </si>
  <si>
    <t>24口网络配线架Thiết bị chuyển mạch</t>
  </si>
  <si>
    <t>30U</t>
  </si>
  <si>
    <t>24口理线器Thanh đấu nối mạng 24 cổng</t>
  </si>
  <si>
    <t>29U</t>
  </si>
  <si>
    <t>OFD-4A（无线网光纤终端盒Hộp phối quang mạng không dây）</t>
  </si>
  <si>
    <t>28U</t>
  </si>
  <si>
    <t>27U</t>
  </si>
  <si>
    <t>26U</t>
  </si>
  <si>
    <t>OFD-5A(IP电话网络光纤终端盒Hộp phối quang mạng điện thoại IP）</t>
  </si>
  <si>
    <t>25U</t>
  </si>
  <si>
    <t>24U</t>
  </si>
  <si>
    <t>23U</t>
  </si>
  <si>
    <t>外网1路由器Router mạng ngoài 1 (Thiết bị định tuyến)</t>
  </si>
  <si>
    <t>22U</t>
  </si>
  <si>
    <t>21U</t>
  </si>
  <si>
    <t>外网2路由器Router mạng ngoài 2</t>
  </si>
  <si>
    <t>20U</t>
  </si>
  <si>
    <t>H3C WX2550X-LI</t>
  </si>
  <si>
    <t>19U</t>
  </si>
  <si>
    <t>18U</t>
  </si>
  <si>
    <t>17U</t>
  </si>
  <si>
    <t>服务器Máy chủ</t>
  </si>
  <si>
    <t>16U</t>
  </si>
  <si>
    <t>Bộ lưu điện UPS主机（ITA-16k00AL3A02C00）</t>
  </si>
  <si>
    <t>15U</t>
  </si>
  <si>
    <t>网络视频存储服务器Máy chủ lưu trữ video mạng</t>
  </si>
  <si>
    <t>14U</t>
  </si>
  <si>
    <t>13U</t>
  </si>
  <si>
    <t>12U</t>
  </si>
  <si>
    <t>11U</t>
  </si>
  <si>
    <t>10U</t>
  </si>
  <si>
    <t>9U</t>
  </si>
  <si>
    <t>电话主机 Tổng đài điện thoại chính</t>
  </si>
  <si>
    <t>阵列 Mạng tủ đĩa / Hệ thống lưu trữ</t>
  </si>
  <si>
    <t>视频存储阵列Hệ thống tủ đĩa lưu trữ video</t>
  </si>
  <si>
    <t>预留UPS主机Vị trí dự phòng cho bộ lưu điện UPS</t>
  </si>
  <si>
    <t>8U</t>
  </si>
  <si>
    <t>7U</t>
  </si>
  <si>
    <t>6U</t>
  </si>
  <si>
    <t>5U</t>
  </si>
  <si>
    <t>4U</t>
  </si>
  <si>
    <t>3U</t>
  </si>
  <si>
    <t>2U</t>
  </si>
  <si>
    <t>1U</t>
  </si>
  <si>
    <t>1U H=44.45MM</t>
  </si>
  <si>
    <t>Device Name</t>
  </si>
  <si>
    <t>Model</t>
  </si>
  <si>
    <t>S/N</t>
  </si>
  <si>
    <t>MAC Address</t>
  </si>
  <si>
    <t>Gateway</t>
  </si>
  <si>
    <t>Notes</t>
  </si>
  <si>
    <t>IP Address/Subnet</t>
  </si>
  <si>
    <t>IRF</t>
  </si>
  <si>
    <t>Username/Password</t>
  </si>
  <si>
    <t>219801A3PU7264K10016</t>
  </si>
  <si>
    <t>219801A3PU7264K1002Q</t>
  </si>
  <si>
    <t>219801A3PU7264K1001K</t>
  </si>
  <si>
    <t>219801A4169257Q0007F</t>
  </si>
  <si>
    <t>219801A4169257Q000BS</t>
  </si>
  <si>
    <t>219801A4169257Q000B6</t>
  </si>
  <si>
    <t>219801A4169257Q000BJ</t>
  </si>
  <si>
    <t>219801A4169257Q0008W</t>
  </si>
  <si>
    <t>219801A4169257Q0007K</t>
  </si>
  <si>
    <t>219801A4169257Q000B0</t>
  </si>
  <si>
    <t>219801A4169257Q000BP</t>
  </si>
  <si>
    <t>219801A4169257Q0008C</t>
  </si>
  <si>
    <t>219801A4169257Q000BN</t>
  </si>
  <si>
    <t>219801A4169257Q0009Y</t>
  </si>
  <si>
    <t>219801A4169257Q0007V</t>
  </si>
  <si>
    <t>219801A4169257Q000B9</t>
  </si>
  <si>
    <t>219801A4169257Q000B8</t>
  </si>
  <si>
    <t>219801A4169257Q000BC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</si>
</sst>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 * #,##0.00_ ;_ * \-#,##0.00_ ;_ * &quot;-&quot;??_ ;_ @_ "/>
  </numFmts>
  <fonts count="24">
    <font>
      <sz val="11"/>
      <color theme="1"/>
      <name val="Calibri"/>
      <charset val="134"/>
      <scheme val="minor"/>
    </font>
    <font>
      <sz val="10"/>
      <color rgb="FF000000"/>
      <name val="Times New Roman"/>
      <charset val="204"/>
    </font>
    <font>
      <sz val="11"/>
      <color rgb="FF000000"/>
      <name val="Times New Roman"/>
      <charset val="204"/>
    </font>
    <font>
      <b/>
      <sz val="11"/>
      <color theme="1"/>
      <name val="Calibri"/>
      <charset val="134"/>
      <scheme val="minor"/>
    </font>
    <font>
      <b/>
      <sz val="10"/>
      <name val="Arial"/>
      <charset val="134"/>
    </font>
    <font>
      <sz val="10"/>
      <color rgb="FF000000"/>
      <name val="Microsoft Sans Serif"/>
      <charset val="134"/>
    </font>
    <font>
      <sz val="10"/>
      <name val="Microsoft Sans Serif"/>
      <charset val="134"/>
    </font>
    <font>
      <sz val="10"/>
      <color rgb="FF000000"/>
      <name val="Times New Roman"/>
      <charset val="134"/>
    </font>
    <font>
      <b/>
      <sz val="10"/>
      <color rgb="FFFF0000"/>
      <name val="Arial"/>
      <charset val="134"/>
    </font>
    <font>
      <sz val="10"/>
      <color rgb="FF000000"/>
      <name val="Cambria"/>
      <charset val="134"/>
    </font>
    <font>
      <sz val="10"/>
      <name val="Cambria"/>
      <charset val="134"/>
    </font>
    <font>
      <sz val="10"/>
      <name val="Arial MT"/>
      <charset val="134"/>
    </font>
    <font>
      <b/>
      <sz val="11"/>
      <name val="Arial"/>
      <charset val="134"/>
    </font>
    <font>
      <b/>
      <sz val="11"/>
      <color rgb="FF000000"/>
      <name val="Arial"/>
      <charset val="134"/>
    </font>
    <font>
      <sz val="11"/>
      <name val="Microsoft Sans Serif"/>
      <charset val="134"/>
    </font>
    <font>
      <sz val="11"/>
      <color rgb="FF000000"/>
      <name val="Microsoft Sans Serif"/>
      <charset val="134"/>
    </font>
    <font>
      <b/>
      <sz val="11"/>
      <color rgb="FFFF0000"/>
      <name val="Arial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微软雅黑"/>
      <charset val="134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BE8F"/>
        <bgColor indexed="64"/>
      </patternFill>
    </fill>
    <fill>
      <patternFill patternType="solid">
        <fgColor rgb="FFEDEBE0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4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left" vertical="top" wrapText="1" indent="3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5" borderId="1" xfId="0" applyFill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8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top" shrinkToFit="1"/>
    </xf>
    <xf numFmtId="0" fontId="10" fillId="6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4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 indent="1"/>
    </xf>
    <xf numFmtId="164" fontId="1" fillId="0" borderId="0" xfId="0" applyNumberFormat="1" applyFont="1" applyAlignment="1">
      <alignment horizontal="left" vertical="top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4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left" vertical="top" wrapText="1" indent="3"/>
    </xf>
    <xf numFmtId="0" fontId="4" fillId="3" borderId="3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 indent="2"/>
    </xf>
    <xf numFmtId="0" fontId="12" fillId="3" borderId="4" xfId="0" applyFont="1" applyFill="1" applyBorder="1" applyAlignment="1">
      <alignment horizontal="center" vertical="top" wrapText="1"/>
    </xf>
    <xf numFmtId="0" fontId="12" fillId="3" borderId="4" xfId="0" applyFont="1" applyFill="1" applyBorder="1" applyAlignment="1">
      <alignment horizontal="left" vertical="top" wrapText="1" indent="2"/>
    </xf>
    <xf numFmtId="0" fontId="12" fillId="3" borderId="4" xfId="0" applyFont="1" applyFill="1" applyBorder="1" applyAlignment="1">
      <alignment horizontal="left" vertical="top" wrapText="1"/>
    </xf>
    <xf numFmtId="0" fontId="2" fillId="7" borderId="4" xfId="0" applyFont="1" applyFill="1" applyBorder="1" applyAlignment="1">
      <alignment horizontal="left" wrapText="1"/>
    </xf>
    <xf numFmtId="0" fontId="12" fillId="7" borderId="4" xfId="0" applyFont="1" applyFill="1" applyBorder="1" applyAlignment="1">
      <alignment horizontal="left" vertical="top" wrapText="1"/>
    </xf>
    <xf numFmtId="1" fontId="13" fillId="0" borderId="4" xfId="0" applyNumberFormat="1" applyFont="1" applyBorder="1" applyAlignment="1">
      <alignment horizontal="center" vertical="top" shrinkToFit="1"/>
    </xf>
    <xf numFmtId="0" fontId="12" fillId="0" borderId="4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wrapText="1"/>
    </xf>
    <xf numFmtId="0" fontId="14" fillId="0" borderId="4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center" vertical="top" wrapText="1"/>
    </xf>
    <xf numFmtId="1" fontId="15" fillId="0" borderId="4" xfId="0" applyNumberFormat="1" applyFont="1" applyBorder="1" applyAlignment="1">
      <alignment horizontal="center" vertical="top" shrinkToFit="1"/>
    </xf>
    <xf numFmtId="0" fontId="2" fillId="0" borderId="4" xfId="0" applyFont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wrapText="1"/>
    </xf>
    <xf numFmtId="0" fontId="19" fillId="0" borderId="0" xfId="0" applyFont="1">
      <alignment vertical="center"/>
    </xf>
    <xf numFmtId="0" fontId="20" fillId="4" borderId="8" xfId="0" applyFont="1" applyFill="1" applyBorder="1">
      <alignment vertical="center"/>
    </xf>
    <xf numFmtId="0" fontId="20" fillId="4" borderId="9" xfId="0" applyFont="1" applyFill="1" applyBorder="1">
      <alignment vertical="center"/>
    </xf>
    <xf numFmtId="0" fontId="20" fillId="4" borderId="9" xfId="0" applyFont="1" applyFill="1" applyBorder="1" applyAlignment="1">
      <alignment vertical="center" wrapText="1"/>
    </xf>
    <xf numFmtId="0" fontId="20" fillId="4" borderId="10" xfId="0" applyFont="1" applyFill="1" applyBorder="1">
      <alignment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center" wrapText="1"/>
    </xf>
    <xf numFmtId="0" fontId="19" fillId="0" borderId="12" xfId="0" applyFont="1" applyBorder="1">
      <alignment vertical="center"/>
    </xf>
    <xf numFmtId="0" fontId="19" fillId="0" borderId="12" xfId="0" applyFont="1" applyBorder="1" applyAlignment="1">
      <alignment vertical="center" wrapText="1"/>
    </xf>
    <xf numFmtId="0" fontId="19" fillId="0" borderId="12" xfId="0" applyFont="1" applyBorder="1" applyAlignment="1">
      <alignment horizontal="right" vertical="center"/>
    </xf>
    <xf numFmtId="0" fontId="19" fillId="0" borderId="13" xfId="0" applyFont="1" applyBorder="1">
      <alignment vertical="center"/>
    </xf>
    <xf numFmtId="0" fontId="19" fillId="0" borderId="11" xfId="0" applyFont="1" applyBorder="1">
      <alignment vertical="center"/>
    </xf>
    <xf numFmtId="0" fontId="19" fillId="4" borderId="11" xfId="0" applyFont="1" applyFill="1" applyBorder="1" applyAlignment="1">
      <alignment vertical="center" wrapText="1"/>
    </xf>
    <xf numFmtId="0" fontId="19" fillId="4" borderId="12" xfId="0" applyFont="1" applyFill="1" applyBorder="1">
      <alignment vertical="center"/>
    </xf>
    <xf numFmtId="0" fontId="19" fillId="4" borderId="13" xfId="0" applyFont="1" applyFill="1" applyBorder="1">
      <alignment vertical="center"/>
    </xf>
    <xf numFmtId="0" fontId="19" fillId="4" borderId="12" xfId="0" applyFont="1" applyFill="1" applyBorder="1" applyAlignment="1">
      <alignment vertical="center" wrapText="1"/>
    </xf>
    <xf numFmtId="0" fontId="19" fillId="4" borderId="12" xfId="0" applyFont="1" applyFill="1" applyBorder="1" applyAlignment="1">
      <alignment horizontal="right" vertical="center"/>
    </xf>
    <xf numFmtId="0" fontId="19" fillId="4" borderId="14" xfId="0" applyFont="1" applyFill="1" applyBorder="1">
      <alignment vertical="center"/>
    </xf>
    <xf numFmtId="0" fontId="19" fillId="4" borderId="15" xfId="0" applyFont="1" applyFill="1" applyBorder="1">
      <alignment vertical="center"/>
    </xf>
    <xf numFmtId="0" fontId="19" fillId="4" borderId="16" xfId="0" applyFont="1" applyFill="1" applyBorder="1">
      <alignment vertical="center"/>
    </xf>
    <xf numFmtId="0" fontId="19" fillId="0" borderId="17" xfId="0" applyFont="1" applyBorder="1">
      <alignment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left" wrapTex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8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8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0" fillId="5" borderId="1" xfId="0" applyFill="1" applyBorder="1" applyAlignment="1">
      <alignment horizontal="left" wrapText="1"/>
    </xf>
    <xf numFmtId="0" fontId="8" fillId="0" borderId="1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1" fillId="5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2" fillId="5" borderId="7" xfId="0" applyFont="1" applyFill="1" applyBorder="1" applyAlignment="1">
      <alignment horizontal="left" wrapText="1"/>
    </xf>
    <xf numFmtId="0" fontId="2" fillId="5" borderId="6" xfId="0" applyFont="1" applyFill="1" applyBorder="1" applyAlignment="1">
      <alignment horizontal="left" wrapText="1"/>
    </xf>
    <xf numFmtId="0" fontId="16" fillId="0" borderId="7" xfId="0" applyFont="1" applyBorder="1" applyAlignment="1">
      <alignment horizontal="right" vertical="top" wrapText="1"/>
    </xf>
    <xf numFmtId="0" fontId="12" fillId="0" borderId="5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2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18" xfId="0" applyFont="1" applyBorder="1">
      <alignment vertical="center"/>
    </xf>
    <xf numFmtId="0" fontId="22" fillId="0" borderId="18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9" borderId="19" xfId="0" applyFont="1" applyFill="1" applyBorder="1" applyAlignment="1">
      <alignment horizontal="center" vertical="center"/>
    </xf>
    <xf numFmtId="0" fontId="22" fillId="10" borderId="19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22" fillId="9" borderId="22" xfId="0" applyFont="1" applyFill="1" applyBorder="1" applyAlignment="1">
      <alignment horizontal="center" vertical="center"/>
    </xf>
    <xf numFmtId="0" fontId="22" fillId="10" borderId="22" xfId="0" applyFont="1" applyFill="1" applyBorder="1" applyAlignment="1">
      <alignment horizontal="center" vertical="center"/>
    </xf>
    <xf numFmtId="0" fontId="22" fillId="0" borderId="23" xfId="0" applyFont="1" applyBorder="1" applyAlignment="1">
      <alignment horizontal="center" vertical="center"/>
    </xf>
    <xf numFmtId="0" fontId="22" fillId="8" borderId="1" xfId="0" applyFont="1" applyFill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2" borderId="27" xfId="0" applyFont="1" applyFill="1" applyBorder="1" applyAlignment="1">
      <alignment horizontal="center" vertical="center"/>
    </xf>
    <xf numFmtId="0" fontId="22" fillId="10" borderId="2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1263979</xdr:colOff>
      <xdr:row>3</xdr:row>
      <xdr:rowOff>0</xdr:rowOff>
    </xdr:from>
    <xdr:ext cx="22128" cy="18802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950" y="533400"/>
          <a:ext cx="22225" cy="18415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901103" cy="18802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0860" y="533400"/>
          <a:ext cx="901065" cy="184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</xdr:colOff>
      <xdr:row>48</xdr:row>
      <xdr:rowOff>38735</xdr:rowOff>
    </xdr:from>
    <xdr:to>
      <xdr:col>10</xdr:col>
      <xdr:colOff>477520</xdr:colOff>
      <xdr:row>106</xdr:row>
      <xdr:rowOff>57785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4F55C7B3-C501-4923-AFCE-94FC5DC20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" y="12630785"/>
          <a:ext cx="8680450" cy="121729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25" workbookViewId="0">
      <selection activeCell="F33" sqref="F33"/>
    </sheetView>
  </sheetViews>
  <sheetFormatPr defaultColWidth="9.85546875" defaultRowHeight="15"/>
  <cols>
    <col min="1" max="1" width="20.85546875" style="60" customWidth="1"/>
    <col min="2" max="2" width="23.28515625" style="60" customWidth="1"/>
    <col min="3" max="3" width="13.85546875" style="60" customWidth="1"/>
    <col min="4" max="4" width="40.7109375" style="60" customWidth="1"/>
    <col min="5" max="5" width="9.85546875" style="60"/>
    <col min="6" max="6" width="23.5703125" style="60" customWidth="1"/>
    <col min="7" max="7" width="22.5703125" style="60" customWidth="1"/>
    <col min="8" max="16384" width="9.85546875" style="60"/>
  </cols>
  <sheetData>
    <row r="1" spans="1:9" ht="9" customHeight="1"/>
    <row r="2" spans="1:9" ht="29.45" customHeight="1">
      <c r="A2" s="61" t="s">
        <v>97</v>
      </c>
      <c r="B2" s="62"/>
      <c r="C2" s="63" t="s">
        <v>98</v>
      </c>
      <c r="D2" s="62" t="s">
        <v>111</v>
      </c>
      <c r="E2" s="63" t="s">
        <v>112</v>
      </c>
      <c r="F2" s="63" t="s">
        <v>114</v>
      </c>
      <c r="G2" s="64" t="s">
        <v>113</v>
      </c>
      <c r="H2" s="84"/>
      <c r="I2" s="84"/>
    </row>
    <row r="3" spans="1:9" ht="45">
      <c r="A3" s="66" t="s">
        <v>99</v>
      </c>
      <c r="B3" s="67" t="s">
        <v>100</v>
      </c>
      <c r="C3" s="68" t="s">
        <v>101</v>
      </c>
      <c r="D3" s="68" t="s">
        <v>110</v>
      </c>
      <c r="E3" s="69">
        <v>2</v>
      </c>
      <c r="F3" s="67"/>
      <c r="G3" s="70"/>
    </row>
    <row r="4" spans="1:9">
      <c r="A4" s="71"/>
      <c r="B4" s="67"/>
      <c r="C4" s="67" t="s">
        <v>103</v>
      </c>
      <c r="D4" s="67" t="s">
        <v>0</v>
      </c>
      <c r="E4" s="67">
        <v>1</v>
      </c>
      <c r="F4" s="67"/>
      <c r="G4" s="70"/>
    </row>
    <row r="5" spans="1:9">
      <c r="A5" s="71"/>
      <c r="B5" s="67"/>
      <c r="C5" s="67"/>
      <c r="D5" s="67"/>
      <c r="E5" s="67"/>
      <c r="F5" s="67"/>
      <c r="G5" s="70"/>
    </row>
    <row r="6" spans="1:9" ht="45">
      <c r="A6" s="66" t="s">
        <v>102</v>
      </c>
      <c r="B6" s="67" t="s">
        <v>100</v>
      </c>
      <c r="C6" s="67" t="s">
        <v>101</v>
      </c>
      <c r="D6" s="67" t="s">
        <v>0</v>
      </c>
      <c r="E6" s="67">
        <v>2</v>
      </c>
      <c r="F6" s="67">
        <v>60</v>
      </c>
      <c r="G6" s="70"/>
    </row>
    <row r="7" spans="1:9" ht="30">
      <c r="A7" s="71"/>
      <c r="B7" s="68" t="s">
        <v>104</v>
      </c>
      <c r="C7" s="67" t="s">
        <v>101</v>
      </c>
      <c r="D7" s="67" t="s">
        <v>0</v>
      </c>
      <c r="E7" s="67">
        <v>4</v>
      </c>
      <c r="F7" s="67">
        <v>84</v>
      </c>
      <c r="G7" s="70"/>
    </row>
    <row r="8" spans="1:9">
      <c r="A8" s="71"/>
      <c r="B8" s="67" t="s">
        <v>105</v>
      </c>
      <c r="C8" s="67" t="s">
        <v>101</v>
      </c>
      <c r="D8" s="67" t="s">
        <v>0</v>
      </c>
      <c r="E8" s="67">
        <v>1</v>
      </c>
      <c r="F8" s="67">
        <v>20</v>
      </c>
      <c r="G8" s="70"/>
    </row>
    <row r="9" spans="1:9">
      <c r="A9" s="71"/>
      <c r="B9" s="67"/>
      <c r="C9" s="67"/>
      <c r="D9" s="67"/>
      <c r="E9" s="67"/>
      <c r="F9" s="67"/>
      <c r="G9" s="70"/>
    </row>
    <row r="10" spans="1:9">
      <c r="A10" s="71" t="s">
        <v>106</v>
      </c>
      <c r="B10" s="67" t="s">
        <v>100</v>
      </c>
      <c r="C10" s="67" t="s">
        <v>101</v>
      </c>
      <c r="D10" s="67" t="s">
        <v>0</v>
      </c>
      <c r="E10" s="67">
        <v>1</v>
      </c>
      <c r="F10" s="67">
        <v>20</v>
      </c>
      <c r="G10" s="70"/>
    </row>
    <row r="11" spans="1:9" ht="30">
      <c r="A11" s="71"/>
      <c r="B11" s="68" t="s">
        <v>130</v>
      </c>
      <c r="C11" s="67" t="s">
        <v>101</v>
      </c>
      <c r="D11" s="67" t="s">
        <v>0</v>
      </c>
      <c r="E11" s="67">
        <v>3</v>
      </c>
      <c r="F11" s="67">
        <v>54</v>
      </c>
      <c r="G11" s="70"/>
    </row>
    <row r="12" spans="1:9">
      <c r="A12" s="71"/>
      <c r="B12" s="67"/>
      <c r="C12" s="67"/>
      <c r="D12" s="67"/>
      <c r="E12" s="67"/>
      <c r="F12" s="67"/>
      <c r="G12" s="70"/>
    </row>
    <row r="13" spans="1:9">
      <c r="A13" s="66" t="s">
        <v>107</v>
      </c>
      <c r="B13" s="67" t="s">
        <v>100</v>
      </c>
      <c r="C13" s="67" t="s">
        <v>101</v>
      </c>
      <c r="D13" s="67" t="s">
        <v>0</v>
      </c>
      <c r="E13" s="67">
        <v>1</v>
      </c>
      <c r="F13" s="67">
        <v>4</v>
      </c>
      <c r="G13" s="70"/>
    </row>
    <row r="14" spans="1:9">
      <c r="A14" s="71"/>
      <c r="B14" s="67"/>
      <c r="C14" s="67"/>
      <c r="D14" s="67"/>
      <c r="E14" s="67"/>
      <c r="F14" s="67"/>
      <c r="G14" s="70"/>
    </row>
    <row r="15" spans="1:9" ht="75">
      <c r="A15" s="72" t="s">
        <v>108</v>
      </c>
      <c r="B15" s="73"/>
      <c r="C15" s="73"/>
      <c r="D15" s="73"/>
      <c r="E15" s="73"/>
      <c r="F15" s="73"/>
      <c r="G15" s="74"/>
    </row>
    <row r="16" spans="1:9" ht="45">
      <c r="A16" s="72" t="s">
        <v>99</v>
      </c>
      <c r="B16" s="73"/>
      <c r="C16" s="73" t="s">
        <v>101</v>
      </c>
      <c r="D16" s="75" t="s">
        <v>126</v>
      </c>
      <c r="E16" s="76">
        <v>1</v>
      </c>
      <c r="F16" s="73"/>
      <c r="G16" s="74"/>
    </row>
    <row r="17" spans="1:7" ht="45">
      <c r="A17" s="72" t="s">
        <v>102</v>
      </c>
      <c r="B17" s="73"/>
      <c r="C17" s="73" t="s">
        <v>101</v>
      </c>
      <c r="D17" s="73" t="s">
        <v>0</v>
      </c>
      <c r="E17" s="73">
        <v>1</v>
      </c>
      <c r="F17" s="73"/>
      <c r="G17" s="74"/>
    </row>
    <row r="18" spans="1:7">
      <c r="A18" s="71" t="s">
        <v>109</v>
      </c>
      <c r="B18" s="67"/>
      <c r="C18" s="67" t="s">
        <v>101</v>
      </c>
      <c r="D18" s="67" t="s">
        <v>0</v>
      </c>
      <c r="E18" s="69">
        <v>1</v>
      </c>
      <c r="F18" s="67"/>
      <c r="G18" s="70"/>
    </row>
    <row r="19" spans="1:7">
      <c r="A19" s="77"/>
      <c r="B19" s="78"/>
      <c r="C19" s="78"/>
      <c r="D19" s="78"/>
      <c r="E19" s="78">
        <f>SUM(E3:E18)</f>
        <v>18</v>
      </c>
      <c r="F19" s="78"/>
      <c r="G19" s="79"/>
    </row>
    <row r="21" spans="1:7">
      <c r="A21" s="60" t="s">
        <v>115</v>
      </c>
    </row>
    <row r="22" spans="1:7" ht="21" customHeight="1">
      <c r="A22" s="60" t="s">
        <v>116</v>
      </c>
    </row>
    <row r="23" spans="1:7" ht="21" customHeight="1">
      <c r="A23" s="60" t="s">
        <v>1</v>
      </c>
    </row>
    <row r="24" spans="1:7" ht="21" customHeight="1">
      <c r="A24" s="60" t="s">
        <v>131</v>
      </c>
    </row>
    <row r="25" spans="1:7" ht="21" customHeight="1">
      <c r="D25" s="60" t="s">
        <v>117</v>
      </c>
      <c r="E25" s="60" t="s">
        <v>112</v>
      </c>
    </row>
    <row r="26" spans="1:7" ht="33.950000000000003" customHeight="1">
      <c r="A26" s="85" t="s">
        <v>118</v>
      </c>
      <c r="B26" s="85"/>
      <c r="C26" s="85"/>
      <c r="D26" s="65" t="s">
        <v>0</v>
      </c>
      <c r="E26" s="80">
        <v>2</v>
      </c>
    </row>
    <row r="27" spans="1:7" ht="26.1" customHeight="1">
      <c r="A27" s="85" t="s">
        <v>119</v>
      </c>
      <c r="B27" s="85"/>
      <c r="C27" s="85"/>
      <c r="D27" s="65" t="s">
        <v>0</v>
      </c>
      <c r="E27" s="60">
        <v>1</v>
      </c>
    </row>
    <row r="28" spans="1:7" ht="29.45" customHeight="1">
      <c r="A28" s="85" t="s">
        <v>120</v>
      </c>
      <c r="B28" s="85"/>
      <c r="C28" s="85"/>
      <c r="D28" s="65" t="s">
        <v>0</v>
      </c>
      <c r="E28" s="60">
        <v>4</v>
      </c>
    </row>
    <row r="29" spans="1:7" ht="30.95" customHeight="1">
      <c r="A29" s="85" t="s">
        <v>121</v>
      </c>
      <c r="B29" s="85"/>
      <c r="C29" s="85"/>
      <c r="D29" s="65" t="s">
        <v>0</v>
      </c>
      <c r="E29" s="60">
        <v>1</v>
      </c>
    </row>
    <row r="30" spans="1:7" ht="28.5" customHeight="1">
      <c r="A30" s="85" t="s">
        <v>122</v>
      </c>
      <c r="B30" s="85"/>
      <c r="C30" s="85"/>
      <c r="D30" s="65" t="s">
        <v>0</v>
      </c>
      <c r="E30" s="60">
        <v>1</v>
      </c>
    </row>
    <row r="31" spans="1:7" ht="21" customHeight="1">
      <c r="A31" s="86" t="s">
        <v>123</v>
      </c>
      <c r="B31" s="86"/>
      <c r="C31" s="86"/>
      <c r="D31" s="65" t="s">
        <v>0</v>
      </c>
    </row>
    <row r="32" spans="1:7" ht="21" customHeight="1">
      <c r="A32" s="60" t="s">
        <v>124</v>
      </c>
      <c r="D32" s="65"/>
    </row>
    <row r="33" spans="1:5" ht="30.6" customHeight="1">
      <c r="A33" s="85" t="s">
        <v>125</v>
      </c>
      <c r="B33" s="85"/>
      <c r="C33" s="85"/>
      <c r="D33" s="82" t="s">
        <v>132</v>
      </c>
      <c r="E33" s="60">
        <v>1</v>
      </c>
    </row>
    <row r="34" spans="1:5" ht="21" customHeight="1">
      <c r="D34" s="65"/>
    </row>
    <row r="35" spans="1:5" ht="28.5" customHeight="1">
      <c r="A35" s="85" t="s">
        <v>127</v>
      </c>
      <c r="B35" s="85"/>
      <c r="C35" s="85"/>
      <c r="D35" s="65" t="s">
        <v>2</v>
      </c>
      <c r="E35" s="60">
        <v>2</v>
      </c>
    </row>
    <row r="36" spans="1:5" ht="84.95" customHeight="1">
      <c r="A36" s="85" t="s">
        <v>128</v>
      </c>
      <c r="B36" s="85"/>
      <c r="C36" s="85"/>
      <c r="D36" s="81"/>
    </row>
    <row r="37" spans="1:5">
      <c r="A37" s="60" t="s">
        <v>129</v>
      </c>
    </row>
  </sheetData>
  <mergeCells count="10">
    <mergeCell ref="A30:C30"/>
    <mergeCell ref="A31:C31"/>
    <mergeCell ref="A33:C33"/>
    <mergeCell ref="A35:C35"/>
    <mergeCell ref="A36:C36"/>
    <mergeCell ref="H2:I2"/>
    <mergeCell ref="A26:C26"/>
    <mergeCell ref="A27:C27"/>
    <mergeCell ref="A28:C28"/>
    <mergeCell ref="A29:C29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1"/>
  <sheetViews>
    <sheetView workbookViewId="0">
      <selection activeCell="B5" sqref="B5:B6"/>
    </sheetView>
  </sheetViews>
  <sheetFormatPr defaultColWidth="9" defaultRowHeight="15"/>
  <cols>
    <col min="1" max="1" width="5.28515625" style="1" customWidth="1"/>
    <col min="2" max="2" width="21.140625" style="1" customWidth="1"/>
    <col min="3" max="3" width="102.85546875" style="1" customWidth="1"/>
    <col min="4" max="4" width="15.7109375" style="1" customWidth="1"/>
    <col min="5" max="5" width="11.5703125" style="1" customWidth="1"/>
    <col min="6" max="6" width="8.42578125" style="1" customWidth="1"/>
    <col min="7" max="7" width="7.28515625" style="1" customWidth="1"/>
    <col min="8" max="8" width="14" style="1"/>
    <col min="9" max="9" width="8.7109375" style="1"/>
    <col min="10" max="10" width="11.7109375" style="1"/>
    <col min="11" max="16375" width="8.7109375" style="1"/>
    <col min="16376" max="16384" width="9" style="1"/>
  </cols>
  <sheetData>
    <row r="1" spans="1:7">
      <c r="G1" s="4">
        <v>3850</v>
      </c>
    </row>
    <row r="2" spans="1:7">
      <c r="G2" s="4" t="s">
        <v>3</v>
      </c>
    </row>
    <row r="4" spans="1:7" ht="41.45" customHeight="1">
      <c r="A4" s="5" t="s">
        <v>4</v>
      </c>
      <c r="B4" s="6" t="s">
        <v>5</v>
      </c>
      <c r="C4" s="5" t="s">
        <v>6</v>
      </c>
      <c r="D4" s="5" t="s">
        <v>7</v>
      </c>
      <c r="E4" s="5" t="s">
        <v>8</v>
      </c>
      <c r="F4" s="7" t="s">
        <v>9</v>
      </c>
      <c r="G4" s="8" t="s">
        <v>10</v>
      </c>
    </row>
    <row r="5" spans="1:7" ht="158.1" customHeight="1">
      <c r="A5" s="9">
        <v>1</v>
      </c>
      <c r="B5" s="10" t="s">
        <v>11</v>
      </c>
      <c r="C5" s="11" t="s">
        <v>12</v>
      </c>
      <c r="D5" s="12" t="s">
        <v>13</v>
      </c>
      <c r="E5" s="12" t="s">
        <v>14</v>
      </c>
      <c r="F5" s="12" t="s">
        <v>15</v>
      </c>
      <c r="G5" s="9">
        <v>3</v>
      </c>
    </row>
    <row r="6" spans="1:7" ht="56.45" customHeight="1">
      <c r="A6" s="9">
        <v>2</v>
      </c>
      <c r="B6" s="10" t="s">
        <v>16</v>
      </c>
      <c r="C6" s="11" t="s">
        <v>17</v>
      </c>
      <c r="D6" s="12" t="s">
        <v>13</v>
      </c>
      <c r="E6" s="12" t="s">
        <v>14</v>
      </c>
      <c r="F6" s="12" t="s">
        <v>15</v>
      </c>
      <c r="G6" s="9">
        <v>15</v>
      </c>
    </row>
    <row r="7" spans="1:7" ht="28.5" customHeight="1">
      <c r="A7" s="13">
        <v>3</v>
      </c>
      <c r="B7" s="11" t="s">
        <v>18</v>
      </c>
      <c r="C7" s="11" t="s">
        <v>19</v>
      </c>
      <c r="D7" s="12" t="s">
        <v>13</v>
      </c>
      <c r="E7" s="12" t="s">
        <v>14</v>
      </c>
      <c r="F7" s="12" t="s">
        <v>15</v>
      </c>
      <c r="G7" s="9">
        <v>36</v>
      </c>
    </row>
    <row r="8" spans="1:7" ht="50.1" customHeight="1">
      <c r="A8" s="13"/>
      <c r="B8" s="14" t="s">
        <v>20</v>
      </c>
      <c r="C8" s="11" t="s">
        <v>21</v>
      </c>
      <c r="D8" s="12" t="s">
        <v>22</v>
      </c>
      <c r="E8" s="12" t="s">
        <v>14</v>
      </c>
      <c r="F8" s="12" t="s">
        <v>23</v>
      </c>
      <c r="G8" s="9">
        <v>36</v>
      </c>
    </row>
    <row r="9" spans="1:7" ht="18" customHeight="1">
      <c r="A9" s="15" t="s">
        <v>24</v>
      </c>
      <c r="B9" s="16" t="s">
        <v>25</v>
      </c>
      <c r="C9" s="17"/>
      <c r="D9" s="17"/>
      <c r="E9" s="17"/>
      <c r="F9" s="17"/>
      <c r="G9" s="17"/>
    </row>
    <row r="10" spans="1:7" ht="14.25" customHeight="1">
      <c r="A10" s="18"/>
      <c r="B10" s="11" t="s">
        <v>26</v>
      </c>
      <c r="C10" s="11" t="s">
        <v>27</v>
      </c>
      <c r="D10" s="19" t="s">
        <v>28</v>
      </c>
      <c r="E10" s="18"/>
      <c r="F10" s="19" t="s">
        <v>29</v>
      </c>
      <c r="G10" s="13">
        <v>1</v>
      </c>
    </row>
    <row r="11" spans="1:7" ht="29.45" customHeight="1">
      <c r="A11" s="18"/>
      <c r="B11" s="11" t="s">
        <v>30</v>
      </c>
      <c r="C11" s="10" t="s">
        <v>31</v>
      </c>
      <c r="D11" s="19" t="s">
        <v>28</v>
      </c>
      <c r="E11" s="18"/>
      <c r="F11" s="19" t="s">
        <v>29</v>
      </c>
      <c r="G11" s="13">
        <v>1</v>
      </c>
    </row>
    <row r="12" spans="1:7" ht="14.25" customHeight="1">
      <c r="A12" s="20"/>
      <c r="B12" s="87"/>
      <c r="C12" s="87"/>
      <c r="D12" s="20"/>
      <c r="E12" s="20"/>
      <c r="F12" s="20"/>
      <c r="G12" s="20"/>
    </row>
    <row r="13" spans="1:7" ht="21" customHeight="1">
      <c r="A13" s="18"/>
      <c r="B13" s="88" t="s">
        <v>32</v>
      </c>
      <c r="C13" s="89"/>
      <c r="D13" s="89"/>
      <c r="E13" s="89"/>
      <c r="F13" s="89"/>
      <c r="G13" s="89"/>
    </row>
    <row r="14" spans="1:7" ht="18.95" customHeight="1">
      <c r="A14" s="18"/>
      <c r="B14" s="88" t="s">
        <v>33</v>
      </c>
      <c r="C14" s="89"/>
      <c r="D14" s="89"/>
      <c r="E14" s="89"/>
      <c r="F14" s="89"/>
      <c r="G14" s="89"/>
    </row>
    <row r="15" spans="1:7" ht="18" customHeight="1">
      <c r="A15" s="21"/>
      <c r="B15" s="90" t="s">
        <v>34</v>
      </c>
      <c r="C15" s="91"/>
      <c r="D15" s="91"/>
      <c r="E15" s="91"/>
      <c r="F15" s="91"/>
      <c r="G15" s="91"/>
    </row>
    <row r="16" spans="1:7" ht="18" customHeight="1">
      <c r="A16" s="22"/>
      <c r="B16" s="23"/>
      <c r="C16" s="24"/>
      <c r="D16" s="24"/>
      <c r="E16" s="24"/>
      <c r="F16" s="24"/>
      <c r="G16" s="24"/>
    </row>
    <row r="17" spans="1:7" ht="18" customHeight="1">
      <c r="A17" s="22"/>
      <c r="B17" s="23"/>
      <c r="C17" s="24"/>
      <c r="D17" s="24"/>
      <c r="E17" s="24"/>
      <c r="F17" s="24"/>
      <c r="G17" s="24"/>
    </row>
    <row r="18" spans="1:7" ht="42" customHeight="1">
      <c r="A18" s="25" t="s">
        <v>35</v>
      </c>
      <c r="B18" s="26" t="s">
        <v>5</v>
      </c>
      <c r="C18" s="25" t="s">
        <v>6</v>
      </c>
      <c r="D18" s="25" t="s">
        <v>7</v>
      </c>
      <c r="E18" s="26" t="s">
        <v>36</v>
      </c>
      <c r="F18" s="26" t="s">
        <v>37</v>
      </c>
      <c r="G18" s="25" t="s">
        <v>38</v>
      </c>
    </row>
    <row r="19" spans="1:7" ht="14.25" customHeight="1">
      <c r="A19" s="27">
        <v>1</v>
      </c>
      <c r="B19" s="28" t="s">
        <v>39</v>
      </c>
      <c r="C19" s="29" t="s">
        <v>40</v>
      </c>
      <c r="D19" s="30" t="s">
        <v>41</v>
      </c>
      <c r="E19" s="31"/>
      <c r="F19" s="30" t="s">
        <v>42</v>
      </c>
      <c r="G19" s="27">
        <v>12</v>
      </c>
    </row>
    <row r="20" spans="1:7" ht="14.25" customHeight="1">
      <c r="A20" s="18"/>
      <c r="B20" s="32"/>
      <c r="C20" s="29" t="s">
        <v>43</v>
      </c>
      <c r="D20" s="30" t="s">
        <v>41</v>
      </c>
      <c r="E20" s="18"/>
      <c r="F20" s="30" t="s">
        <v>42</v>
      </c>
      <c r="G20" s="27">
        <v>5</v>
      </c>
    </row>
    <row r="21" spans="1:7" ht="14.25" customHeight="1">
      <c r="A21" s="27">
        <v>2</v>
      </c>
      <c r="B21" s="29" t="s">
        <v>44</v>
      </c>
      <c r="C21" s="29" t="s">
        <v>40</v>
      </c>
      <c r="D21" s="30" t="s">
        <v>41</v>
      </c>
      <c r="E21" s="18"/>
      <c r="F21" s="30" t="s">
        <v>42</v>
      </c>
      <c r="G21" s="27">
        <v>12</v>
      </c>
    </row>
    <row r="22" spans="1:7" ht="14.25" customHeight="1">
      <c r="A22" s="31"/>
      <c r="B22" s="31"/>
      <c r="C22" s="29" t="s">
        <v>43</v>
      </c>
      <c r="D22" s="30" t="s">
        <v>41</v>
      </c>
      <c r="E22" s="31"/>
      <c r="F22" s="30" t="s">
        <v>42</v>
      </c>
      <c r="G22" s="27">
        <v>5</v>
      </c>
    </row>
    <row r="23" spans="1:7" ht="14.25" customHeight="1">
      <c r="A23" s="27">
        <v>3</v>
      </c>
      <c r="B23" s="28" t="s">
        <v>45</v>
      </c>
      <c r="C23" s="29" t="s">
        <v>40</v>
      </c>
      <c r="D23" s="30" t="s">
        <v>41</v>
      </c>
      <c r="E23" s="18"/>
      <c r="F23" s="30" t="s">
        <v>42</v>
      </c>
      <c r="G23" s="27">
        <v>12</v>
      </c>
    </row>
    <row r="24" spans="1:7" ht="14.25" customHeight="1">
      <c r="A24" s="18"/>
      <c r="B24" s="32"/>
      <c r="C24" s="29" t="s">
        <v>43</v>
      </c>
      <c r="D24" s="30" t="s">
        <v>41</v>
      </c>
      <c r="E24" s="18"/>
      <c r="F24" s="30" t="s">
        <v>42</v>
      </c>
      <c r="G24" s="27">
        <v>5</v>
      </c>
    </row>
    <row r="25" spans="1:7" ht="14.25" customHeight="1">
      <c r="A25" s="27">
        <v>4</v>
      </c>
      <c r="B25" s="29" t="s">
        <v>46</v>
      </c>
      <c r="C25" s="29" t="s">
        <v>47</v>
      </c>
      <c r="D25" s="30" t="s">
        <v>41</v>
      </c>
      <c r="E25" s="18"/>
      <c r="F25" s="30" t="s">
        <v>42</v>
      </c>
      <c r="G25" s="27">
        <v>1</v>
      </c>
    </row>
    <row r="26" spans="1:7" ht="14.25" customHeight="1">
      <c r="A26" s="31"/>
      <c r="B26" s="31"/>
      <c r="C26" s="29" t="s">
        <v>48</v>
      </c>
      <c r="D26" s="30" t="s">
        <v>41</v>
      </c>
      <c r="E26" s="31"/>
      <c r="F26" s="30" t="s">
        <v>42</v>
      </c>
      <c r="G26" s="27">
        <v>15</v>
      </c>
    </row>
    <row r="27" spans="1:7" ht="14.25" customHeight="1">
      <c r="A27" s="33"/>
      <c r="B27" s="92"/>
      <c r="C27" s="92"/>
      <c r="D27" s="33"/>
      <c r="E27" s="33"/>
      <c r="F27" s="33"/>
      <c r="G27" s="33"/>
    </row>
    <row r="28" spans="1:7" ht="21" customHeight="1">
      <c r="A28" s="18"/>
      <c r="B28" s="93" t="s">
        <v>32</v>
      </c>
      <c r="C28" s="94"/>
      <c r="D28" s="94"/>
      <c r="E28" s="94"/>
      <c r="F28" s="94"/>
      <c r="G28" s="94"/>
    </row>
    <row r="29" spans="1:7" ht="18.95" customHeight="1">
      <c r="A29" s="18"/>
      <c r="B29" s="94" t="s">
        <v>49</v>
      </c>
      <c r="C29" s="94"/>
      <c r="D29" s="94"/>
      <c r="E29" s="94"/>
      <c r="F29" s="94"/>
      <c r="G29" s="94"/>
    </row>
    <row r="30" spans="1:7" ht="18" customHeight="1">
      <c r="A30" s="18"/>
      <c r="B30" s="93" t="s">
        <v>50</v>
      </c>
      <c r="C30" s="94"/>
      <c r="D30" s="94"/>
      <c r="E30" s="94"/>
      <c r="F30" s="94"/>
      <c r="G30" s="94"/>
    </row>
    <row r="33" spans="1:10" s="2" customFormat="1" ht="32.1" customHeight="1">
      <c r="A33" s="8" t="s">
        <v>35</v>
      </c>
      <c r="B33" s="34" t="s">
        <v>51</v>
      </c>
      <c r="C33" s="8" t="s">
        <v>52</v>
      </c>
      <c r="D33" s="8" t="s">
        <v>53</v>
      </c>
      <c r="E33" s="8" t="s">
        <v>54</v>
      </c>
      <c r="F33" s="34" t="s">
        <v>37</v>
      </c>
      <c r="G33" s="8" t="s">
        <v>55</v>
      </c>
    </row>
    <row r="34" spans="1:10" s="2" customFormat="1" ht="28.5" customHeight="1">
      <c r="A34" s="13">
        <v>1</v>
      </c>
      <c r="B34" s="35" t="s">
        <v>56</v>
      </c>
      <c r="C34" s="11" t="s">
        <v>57</v>
      </c>
      <c r="D34" s="19" t="s">
        <v>13</v>
      </c>
      <c r="E34" s="19" t="s">
        <v>58</v>
      </c>
      <c r="F34" s="36" t="s">
        <v>59</v>
      </c>
      <c r="G34" s="13">
        <v>8</v>
      </c>
      <c r="I34" s="37"/>
    </row>
    <row r="35" spans="1:10" s="2" customFormat="1" ht="26.1" customHeight="1">
      <c r="A35" s="13">
        <v>2</v>
      </c>
      <c r="B35" s="11" t="s">
        <v>60</v>
      </c>
      <c r="C35" s="11" t="s">
        <v>61</v>
      </c>
      <c r="D35" s="19" t="s">
        <v>62</v>
      </c>
      <c r="E35" s="19" t="s">
        <v>58</v>
      </c>
      <c r="F35" s="36" t="s">
        <v>59</v>
      </c>
      <c r="G35" s="13">
        <v>4</v>
      </c>
      <c r="I35" s="37"/>
    </row>
    <row r="36" spans="1:10" s="2" customFormat="1" ht="14.25" customHeight="1">
      <c r="A36" s="38"/>
      <c r="B36" s="95"/>
      <c r="C36" s="95"/>
      <c r="D36" s="38"/>
      <c r="E36" s="38"/>
      <c r="F36" s="38"/>
      <c r="G36" s="38"/>
    </row>
    <row r="37" spans="1:10" s="2" customFormat="1" ht="21" customHeight="1">
      <c r="A37" s="39"/>
      <c r="B37" s="88" t="s">
        <v>63</v>
      </c>
      <c r="C37" s="89"/>
      <c r="D37" s="89"/>
      <c r="E37" s="89"/>
      <c r="F37" s="89"/>
      <c r="G37" s="89"/>
    </row>
    <row r="38" spans="1:10" s="2" customFormat="1" ht="18.95" customHeight="1">
      <c r="A38" s="39"/>
      <c r="B38" s="89" t="s">
        <v>64</v>
      </c>
      <c r="C38" s="89"/>
      <c r="D38" s="89"/>
      <c r="E38" s="89"/>
      <c r="F38" s="89"/>
      <c r="G38" s="89"/>
    </row>
    <row r="39" spans="1:10" s="2" customFormat="1" ht="18" customHeight="1">
      <c r="A39" s="40"/>
      <c r="B39" s="90" t="s">
        <v>65</v>
      </c>
      <c r="C39" s="91"/>
      <c r="D39" s="91"/>
      <c r="E39" s="91"/>
      <c r="F39" s="91"/>
      <c r="G39" s="91"/>
    </row>
    <row r="40" spans="1:10" s="2" customFormat="1" ht="18" customHeight="1">
      <c r="A40" s="41"/>
      <c r="B40" s="23"/>
      <c r="C40" s="24"/>
      <c r="D40" s="24"/>
      <c r="E40" s="24"/>
      <c r="F40" s="24"/>
      <c r="G40" s="24"/>
    </row>
    <row r="41" spans="1:10" s="2" customFormat="1" ht="18" customHeight="1">
      <c r="A41" s="41"/>
      <c r="B41" s="23"/>
      <c r="C41" s="24"/>
      <c r="D41" s="24"/>
      <c r="E41" s="24"/>
      <c r="F41" s="24"/>
      <c r="G41" s="24"/>
    </row>
    <row r="42" spans="1:10" s="2" customFormat="1" ht="32.1" customHeight="1">
      <c r="A42" s="42" t="s">
        <v>35</v>
      </c>
      <c r="B42" s="43" t="s">
        <v>5</v>
      </c>
      <c r="C42" s="42" t="s">
        <v>6</v>
      </c>
      <c r="D42" s="42" t="s">
        <v>7</v>
      </c>
      <c r="E42" s="42" t="s">
        <v>8</v>
      </c>
      <c r="F42" s="44" t="s">
        <v>37</v>
      </c>
      <c r="G42" s="25" t="s">
        <v>38</v>
      </c>
    </row>
    <row r="43" spans="1:10" s="2" customFormat="1" ht="56.1" customHeight="1">
      <c r="A43" s="13">
        <v>1</v>
      </c>
      <c r="B43" s="11" t="s">
        <v>66</v>
      </c>
      <c r="C43" s="35" t="s">
        <v>67</v>
      </c>
      <c r="D43" s="19" t="s">
        <v>22</v>
      </c>
      <c r="E43" s="19" t="s">
        <v>58</v>
      </c>
      <c r="F43" s="45" t="s">
        <v>68</v>
      </c>
      <c r="G43" s="13">
        <v>200</v>
      </c>
      <c r="J43" s="2" t="e">
        <f>#REF!/3850*1.08</f>
        <v>#REF!</v>
      </c>
    </row>
    <row r="44" spans="1:10" s="2" customFormat="1" ht="12.95" customHeight="1">
      <c r="A44" s="96"/>
      <c r="B44" s="96"/>
      <c r="C44" s="96"/>
      <c r="D44" s="96"/>
      <c r="E44" s="39"/>
      <c r="F44" s="39"/>
      <c r="G44" s="39"/>
    </row>
    <row r="45" spans="1:10" s="2" customFormat="1" ht="14.25" customHeight="1">
      <c r="A45" s="38"/>
      <c r="B45" s="95"/>
      <c r="C45" s="95"/>
      <c r="D45" s="38"/>
      <c r="E45" s="38"/>
      <c r="F45" s="38"/>
      <c r="G45" s="38"/>
    </row>
    <row r="46" spans="1:10" s="2" customFormat="1" ht="21" customHeight="1">
      <c r="A46" s="39"/>
      <c r="B46" s="88" t="s">
        <v>32</v>
      </c>
      <c r="C46" s="89"/>
      <c r="D46" s="89"/>
      <c r="E46" s="89"/>
      <c r="F46" s="89"/>
      <c r="G46" s="89"/>
    </row>
    <row r="47" spans="1:10" s="2" customFormat="1" ht="18.95" customHeight="1">
      <c r="A47" s="39"/>
      <c r="B47" s="88" t="s">
        <v>33</v>
      </c>
      <c r="C47" s="89"/>
      <c r="D47" s="89"/>
      <c r="E47" s="89"/>
      <c r="F47" s="89"/>
      <c r="G47" s="89"/>
    </row>
    <row r="48" spans="1:10" s="2" customFormat="1" ht="18" customHeight="1">
      <c r="A48" s="39"/>
      <c r="B48" s="88" t="s">
        <v>34</v>
      </c>
      <c r="C48" s="89"/>
      <c r="D48" s="89"/>
      <c r="E48" s="89"/>
      <c r="F48" s="89"/>
      <c r="G48" s="89"/>
      <c r="J48" s="37" t="e">
        <f>#REF!/3850</f>
        <v>#REF!</v>
      </c>
    </row>
    <row r="51" spans="1:7" s="3" customFormat="1">
      <c r="A51" s="46" t="s">
        <v>69</v>
      </c>
      <c r="B51" s="47" t="s">
        <v>70</v>
      </c>
      <c r="C51" s="46" t="s">
        <v>71</v>
      </c>
      <c r="D51" s="46" t="s">
        <v>72</v>
      </c>
      <c r="E51" s="48" t="s">
        <v>73</v>
      </c>
      <c r="F51" s="46" t="s">
        <v>74</v>
      </c>
      <c r="G51" s="46" t="s">
        <v>75</v>
      </c>
    </row>
    <row r="52" spans="1:7" s="3" customFormat="1">
      <c r="A52" s="49"/>
      <c r="B52" s="50" t="s">
        <v>76</v>
      </c>
      <c r="C52" s="49"/>
      <c r="D52" s="49"/>
      <c r="E52" s="49"/>
      <c r="F52" s="49"/>
      <c r="G52" s="49"/>
    </row>
    <row r="53" spans="1:7" s="3" customFormat="1" ht="30">
      <c r="A53" s="51">
        <v>1</v>
      </c>
      <c r="B53" s="52" t="s">
        <v>77</v>
      </c>
      <c r="C53" s="52" t="s">
        <v>78</v>
      </c>
      <c r="D53" s="53" t="s">
        <v>79</v>
      </c>
      <c r="E53" s="54"/>
      <c r="F53" s="53" t="s">
        <v>80</v>
      </c>
      <c r="G53" s="51">
        <v>1</v>
      </c>
    </row>
    <row r="54" spans="1:7" s="3" customFormat="1" ht="28.5">
      <c r="A54" s="54"/>
      <c r="B54" s="55" t="s">
        <v>81</v>
      </c>
      <c r="C54" s="55" t="s">
        <v>82</v>
      </c>
      <c r="D54" s="54"/>
      <c r="E54" s="54"/>
      <c r="F54" s="56" t="s">
        <v>80</v>
      </c>
      <c r="G54" s="57">
        <v>4</v>
      </c>
    </row>
    <row r="55" spans="1:7" s="3" customFormat="1" ht="28.5">
      <c r="A55" s="54"/>
      <c r="B55" s="55" t="s">
        <v>83</v>
      </c>
      <c r="C55" s="55" t="s">
        <v>84</v>
      </c>
      <c r="D55" s="54"/>
      <c r="E55" s="54"/>
      <c r="F55" s="56" t="s">
        <v>80</v>
      </c>
      <c r="G55" s="57">
        <v>0</v>
      </c>
    </row>
    <row r="56" spans="1:7" s="3" customFormat="1" ht="28.5">
      <c r="A56" s="54"/>
      <c r="B56" s="55" t="s">
        <v>85</v>
      </c>
      <c r="C56" s="55" t="s">
        <v>86</v>
      </c>
      <c r="D56" s="54"/>
      <c r="E56" s="54"/>
      <c r="F56" s="56" t="s">
        <v>80</v>
      </c>
      <c r="G56" s="57">
        <v>1</v>
      </c>
    </row>
    <row r="57" spans="1:7" s="3" customFormat="1" ht="28.5">
      <c r="A57" s="54"/>
      <c r="B57" s="55" t="s">
        <v>87</v>
      </c>
      <c r="C57" s="55" t="s">
        <v>88</v>
      </c>
      <c r="D57" s="54"/>
      <c r="E57" s="54"/>
      <c r="F57" s="56" t="s">
        <v>80</v>
      </c>
      <c r="G57" s="57">
        <v>48</v>
      </c>
    </row>
    <row r="58" spans="1:7" s="3" customFormat="1">
      <c r="A58" s="49"/>
      <c r="B58" s="50" t="s">
        <v>89</v>
      </c>
      <c r="C58" s="49"/>
      <c r="D58" s="49"/>
      <c r="E58" s="49"/>
      <c r="F58" s="49"/>
      <c r="G58" s="49"/>
    </row>
    <row r="59" spans="1:7" s="3" customFormat="1" ht="30">
      <c r="A59" s="51">
        <v>2</v>
      </c>
      <c r="B59" s="52" t="s">
        <v>77</v>
      </c>
      <c r="C59" s="52" t="s">
        <v>78</v>
      </c>
      <c r="D59" s="53" t="s">
        <v>79</v>
      </c>
      <c r="E59" s="54"/>
      <c r="F59" s="53" t="s">
        <v>80</v>
      </c>
      <c r="G59" s="51">
        <v>2</v>
      </c>
    </row>
    <row r="60" spans="1:7" s="3" customFormat="1" ht="28.5">
      <c r="A60" s="54"/>
      <c r="B60" s="55" t="s">
        <v>81</v>
      </c>
      <c r="C60" s="55" t="s">
        <v>82</v>
      </c>
      <c r="D60" s="54"/>
      <c r="E60" s="54"/>
      <c r="F60" s="56" t="s">
        <v>80</v>
      </c>
      <c r="G60" s="57">
        <v>2</v>
      </c>
    </row>
    <row r="61" spans="1:7" s="3" customFormat="1" ht="28.5">
      <c r="A61" s="54"/>
      <c r="B61" s="55" t="s">
        <v>83</v>
      </c>
      <c r="C61" s="55" t="s">
        <v>84</v>
      </c>
      <c r="D61" s="54"/>
      <c r="E61" s="54"/>
      <c r="F61" s="56" t="s">
        <v>80</v>
      </c>
      <c r="G61" s="57">
        <v>6</v>
      </c>
    </row>
    <row r="62" spans="1:7" s="3" customFormat="1" ht="28.5">
      <c r="A62" s="54"/>
      <c r="B62" s="55" t="s">
        <v>85</v>
      </c>
      <c r="C62" s="55" t="s">
        <v>86</v>
      </c>
      <c r="D62" s="54"/>
      <c r="E62" s="54"/>
      <c r="F62" s="56" t="s">
        <v>80</v>
      </c>
      <c r="G62" s="57">
        <v>2</v>
      </c>
    </row>
    <row r="63" spans="1:7" s="3" customFormat="1" ht="28.5">
      <c r="A63" s="54"/>
      <c r="B63" s="55" t="s">
        <v>87</v>
      </c>
      <c r="C63" s="55" t="s">
        <v>88</v>
      </c>
      <c r="D63" s="54"/>
      <c r="E63" s="54"/>
      <c r="F63" s="56" t="s">
        <v>80</v>
      </c>
      <c r="G63" s="57">
        <v>16</v>
      </c>
    </row>
    <row r="64" spans="1:7" s="3" customFormat="1">
      <c r="A64" s="49"/>
      <c r="B64" s="50" t="s">
        <v>90</v>
      </c>
      <c r="C64" s="49"/>
      <c r="D64" s="49"/>
      <c r="E64" s="49"/>
      <c r="F64" s="49"/>
      <c r="G64" s="49"/>
    </row>
    <row r="65" spans="1:9" s="3" customFormat="1" ht="45">
      <c r="A65" s="51">
        <v>4</v>
      </c>
      <c r="B65" s="52" t="s">
        <v>91</v>
      </c>
      <c r="C65" s="52" t="s">
        <v>92</v>
      </c>
      <c r="D65" s="53" t="s">
        <v>79</v>
      </c>
      <c r="E65" s="58"/>
      <c r="F65" s="53" t="s">
        <v>80</v>
      </c>
      <c r="G65" s="51">
        <v>4</v>
      </c>
    </row>
    <row r="66" spans="1:9" s="3" customFormat="1" ht="42.75">
      <c r="A66" s="54"/>
      <c r="B66" s="55" t="s">
        <v>93</v>
      </c>
      <c r="C66" s="55" t="s">
        <v>94</v>
      </c>
      <c r="D66" s="54"/>
      <c r="E66" s="54"/>
      <c r="F66" s="56" t="s">
        <v>80</v>
      </c>
      <c r="G66" s="57">
        <v>96</v>
      </c>
    </row>
    <row r="67" spans="1:9" s="3" customFormat="1">
      <c r="A67" s="101"/>
      <c r="B67" s="101"/>
      <c r="C67" s="101"/>
      <c r="D67" s="102"/>
      <c r="E67" s="54"/>
      <c r="F67" s="54"/>
      <c r="G67" s="83"/>
    </row>
    <row r="68" spans="1:9" s="3" customFormat="1">
      <c r="A68" s="59"/>
      <c r="B68" s="97"/>
      <c r="C68" s="98"/>
      <c r="D68" s="59"/>
      <c r="E68" s="59"/>
      <c r="F68" s="59"/>
      <c r="G68" s="59"/>
    </row>
    <row r="69" spans="1:9" s="3" customFormat="1">
      <c r="A69" s="54"/>
      <c r="B69" s="99" t="s">
        <v>95</v>
      </c>
      <c r="C69" s="100"/>
      <c r="D69" s="100"/>
      <c r="E69" s="100"/>
      <c r="F69" s="100"/>
      <c r="G69" s="100"/>
      <c r="I69" s="3" t="e">
        <f>#REF!-#REF!-#REF!</f>
        <v>#REF!</v>
      </c>
    </row>
    <row r="70" spans="1:9" s="3" customFormat="1">
      <c r="A70" s="54"/>
      <c r="B70" s="99" t="s">
        <v>33</v>
      </c>
      <c r="C70" s="100"/>
      <c r="D70" s="100"/>
      <c r="E70" s="100"/>
      <c r="F70" s="100"/>
      <c r="G70" s="100"/>
      <c r="I70" s="3" t="e">
        <f>#REF!-#REF!-#REF!</f>
        <v>#REF!</v>
      </c>
    </row>
    <row r="71" spans="1:9" s="3" customFormat="1">
      <c r="A71" s="54"/>
      <c r="B71" s="99" t="s">
        <v>96</v>
      </c>
      <c r="C71" s="100"/>
      <c r="D71" s="100"/>
      <c r="E71" s="100"/>
      <c r="F71" s="100"/>
      <c r="G71" s="100"/>
      <c r="I71" s="3" t="e">
        <f>#REF!-#REF!-#REF!</f>
        <v>#REF!</v>
      </c>
    </row>
  </sheetData>
  <mergeCells count="22">
    <mergeCell ref="B68:C68"/>
    <mergeCell ref="B69:G69"/>
    <mergeCell ref="B70:G70"/>
    <mergeCell ref="B71:G71"/>
    <mergeCell ref="B46:G46"/>
    <mergeCell ref="B47:G47"/>
    <mergeCell ref="B48:G48"/>
    <mergeCell ref="A67:D67"/>
    <mergeCell ref="B38:G38"/>
    <mergeCell ref="B39:G39"/>
    <mergeCell ref="A44:D44"/>
    <mergeCell ref="B45:C45"/>
    <mergeCell ref="B28:G28"/>
    <mergeCell ref="B29:G29"/>
    <mergeCell ref="B30:G30"/>
    <mergeCell ref="B36:C36"/>
    <mergeCell ref="B37:G37"/>
    <mergeCell ref="B12:C12"/>
    <mergeCell ref="B13:G13"/>
    <mergeCell ref="B14:G14"/>
    <mergeCell ref="B15:G15"/>
    <mergeCell ref="B27:C2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EEA36-391C-4D6F-B49C-89139AF80315}">
  <sheetPr>
    <pageSetUpPr fitToPage="1"/>
  </sheetPr>
  <dimension ref="A1:XEZ48"/>
  <sheetViews>
    <sheetView topLeftCell="A13" zoomScale="75" zoomScaleNormal="75" workbookViewId="0">
      <selection activeCell="V26" sqref="V26"/>
    </sheetView>
  </sheetViews>
  <sheetFormatPr defaultColWidth="8.7109375" defaultRowHeight="16.5"/>
  <cols>
    <col min="1" max="1" width="8.7109375" style="103"/>
    <col min="2" max="2" width="6.140625" style="103" customWidth="1"/>
    <col min="3" max="3" width="40.5703125" style="103" customWidth="1"/>
    <col min="4" max="6" width="6.140625" style="104" customWidth="1"/>
    <col min="7" max="7" width="40.5703125" style="104" customWidth="1"/>
    <col min="8" max="9" width="6.140625" style="104" customWidth="1"/>
    <col min="10" max="10" width="6.140625" style="103" customWidth="1"/>
    <col min="11" max="11" width="40.5703125" style="104" customWidth="1"/>
    <col min="12" max="13" width="6.140625" style="104" customWidth="1"/>
    <col min="14" max="14" width="6.140625" style="103" customWidth="1"/>
    <col min="15" max="15" width="40.5703125" style="103" customWidth="1"/>
    <col min="16" max="16" width="6.140625" style="103" customWidth="1"/>
    <col min="17" max="16380" width="8.7109375" style="103"/>
  </cols>
  <sheetData>
    <row r="1" spans="2:16" s="103" customFormat="1">
      <c r="D1" s="104"/>
      <c r="G1" s="104" t="s">
        <v>133</v>
      </c>
      <c r="H1" s="104"/>
      <c r="L1" s="104"/>
    </row>
    <row r="2" spans="2:16">
      <c r="B2" s="105"/>
      <c r="C2" s="105"/>
      <c r="D2" s="106"/>
      <c r="E2" s="103"/>
      <c r="F2" s="106"/>
      <c r="G2" s="105"/>
      <c r="H2" s="106"/>
      <c r="I2" s="103"/>
      <c r="J2" s="105"/>
      <c r="K2" s="105"/>
      <c r="L2" s="106"/>
      <c r="M2" s="103"/>
      <c r="N2" s="105"/>
      <c r="O2" s="105"/>
      <c r="P2" s="105"/>
    </row>
    <row r="3" spans="2:16">
      <c r="B3" s="107"/>
      <c r="C3" s="108" t="s">
        <v>134</v>
      </c>
      <c r="D3" s="107"/>
      <c r="F3" s="107"/>
      <c r="G3" s="109" t="s">
        <v>135</v>
      </c>
      <c r="H3" s="107"/>
      <c r="J3" s="107"/>
      <c r="K3" s="110" t="s">
        <v>136</v>
      </c>
      <c r="L3" s="107"/>
      <c r="N3" s="107"/>
      <c r="O3" s="111" t="s">
        <v>137</v>
      </c>
      <c r="P3" s="107"/>
    </row>
    <row r="4" spans="2:16" ht="33.75" thickBot="1">
      <c r="B4" s="112" t="s">
        <v>138</v>
      </c>
      <c r="C4" s="113" t="s">
        <v>139</v>
      </c>
      <c r="D4" s="112" t="s">
        <v>138</v>
      </c>
      <c r="F4" s="112" t="s">
        <v>138</v>
      </c>
      <c r="G4" s="114" t="s">
        <v>140</v>
      </c>
      <c r="H4" s="112" t="s">
        <v>138</v>
      </c>
      <c r="J4" s="112" t="s">
        <v>138</v>
      </c>
      <c r="K4" s="115" t="s">
        <v>141</v>
      </c>
      <c r="L4" s="112" t="s">
        <v>138</v>
      </c>
      <c r="N4" s="112" t="s">
        <v>138</v>
      </c>
      <c r="O4" s="116" t="s">
        <v>142</v>
      </c>
      <c r="P4" s="112" t="s">
        <v>138</v>
      </c>
    </row>
    <row r="5" spans="2:16">
      <c r="B5" s="117" t="s">
        <v>143</v>
      </c>
      <c r="C5" s="108" t="s">
        <v>144</v>
      </c>
      <c r="D5" s="118" t="s">
        <v>143</v>
      </c>
      <c r="F5" s="117" t="s">
        <v>143</v>
      </c>
      <c r="G5" s="119" t="s">
        <v>145</v>
      </c>
      <c r="H5" s="118" t="s">
        <v>143</v>
      </c>
      <c r="J5" s="117" t="s">
        <v>143</v>
      </c>
      <c r="K5" s="120" t="s">
        <v>145</v>
      </c>
      <c r="L5" s="118" t="s">
        <v>143</v>
      </c>
      <c r="N5" s="117" t="s">
        <v>143</v>
      </c>
      <c r="O5" s="121" t="s">
        <v>145</v>
      </c>
      <c r="P5" s="118" t="s">
        <v>143</v>
      </c>
    </row>
    <row r="6" spans="2:16" ht="33">
      <c r="B6" s="122" t="s">
        <v>146</v>
      </c>
      <c r="C6" s="123" t="s">
        <v>147</v>
      </c>
      <c r="D6" s="124" t="s">
        <v>146</v>
      </c>
      <c r="F6" s="122" t="s">
        <v>146</v>
      </c>
      <c r="G6" s="125" t="s">
        <v>148</v>
      </c>
      <c r="H6" s="124" t="s">
        <v>146</v>
      </c>
      <c r="J6" s="122" t="s">
        <v>146</v>
      </c>
      <c r="K6" s="126" t="s">
        <v>149</v>
      </c>
      <c r="L6" s="124" t="s">
        <v>146</v>
      </c>
      <c r="N6" s="122" t="s">
        <v>146</v>
      </c>
      <c r="O6" s="127" t="s">
        <v>149</v>
      </c>
      <c r="P6" s="124" t="s">
        <v>146</v>
      </c>
    </row>
    <row r="7" spans="2:16" ht="33">
      <c r="B7" s="122" t="s">
        <v>150</v>
      </c>
      <c r="C7" s="123" t="s">
        <v>151</v>
      </c>
      <c r="D7" s="124" t="s">
        <v>150</v>
      </c>
      <c r="F7" s="122" t="s">
        <v>150</v>
      </c>
      <c r="G7" s="109" t="s">
        <v>152</v>
      </c>
      <c r="H7" s="124" t="s">
        <v>150</v>
      </c>
      <c r="J7" s="122" t="s">
        <v>150</v>
      </c>
      <c r="K7" s="110" t="s">
        <v>152</v>
      </c>
      <c r="L7" s="124" t="s">
        <v>150</v>
      </c>
      <c r="N7" s="122" t="s">
        <v>150</v>
      </c>
      <c r="O7" s="111" t="s">
        <v>152</v>
      </c>
      <c r="P7" s="124" t="s">
        <v>150</v>
      </c>
    </row>
    <row r="8" spans="2:16">
      <c r="B8" s="122" t="s">
        <v>153</v>
      </c>
      <c r="C8" s="108" t="s">
        <v>144</v>
      </c>
      <c r="D8" s="124" t="s">
        <v>153</v>
      </c>
      <c r="F8" s="122" t="s">
        <v>153</v>
      </c>
      <c r="G8" s="109" t="s">
        <v>145</v>
      </c>
      <c r="H8" s="124" t="s">
        <v>153</v>
      </c>
      <c r="J8" s="122" t="s">
        <v>153</v>
      </c>
      <c r="K8" s="110" t="s">
        <v>145</v>
      </c>
      <c r="L8" s="124" t="s">
        <v>153</v>
      </c>
      <c r="N8" s="122" t="s">
        <v>153</v>
      </c>
      <c r="O8" s="111" t="s">
        <v>145</v>
      </c>
      <c r="P8" s="124" t="s">
        <v>153</v>
      </c>
    </row>
    <row r="9" spans="2:16" ht="49.5">
      <c r="B9" s="122" t="s">
        <v>154</v>
      </c>
      <c r="C9" s="123" t="s">
        <v>155</v>
      </c>
      <c r="D9" s="124" t="s">
        <v>154</v>
      </c>
      <c r="F9" s="122" t="s">
        <v>154</v>
      </c>
      <c r="G9" s="125" t="s">
        <v>156</v>
      </c>
      <c r="H9" s="124" t="s">
        <v>154</v>
      </c>
      <c r="J9" s="122" t="s">
        <v>154</v>
      </c>
      <c r="K9" s="126" t="s">
        <v>157</v>
      </c>
      <c r="L9" s="124" t="s">
        <v>154</v>
      </c>
      <c r="N9" s="122" t="s">
        <v>154</v>
      </c>
      <c r="O9" s="111" t="s">
        <v>145</v>
      </c>
      <c r="P9" s="124" t="s">
        <v>154</v>
      </c>
    </row>
    <row r="10" spans="2:16" ht="33">
      <c r="B10" s="122" t="s">
        <v>158</v>
      </c>
      <c r="C10" s="108" t="s">
        <v>144</v>
      </c>
      <c r="D10" s="124" t="s">
        <v>158</v>
      </c>
      <c r="F10" s="122" t="s">
        <v>158</v>
      </c>
      <c r="G10" s="125" t="s">
        <v>159</v>
      </c>
      <c r="H10" s="124" t="s">
        <v>158</v>
      </c>
      <c r="J10" s="122" t="s">
        <v>158</v>
      </c>
      <c r="K10" s="110" t="s">
        <v>145</v>
      </c>
      <c r="L10" s="124" t="s">
        <v>158</v>
      </c>
      <c r="N10" s="122" t="s">
        <v>158</v>
      </c>
      <c r="O10" s="128" t="s">
        <v>160</v>
      </c>
      <c r="P10" s="124" t="s">
        <v>158</v>
      </c>
    </row>
    <row r="11" spans="2:16">
      <c r="B11" s="122" t="s">
        <v>161</v>
      </c>
      <c r="C11" s="108" t="s">
        <v>144</v>
      </c>
      <c r="D11" s="124" t="s">
        <v>161</v>
      </c>
      <c r="F11" s="122" t="s">
        <v>161</v>
      </c>
      <c r="G11" s="109" t="s">
        <v>152</v>
      </c>
      <c r="H11" s="124" t="s">
        <v>161</v>
      </c>
      <c r="J11" s="122" t="s">
        <v>161</v>
      </c>
      <c r="K11" s="110" t="s">
        <v>145</v>
      </c>
      <c r="L11" s="124" t="s">
        <v>161</v>
      </c>
      <c r="N11" s="122" t="s">
        <v>161</v>
      </c>
      <c r="O11" s="128"/>
      <c r="P11" s="124" t="s">
        <v>161</v>
      </c>
    </row>
    <row r="12" spans="2:16" ht="33">
      <c r="B12" s="122" t="s">
        <v>162</v>
      </c>
      <c r="C12" s="123" t="s">
        <v>163</v>
      </c>
      <c r="D12" s="124" t="s">
        <v>162</v>
      </c>
      <c r="F12" s="122" t="s">
        <v>162</v>
      </c>
      <c r="G12" s="125" t="s">
        <v>164</v>
      </c>
      <c r="H12" s="124" t="s">
        <v>162</v>
      </c>
      <c r="J12" s="122" t="s">
        <v>162</v>
      </c>
      <c r="K12" s="126" t="s">
        <v>165</v>
      </c>
      <c r="L12" s="124" t="s">
        <v>162</v>
      </c>
      <c r="N12" s="122" t="s">
        <v>162</v>
      </c>
      <c r="O12" s="128"/>
      <c r="P12" s="124" t="s">
        <v>162</v>
      </c>
    </row>
    <row r="13" spans="2:16" ht="33">
      <c r="B13" s="122" t="s">
        <v>166</v>
      </c>
      <c r="C13" s="108" t="s">
        <v>144</v>
      </c>
      <c r="D13" s="124" t="s">
        <v>166</v>
      </c>
      <c r="F13" s="122" t="s">
        <v>166</v>
      </c>
      <c r="G13" s="125" t="s">
        <v>167</v>
      </c>
      <c r="H13" s="124" t="s">
        <v>166</v>
      </c>
      <c r="J13" s="122" t="s">
        <v>166</v>
      </c>
      <c r="K13" s="126" t="s">
        <v>159</v>
      </c>
      <c r="L13" s="124" t="s">
        <v>166</v>
      </c>
      <c r="N13" s="122" t="s">
        <v>166</v>
      </c>
      <c r="O13" s="128"/>
      <c r="P13" s="124" t="s">
        <v>166</v>
      </c>
    </row>
    <row r="14" spans="2:16">
      <c r="B14" s="122" t="s">
        <v>168</v>
      </c>
      <c r="C14" s="108" t="s">
        <v>144</v>
      </c>
      <c r="D14" s="124" t="s">
        <v>168</v>
      </c>
      <c r="F14" s="122" t="s">
        <v>168</v>
      </c>
      <c r="G14" s="109" t="s">
        <v>152</v>
      </c>
      <c r="H14" s="124" t="s">
        <v>168</v>
      </c>
      <c r="J14" s="122" t="s">
        <v>168</v>
      </c>
      <c r="K14" s="110" t="s">
        <v>152</v>
      </c>
      <c r="L14" s="124" t="s">
        <v>168</v>
      </c>
      <c r="N14" s="122" t="s">
        <v>168</v>
      </c>
      <c r="O14" s="128"/>
      <c r="P14" s="124" t="s">
        <v>168</v>
      </c>
    </row>
    <row r="15" spans="2:16" ht="33">
      <c r="B15" s="122" t="s">
        <v>169</v>
      </c>
      <c r="C15" s="123" t="s">
        <v>170</v>
      </c>
      <c r="D15" s="124" t="s">
        <v>169</v>
      </c>
      <c r="F15" s="122" t="s">
        <v>169</v>
      </c>
      <c r="G15" s="109" t="s">
        <v>0</v>
      </c>
      <c r="H15" s="124" t="s">
        <v>169</v>
      </c>
      <c r="J15" s="122" t="s">
        <v>169</v>
      </c>
      <c r="K15" s="110" t="s">
        <v>145</v>
      </c>
      <c r="L15" s="124" t="s">
        <v>169</v>
      </c>
      <c r="N15" s="122" t="s">
        <v>169</v>
      </c>
      <c r="O15" s="128"/>
      <c r="P15" s="124" t="s">
        <v>169</v>
      </c>
    </row>
    <row r="16" spans="2:16">
      <c r="B16" s="122" t="s">
        <v>171</v>
      </c>
      <c r="C16" s="108" t="s">
        <v>144</v>
      </c>
      <c r="D16" s="124" t="s">
        <v>171</v>
      </c>
      <c r="F16" s="122" t="s">
        <v>171</v>
      </c>
      <c r="G16" s="109" t="s">
        <v>172</v>
      </c>
      <c r="H16" s="124" t="s">
        <v>171</v>
      </c>
      <c r="J16" s="122" t="s">
        <v>171</v>
      </c>
      <c r="K16" s="110" t="s">
        <v>145</v>
      </c>
      <c r="L16" s="124" t="s">
        <v>171</v>
      </c>
      <c r="N16" s="122" t="s">
        <v>171</v>
      </c>
      <c r="O16" s="128"/>
      <c r="P16" s="124" t="s">
        <v>171</v>
      </c>
    </row>
    <row r="17" spans="2:16">
      <c r="B17" s="122" t="s">
        <v>173</v>
      </c>
      <c r="C17" s="108" t="s">
        <v>144</v>
      </c>
      <c r="D17" s="124" t="s">
        <v>173</v>
      </c>
      <c r="F17" s="122" t="s">
        <v>173</v>
      </c>
      <c r="G17" s="109" t="s">
        <v>174</v>
      </c>
      <c r="H17" s="124" t="s">
        <v>173</v>
      </c>
      <c r="J17" s="122" t="s">
        <v>173</v>
      </c>
      <c r="K17" s="110" t="s">
        <v>145</v>
      </c>
      <c r="L17" s="124" t="s">
        <v>173</v>
      </c>
      <c r="N17" s="122" t="s">
        <v>173</v>
      </c>
      <c r="O17" s="128"/>
      <c r="P17" s="124" t="s">
        <v>173</v>
      </c>
    </row>
    <row r="18" spans="2:16" ht="33">
      <c r="B18" s="122" t="s">
        <v>175</v>
      </c>
      <c r="C18" s="123" t="s">
        <v>176</v>
      </c>
      <c r="D18" s="124" t="s">
        <v>175</v>
      </c>
      <c r="F18" s="122" t="s">
        <v>175</v>
      </c>
      <c r="G18" s="109" t="s">
        <v>145</v>
      </c>
      <c r="H18" s="124" t="s">
        <v>175</v>
      </c>
      <c r="J18" s="122" t="s">
        <v>175</v>
      </c>
      <c r="K18" s="110" t="s">
        <v>145</v>
      </c>
      <c r="L18" s="124" t="s">
        <v>175</v>
      </c>
      <c r="N18" s="122" t="s">
        <v>175</v>
      </c>
      <c r="O18" s="128"/>
      <c r="P18" s="124" t="s">
        <v>175</v>
      </c>
    </row>
    <row r="19" spans="2:16">
      <c r="B19" s="122" t="s">
        <v>177</v>
      </c>
      <c r="C19" s="108" t="s">
        <v>144</v>
      </c>
      <c r="D19" s="124" t="s">
        <v>177</v>
      </c>
      <c r="F19" s="122" t="s">
        <v>177</v>
      </c>
      <c r="G19" s="109" t="s">
        <v>145</v>
      </c>
      <c r="H19" s="124" t="s">
        <v>177</v>
      </c>
      <c r="J19" s="122" t="s">
        <v>177</v>
      </c>
      <c r="K19" s="110" t="s">
        <v>145</v>
      </c>
      <c r="L19" s="124" t="s">
        <v>177</v>
      </c>
      <c r="N19" s="122" t="s">
        <v>177</v>
      </c>
      <c r="O19" s="128"/>
      <c r="P19" s="124" t="s">
        <v>177</v>
      </c>
    </row>
    <row r="20" spans="2:16">
      <c r="B20" s="122" t="s">
        <v>178</v>
      </c>
      <c r="C20" s="108" t="s">
        <v>144</v>
      </c>
      <c r="D20" s="124" t="s">
        <v>178</v>
      </c>
      <c r="F20" s="122" t="s">
        <v>178</v>
      </c>
      <c r="G20" s="109" t="s">
        <v>145</v>
      </c>
      <c r="H20" s="124" t="s">
        <v>178</v>
      </c>
      <c r="J20" s="122" t="s">
        <v>178</v>
      </c>
      <c r="K20" s="110" t="s">
        <v>145</v>
      </c>
      <c r="L20" s="124" t="s">
        <v>178</v>
      </c>
      <c r="N20" s="122" t="s">
        <v>178</v>
      </c>
      <c r="O20" s="128"/>
      <c r="P20" s="124" t="s">
        <v>178</v>
      </c>
    </row>
    <row r="21" spans="2:16" ht="33">
      <c r="B21" s="122" t="s">
        <v>179</v>
      </c>
      <c r="C21" s="123" t="s">
        <v>180</v>
      </c>
      <c r="D21" s="124" t="s">
        <v>179</v>
      </c>
      <c r="F21" s="122" t="s">
        <v>179</v>
      </c>
      <c r="G21" s="109" t="s">
        <v>145</v>
      </c>
      <c r="H21" s="124" t="s">
        <v>179</v>
      </c>
      <c r="J21" s="122" t="s">
        <v>179</v>
      </c>
      <c r="K21" s="110" t="s">
        <v>145</v>
      </c>
      <c r="L21" s="124" t="s">
        <v>179</v>
      </c>
      <c r="N21" s="122" t="s">
        <v>179</v>
      </c>
      <c r="O21" s="128"/>
      <c r="P21" s="124" t="s">
        <v>179</v>
      </c>
    </row>
    <row r="22" spans="2:16">
      <c r="B22" s="122" t="s">
        <v>181</v>
      </c>
      <c r="C22" s="108" t="s">
        <v>144</v>
      </c>
      <c r="D22" s="124" t="s">
        <v>181</v>
      </c>
      <c r="F22" s="122" t="s">
        <v>181</v>
      </c>
      <c r="G22" s="109" t="s">
        <v>145</v>
      </c>
      <c r="H22" s="124" t="s">
        <v>181</v>
      </c>
      <c r="J22" s="122" t="s">
        <v>181</v>
      </c>
      <c r="K22" s="110" t="s">
        <v>145</v>
      </c>
      <c r="L22" s="124" t="s">
        <v>181</v>
      </c>
      <c r="N22" s="122" t="s">
        <v>181</v>
      </c>
      <c r="O22" s="128"/>
      <c r="P22" s="124" t="s">
        <v>181</v>
      </c>
    </row>
    <row r="23" spans="2:16">
      <c r="B23" s="122" t="s">
        <v>182</v>
      </c>
      <c r="C23" s="108" t="s">
        <v>144</v>
      </c>
      <c r="D23" s="124" t="s">
        <v>182</v>
      </c>
      <c r="F23" s="122" t="s">
        <v>182</v>
      </c>
      <c r="G23" s="109" t="s">
        <v>145</v>
      </c>
      <c r="H23" s="124" t="s">
        <v>182</v>
      </c>
      <c r="J23" s="122" t="s">
        <v>182</v>
      </c>
      <c r="K23" s="110" t="s">
        <v>145</v>
      </c>
      <c r="L23" s="124" t="s">
        <v>182</v>
      </c>
      <c r="N23" s="122" t="s">
        <v>182</v>
      </c>
      <c r="O23" s="128"/>
      <c r="P23" s="124" t="s">
        <v>182</v>
      </c>
    </row>
    <row r="24" spans="2:16" ht="33">
      <c r="B24" s="122" t="s">
        <v>183</v>
      </c>
      <c r="C24" s="123" t="s">
        <v>184</v>
      </c>
      <c r="D24" s="124" t="s">
        <v>183</v>
      </c>
      <c r="F24" s="122" t="s">
        <v>183</v>
      </c>
      <c r="G24" s="109" t="s">
        <v>145</v>
      </c>
      <c r="H24" s="124" t="s">
        <v>183</v>
      </c>
      <c r="J24" s="122" t="s">
        <v>183</v>
      </c>
      <c r="K24" s="110" t="s">
        <v>145</v>
      </c>
      <c r="L24" s="124" t="s">
        <v>183</v>
      </c>
      <c r="N24" s="122" t="s">
        <v>183</v>
      </c>
      <c r="O24" s="128"/>
      <c r="P24" s="124" t="s">
        <v>183</v>
      </c>
    </row>
    <row r="25" spans="2:16">
      <c r="B25" s="122" t="s">
        <v>185</v>
      </c>
      <c r="C25" s="108" t="s">
        <v>144</v>
      </c>
      <c r="D25" s="124" t="s">
        <v>185</v>
      </c>
      <c r="F25" s="122" t="s">
        <v>185</v>
      </c>
      <c r="G25" s="109" t="s">
        <v>145</v>
      </c>
      <c r="H25" s="124" t="s">
        <v>185</v>
      </c>
      <c r="J25" s="122" t="s">
        <v>185</v>
      </c>
      <c r="K25" s="110" t="s">
        <v>145</v>
      </c>
      <c r="L25" s="124" t="s">
        <v>185</v>
      </c>
      <c r="N25" s="122" t="s">
        <v>185</v>
      </c>
      <c r="O25" s="128"/>
      <c r="P25" s="124" t="s">
        <v>185</v>
      </c>
    </row>
    <row r="26" spans="2:16">
      <c r="B26" s="122" t="s">
        <v>186</v>
      </c>
      <c r="C26" s="108" t="s">
        <v>187</v>
      </c>
      <c r="D26" s="124" t="s">
        <v>186</v>
      </c>
      <c r="F26" s="122" t="s">
        <v>186</v>
      </c>
      <c r="G26" s="109" t="s">
        <v>145</v>
      </c>
      <c r="H26" s="124" t="s">
        <v>186</v>
      </c>
      <c r="J26" s="122" t="s">
        <v>186</v>
      </c>
      <c r="K26" s="110" t="s">
        <v>145</v>
      </c>
      <c r="L26" s="124" t="s">
        <v>186</v>
      </c>
      <c r="N26" s="122" t="s">
        <v>186</v>
      </c>
      <c r="O26" s="128"/>
      <c r="P26" s="124" t="s">
        <v>186</v>
      </c>
    </row>
    <row r="27" spans="2:16">
      <c r="B27" s="122" t="s">
        <v>188</v>
      </c>
      <c r="C27" s="108" t="s">
        <v>189</v>
      </c>
      <c r="D27" s="124" t="s">
        <v>188</v>
      </c>
      <c r="F27" s="122" t="s">
        <v>188</v>
      </c>
      <c r="G27" s="109" t="s">
        <v>145</v>
      </c>
      <c r="H27" s="124" t="s">
        <v>188</v>
      </c>
      <c r="J27" s="122" t="s">
        <v>188</v>
      </c>
      <c r="K27" s="110" t="s">
        <v>145</v>
      </c>
      <c r="L27" s="124" t="s">
        <v>188</v>
      </c>
      <c r="N27" s="122" t="s">
        <v>188</v>
      </c>
      <c r="O27" s="128"/>
      <c r="P27" s="124" t="s">
        <v>188</v>
      </c>
    </row>
    <row r="28" spans="2:16">
      <c r="B28" s="122" t="s">
        <v>190</v>
      </c>
      <c r="C28" s="108" t="s">
        <v>144</v>
      </c>
      <c r="D28" s="124" t="s">
        <v>190</v>
      </c>
      <c r="F28" s="122" t="s">
        <v>190</v>
      </c>
      <c r="G28" s="109" t="s">
        <v>145</v>
      </c>
      <c r="H28" s="124" t="s">
        <v>190</v>
      </c>
      <c r="J28" s="122" t="s">
        <v>190</v>
      </c>
      <c r="K28" s="110" t="s">
        <v>145</v>
      </c>
      <c r="L28" s="124" t="s">
        <v>190</v>
      </c>
      <c r="N28" s="122" t="s">
        <v>190</v>
      </c>
      <c r="O28" s="111" t="s">
        <v>145</v>
      </c>
      <c r="P28" s="124" t="s">
        <v>190</v>
      </c>
    </row>
    <row r="29" spans="2:16">
      <c r="B29" s="122" t="s">
        <v>191</v>
      </c>
      <c r="C29" s="108" t="s">
        <v>144</v>
      </c>
      <c r="D29" s="124" t="s">
        <v>191</v>
      </c>
      <c r="F29" s="122" t="s">
        <v>191</v>
      </c>
      <c r="G29" s="109" t="s">
        <v>145</v>
      </c>
      <c r="H29" s="124" t="s">
        <v>191</v>
      </c>
      <c r="J29" s="122" t="s">
        <v>191</v>
      </c>
      <c r="K29" s="110" t="s">
        <v>145</v>
      </c>
      <c r="L29" s="124" t="s">
        <v>191</v>
      </c>
      <c r="N29" s="122" t="s">
        <v>191</v>
      </c>
      <c r="O29" s="111" t="s">
        <v>145</v>
      </c>
      <c r="P29" s="124" t="s">
        <v>191</v>
      </c>
    </row>
    <row r="30" spans="2:16">
      <c r="B30" s="122" t="s">
        <v>192</v>
      </c>
      <c r="C30" s="108" t="s">
        <v>144</v>
      </c>
      <c r="D30" s="124" t="s">
        <v>192</v>
      </c>
      <c r="F30" s="122" t="s">
        <v>192</v>
      </c>
      <c r="G30" s="129" t="s">
        <v>193</v>
      </c>
      <c r="H30" s="124" t="s">
        <v>192</v>
      </c>
      <c r="J30" s="122" t="s">
        <v>192</v>
      </c>
      <c r="K30" s="110" t="s">
        <v>145</v>
      </c>
      <c r="L30" s="124" t="s">
        <v>192</v>
      </c>
      <c r="N30" s="122" t="s">
        <v>192</v>
      </c>
      <c r="O30" s="111" t="s">
        <v>145</v>
      </c>
      <c r="P30" s="124" t="s">
        <v>192</v>
      </c>
    </row>
    <row r="31" spans="2:16">
      <c r="B31" s="122" t="s">
        <v>194</v>
      </c>
      <c r="C31" s="108" t="s">
        <v>144</v>
      </c>
      <c r="D31" s="124" t="s">
        <v>194</v>
      </c>
      <c r="F31" s="122" t="s">
        <v>194</v>
      </c>
      <c r="G31" s="129"/>
      <c r="H31" s="124" t="s">
        <v>194</v>
      </c>
      <c r="J31" s="122" t="s">
        <v>194</v>
      </c>
      <c r="K31" s="110" t="s">
        <v>145</v>
      </c>
      <c r="L31" s="124" t="s">
        <v>194</v>
      </c>
      <c r="N31" s="122" t="s">
        <v>194</v>
      </c>
      <c r="O31" s="130" t="s">
        <v>195</v>
      </c>
      <c r="P31" s="124" t="s">
        <v>194</v>
      </c>
    </row>
    <row r="32" spans="2:16">
      <c r="B32" s="122" t="s">
        <v>196</v>
      </c>
      <c r="C32" s="108" t="s">
        <v>144</v>
      </c>
      <c r="D32" s="124" t="s">
        <v>196</v>
      </c>
      <c r="F32" s="122" t="s">
        <v>196</v>
      </c>
      <c r="G32" s="109" t="s">
        <v>145</v>
      </c>
      <c r="H32" s="124" t="s">
        <v>196</v>
      </c>
      <c r="J32" s="122" t="s">
        <v>196</v>
      </c>
      <c r="K32" s="131" t="s">
        <v>197</v>
      </c>
      <c r="L32" s="124" t="s">
        <v>196</v>
      </c>
      <c r="N32" s="122" t="s">
        <v>196</v>
      </c>
      <c r="O32" s="130"/>
      <c r="P32" s="124" t="s">
        <v>196</v>
      </c>
    </row>
    <row r="33" spans="2:16">
      <c r="B33" s="122" t="s">
        <v>198</v>
      </c>
      <c r="C33" s="108" t="s">
        <v>144</v>
      </c>
      <c r="D33" s="124" t="s">
        <v>198</v>
      </c>
      <c r="F33" s="122" t="s">
        <v>198</v>
      </c>
      <c r="G33" s="109" t="s">
        <v>145</v>
      </c>
      <c r="H33" s="124" t="s">
        <v>198</v>
      </c>
      <c r="J33" s="122" t="s">
        <v>198</v>
      </c>
      <c r="K33" s="131"/>
      <c r="L33" s="124" t="s">
        <v>198</v>
      </c>
      <c r="N33" s="122" t="s">
        <v>198</v>
      </c>
      <c r="O33" s="130"/>
      <c r="P33" s="124" t="s">
        <v>198</v>
      </c>
    </row>
    <row r="34" spans="2:16">
      <c r="B34" s="122" t="s">
        <v>199</v>
      </c>
      <c r="C34" s="108" t="s">
        <v>144</v>
      </c>
      <c r="D34" s="124" t="s">
        <v>199</v>
      </c>
      <c r="F34" s="122" t="s">
        <v>199</v>
      </c>
      <c r="G34" s="129" t="s">
        <v>193</v>
      </c>
      <c r="H34" s="124" t="s">
        <v>199</v>
      </c>
      <c r="J34" s="122" t="s">
        <v>199</v>
      </c>
      <c r="K34" s="110" t="s">
        <v>145</v>
      </c>
      <c r="L34" s="124" t="s">
        <v>199</v>
      </c>
      <c r="N34" s="122" t="s">
        <v>199</v>
      </c>
      <c r="O34" s="130"/>
      <c r="P34" s="124" t="s">
        <v>199</v>
      </c>
    </row>
    <row r="35" spans="2:16">
      <c r="B35" s="122" t="s">
        <v>200</v>
      </c>
      <c r="C35" s="108" t="s">
        <v>144</v>
      </c>
      <c r="D35" s="124" t="s">
        <v>200</v>
      </c>
      <c r="F35" s="122" t="s">
        <v>200</v>
      </c>
      <c r="G35" s="129"/>
      <c r="H35" s="124" t="s">
        <v>200</v>
      </c>
      <c r="J35" s="122" t="s">
        <v>200</v>
      </c>
      <c r="K35" s="110" t="s">
        <v>145</v>
      </c>
      <c r="L35" s="124" t="s">
        <v>200</v>
      </c>
      <c r="N35" s="122" t="s">
        <v>200</v>
      </c>
      <c r="O35" s="111" t="s">
        <v>145</v>
      </c>
      <c r="P35" s="124" t="s">
        <v>200</v>
      </c>
    </row>
    <row r="36" spans="2:16">
      <c r="B36" s="122" t="s">
        <v>201</v>
      </c>
      <c r="C36" s="108" t="s">
        <v>144</v>
      </c>
      <c r="D36" s="124" t="s">
        <v>201</v>
      </c>
      <c r="F36" s="122" t="s">
        <v>201</v>
      </c>
      <c r="G36" s="109" t="s">
        <v>145</v>
      </c>
      <c r="H36" s="124" t="s">
        <v>201</v>
      </c>
      <c r="J36" s="122" t="s">
        <v>201</v>
      </c>
      <c r="K36" s="110" t="s">
        <v>145</v>
      </c>
      <c r="L36" s="124" t="s">
        <v>201</v>
      </c>
      <c r="N36" s="122" t="s">
        <v>201</v>
      </c>
      <c r="O36" s="111" t="s">
        <v>145</v>
      </c>
      <c r="P36" s="124" t="s">
        <v>201</v>
      </c>
    </row>
    <row r="37" spans="2:16">
      <c r="B37" s="122" t="s">
        <v>202</v>
      </c>
      <c r="C37" s="108" t="s">
        <v>144</v>
      </c>
      <c r="D37" s="124" t="s">
        <v>202</v>
      </c>
      <c r="F37" s="122" t="s">
        <v>202</v>
      </c>
      <c r="G37" s="109" t="s">
        <v>145</v>
      </c>
      <c r="H37" s="124" t="s">
        <v>202</v>
      </c>
      <c r="J37" s="122" t="s">
        <v>202</v>
      </c>
      <c r="K37" s="110" t="s">
        <v>145</v>
      </c>
      <c r="L37" s="124" t="s">
        <v>202</v>
      </c>
      <c r="N37" s="122" t="s">
        <v>202</v>
      </c>
      <c r="O37" s="111" t="s">
        <v>145</v>
      </c>
      <c r="P37" s="124" t="s">
        <v>202</v>
      </c>
    </row>
    <row r="38" spans="2:16">
      <c r="B38" s="122" t="s">
        <v>203</v>
      </c>
      <c r="C38" s="132" t="s">
        <v>204</v>
      </c>
      <c r="D38" s="124" t="s">
        <v>203</v>
      </c>
      <c r="F38" s="122" t="s">
        <v>203</v>
      </c>
      <c r="G38" s="129" t="s">
        <v>205</v>
      </c>
      <c r="H38" s="124" t="s">
        <v>203</v>
      </c>
      <c r="J38" s="122" t="s">
        <v>203</v>
      </c>
      <c r="K38" s="131" t="s">
        <v>206</v>
      </c>
      <c r="L38" s="124" t="s">
        <v>203</v>
      </c>
      <c r="N38" s="122" t="s">
        <v>203</v>
      </c>
      <c r="O38" s="130" t="s">
        <v>207</v>
      </c>
      <c r="P38" s="124" t="s">
        <v>203</v>
      </c>
    </row>
    <row r="39" spans="2:16">
      <c r="B39" s="122" t="s">
        <v>208</v>
      </c>
      <c r="C39" s="132"/>
      <c r="D39" s="124" t="s">
        <v>208</v>
      </c>
      <c r="F39" s="122" t="s">
        <v>208</v>
      </c>
      <c r="G39" s="129"/>
      <c r="H39" s="124" t="s">
        <v>208</v>
      </c>
      <c r="J39" s="122" t="s">
        <v>208</v>
      </c>
      <c r="K39" s="131"/>
      <c r="L39" s="124" t="s">
        <v>208</v>
      </c>
      <c r="N39" s="122" t="s">
        <v>208</v>
      </c>
      <c r="O39" s="130"/>
      <c r="P39" s="124" t="s">
        <v>208</v>
      </c>
    </row>
    <row r="40" spans="2:16">
      <c r="B40" s="122" t="s">
        <v>209</v>
      </c>
      <c r="C40" s="132"/>
      <c r="D40" s="124" t="s">
        <v>209</v>
      </c>
      <c r="F40" s="122" t="s">
        <v>209</v>
      </c>
      <c r="G40" s="129"/>
      <c r="H40" s="124" t="s">
        <v>209</v>
      </c>
      <c r="J40" s="122" t="s">
        <v>209</v>
      </c>
      <c r="K40" s="131"/>
      <c r="L40" s="124" t="s">
        <v>209</v>
      </c>
      <c r="N40" s="122" t="s">
        <v>209</v>
      </c>
      <c r="O40" s="130"/>
      <c r="P40" s="124" t="s">
        <v>209</v>
      </c>
    </row>
    <row r="41" spans="2:16">
      <c r="B41" s="122" t="s">
        <v>210</v>
      </c>
      <c r="C41" s="132"/>
      <c r="D41" s="124" t="s">
        <v>210</v>
      </c>
      <c r="F41" s="122" t="s">
        <v>210</v>
      </c>
      <c r="G41" s="129"/>
      <c r="H41" s="124" t="s">
        <v>210</v>
      </c>
      <c r="J41" s="122" t="s">
        <v>210</v>
      </c>
      <c r="K41" s="131"/>
      <c r="L41" s="124" t="s">
        <v>210</v>
      </c>
      <c r="N41" s="122" t="s">
        <v>210</v>
      </c>
      <c r="O41" s="130"/>
      <c r="P41" s="124" t="s">
        <v>210</v>
      </c>
    </row>
    <row r="42" spans="2:16">
      <c r="B42" s="122" t="s">
        <v>211</v>
      </c>
      <c r="C42" s="108" t="s">
        <v>144</v>
      </c>
      <c r="D42" s="124" t="s">
        <v>211</v>
      </c>
      <c r="F42" s="122" t="s">
        <v>211</v>
      </c>
      <c r="G42" s="109" t="s">
        <v>145</v>
      </c>
      <c r="H42" s="124" t="s">
        <v>211</v>
      </c>
      <c r="J42" s="122" t="s">
        <v>211</v>
      </c>
      <c r="K42" s="110" t="s">
        <v>145</v>
      </c>
      <c r="L42" s="124" t="s">
        <v>211</v>
      </c>
      <c r="N42" s="122" t="s">
        <v>211</v>
      </c>
      <c r="O42" s="111" t="s">
        <v>145</v>
      </c>
      <c r="P42" s="124" t="s">
        <v>211</v>
      </c>
    </row>
    <row r="43" spans="2:16">
      <c r="B43" s="122" t="s">
        <v>212</v>
      </c>
      <c r="C43" s="108" t="s">
        <v>144</v>
      </c>
      <c r="D43" s="124" t="s">
        <v>212</v>
      </c>
      <c r="F43" s="122" t="s">
        <v>212</v>
      </c>
      <c r="G43" s="109" t="s">
        <v>145</v>
      </c>
      <c r="H43" s="124" t="s">
        <v>212</v>
      </c>
      <c r="J43" s="122" t="s">
        <v>212</v>
      </c>
      <c r="K43" s="110" t="s">
        <v>145</v>
      </c>
      <c r="L43" s="124" t="s">
        <v>212</v>
      </c>
      <c r="N43" s="122" t="s">
        <v>212</v>
      </c>
      <c r="O43" s="111" t="s">
        <v>145</v>
      </c>
      <c r="P43" s="124" t="s">
        <v>212</v>
      </c>
    </row>
    <row r="44" spans="2:16">
      <c r="B44" s="122" t="s">
        <v>213</v>
      </c>
      <c r="C44" s="108" t="s">
        <v>144</v>
      </c>
      <c r="D44" s="124" t="s">
        <v>213</v>
      </c>
      <c r="F44" s="122" t="s">
        <v>213</v>
      </c>
      <c r="G44" s="109" t="s">
        <v>145</v>
      </c>
      <c r="H44" s="124" t="s">
        <v>213</v>
      </c>
      <c r="J44" s="122" t="s">
        <v>213</v>
      </c>
      <c r="K44" s="110" t="s">
        <v>145</v>
      </c>
      <c r="L44" s="124" t="s">
        <v>213</v>
      </c>
      <c r="N44" s="122" t="s">
        <v>213</v>
      </c>
      <c r="O44" s="111" t="s">
        <v>145</v>
      </c>
      <c r="P44" s="124" t="s">
        <v>213</v>
      </c>
    </row>
    <row r="45" spans="2:16">
      <c r="B45" s="122" t="s">
        <v>214</v>
      </c>
      <c r="C45" s="108" t="s">
        <v>144</v>
      </c>
      <c r="D45" s="124" t="s">
        <v>214</v>
      </c>
      <c r="F45" s="122" t="s">
        <v>214</v>
      </c>
      <c r="G45" s="109" t="s">
        <v>145</v>
      </c>
      <c r="H45" s="124" t="s">
        <v>214</v>
      </c>
      <c r="J45" s="122" t="s">
        <v>214</v>
      </c>
      <c r="K45" s="110" t="s">
        <v>145</v>
      </c>
      <c r="L45" s="124" t="s">
        <v>214</v>
      </c>
      <c r="N45" s="122" t="s">
        <v>214</v>
      </c>
      <c r="O45" s="111" t="s">
        <v>145</v>
      </c>
      <c r="P45" s="124" t="s">
        <v>214</v>
      </c>
    </row>
    <row r="46" spans="2:16" ht="17.25" thickBot="1">
      <c r="B46" s="133" t="s">
        <v>215</v>
      </c>
      <c r="C46" s="108" t="s">
        <v>144</v>
      </c>
      <c r="D46" s="134" t="s">
        <v>215</v>
      </c>
      <c r="F46" s="133" t="s">
        <v>215</v>
      </c>
      <c r="G46" s="135" t="s">
        <v>145</v>
      </c>
      <c r="H46" s="134" t="s">
        <v>215</v>
      </c>
      <c r="J46" s="133" t="s">
        <v>215</v>
      </c>
      <c r="K46" s="110" t="s">
        <v>145</v>
      </c>
      <c r="L46" s="134" t="s">
        <v>215</v>
      </c>
      <c r="N46" s="133" t="s">
        <v>215</v>
      </c>
      <c r="O46" s="136" t="s">
        <v>145</v>
      </c>
      <c r="P46" s="134" t="s">
        <v>215</v>
      </c>
    </row>
    <row r="48" spans="2:16">
      <c r="G48" s="104" t="s">
        <v>216</v>
      </c>
    </row>
  </sheetData>
  <mergeCells count="9">
    <mergeCell ref="O10:O27"/>
    <mergeCell ref="G30:G31"/>
    <mergeCell ref="O31:O34"/>
    <mergeCell ref="K32:K33"/>
    <mergeCell ref="G34:G35"/>
    <mergeCell ref="C38:C41"/>
    <mergeCell ref="G38:G41"/>
    <mergeCell ref="K38:K41"/>
    <mergeCell ref="O38:O41"/>
  </mergeCells>
  <pageMargins left="0.75" right="0.75" top="1" bottom="1" header="0.5" footer="0.5"/>
  <pageSetup paperSize="8" scale="4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8434F-A654-41DC-96E7-D31BDFC670B6}">
  <dimension ref="A1:I19"/>
  <sheetViews>
    <sheetView workbookViewId="0">
      <selection activeCell="D27" sqref="D27"/>
    </sheetView>
  </sheetViews>
  <sheetFormatPr defaultRowHeight="15"/>
  <cols>
    <col min="2" max="2" width="23.28515625" customWidth="1"/>
    <col min="3" max="3" width="27.7109375" customWidth="1"/>
    <col min="4" max="4" width="26.5703125" customWidth="1"/>
    <col min="5" max="5" width="23.7109375" customWidth="1"/>
    <col min="6" max="6" width="30.5703125" customWidth="1"/>
    <col min="7" max="8" width="29.28515625" customWidth="1"/>
    <col min="9" max="9" width="51.5703125" customWidth="1"/>
  </cols>
  <sheetData>
    <row r="1" spans="1:9" ht="27.75" customHeight="1">
      <c r="A1" s="142" t="s">
        <v>69</v>
      </c>
      <c r="B1" s="142" t="s">
        <v>218</v>
      </c>
      <c r="C1" s="142" t="s">
        <v>217</v>
      </c>
      <c r="D1" s="142" t="s">
        <v>219</v>
      </c>
      <c r="E1" s="142" t="s">
        <v>220</v>
      </c>
      <c r="F1" s="142" t="s">
        <v>223</v>
      </c>
      <c r="G1" s="142" t="s">
        <v>221</v>
      </c>
      <c r="H1" s="142" t="s">
        <v>225</v>
      </c>
      <c r="I1" s="143" t="s">
        <v>222</v>
      </c>
    </row>
    <row r="2" spans="1:9">
      <c r="A2" s="137">
        <v>1</v>
      </c>
      <c r="B2" s="137" t="s">
        <v>2</v>
      </c>
      <c r="C2" s="137"/>
      <c r="D2" s="137" t="s">
        <v>226</v>
      </c>
      <c r="E2" s="137"/>
      <c r="F2" s="137"/>
      <c r="G2" s="137"/>
      <c r="H2" s="140"/>
      <c r="I2" s="138" t="s">
        <v>224</v>
      </c>
    </row>
    <row r="3" spans="1:9">
      <c r="A3" s="137">
        <v>2</v>
      </c>
      <c r="B3" s="137" t="s">
        <v>2</v>
      </c>
      <c r="C3" s="137"/>
      <c r="D3" s="137" t="s">
        <v>227</v>
      </c>
      <c r="E3" s="137"/>
      <c r="F3" s="137"/>
      <c r="G3" s="137"/>
      <c r="H3" s="141"/>
      <c r="I3" s="139"/>
    </row>
    <row r="4" spans="1:9">
      <c r="A4" s="137">
        <v>3</v>
      </c>
      <c r="B4" s="137" t="s">
        <v>2</v>
      </c>
      <c r="C4" s="137"/>
      <c r="D4" s="137" t="s">
        <v>228</v>
      </c>
      <c r="E4" s="137"/>
      <c r="F4" s="137"/>
      <c r="G4" s="137"/>
      <c r="H4" s="137"/>
      <c r="I4" s="137"/>
    </row>
    <row r="5" spans="1:9">
      <c r="A5" s="137">
        <v>4</v>
      </c>
      <c r="B5" s="137" t="s">
        <v>0</v>
      </c>
      <c r="C5" s="137"/>
      <c r="D5" s="137" t="s">
        <v>229</v>
      </c>
      <c r="E5" s="137"/>
      <c r="F5" s="137"/>
      <c r="G5" s="137"/>
      <c r="H5" s="137"/>
      <c r="I5" s="137"/>
    </row>
    <row r="6" spans="1:9">
      <c r="A6" s="137">
        <v>5</v>
      </c>
      <c r="B6" s="137" t="s">
        <v>0</v>
      </c>
      <c r="C6" s="137"/>
      <c r="D6" s="137" t="s">
        <v>230</v>
      </c>
      <c r="E6" s="137"/>
      <c r="F6" s="137"/>
      <c r="G6" s="137"/>
      <c r="H6" s="137"/>
      <c r="I6" s="137"/>
    </row>
    <row r="7" spans="1:9">
      <c r="A7" s="137">
        <v>6</v>
      </c>
      <c r="B7" s="137" t="s">
        <v>0</v>
      </c>
      <c r="C7" s="137"/>
      <c r="D7" s="137" t="s">
        <v>231</v>
      </c>
      <c r="E7" s="137"/>
      <c r="F7" s="137"/>
      <c r="G7" s="137"/>
      <c r="H7" s="137"/>
      <c r="I7" s="137"/>
    </row>
    <row r="8" spans="1:9">
      <c r="A8" s="137">
        <v>7</v>
      </c>
      <c r="B8" s="137" t="s">
        <v>0</v>
      </c>
      <c r="C8" s="137"/>
      <c r="D8" s="137" t="s">
        <v>232</v>
      </c>
      <c r="E8" s="137"/>
      <c r="F8" s="137"/>
      <c r="G8" s="137"/>
      <c r="H8" s="137"/>
      <c r="I8" s="137"/>
    </row>
    <row r="9" spans="1:9">
      <c r="A9" s="137">
        <v>8</v>
      </c>
      <c r="B9" s="137" t="s">
        <v>0</v>
      </c>
      <c r="C9" s="137"/>
      <c r="D9" s="137" t="s">
        <v>233</v>
      </c>
      <c r="E9" s="137"/>
      <c r="F9" s="137"/>
      <c r="G9" s="137"/>
      <c r="H9" s="137"/>
      <c r="I9" s="137"/>
    </row>
    <row r="10" spans="1:9">
      <c r="A10" s="137">
        <v>9</v>
      </c>
      <c r="B10" s="137" t="s">
        <v>0</v>
      </c>
      <c r="C10" s="137"/>
      <c r="D10" s="137" t="s">
        <v>234</v>
      </c>
      <c r="E10" s="137"/>
      <c r="F10" s="137"/>
      <c r="G10" s="137"/>
      <c r="H10" s="137"/>
      <c r="I10" s="137"/>
    </row>
    <row r="11" spans="1:9">
      <c r="A11" s="137">
        <v>10</v>
      </c>
      <c r="B11" s="137" t="s">
        <v>0</v>
      </c>
      <c r="C11" s="137"/>
      <c r="D11" s="137" t="s">
        <v>235</v>
      </c>
      <c r="E11" s="137"/>
      <c r="F11" s="137"/>
      <c r="G11" s="137"/>
      <c r="H11" s="137"/>
      <c r="I11" s="137"/>
    </row>
    <row r="12" spans="1:9">
      <c r="A12" s="137">
        <v>11</v>
      </c>
      <c r="B12" s="137" t="s">
        <v>0</v>
      </c>
      <c r="C12" s="137"/>
      <c r="D12" s="137" t="s">
        <v>236</v>
      </c>
      <c r="E12" s="137"/>
      <c r="F12" s="137"/>
      <c r="G12" s="137"/>
      <c r="H12" s="137"/>
      <c r="I12" s="137"/>
    </row>
    <row r="13" spans="1:9">
      <c r="A13" s="137">
        <v>12</v>
      </c>
      <c r="B13" s="137" t="s">
        <v>0</v>
      </c>
      <c r="C13" s="137"/>
      <c r="D13" s="137" t="s">
        <v>237</v>
      </c>
      <c r="E13" s="137"/>
      <c r="F13" s="137"/>
      <c r="G13" s="137"/>
      <c r="H13" s="137"/>
      <c r="I13" s="137"/>
    </row>
    <row r="14" spans="1:9">
      <c r="A14" s="137">
        <v>13</v>
      </c>
      <c r="B14" s="137" t="s">
        <v>0</v>
      </c>
      <c r="C14" s="137"/>
      <c r="D14" s="137" t="s">
        <v>238</v>
      </c>
      <c r="E14" s="137"/>
      <c r="F14" s="137"/>
      <c r="G14" s="137"/>
      <c r="H14" s="137"/>
      <c r="I14" s="137"/>
    </row>
    <row r="15" spans="1:9">
      <c r="A15" s="137">
        <v>14</v>
      </c>
      <c r="B15" s="137" t="s">
        <v>0</v>
      </c>
      <c r="C15" s="137"/>
      <c r="D15" s="137" t="s">
        <v>239</v>
      </c>
      <c r="E15" s="137"/>
      <c r="F15" s="137"/>
      <c r="G15" s="137"/>
      <c r="H15" s="137"/>
      <c r="I15" s="137"/>
    </row>
    <row r="16" spans="1:9">
      <c r="A16" s="137">
        <v>15</v>
      </c>
      <c r="B16" s="137" t="s">
        <v>0</v>
      </c>
      <c r="C16" s="137"/>
      <c r="D16" s="137" t="s">
        <v>240</v>
      </c>
      <c r="E16" s="137"/>
      <c r="F16" s="137"/>
      <c r="G16" s="137"/>
      <c r="H16" s="137"/>
      <c r="I16" s="137"/>
    </row>
    <row r="17" spans="1:9">
      <c r="A17" s="137">
        <v>16</v>
      </c>
      <c r="B17" s="137" t="s">
        <v>0</v>
      </c>
      <c r="C17" s="137"/>
      <c r="D17" s="137" t="s">
        <v>241</v>
      </c>
      <c r="E17" s="137"/>
      <c r="F17" s="137"/>
      <c r="G17" s="137"/>
      <c r="H17" s="137"/>
      <c r="I17" s="137"/>
    </row>
    <row r="18" spans="1:9">
      <c r="A18" s="137">
        <v>17</v>
      </c>
      <c r="B18" s="137" t="s">
        <v>0</v>
      </c>
      <c r="C18" s="137"/>
      <c r="D18" s="137" t="s">
        <v>242</v>
      </c>
      <c r="E18" s="137"/>
      <c r="F18" s="137"/>
      <c r="G18" s="137"/>
      <c r="H18" s="137"/>
      <c r="I18" s="137"/>
    </row>
    <row r="19" spans="1:9">
      <c r="A19" s="137">
        <v>18</v>
      </c>
      <c r="B19" s="137" t="s">
        <v>0</v>
      </c>
      <c r="C19" s="137"/>
      <c r="D19" s="137" t="s">
        <v>243</v>
      </c>
      <c r="E19" s="137"/>
      <c r="F19" s="137"/>
      <c r="G19" s="137"/>
      <c r="H19" s="137"/>
      <c r="I19" s="137"/>
    </row>
  </sheetData>
  <mergeCells count="1">
    <mergeCell ref="I2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交换机配置要求</vt:lpstr>
      <vt:lpstr>INNOTE供货清单</vt:lpstr>
      <vt:lpstr>Rack Layout</vt:lpstr>
      <vt:lpstr>Switch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CZQ</dc:creator>
  <cp:lastModifiedBy>Huynh Trong Hieu</cp:lastModifiedBy>
  <dcterms:created xsi:type="dcterms:W3CDTF">2026-07-06T04:30:57Z</dcterms:created>
  <dcterms:modified xsi:type="dcterms:W3CDTF">2026-07-09T13:46:15Z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AD7618796ACE4B789C3B8AEE40F5CAC0_11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