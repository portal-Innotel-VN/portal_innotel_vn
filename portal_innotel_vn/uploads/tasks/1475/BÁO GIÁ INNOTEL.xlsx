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f0e530f1a51b529a/Máy tính/BÁN HÀNG/BẢNG BÁO GIÁ( nội bộ)/chân gỗ/"/>
    </mc:Choice>
  </mc:AlternateContent>
  <xr:revisionPtr revIDLastSave="143" documentId="8_{D36770DA-9275-43B0-9604-8334274C84CC}" xr6:coauthVersionLast="47" xr6:coauthVersionMax="47" xr10:uidLastSave="{910AAB6C-8792-4D54-9782-5FDF891FE2A5}"/>
  <bookViews>
    <workbookView xWindow="-120" yWindow="-120" windowWidth="20730" windowHeight="1131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2" l="1"/>
  <c r="G18" i="2"/>
  <c r="G17" i="2"/>
  <c r="G20" i="2" l="1"/>
  <c r="C13" i="2"/>
  <c r="G21" i="2" l="1"/>
</calcChain>
</file>

<file path=xl/sharedStrings.xml><?xml version="1.0" encoding="utf-8"?>
<sst xmlns="http://schemas.openxmlformats.org/spreadsheetml/2006/main" count="48" uniqueCount="48">
  <si>
    <t>TEL:</t>
  </si>
  <si>
    <t>Ngày :</t>
  </si>
  <si>
    <t>SL</t>
  </si>
  <si>
    <t>Kính gửi:</t>
  </si>
  <si>
    <t>Chủ đề</t>
  </si>
  <si>
    <t>CÁC ĐIỀU KHOẢN THƯƠNG MẠI</t>
  </si>
  <si>
    <t>Web: http://www.innotel.com.vn</t>
  </si>
  <si>
    <t>Xác nhận đặt hàng</t>
  </si>
  <si>
    <t>Thành tiền
(vnđ)</t>
  </si>
  <si>
    <r>
      <t xml:space="preserve">THUAN PHONG INNOVATIVE TELECOMMUNICATION CO., LTD.
</t>
    </r>
    <r>
      <rPr>
        <sz val="11"/>
        <rFont val="Times New Roman"/>
        <family val="1"/>
      </rPr>
      <t>Website: http://www.innotel.com.vn            Email: sales@innotel.com.vn
Tel: (84 8) 38621119.                      Fax: (84 8) 38630366.
55/31 Tran Dinh Xu, Cau Kho Ward, Distric 1, HCMC, Vietnam</t>
    </r>
  </si>
  <si>
    <t>Nhân viên kinh doanh</t>
  </si>
  <si>
    <t>Địa chỉ:</t>
  </si>
  <si>
    <t>MST:</t>
  </si>
  <si>
    <t>FAX</t>
  </si>
  <si>
    <t>Trần Vương Nhật</t>
  </si>
  <si>
    <t>Đơn giá chưa vat
(vnđ)</t>
  </si>
  <si>
    <t>TỔNG CHƯA VAT</t>
  </si>
  <si>
    <t>Bảo hành</t>
  </si>
  <si>
    <t>TỔNG ĐÃ VAT</t>
  </si>
  <si>
    <t>Email: nhat@innotel.com.vn</t>
  </si>
  <si>
    <t>Mob: 0911418220</t>
  </si>
  <si>
    <t xml:space="preserve">6. Thanh toán bằng chuyển khoản hoặc tiền mặt
Công ty TNHH Viễn thông sáng tạo Thuận Phong 
Số tài khoản: 17058209 tại ngân hàng ACB Hồ Chí Minh </t>
  </si>
  <si>
    <t>Đại diện mua hàng:</t>
  </si>
  <si>
    <t>Trần Vương Nhật                            Chức Danh: Nhân viên kinh doanh</t>
  </si>
  <si>
    <t>Người bán</t>
  </si>
  <si>
    <t>Chức vụ</t>
  </si>
  <si>
    <t>VAT 10%</t>
  </si>
  <si>
    <t>STT</t>
  </si>
  <si>
    <t>Mã Hàng</t>
  </si>
  <si>
    <t>Mô Tả</t>
  </si>
  <si>
    <t>PO ĐẶT HÀNG
FISDT24-37711BDS-P2/PO/INNOTEL/0310</t>
  </si>
  <si>
    <t xml:space="preserve">CHI NHÁNH CÔNG TY TNHH FPT IS TẠI THÀNH PHỐ HỒ CHÍ MINH </t>
  </si>
  <si>
    <t xml:space="preserve">Lô B3, Đường Sáng Tạo, Khu E – Office, Khu Chế Xuất Tân Thuận, Phường Tân Thuận Đông, Quận 7, Thành phố Hồ Chí Minh </t>
  </si>
  <si>
    <t xml:space="preserve">0104128565-001 </t>
  </si>
  <si>
    <t>08-39309229</t>
  </si>
  <si>
    <t>08-62998300</t>
  </si>
  <si>
    <t>Ông Nguyễn Khoa</t>
  </si>
  <si>
    <t>Trưởng Phòng Dối Tác  Số 06</t>
  </si>
  <si>
    <t>Module quang</t>
  </si>
  <si>
    <t>GLC-SX-MMD=</t>
  </si>
  <si>
    <t>1 năm</t>
  </si>
  <si>
    <t>Dây nhảy quang Multimode OM3 3m SC-LC duplex ( hãng KCO)</t>
  </si>
  <si>
    <t>5. Địa chỉ bảo hành: Tại 55/31 Trần Đình Xu, Q1</t>
  </si>
  <si>
    <t>1. Thời gian giao hàng trong vòng 1-2 ngày kể từ ngày xác nhận đặt hàng</t>
  </si>
  <si>
    <t xml:space="preserve">2. Địa chỉ giao hàng: : Tầng 5, 261-263 Phan Xích Long, P2. Q.Phú Nhuận, TPHCM </t>
  </si>
  <si>
    <t xml:space="preserve">3. Người nhận hàng: Anh Hoàng Kim Sáng         SĐT: 0933.755.969
                                     </t>
  </si>
  <si>
    <t>Mô đun Cisco 1000BASE-SX SFP transceiver module, MMF, 850nm, DOM, GLC-SX-MMD=</t>
  </si>
  <si>
    <t>4. Thanh toán: Trong vòng 30 ngày kể từ ngày nhận hàng và hóa đơn 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</si>
</sst>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mmm\-yy;@"/>
    <numFmt numFmtId="166" formatCode="_-* #,##0\ _₫_-;\-* #,##0\ _₫_-;_-* &quot;-&quot;??\ _₫_-;_-@_-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  <font>
      <sz val="9"/>
      <color indexed="8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</fills>
  <borders count="2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9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2" fillId="0" borderId="0"/>
    <xf numFmtId="0" fontId="2" fillId="0" borderId="0"/>
  </cellStyleXfs>
  <cellXfs count="78">
    <xf numFmtId="0" fontId="0" fillId="0" borderId="0" xfId="0"/>
    <xf numFmtId="0" fontId="4" fillId="0" borderId="3" xfId="0" applyFont="1" applyBorder="1" applyAlignment="1">
      <alignment vertical="center" wrapText="1"/>
    </xf>
    <xf numFmtId="0" fontId="4" fillId="0" borderId="4" xfId="0" applyFont="1" applyBorder="1"/>
    <xf numFmtId="0" fontId="4" fillId="0" borderId="1" xfId="0" applyFont="1" applyBorder="1"/>
    <xf numFmtId="0" fontId="3" fillId="2" borderId="3" xfId="0" applyFont="1" applyFill="1" applyBorder="1" applyAlignment="1">
      <alignment horizontal="center" vertical="center" wrapText="1"/>
    </xf>
    <xf numFmtId="164" fontId="3" fillId="2" borderId="3" xfId="1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vertical="center"/>
    </xf>
    <xf numFmtId="0" fontId="5" fillId="0" borderId="5" xfId="0" applyFont="1" applyBorder="1"/>
    <xf numFmtId="0" fontId="4" fillId="0" borderId="5" xfId="0" applyFont="1" applyBorder="1"/>
    <xf numFmtId="164" fontId="4" fillId="0" borderId="5" xfId="1" applyNumberFormat="1" applyFont="1" applyBorder="1"/>
    <xf numFmtId="164" fontId="4" fillId="0" borderId="1" xfId="1" applyNumberFormat="1" applyFont="1" applyBorder="1"/>
    <xf numFmtId="0" fontId="4" fillId="0" borderId="0" xfId="0" applyFont="1" applyAlignment="1">
      <alignment horizontal="left"/>
    </xf>
    <xf numFmtId="0" fontId="3" fillId="0" borderId="1" xfId="0" applyFont="1" applyBorder="1"/>
    <xf numFmtId="164" fontId="6" fillId="0" borderId="1" xfId="1" applyNumberFormat="1" applyFont="1" applyBorder="1"/>
    <xf numFmtId="0" fontId="3" fillId="0" borderId="2" xfId="0" applyFont="1" applyBorder="1"/>
    <xf numFmtId="0" fontId="4" fillId="0" borderId="2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center"/>
    </xf>
    <xf numFmtId="0" fontId="3" fillId="0" borderId="5" xfId="0" applyFont="1" applyBorder="1"/>
    <xf numFmtId="0" fontId="3" fillId="0" borderId="0" xfId="0" applyFont="1"/>
    <xf numFmtId="166" fontId="3" fillId="0" borderId="3" xfId="1" applyNumberFormat="1" applyFont="1" applyFill="1" applyBorder="1" applyAlignment="1">
      <alignment vertical="center"/>
    </xf>
    <xf numFmtId="164" fontId="5" fillId="0" borderId="1" xfId="1" applyNumberFormat="1" applyFont="1" applyBorder="1"/>
    <xf numFmtId="0" fontId="3" fillId="2" borderId="19" xfId="0" applyFont="1" applyFill="1" applyBorder="1" applyAlignment="1">
      <alignment vertical="center" wrapText="1"/>
    </xf>
    <xf numFmtId="0" fontId="8" fillId="0" borderId="3" xfId="0" applyFont="1" applyBorder="1" applyAlignment="1">
      <alignment horizontal="left" vertical="top" wrapText="1"/>
    </xf>
    <xf numFmtId="1" fontId="8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/>
    </xf>
    <xf numFmtId="164" fontId="7" fillId="0" borderId="3" xfId="1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164" fontId="7" fillId="0" borderId="3" xfId="1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4" fillId="0" borderId="13" xfId="0" applyFont="1" applyBorder="1"/>
    <xf numFmtId="0" fontId="4" fillId="0" borderId="14" xfId="0" applyFont="1" applyBorder="1"/>
    <xf numFmtId="0" fontId="4" fillId="0" borderId="7" xfId="0" applyFont="1" applyBorder="1"/>
    <xf numFmtId="0" fontId="4" fillId="0" borderId="0" xfId="0" applyFont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8" xfId="0" quotePrefix="1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164" fontId="3" fillId="0" borderId="23" xfId="1" applyNumberFormat="1" applyFont="1" applyBorder="1" applyAlignment="1">
      <alignment horizontal="center" wrapText="1"/>
    </xf>
    <xf numFmtId="164" fontId="3" fillId="0" borderId="4" xfId="1" applyNumberFormat="1" applyFont="1" applyBorder="1" applyAlignment="1">
      <alignment horizontal="center" wrapText="1"/>
    </xf>
    <xf numFmtId="15" fontId="4" fillId="0" borderId="8" xfId="0" quotePrefix="1" applyNumberFormat="1" applyFont="1" applyBorder="1" applyAlignment="1">
      <alignment horizontal="left" vertical="center" wrapText="1"/>
    </xf>
    <xf numFmtId="15" fontId="4" fillId="0" borderId="9" xfId="0" quotePrefix="1" applyNumberFormat="1" applyFont="1" applyBorder="1" applyAlignment="1">
      <alignment horizontal="left" vertical="center" wrapText="1"/>
    </xf>
    <xf numFmtId="15" fontId="4" fillId="0" borderId="19" xfId="0" quotePrefix="1" applyNumberFormat="1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23" xfId="0" applyFont="1" applyBorder="1" applyAlignment="1">
      <alignment horizontal="left" wrapText="1"/>
    </xf>
    <xf numFmtId="0" fontId="4" fillId="0" borderId="24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2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24" xfId="0" applyFont="1" applyBorder="1" applyAlignment="1">
      <alignment horizontal="left" vertical="top" wrapText="1"/>
    </xf>
  </cellXfs>
  <cellStyles count="5">
    <cellStyle name="Comma" xfId="1" builtinId="3"/>
    <cellStyle name="Normal" xfId="0" builtinId="0"/>
    <cellStyle name="Normal - Style1 2" xfId="4" xr:uid="{00000000-0005-0000-0000-000002000000}"/>
    <cellStyle name="Normal 2" xfId="2" xr:uid="{00000000-0005-0000-0000-000003000000}"/>
    <cellStyle name="Normal 4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1</xdr:col>
      <xdr:colOff>1187295</xdr:colOff>
      <xdr:row>3</xdr:row>
      <xdr:rowOff>167640</xdr:rowOff>
    </xdr:to>
    <xdr:pic>
      <xdr:nvPicPr>
        <xdr:cNvPr id="2533" name="Picture 28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8100"/>
          <a:ext cx="1447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A7" zoomScaleNormal="100" workbookViewId="0">
      <selection activeCell="B23" sqref="B23:G23"/>
    </sheetView>
  </sheetViews>
  <sheetFormatPr defaultColWidth="9.140625" defaultRowHeight="15" x14ac:dyDescent="0.25"/>
  <cols>
    <col min="1" max="1" width="5" style="13" bestFit="1" customWidth="1"/>
    <col min="2" max="2" width="18" style="3" customWidth="1"/>
    <col min="3" max="3" width="30.28515625" style="3" customWidth="1"/>
    <col min="4" max="4" width="4" style="3" customWidth="1"/>
    <col min="5" max="5" width="10.28515625" style="11" customWidth="1"/>
    <col min="6" max="6" width="13.85546875" style="11" bestFit="1" customWidth="1"/>
    <col min="7" max="7" width="17.42578125" style="11" customWidth="1"/>
    <col min="8" max="8" width="11" style="3" bestFit="1" customWidth="1"/>
    <col min="9" max="16384" width="9.140625" style="3"/>
  </cols>
  <sheetData>
    <row r="1" spans="1:8" ht="12.75" customHeight="1" x14ac:dyDescent="0.25">
      <c r="C1" s="36" t="s">
        <v>9</v>
      </c>
      <c r="D1" s="37"/>
      <c r="E1" s="37"/>
      <c r="F1" s="37"/>
      <c r="G1" s="38"/>
    </row>
    <row r="2" spans="1:8" ht="12.75" customHeight="1" x14ac:dyDescent="0.25">
      <c r="C2" s="39"/>
      <c r="D2" s="40"/>
      <c r="E2" s="40"/>
      <c r="F2" s="40"/>
      <c r="G2" s="41"/>
    </row>
    <row r="3" spans="1:8" ht="12.75" customHeight="1" x14ac:dyDescent="0.25">
      <c r="C3" s="39"/>
      <c r="D3" s="40"/>
      <c r="E3" s="40"/>
      <c r="F3" s="40"/>
      <c r="G3" s="41"/>
    </row>
    <row r="4" spans="1:8" ht="24" customHeight="1" thickBot="1" x14ac:dyDescent="0.3">
      <c r="A4" s="15"/>
      <c r="B4" s="16"/>
      <c r="C4" s="42"/>
      <c r="D4" s="43"/>
      <c r="E4" s="43"/>
      <c r="F4" s="43"/>
      <c r="G4" s="44"/>
    </row>
    <row r="5" spans="1:8" ht="47.45" customHeight="1" thickTop="1" x14ac:dyDescent="0.25">
      <c r="A5" s="17"/>
      <c r="B5" s="45" t="s">
        <v>30</v>
      </c>
      <c r="C5" s="46"/>
      <c r="D5" s="46"/>
      <c r="E5" s="46"/>
      <c r="F5" s="46"/>
      <c r="G5" s="47"/>
    </row>
    <row r="6" spans="1:8" ht="19.5" customHeight="1" x14ac:dyDescent="0.25">
      <c r="A6" s="18"/>
      <c r="B6" s="1" t="s">
        <v>3</v>
      </c>
      <c r="C6" s="48" t="s">
        <v>31</v>
      </c>
      <c r="D6" s="49"/>
      <c r="E6" s="49"/>
      <c r="F6" s="49"/>
      <c r="G6" s="50"/>
      <c r="H6" s="2"/>
    </row>
    <row r="7" spans="1:8" x14ac:dyDescent="0.25">
      <c r="A7" s="18"/>
      <c r="B7" s="1" t="s">
        <v>22</v>
      </c>
      <c r="C7" s="1" t="s">
        <v>36</v>
      </c>
      <c r="D7" s="56" t="s">
        <v>25</v>
      </c>
      <c r="E7" s="57"/>
      <c r="F7" s="56" t="s">
        <v>37</v>
      </c>
      <c r="G7" s="57"/>
      <c r="H7" s="2"/>
    </row>
    <row r="8" spans="1:8" x14ac:dyDescent="0.25">
      <c r="A8" s="18"/>
      <c r="B8" s="1" t="s">
        <v>12</v>
      </c>
      <c r="C8" s="52" t="s">
        <v>33</v>
      </c>
      <c r="D8" s="53"/>
      <c r="E8" s="53"/>
      <c r="F8" s="53"/>
      <c r="G8" s="54"/>
      <c r="H8" s="2"/>
    </row>
    <row r="9" spans="1:8" ht="30.75" customHeight="1" x14ac:dyDescent="0.25">
      <c r="A9" s="18"/>
      <c r="B9" s="1" t="s">
        <v>11</v>
      </c>
      <c r="C9" s="55" t="s">
        <v>32</v>
      </c>
      <c r="D9" s="53"/>
      <c r="E9" s="53"/>
      <c r="F9" s="53"/>
      <c r="G9" s="54"/>
      <c r="H9" s="2"/>
    </row>
    <row r="10" spans="1:8" x14ac:dyDescent="0.25">
      <c r="A10" s="18"/>
      <c r="B10" s="1" t="s">
        <v>0</v>
      </c>
      <c r="C10" s="51" t="s">
        <v>35</v>
      </c>
      <c r="D10" s="51"/>
      <c r="E10" s="51"/>
      <c r="F10" s="51"/>
      <c r="G10" s="51"/>
      <c r="H10" s="2"/>
    </row>
    <row r="11" spans="1:8" x14ac:dyDescent="0.25">
      <c r="A11" s="18"/>
      <c r="B11" s="1" t="s">
        <v>13</v>
      </c>
      <c r="C11" s="55" t="s">
        <v>34</v>
      </c>
      <c r="D11" s="53"/>
      <c r="E11" s="53"/>
      <c r="F11" s="53"/>
      <c r="G11" s="54"/>
      <c r="H11" s="2"/>
    </row>
    <row r="12" spans="1:8" ht="16.5" customHeight="1" x14ac:dyDescent="0.25">
      <c r="A12" s="18"/>
      <c r="B12" s="1" t="s">
        <v>24</v>
      </c>
      <c r="C12" s="51" t="s">
        <v>23</v>
      </c>
      <c r="D12" s="51"/>
      <c r="E12" s="51"/>
      <c r="F12" s="51"/>
      <c r="G12" s="51"/>
      <c r="H12" s="2"/>
    </row>
    <row r="13" spans="1:8" ht="15" customHeight="1" x14ac:dyDescent="0.25">
      <c r="A13" s="18"/>
      <c r="B13" s="1" t="s">
        <v>1</v>
      </c>
      <c r="C13" s="60">
        <f ca="1">TODAY()</f>
        <v>45572</v>
      </c>
      <c r="D13" s="61"/>
      <c r="E13" s="61"/>
      <c r="F13" s="61"/>
      <c r="G13" s="62"/>
      <c r="H13" s="2"/>
    </row>
    <row r="14" spans="1:8" ht="30" customHeight="1" x14ac:dyDescent="0.25">
      <c r="A14" s="18"/>
      <c r="B14" s="1" t="s">
        <v>4</v>
      </c>
      <c r="C14" s="63" t="s">
        <v>38</v>
      </c>
      <c r="D14" s="64"/>
      <c r="E14" s="64"/>
      <c r="F14" s="64"/>
      <c r="G14" s="65"/>
      <c r="H14" s="2"/>
    </row>
    <row r="15" spans="1:8" ht="15" customHeight="1" x14ac:dyDescent="0.25">
      <c r="A15" s="19"/>
      <c r="B15" s="74"/>
      <c r="C15" s="75"/>
      <c r="D15" s="75"/>
      <c r="E15" s="75"/>
      <c r="F15" s="75"/>
      <c r="G15" s="76"/>
    </row>
    <row r="16" spans="1:8" s="20" customFormat="1" ht="44.25" customHeight="1" x14ac:dyDescent="0.2">
      <c r="A16" s="4" t="s">
        <v>27</v>
      </c>
      <c r="B16" s="33" t="s">
        <v>28</v>
      </c>
      <c r="C16" s="26" t="s">
        <v>29</v>
      </c>
      <c r="D16" s="4" t="s">
        <v>2</v>
      </c>
      <c r="E16" s="4" t="s">
        <v>17</v>
      </c>
      <c r="F16" s="5" t="s">
        <v>15</v>
      </c>
      <c r="G16" s="5" t="s">
        <v>8</v>
      </c>
      <c r="H16" s="6"/>
    </row>
    <row r="17" spans="1:8" s="21" customFormat="1" ht="36" x14ac:dyDescent="0.2">
      <c r="A17" s="30">
        <v>1</v>
      </c>
      <c r="B17" s="34" t="s">
        <v>39</v>
      </c>
      <c r="C17" s="34" t="s">
        <v>46</v>
      </c>
      <c r="D17" s="28">
        <v>2</v>
      </c>
      <c r="E17" s="29" t="s">
        <v>40</v>
      </c>
      <c r="F17" s="35">
        <v>3800000</v>
      </c>
      <c r="G17" s="32">
        <f>F17*D17</f>
        <v>7600000</v>
      </c>
      <c r="H17" s="7"/>
    </row>
    <row r="18" spans="1:8" s="21" customFormat="1" ht="24" x14ac:dyDescent="0.2">
      <c r="A18" s="30">
        <v>2</v>
      </c>
      <c r="B18" s="31"/>
      <c r="C18" s="27" t="s">
        <v>41</v>
      </c>
      <c r="D18" s="28">
        <v>4</v>
      </c>
      <c r="E18" s="29"/>
      <c r="F18" s="32">
        <v>85000</v>
      </c>
      <c r="G18" s="32">
        <f>F18*D18</f>
        <v>340000</v>
      </c>
      <c r="H18" s="7"/>
    </row>
    <row r="19" spans="1:8" s="21" customFormat="1" ht="15" customHeight="1" x14ac:dyDescent="0.2">
      <c r="A19" s="66" t="s">
        <v>16</v>
      </c>
      <c r="B19" s="67"/>
      <c r="C19" s="67"/>
      <c r="D19" s="67"/>
      <c r="E19" s="67"/>
      <c r="F19" s="68"/>
      <c r="G19" s="24">
        <f>SUM(G17:G18)</f>
        <v>7940000</v>
      </c>
      <c r="H19" s="7"/>
    </row>
    <row r="20" spans="1:8" s="21" customFormat="1" x14ac:dyDescent="0.2">
      <c r="A20" s="66" t="s">
        <v>26</v>
      </c>
      <c r="B20" s="67"/>
      <c r="C20" s="67"/>
      <c r="D20" s="67"/>
      <c r="E20" s="67"/>
      <c r="F20" s="68"/>
      <c r="G20" s="24">
        <f>G19*10%</f>
        <v>794000</v>
      </c>
      <c r="H20" s="7"/>
    </row>
    <row r="21" spans="1:8" s="21" customFormat="1" ht="22.5" customHeight="1" x14ac:dyDescent="0.2">
      <c r="A21" s="66" t="s">
        <v>18</v>
      </c>
      <c r="B21" s="67"/>
      <c r="C21" s="67"/>
      <c r="D21" s="67"/>
      <c r="E21" s="67"/>
      <c r="F21" s="68"/>
      <c r="G21" s="24">
        <f>G19+G20</f>
        <v>8734000</v>
      </c>
      <c r="H21" s="7"/>
    </row>
    <row r="22" spans="1:8" ht="24" customHeight="1" x14ac:dyDescent="0.25">
      <c r="A22" s="22"/>
      <c r="B22" s="8" t="s">
        <v>5</v>
      </c>
      <c r="C22" s="9"/>
      <c r="D22" s="9"/>
      <c r="E22" s="10"/>
      <c r="F22" s="10"/>
      <c r="G22" s="10"/>
    </row>
    <row r="23" spans="1:8" ht="29.25" customHeight="1" x14ac:dyDescent="0.25">
      <c r="B23" s="69" t="s">
        <v>43</v>
      </c>
      <c r="C23" s="70"/>
      <c r="D23" s="70"/>
      <c r="E23" s="70"/>
      <c r="F23" s="70"/>
      <c r="G23" s="71"/>
    </row>
    <row r="24" spans="1:8" x14ac:dyDescent="0.25">
      <c r="B24" s="3" t="s">
        <v>44</v>
      </c>
    </row>
    <row r="25" spans="1:8" x14ac:dyDescent="0.25">
      <c r="B25" s="72" t="s">
        <v>45</v>
      </c>
      <c r="C25" s="77"/>
      <c r="D25" s="77"/>
      <c r="E25" s="77"/>
      <c r="F25" s="77"/>
      <c r="G25" s="73"/>
    </row>
    <row r="26" spans="1:8" x14ac:dyDescent="0.25">
      <c r="B26" s="69" t="s">
        <v>47</v>
      </c>
      <c r="C26" s="70"/>
      <c r="D26" s="70"/>
      <c r="E26" s="70"/>
      <c r="F26" s="70"/>
      <c r="G26" s="71"/>
    </row>
    <row r="27" spans="1:8" x14ac:dyDescent="0.25">
      <c r="B27" s="3" t="s">
        <v>42</v>
      </c>
    </row>
    <row r="28" spans="1:8" ht="51.75" customHeight="1" x14ac:dyDescent="0.25">
      <c r="B28" s="72" t="s">
        <v>21</v>
      </c>
      <c r="C28" s="73"/>
    </row>
    <row r="29" spans="1:8" ht="13.5" customHeight="1" x14ac:dyDescent="0.25">
      <c r="A29" s="23"/>
      <c r="B29" s="12"/>
    </row>
    <row r="30" spans="1:8" ht="13.5" customHeight="1" x14ac:dyDescent="0.25">
      <c r="B30" s="13" t="s">
        <v>14</v>
      </c>
      <c r="E30" s="25" t="s">
        <v>7</v>
      </c>
      <c r="F30" s="14"/>
    </row>
    <row r="31" spans="1:8" ht="13.5" customHeight="1" x14ac:dyDescent="0.25">
      <c r="B31" s="13" t="s">
        <v>10</v>
      </c>
    </row>
    <row r="32" spans="1:8" ht="13.5" customHeight="1" x14ac:dyDescent="0.25"/>
    <row r="33" spans="2:6" ht="13.5" customHeight="1" x14ac:dyDescent="0.25">
      <c r="C33" s="13"/>
    </row>
    <row r="34" spans="2:6" x14ac:dyDescent="0.25">
      <c r="C34" s="13"/>
    </row>
    <row r="35" spans="2:6" ht="13.5" customHeight="1" x14ac:dyDescent="0.25">
      <c r="B35" s="13" t="s">
        <v>20</v>
      </c>
      <c r="C35" s="13"/>
    </row>
    <row r="36" spans="2:6" x14ac:dyDescent="0.25">
      <c r="B36" s="13" t="s">
        <v>19</v>
      </c>
      <c r="C36" s="13"/>
      <c r="E36" s="58"/>
      <c r="F36" s="59"/>
    </row>
    <row r="37" spans="2:6" x14ac:dyDescent="0.25">
      <c r="B37" s="13" t="s">
        <v>6</v>
      </c>
    </row>
  </sheetData>
  <mergeCells count="21">
    <mergeCell ref="E36:F36"/>
    <mergeCell ref="C13:G13"/>
    <mergeCell ref="C14:G14"/>
    <mergeCell ref="A21:F21"/>
    <mergeCell ref="B26:G26"/>
    <mergeCell ref="B28:C28"/>
    <mergeCell ref="B15:G15"/>
    <mergeCell ref="A19:F19"/>
    <mergeCell ref="B25:G25"/>
    <mergeCell ref="B23:G23"/>
    <mergeCell ref="A20:F20"/>
    <mergeCell ref="C1:G4"/>
    <mergeCell ref="B5:G5"/>
    <mergeCell ref="C6:G6"/>
    <mergeCell ref="C10:G10"/>
    <mergeCell ref="C12:G12"/>
    <mergeCell ref="C8:G8"/>
    <mergeCell ref="C9:G9"/>
    <mergeCell ref="D7:E7"/>
    <mergeCell ref="F7:G7"/>
    <mergeCell ref="C11:G11"/>
  </mergeCells>
  <phoneticPr fontId="0" type="noConversion"/>
  <pageMargins left="0" right="0" top="0" bottom="0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innotel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hai</dc:creator>
  <cp:lastModifiedBy>Trần Vương Nhật</cp:lastModifiedBy>
  <cp:lastPrinted>2024-09-21T05:04:58Z</cp:lastPrinted>
  <dcterms:created xsi:type="dcterms:W3CDTF">2001-06-27T18:38:16Z</dcterms:created>
  <dcterms:modified xsi:type="dcterms:W3CDTF">2024-10-07T02:10:59Z</dcterms:modified>
</cp:coreProperties>
</file>