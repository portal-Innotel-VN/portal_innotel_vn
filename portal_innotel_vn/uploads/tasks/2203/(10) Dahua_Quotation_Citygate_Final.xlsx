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8BEA6DA8-65E6-264F-B243-2A24EDBD601F}" xr6:coauthVersionLast="47" xr6:coauthVersionMax="47" xr10:uidLastSave="{00000000-0000-0000-0000-000000000000}"/>
  <bookViews>
    <workbookView xWindow="4420" yWindow="780" windowWidth="32280" windowHeight="25080" xr2:uid="{00000000-000D-0000-FFFF-FFFF00000000}"/>
  </bookViews>
  <sheets>
    <sheet name="S1" sheetId="20" r:id="rId1"/>
  </sheets>
  <definedNames>
    <definedName name="_xlnm.Print_Area" localSheetId="0">'S1'!$A$1:$M$86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9" i="20" l="1"/>
  <c r="M59" i="20" s="1"/>
  <c r="K56" i="20"/>
  <c r="M56" i="20" s="1"/>
  <c r="K57" i="20"/>
  <c r="M57" i="20" s="1"/>
  <c r="K58" i="20"/>
  <c r="M58" i="20" s="1"/>
  <c r="K15" i="20"/>
  <c r="M15" i="20" s="1"/>
  <c r="K55" i="20"/>
  <c r="M55" i="20" s="1"/>
  <c r="K61" i="20"/>
  <c r="M61" i="20" s="1"/>
  <c r="K48" i="20"/>
  <c r="M48" i="20" s="1"/>
  <c r="K47" i="20"/>
  <c r="M47" i="20" s="1"/>
  <c r="K39" i="20"/>
  <c r="M39" i="20" s="1"/>
  <c r="K38" i="20"/>
  <c r="M38" i="20" s="1"/>
  <c r="K31" i="20"/>
  <c r="M31" i="20" s="1"/>
  <c r="K30" i="20"/>
  <c r="M30" i="20" s="1"/>
  <c r="K53" i="20"/>
  <c r="M53" i="20" s="1"/>
  <c r="K50" i="20"/>
  <c r="M50" i="20" s="1"/>
  <c r="K41" i="20"/>
  <c r="M41" i="20" s="1"/>
  <c r="K24" i="20"/>
  <c r="M24" i="20" s="1"/>
  <c r="K21" i="20"/>
  <c r="M21" i="20" s="1"/>
  <c r="K62" i="20"/>
  <c r="M62" i="20" s="1"/>
  <c r="K51" i="20"/>
  <c r="M51" i="20" s="1"/>
  <c r="K52" i="20"/>
  <c r="M52" i="20" s="1"/>
  <c r="K22" i="20"/>
  <c r="M22" i="20" s="1"/>
  <c r="K23" i="20"/>
  <c r="M23" i="20" s="1"/>
  <c r="K25" i="20"/>
  <c r="M25" i="20" s="1"/>
  <c r="K26" i="20"/>
  <c r="M26" i="20" s="1"/>
  <c r="K27" i="20"/>
  <c r="M27" i="20" s="1"/>
  <c r="K28" i="20"/>
  <c r="M28" i="20" s="1"/>
  <c r="K29" i="20"/>
  <c r="M29" i="20" s="1"/>
  <c r="K32" i="20"/>
  <c r="M32" i="20" s="1"/>
  <c r="K33" i="20"/>
  <c r="M33" i="20" s="1"/>
  <c r="K34" i="20"/>
  <c r="K35" i="20"/>
  <c r="M35" i="20" s="1"/>
  <c r="K36" i="20"/>
  <c r="M36" i="20" s="1"/>
  <c r="K37" i="20"/>
  <c r="M37" i="20" s="1"/>
  <c r="K40" i="20"/>
  <c r="M40" i="20" s="1"/>
  <c r="K42" i="20"/>
  <c r="M42" i="20" s="1"/>
  <c r="K43" i="20"/>
  <c r="M43" i="20" s="1"/>
  <c r="K44" i="20"/>
  <c r="M44" i="20" s="1"/>
  <c r="K45" i="20"/>
  <c r="M45" i="20" s="1"/>
  <c r="K46" i="20"/>
  <c r="M46" i="20" s="1"/>
  <c r="K49" i="20"/>
  <c r="M49" i="20" s="1"/>
  <c r="K12" i="20"/>
  <c r="M12" i="20" s="1"/>
  <c r="K13" i="20"/>
  <c r="M13" i="20" s="1"/>
  <c r="K14" i="20"/>
  <c r="M14" i="20" s="1"/>
  <c r="K16" i="20"/>
  <c r="M16" i="20" s="1"/>
  <c r="K17" i="20"/>
  <c r="M17" i="20" s="1"/>
  <c r="K18" i="20"/>
  <c r="M18" i="20" s="1"/>
  <c r="K19" i="20"/>
  <c r="M19" i="20" s="1"/>
  <c r="K20" i="20"/>
  <c r="M20" i="20" s="1"/>
  <c r="K11" i="20"/>
  <c r="M11" i="20" s="1"/>
  <c r="M5" i="20"/>
  <c r="M4" i="20" s="1"/>
  <c r="K63" i="20" l="1"/>
  <c r="M34" i="20"/>
  <c r="M63" i="20" s="1"/>
</calcChain>
</file>

<file path=xl/sharedStrings.xml><?xml version="1.0" encoding="utf-8"?>
<sst xmlns="http://schemas.openxmlformats.org/spreadsheetml/2006/main" count="375" uniqueCount="146">
  <si>
    <t>VAT</t>
  </si>
  <si>
    <t>No.</t>
  </si>
  <si>
    <t xml:space="preserve">   Yours sincerely,</t>
  </si>
  <si>
    <t>TOTAL (VND)</t>
  </si>
  <si>
    <t>VND Account: 17058209 (VND)</t>
  </si>
  <si>
    <r>
      <t xml:space="preserve">Benificiary: </t>
    </r>
    <r>
      <rPr>
        <b/>
        <i/>
        <sz val="10"/>
        <color theme="1"/>
        <rFont val="Times New Roman"/>
        <family val="1"/>
      </rPr>
      <t>CÔNG TY TNHH VIỄN THÔNG SÁNG TẠO THUẬN PHONG</t>
    </r>
  </si>
  <si>
    <r>
      <t xml:space="preserve">At: </t>
    </r>
    <r>
      <rPr>
        <b/>
        <i/>
        <sz val="10"/>
        <color theme="1"/>
        <rFont val="Times New Roman"/>
        <family val="1"/>
      </rPr>
      <t>Ngân hàng Thương Mại Cổ Phần Á Châu (ACB) - Chi nhánh Hồ Chí Minh</t>
    </r>
  </si>
  <si>
    <t>Service</t>
  </si>
  <si>
    <r>
      <rPr>
        <b/>
        <sz val="10"/>
        <color theme="1"/>
        <rFont val="Times New Roman"/>
        <family val="1"/>
      </rPr>
      <t xml:space="preserve">THUAN PHONG INNOVATIVE TELECOMMUNICATION CO., LTD.
</t>
    </r>
    <r>
      <rPr>
        <sz val="10"/>
        <color theme="1"/>
        <rFont val="Times New Roman"/>
        <family val="1"/>
      </rPr>
      <t>Head Office: 55/31 Tran Dinh Xu Street, Cau Ong Lanh Ward, Ho Chi Minh City
Branch office: No 52 Chua Ha St., Cau Giay Ward, Ha Noi City
Website: http://www.innotel.com.vn            Email: nguyen@innotel.com.vn
Tel: (84 028) 38621119.                      Fax: (84 028) 38630366.</t>
    </r>
  </si>
  <si>
    <t>Nguyễn Quốc Bin</t>
  </si>
  <si>
    <t>Mobile: 0966253105</t>
  </si>
  <si>
    <t>1</t>
  </si>
  <si>
    <t>Báo Giá</t>
  </si>
  <si>
    <t>Đơn Vị</t>
  </si>
  <si>
    <t>Giá (VNĐ)</t>
  </si>
  <si>
    <t>Giá một đơn vị (VNĐ)</t>
  </si>
  <si>
    <t>Số Lượng</t>
  </si>
  <si>
    <t>Miêu Tả</t>
  </si>
  <si>
    <t>Loại Sản Phẩm</t>
  </si>
  <si>
    <t>Sản Phẩm</t>
  </si>
  <si>
    <t>Tổng Giá (VNĐ)</t>
  </si>
  <si>
    <t>P.O</t>
  </si>
  <si>
    <t>Ngày báo giá</t>
  </si>
  <si>
    <t>Hết hạng báo giá</t>
  </si>
  <si>
    <t>Mệnh Giá</t>
  </si>
  <si>
    <t>VNĐ</t>
  </si>
  <si>
    <t>Đơn vị cung cấp: THUAN PHONG INNOVATIVE TELECOMMUNICATION CO., LTD.</t>
  </si>
  <si>
    <t>Các điều khoản và điều kiện được nêu dưới đây sẽ được áp dụng.</t>
  </si>
  <si>
    <t>Cảm ơn quý khách đã tin tưởng và hợp tác kinh doanh với chúng tôi trong dự án này. Chúng tôi hân hạnh gửi đến quý khách báo giá như sau:</t>
  </si>
  <si>
    <t>2</t>
  </si>
  <si>
    <t>Hardware</t>
  </si>
  <si>
    <t>Gigabit Multi-mode Media Converter</t>
  </si>
  <si>
    <t>3</t>
  </si>
  <si>
    <t>4</t>
  </si>
  <si>
    <t>5</t>
  </si>
  <si>
    <t xml:space="preserve">ODF 16FO </t>
  </si>
  <si>
    <t>License</t>
  </si>
  <si>
    <t>6</t>
  </si>
  <si>
    <t>7</t>
  </si>
  <si>
    <t>8</t>
  </si>
  <si>
    <t>9</t>
  </si>
  <si>
    <t>10</t>
  </si>
  <si>
    <t>TMC 20UD600</t>
  </si>
  <si>
    <t>Tủ mạng 20U Sâu D600 – TMC RACK 19</t>
  </si>
  <si>
    <t>Tủ</t>
  </si>
  <si>
    <t>ODF 4FO</t>
  </si>
  <si>
    <t>Hộp</t>
  </si>
  <si>
    <t>III - Tầng 2</t>
  </si>
  <si>
    <t>II - Tầng 3</t>
  </si>
  <si>
    <t>I - Phòng Máy Chủ</t>
  </si>
  <si>
    <t>IV - Tầng 1</t>
  </si>
  <si>
    <t xml:space="preserve">V - Wi-Fi </t>
  </si>
  <si>
    <t>11</t>
  </si>
  <si>
    <t>Cáp đấu nối sợi quang SC-LC đôi, 3m</t>
  </si>
  <si>
    <t>Sợi</t>
  </si>
  <si>
    <t>Thanh đấu nối patch pannel cat6 24 port</t>
  </si>
  <si>
    <t xml:space="preserve">APM commscope 760237040 </t>
  </si>
  <si>
    <t>APM 9-1375055-2</t>
  </si>
  <si>
    <t xml:space="preserve">nhân mạng cat 6-modular jack cat6 commscope </t>
  </si>
  <si>
    <t xml:space="preserve">Nhân mạng cat 6-modular jack cat6 commscope </t>
  </si>
  <si>
    <t xml:space="preserve">
- Trừ khi có thỏa thuận trước bằng văn bản, Innotel có quyền giao các sản phẩm đã được đặt hàng ngay khi các sản phẩm đó có sẵn tại Innotel</t>
  </si>
  <si>
    <t>Thông tin tài khoản:</t>
  </si>
  <si>
    <t>Điều khoản và Điều kiện:</t>
  </si>
  <si>
    <t>Thời gian đặt hàng:</t>
  </si>
  <si>
    <t>Bảo hành:</t>
  </si>
  <si>
    <t>Thanh toán:</t>
  </si>
  <si>
    <t>khay cố định gắng Rack 19” ( đầy đủ phụ kiện bao gồm dây nối quang SC/UPC)</t>
  </si>
  <si>
    <t>hộp đầy đủ PK, đã bao gồm dây nối SC/UPC)</t>
  </si>
  <si>
    <t>12</t>
  </si>
  <si>
    <t>Thanh Nguồn PDU 12 Cổng Universal</t>
  </si>
  <si>
    <t>Thanh nguồn PDU</t>
  </si>
  <si>
    <t>UPS AR630RT</t>
  </si>
  <si>
    <t>Triển khai và cấu hình</t>
  </si>
  <si>
    <t>Công</t>
  </si>
  <si>
    <t xml:space="preserve"> </t>
  </si>
  <si>
    <t>13</t>
  </si>
  <si>
    <t>Cáp đấu nối sợi quang SC-SC đôi, 3m</t>
  </si>
  <si>
    <t>Chủ đầu tư: ĐNBR</t>
  </si>
  <si>
    <t>Người nhận: Ms Quỳnh</t>
  </si>
  <si>
    <t>Converter 1Gbps</t>
  </si>
  <si>
    <t>Dây nhảy SC-LC</t>
  </si>
  <si>
    <t>Dây nhảy SC-SC</t>
  </si>
  <si>
    <t xml:space="preserve">Phương thức thanh toán: </t>
  </si>
  <si>
    <t>Thanh toán được thực hiện bằng Đồng Việt Nam (VND) qua Ngân hàng TMCP Ngoại thương VN</t>
  </si>
  <si>
    <t>14</t>
  </si>
  <si>
    <t>Tổng đài IP
UCM6300A</t>
  </si>
  <si>
    <t>GPR2602W</t>
  </si>
  <si>
    <t>Tên điện thoại: Điện thoại IP WIFI Grandstream GRP2602WĐiện thoại IP WIFI Grandstream GRP2602W
Mã điện thoại: Grandstream GRP2602W
Hãng sản xuất: Grandstream - USA
Xuất xứ: China / Malaysia
4 tài khoản Sip, 2 cổng mạng 10/100, tích hợp wifi 2.4/5Ghz kết nối không dây
Màn hình LCD 2,21" đèn nền ban đêm, jack cắm tai nghe, danh bạ 2000 số tự động đồng bộ toàn công ty, 800 lịch sử cuộc gọi, 
Hỗ trợ quản lý qua cloud từ smartphone và PC
Âm thanh chuẩn HD</t>
  </si>
  <si>
    <t>Tông đ ài IP UCM6300A
- 250 user, 50 cuộc gọi đồng thời
- Kết nố i SIPtrunk/IMS với các
nhà mạng qua cáp
quang
- Hỗ trợ làm việc t ừ xa qua cloud
internet 10 máy lẻ v à
2 cuộc gọi đồng thời qua
app/web/phần mềm
- Thoại hội nghị audio 5 0 bên
Màn hình LCD hiển thị thông
tổng đài
- 3 cổng mạng Gigabit (PoE), 1
công USB, Khe SD
- Hỗ trợ kết nối cloud t ừ x a
- Full tinh năng: Hiển thị số, lời
chào tự động, ghi â m
cuộc gọi...
- H ỗ trợ HA (Redundant) chạy
backup tổng đài tự động
khi 1 tổng đài lỗi
- CPU 4 core, 1G Ram, 32G flash
- Lắp đặt: Treo tường hoặc để
bàn
Hãng: Grandstream (USA);</t>
  </si>
  <si>
    <t>AR630RT
BỘ LƯU ĐIỆN UPS AR630RT DẠNG RACK
Công suất: 3000VA/2400W
Sóng sine chuẩn. Hệ số công suất 0.8.
Cổng kết nối điện ra: 5 ổ cắm Universal + 1 ổ cắm C14
Ắc quy: 4x12V/9AH
Chức năng quản lý ắc-quy thông minh.
Tự khởi động lại khi có điện lưới.
Cho phép tắt/mở thiết bị thông qua phần mềm cài đặt trên máy tính.
Kích thước (RxDxC): 440x410x132mm (3U), Thời hạn bảo hành: 24 tháng (ắc quy bảo hành 12 tháng )</t>
  </si>
  <si>
    <t>TMC 27UD1000</t>
  </si>
  <si>
    <t>Tủ mạng 27U Sâu D1000 – TMC RACK 19</t>
  </si>
  <si>
    <t>UPS AR610RT DẠNG RACK</t>
  </si>
  <si>
    <t>Ổ cắm 62228046</t>
  </si>
  <si>
    <t>Ổ cắm Điện Quang ECO ĐQ ESK 63ECO ( 6 Lỗ 3 chấu )</t>
  </si>
  <si>
    <t>Công suất: 1000VA/800W
Sóng sine chuẩn. Hệ số công suất 0.8.
Thời gian chuyển mạch: ≤ 2 ~ 6ms (tối đa 10ms)
Cổng kết nối điện ra: 3 ổ cắm Universal + 1 ổ cắm C14
Ắc quy: 2x12V/7AH
Chức năng quản lý ắc-quy thông minh.
Tự khởi động lại khi có điện lưới.
Cho phép tắt/mở thiết bị thông qua phần mềm cài đặt trên máy tính.
Kích thước (RxDxC): 440x338x88mm (2U)</t>
  </si>
  <si>
    <t xml:space="preserve">Ugreen 60558 </t>
  </si>
  <si>
    <t>Túi</t>
  </si>
  <si>
    <t>Hạt mạng RJ45 Cat6/Cat6e 1 túi 100 Cái</t>
  </si>
  <si>
    <t>FG-60F-BDL-950-12</t>
  </si>
  <si>
    <t xml:space="preserve">FortiGate-60F Hardware plus 1 Year 24x7 FortiCare and FortiGuard Unified Threat Protection (UTP),  10 Gigabit Ethernet RJ45 Ports, Includes DMZ, WAN &amp; Internal Ports </t>
  </si>
  <si>
    <t>GLC-SX-MMD</t>
  </si>
  <si>
    <t>Cisco GLC-SX-MMD SFP Multi Mode MMF, 850-nm, DOM, 1000m transceiver</t>
  </si>
  <si>
    <t>TL-POE160S</t>
  </si>
  <si>
    <t>C1300-8T-E-2G</t>
  </si>
  <si>
    <t>Catalyst 1300 8-port GE, Ext PS, 2x1G Combo</t>
  </si>
  <si>
    <t>VI</t>
  </si>
  <si>
    <t>VII- Dịch vụ triển khai  &amp; Vật tư</t>
  </si>
  <si>
    <t>Phòng bảo vệ</t>
  </si>
  <si>
    <t>Thiết bị</t>
  </si>
  <si>
    <t>C1300-24T-4G</t>
  </si>
  <si>
    <t>C1200-24T-4G</t>
  </si>
  <si>
    <t>Catalyst 1200 24-port GE, 4x1G SFP</t>
  </si>
  <si>
    <t>C1200-48T-4G</t>
  </si>
  <si>
    <t>Catalyst 1200 48-port GE, 4x1G SFP</t>
  </si>
  <si>
    <t>Catalyst 1300 24-port GE, 4x1G SFP</t>
  </si>
  <si>
    <t>C1200-24P-4G</t>
  </si>
  <si>
    <t>- Chi phí vận chuyển đã bao gồm việc giao trọn bộ.</t>
  </si>
  <si>
    <t>- Đơn hàng chỉ được xác nhận và không thay đổi khi nhận được Đơn đặt hàng (Purchase Order)</t>
  </si>
  <si>
    <t>40% tổng giá trị hợp đồng sẽ được thanh toán bằng VND sau khi khách hàng xác nhận đơn hàng.</t>
  </si>
  <si>
    <t>60% tổng giá trị hợp đồng sẽ được thanh toán bằng VND trong vòng 15 ngày sau khi khách hàng nhận được hàng hóa, hoàn tất triển khai và nhận hóa đơn</t>
  </si>
  <si>
    <t>Nguồn PoE+ 1G TP-Link (Chuẩn quốc tế IEEE 802.3at)</t>
  </si>
  <si>
    <t>Catalyst 1200 24-port GE PoE, 4x1G SFP</t>
  </si>
  <si>
    <t>Triển khai trực tiếp cấu hình &amp; lắp đặt thiết bị vào vị trí</t>
  </si>
  <si>
    <t>Hàng hoá nhập: 1 – 4 tuần kể từ ngày khách hàng xác nhận đơn hàng theo Báo giá (Quotation)</t>
  </si>
  <si>
    <t>Thời hạn bảo hành và hỗ trợ kỹ thuật: 01 năm kể từ ngày ký biên bản bàn giao</t>
  </si>
  <si>
    <t>Thương Hiệu</t>
  </si>
  <si>
    <t>Commscope/Mỹ</t>
  </si>
  <si>
    <t>VN</t>
  </si>
  <si>
    <t>Điện Quang/VN</t>
  </si>
  <si>
    <t>TMC/ VN</t>
  </si>
  <si>
    <t>TP-Link/TQ</t>
  </si>
  <si>
    <t>Cisco/Mỹ</t>
  </si>
  <si>
    <t>Innotel</t>
  </si>
  <si>
    <t>UGreen/TQ</t>
  </si>
  <si>
    <t>Grandstream/Mỹ</t>
  </si>
  <si>
    <t>ARES/Đài Loan</t>
  </si>
  <si>
    <t>TQ</t>
  </si>
  <si>
    <t>Fortinet/Mỹ</t>
  </si>
  <si>
    <t>Xuất Sứ</t>
  </si>
  <si>
    <t>Trung Quốc</t>
  </si>
  <si>
    <t>Việt Nam</t>
  </si>
  <si>
    <t>15</t>
  </si>
  <si>
    <t xml:space="preserve">RG-RAP2260(G) </t>
  </si>
  <si>
    <t xml:space="preserve">RG-RAP2260 (G) Reyee Wi-Fi 6 1775Mbps - Clients 100+, Wi-Fi 6 </t>
  </si>
  <si>
    <t>RUIJIE/TQ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</si>
</sst>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quot;$&quot;#,##0_);\(&quot;$&quot;#,##0\)"/>
    <numFmt numFmtId="165" formatCode="_(&quot;$&quot;* #,##0.00_);_(&quot;$&quot;* \(#,##0.00\);_(&quot;$&quot;* &quot;-&quot;??_);_(@_)"/>
    <numFmt numFmtId="166" formatCode="&quot;True&quot;;&quot;True&quot;;&quot;False&quot;"/>
    <numFmt numFmtId="167" formatCode="_(* #,##0_);_(* \(#,##0\);_(* &quot;-&quot;??_);_(@_)"/>
    <numFmt numFmtId="168" formatCode="#,##0.000"/>
    <numFmt numFmtId="169" formatCode="#,##0.0"/>
    <numFmt numFmtId="170" formatCode="_(&quot;$&quot;* #,##0_);_(&quot;$&quot;* \(#,##0\);_(&quot;$&quot;* &quot;-&quot;??_);_(@_)"/>
  </numFmts>
  <fonts count="28">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sz val="9"/>
      <name val=".VnTime"/>
      <family val="2"/>
    </font>
    <font>
      <u/>
      <sz val="10"/>
      <color indexed="12"/>
      <name val="Arial"/>
      <family val="2"/>
    </font>
    <font>
      <sz val="10"/>
      <name val=".VnTime"/>
      <family val="2"/>
    </font>
    <font>
      <sz val="10"/>
      <name val="Arial"/>
      <family val="2"/>
      <charset val="163"/>
    </font>
    <font>
      <b/>
      <sz val="10"/>
      <name val="Times New Roman"/>
      <family val="1"/>
    </font>
    <font>
      <sz val="10"/>
      <name val="Times New Roman"/>
      <family val="1"/>
    </font>
    <font>
      <b/>
      <sz val="10"/>
      <color rgb="FFFF0000"/>
      <name val="Times New Roman"/>
      <family val="1"/>
    </font>
    <font>
      <sz val="10"/>
      <color theme="1"/>
      <name val="Times New Roman"/>
      <family val="1"/>
    </font>
    <font>
      <sz val="11"/>
      <color theme="1"/>
      <name val="Times New Roman"/>
      <family val="1"/>
    </font>
    <font>
      <b/>
      <i/>
      <sz val="10"/>
      <color theme="1"/>
      <name val="Times New Roman"/>
      <family val="1"/>
    </font>
    <font>
      <b/>
      <sz val="10"/>
      <color theme="1"/>
      <name val="Times New Roman"/>
      <family val="1"/>
    </font>
    <font>
      <i/>
      <sz val="10"/>
      <color theme="1"/>
      <name val="Times New Roman"/>
      <family val="1"/>
    </font>
    <font>
      <b/>
      <u/>
      <sz val="10"/>
      <color theme="1"/>
      <name val="Times New Roman"/>
      <family val="1"/>
    </font>
    <font>
      <b/>
      <sz val="22"/>
      <color theme="1"/>
      <name val="Times New Roman"/>
      <family val="1"/>
    </font>
    <font>
      <b/>
      <i/>
      <sz val="10"/>
      <color theme="1"/>
      <name val="Arial"/>
      <family val="2"/>
    </font>
    <font>
      <b/>
      <sz val="10"/>
      <color indexed="8"/>
      <name val="Times New Roman"/>
      <family val="1"/>
    </font>
    <font>
      <sz val="10"/>
      <color indexed="8"/>
      <name val="Times New Roman"/>
      <family val="1"/>
    </font>
    <font>
      <sz val="10"/>
      <color rgb="FF25343C"/>
      <name val="Times New Roman"/>
      <family val="1"/>
    </font>
    <font>
      <i/>
      <u/>
      <sz val="10"/>
      <color theme="1"/>
      <name val="Arial"/>
      <family val="2"/>
    </font>
    <font>
      <sz val="10"/>
      <color theme="1"/>
      <name val="Arial"/>
      <family val="2"/>
    </font>
    <font>
      <b/>
      <i/>
      <sz val="10"/>
      <color rgb="FFFF0000"/>
      <name val="Arial"/>
      <family val="2"/>
    </font>
    <font>
      <sz val="8"/>
      <name val="Calibri"/>
      <family val="2"/>
      <scheme val="minor"/>
    </font>
    <font>
      <sz val="10"/>
      <color rgb="FF081B3A"/>
      <name val="Times New Roman"/>
      <family val="1"/>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rgb="FFFFFF00"/>
        <bgColor indexed="64"/>
      </patternFill>
    </fill>
    <fill>
      <patternFill patternType="solid">
        <fgColor rgb="FF00B0F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 fillId="0" borderId="0"/>
    <xf numFmtId="0" fontId="4" fillId="0" borderId="0"/>
    <xf numFmtId="0" fontId="5" fillId="0" borderId="2">
      <alignment horizontal="left" vertical="center"/>
    </xf>
    <xf numFmtId="164" fontId="7" fillId="0" borderId="2">
      <alignment horizontal="left" vertical="top"/>
    </xf>
    <xf numFmtId="165" fontId="8" fillId="0" borderId="0" applyFont="0" applyFill="0" applyBorder="0" applyAlignment="0" applyProtection="0"/>
    <xf numFmtId="164" fontId="2" fillId="0" borderId="0" applyFill="0" applyBorder="0" applyAlignment="0" applyProtection="0"/>
    <xf numFmtId="0" fontId="4" fillId="0" borderId="0"/>
    <xf numFmtId="0" fontId="6" fillId="0" borderId="0" applyNumberFormat="0" applyFill="0" applyBorder="0" applyAlignment="0" applyProtection="0"/>
    <xf numFmtId="0" fontId="8" fillId="0" borderId="0"/>
    <xf numFmtId="9" fontId="2" fillId="0" borderId="0" applyFont="0" applyFill="0" applyBorder="0" applyAlignment="0" applyProtection="0"/>
    <xf numFmtId="168"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9" fontId="7" fillId="0" borderId="3">
      <alignment horizontal="left" vertical="top"/>
    </xf>
    <xf numFmtId="166" fontId="7" fillId="0" borderId="3">
      <alignment horizontal="left" vertical="top"/>
    </xf>
    <xf numFmtId="0" fontId="2" fillId="0" borderId="0"/>
    <xf numFmtId="9" fontId="2" fillId="0" borderId="0" applyFont="0" applyFill="0" applyBorder="0" applyAlignment="0" applyProtection="0"/>
    <xf numFmtId="165" fontId="1" fillId="0" borderId="0" applyFont="0" applyFill="0" applyBorder="0" applyAlignment="0" applyProtection="0"/>
  </cellStyleXfs>
  <cellXfs count="94">
    <xf numFmtId="0" fontId="0" fillId="0" borderId="0" xfId="0"/>
    <xf numFmtId="0" fontId="10" fillId="0" borderId="1" xfId="0" applyFont="1" applyBorder="1" applyAlignment="1">
      <alignment horizontal="center" vertical="center" wrapText="1"/>
    </xf>
    <xf numFmtId="0" fontId="10" fillId="0" borderId="1" xfId="3" applyFont="1" applyBorder="1" applyAlignment="1">
      <alignment horizontal="center" vertical="center" wrapText="1"/>
    </xf>
    <xf numFmtId="167" fontId="9" fillId="5" borderId="1" xfId="0" applyNumberFormat="1" applyFont="1" applyFill="1" applyBorder="1" applyAlignment="1">
      <alignment horizontal="center" vertical="center" wrapText="1"/>
    </xf>
    <xf numFmtId="0" fontId="12" fillId="3" borderId="0" xfId="0" applyFont="1" applyFill="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3" borderId="0" xfId="0" applyFont="1" applyFill="1" applyAlignment="1">
      <alignment vertical="center"/>
    </xf>
    <xf numFmtId="0" fontId="15" fillId="3" borderId="0" xfId="0" applyFont="1" applyFill="1" applyAlignment="1">
      <alignment vertical="center"/>
    </xf>
    <xf numFmtId="0" fontId="12" fillId="3" borderId="0" xfId="0" applyFont="1" applyFill="1" applyAlignment="1">
      <alignment horizontal="center" vertical="center"/>
    </xf>
    <xf numFmtId="0" fontId="16" fillId="3" borderId="0" xfId="0" applyFont="1" applyFill="1" applyAlignment="1">
      <alignment horizontal="center" vertical="center"/>
    </xf>
    <xf numFmtId="0" fontId="15" fillId="0" borderId="0" xfId="0" applyFont="1" applyAlignment="1">
      <alignment vertical="center"/>
    </xf>
    <xf numFmtId="0" fontId="12" fillId="0" borderId="0" xfId="0" applyFont="1" applyAlignment="1">
      <alignment vertical="center"/>
    </xf>
    <xf numFmtId="0" fontId="17" fillId="2" borderId="0" xfId="0" applyFont="1" applyFill="1" applyAlignment="1">
      <alignment vertical="center"/>
    </xf>
    <xf numFmtId="0" fontId="16" fillId="3" borderId="0" xfId="0" applyFont="1" applyFill="1" applyAlignment="1">
      <alignment vertical="center"/>
    </xf>
    <xf numFmtId="0" fontId="12" fillId="3" borderId="0" xfId="0" applyFont="1" applyFill="1" applyAlignment="1">
      <alignment horizontal="right" vertical="center"/>
    </xf>
    <xf numFmtId="0" fontId="11" fillId="3" borderId="0" xfId="0" applyFont="1" applyFill="1" applyAlignment="1">
      <alignment vertical="center"/>
    </xf>
    <xf numFmtId="0" fontId="15" fillId="3" borderId="0" xfId="0" applyFont="1" applyFill="1" applyAlignment="1">
      <alignment horizontal="center" vertical="center"/>
    </xf>
    <xf numFmtId="0" fontId="12" fillId="3" borderId="0" xfId="0" quotePrefix="1" applyFont="1" applyFill="1" applyAlignment="1">
      <alignment vertical="center" wrapText="1"/>
    </xf>
    <xf numFmtId="0" fontId="12" fillId="3" borderId="0" xfId="0" applyFont="1" applyFill="1" applyAlignment="1">
      <alignment vertical="center" wrapText="1"/>
    </xf>
    <xf numFmtId="0" fontId="12" fillId="3" borderId="0" xfId="0" applyFont="1" applyFill="1" applyAlignment="1">
      <alignment horizontal="center" vertical="center" wrapText="1"/>
    </xf>
    <xf numFmtId="0" fontId="13" fillId="3" borderId="0" xfId="0" applyFont="1" applyFill="1" applyAlignment="1">
      <alignment vertical="center" wrapText="1"/>
    </xf>
    <xf numFmtId="0" fontId="12" fillId="3" borderId="0" xfId="0" applyFont="1" applyFill="1" applyAlignment="1">
      <alignment horizontal="right" vertical="center" wrapText="1"/>
    </xf>
    <xf numFmtId="0" fontId="16" fillId="3" borderId="0" xfId="0" applyFont="1" applyFill="1" applyAlignment="1">
      <alignment horizontal="left" vertical="center"/>
    </xf>
    <xf numFmtId="0" fontId="10" fillId="4" borderId="0" xfId="19" applyFont="1" applyFill="1" applyAlignment="1">
      <alignment horizontal="left" vertical="center"/>
    </xf>
    <xf numFmtId="0" fontId="15" fillId="3" borderId="0" xfId="0" applyFont="1" applyFill="1" applyAlignment="1">
      <alignment horizontal="left" vertical="center"/>
    </xf>
    <xf numFmtId="0" fontId="10" fillId="3" borderId="0" xfId="19" applyFont="1" applyFill="1" applyAlignment="1">
      <alignment vertical="center"/>
    </xf>
    <xf numFmtId="0" fontId="15" fillId="3" borderId="0" xfId="0" applyFont="1" applyFill="1" applyAlignment="1">
      <alignment horizontal="right" vertical="center"/>
    </xf>
    <xf numFmtId="0" fontId="13" fillId="0" borderId="0" xfId="0" applyFont="1" applyAlignment="1">
      <alignment horizontal="right" vertical="center"/>
    </xf>
    <xf numFmtId="0" fontId="10" fillId="0" borderId="1" xfId="0" applyFont="1" applyBorder="1" applyAlignment="1">
      <alignment horizontal="left" vertical="center" wrapText="1"/>
    </xf>
    <xf numFmtId="49" fontId="10" fillId="0" borderId="1" xfId="0" applyNumberFormat="1" applyFont="1" applyBorder="1" applyAlignment="1">
      <alignment horizontal="center" vertical="center" wrapText="1"/>
    </xf>
    <xf numFmtId="0" fontId="10" fillId="3" borderId="0" xfId="0" applyFont="1" applyFill="1" applyAlignment="1">
      <alignment vertical="center"/>
    </xf>
    <xf numFmtId="1" fontId="14" fillId="0" borderId="0" xfId="6" applyNumberFormat="1" applyFont="1" applyBorder="1" applyAlignment="1">
      <alignment horizontal="right" vertical="center"/>
    </xf>
    <xf numFmtId="1" fontId="14" fillId="0" borderId="0" xfId="6" applyNumberFormat="1" applyFont="1" applyBorder="1" applyAlignment="1">
      <alignment horizontal="center"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67" fontId="9" fillId="3" borderId="1" xfId="1" applyNumberFormat="1" applyFont="1" applyFill="1" applyBorder="1" applyAlignment="1">
      <alignment vertical="center" wrapText="1"/>
    </xf>
    <xf numFmtId="9" fontId="9" fillId="3" borderId="1" xfId="2" applyFont="1" applyFill="1" applyBorder="1" applyAlignment="1">
      <alignment vertical="center" wrapText="1"/>
    </xf>
    <xf numFmtId="0" fontId="12" fillId="0" borderId="0" xfId="0" quotePrefix="1" applyFont="1" applyAlignment="1">
      <alignment horizontal="left"/>
    </xf>
    <xf numFmtId="0" fontId="12" fillId="2" borderId="0" xfId="0" quotePrefix="1" applyFont="1" applyFill="1" applyAlignment="1">
      <alignment horizontal="left" vertical="center"/>
    </xf>
    <xf numFmtId="0" fontId="12" fillId="3" borderId="0" xfId="0" quotePrefix="1" applyFont="1" applyFill="1" applyAlignment="1">
      <alignment horizontal="left" vertical="center"/>
    </xf>
    <xf numFmtId="9" fontId="9" fillId="5" borderId="1" xfId="21" applyNumberFormat="1" applyFont="1" applyFill="1" applyBorder="1" applyAlignment="1">
      <alignment horizontal="center" vertical="center" wrapText="1"/>
    </xf>
    <xf numFmtId="0" fontId="20" fillId="0" borderId="1" xfId="0" applyFont="1" applyBorder="1" applyAlignment="1">
      <alignment vertical="center" wrapText="1"/>
    </xf>
    <xf numFmtId="0" fontId="2" fillId="0" borderId="7" xfId="0" applyFont="1" applyBorder="1" applyAlignment="1">
      <alignment horizontal="center" vertical="center" wrapText="1"/>
    </xf>
    <xf numFmtId="0" fontId="23" fillId="3" borderId="0" xfId="0" applyFont="1" applyFill="1" applyAlignment="1">
      <alignment horizontal="left" vertical="center"/>
    </xf>
    <xf numFmtId="0" fontId="24" fillId="2" borderId="0" xfId="0" applyFont="1" applyFill="1" applyAlignment="1">
      <alignment horizontal="left" vertical="center"/>
    </xf>
    <xf numFmtId="0" fontId="24" fillId="2" borderId="0" xfId="0" applyFont="1" applyFill="1" applyAlignment="1">
      <alignment horizontal="right" vertical="center"/>
    </xf>
    <xf numFmtId="0" fontId="24" fillId="2" borderId="0" xfId="0" applyFont="1" applyFill="1" applyAlignment="1">
      <alignment vertical="center"/>
    </xf>
    <xf numFmtId="0" fontId="24" fillId="2" borderId="0" xfId="0" applyFont="1" applyFill="1" applyAlignment="1">
      <alignment horizontal="center" vertical="center"/>
    </xf>
    <xf numFmtId="170" fontId="25" fillId="2" borderId="0" xfId="21" applyNumberFormat="1" applyFont="1" applyFill="1" applyAlignment="1">
      <alignment horizontal="right" vertical="center" indent="3"/>
    </xf>
    <xf numFmtId="167" fontId="10" fillId="3" borderId="1" xfId="1" applyNumberFormat="1" applyFont="1" applyFill="1" applyBorder="1" applyAlignment="1">
      <alignment vertical="center" wrapText="1"/>
    </xf>
    <xf numFmtId="0" fontId="22" fillId="0" borderId="1" xfId="0" applyFont="1" applyBorder="1" applyAlignment="1">
      <alignment vertical="center" wrapText="1"/>
    </xf>
    <xf numFmtId="0" fontId="12" fillId="3" borderId="0" xfId="0" quotePrefix="1" applyFont="1" applyFill="1" applyAlignment="1">
      <alignment vertical="center"/>
    </xf>
    <xf numFmtId="49" fontId="15" fillId="5" borderId="1" xfId="0" applyNumberFormat="1" applyFont="1" applyFill="1" applyBorder="1" applyAlignment="1">
      <alignment vertical="center"/>
    </xf>
    <xf numFmtId="49" fontId="9" fillId="5" borderId="1" xfId="0" applyNumberFormat="1" applyFont="1" applyFill="1" applyBorder="1" applyAlignment="1">
      <alignment vertical="center"/>
    </xf>
    <xf numFmtId="49" fontId="9" fillId="5" borderId="1" xfId="0" applyNumberFormat="1" applyFont="1" applyFill="1" applyBorder="1" applyAlignment="1">
      <alignment vertical="center" wrapText="1"/>
    </xf>
    <xf numFmtId="167" fontId="9" fillId="5" borderId="1" xfId="1" applyNumberFormat="1" applyFont="1" applyFill="1" applyBorder="1" applyAlignment="1">
      <alignment vertical="center" wrapText="1"/>
    </xf>
    <xf numFmtId="0" fontId="15" fillId="6"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3" applyFont="1" applyFill="1" applyBorder="1" applyAlignment="1">
      <alignment horizontal="center" vertical="center" wrapText="1"/>
    </xf>
    <xf numFmtId="9" fontId="9" fillId="5" borderId="1" xfId="2" applyFont="1" applyFill="1" applyBorder="1" applyAlignment="1">
      <alignment vertical="center" wrapText="1"/>
    </xf>
    <xf numFmtId="49" fontId="9" fillId="5" borderId="1" xfId="0" applyNumberFormat="1" applyFont="1" applyFill="1" applyBorder="1" applyAlignment="1">
      <alignment horizontal="left" vertical="center"/>
    </xf>
    <xf numFmtId="0" fontId="21" fillId="0" borderId="1" xfId="0" applyFont="1" applyBorder="1" applyAlignment="1">
      <alignment horizontal="left" vertical="center" wrapText="1"/>
    </xf>
    <xf numFmtId="0" fontId="10" fillId="3" borderId="1" xfId="0" applyFont="1" applyFill="1" applyBorder="1" applyAlignment="1">
      <alignment horizontal="center" vertical="center" wrapText="1"/>
    </xf>
    <xf numFmtId="0" fontId="10" fillId="3" borderId="1" xfId="3" applyFont="1" applyFill="1" applyBorder="1" applyAlignment="1">
      <alignment horizontal="center" vertical="center" wrapText="1"/>
    </xf>
    <xf numFmtId="49" fontId="10" fillId="3" borderId="1" xfId="0" applyNumberFormat="1" applyFont="1" applyFill="1" applyBorder="1" applyAlignment="1">
      <alignment horizontal="center" vertical="center"/>
    </xf>
    <xf numFmtId="0" fontId="20" fillId="3"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167" fontId="10" fillId="5" borderId="1" xfId="1" applyNumberFormat="1" applyFont="1" applyFill="1" applyBorder="1" applyAlignment="1">
      <alignment vertical="center" wrapText="1"/>
    </xf>
    <xf numFmtId="49" fontId="9" fillId="5" borderId="1" xfId="0" applyNumberFormat="1" applyFont="1" applyFill="1" applyBorder="1" applyAlignment="1">
      <alignment horizontal="center" vertical="center" wrapText="1"/>
    </xf>
    <xf numFmtId="0" fontId="20" fillId="0" borderId="1" xfId="0" applyFont="1" applyBorder="1" applyAlignment="1">
      <alignment horizontal="left" vertical="center" wrapText="1"/>
    </xf>
    <xf numFmtId="0" fontId="27" fillId="0" borderId="1" xfId="0" applyFont="1" applyBorder="1" applyAlignment="1">
      <alignment vertical="center"/>
    </xf>
    <xf numFmtId="0" fontId="27" fillId="0" borderId="1" xfId="0" applyFont="1" applyBorder="1" applyAlignment="1">
      <alignment vertical="center" wrapText="1"/>
    </xf>
    <xf numFmtId="0" fontId="20" fillId="5" borderId="1" xfId="0" applyFont="1" applyFill="1" applyBorder="1" applyAlignment="1">
      <alignment horizontal="left" vertical="center" wrapText="1"/>
    </xf>
    <xf numFmtId="0" fontId="21" fillId="3" borderId="1" xfId="0" applyFont="1" applyFill="1" applyBorder="1" applyAlignment="1">
      <alignment horizontal="left" vertical="center" wrapText="1"/>
    </xf>
    <xf numFmtId="49" fontId="12"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1" xfId="3" applyFont="1" applyBorder="1" applyAlignment="1">
      <alignment horizontal="center" vertical="center" wrapText="1"/>
    </xf>
    <xf numFmtId="167" fontId="12" fillId="3" borderId="1" xfId="1" applyNumberFormat="1" applyFont="1" applyFill="1" applyBorder="1" applyAlignment="1">
      <alignment vertical="center" wrapText="1"/>
    </xf>
    <xf numFmtId="167" fontId="15" fillId="3" borderId="1" xfId="1" applyNumberFormat="1" applyFont="1" applyFill="1" applyBorder="1" applyAlignment="1">
      <alignment vertical="center" wrapText="1"/>
    </xf>
    <xf numFmtId="9" fontId="15" fillId="3" borderId="1" xfId="2" applyFont="1" applyFill="1" applyBorder="1" applyAlignment="1">
      <alignment vertical="center" wrapText="1"/>
    </xf>
    <xf numFmtId="0" fontId="12" fillId="0" borderId="0" xfId="0" applyFont="1" applyAlignment="1">
      <alignment horizontal="center" vertical="center" wrapText="1"/>
    </xf>
    <xf numFmtId="2" fontId="18" fillId="3" borderId="4" xfId="5" applyNumberFormat="1" applyFont="1" applyFill="1" applyBorder="1" applyAlignment="1">
      <alignment horizontal="center" vertical="center"/>
    </xf>
    <xf numFmtId="2" fontId="18" fillId="3" borderId="5" xfId="5" applyNumberFormat="1" applyFont="1" applyFill="1" applyBorder="1" applyAlignment="1">
      <alignment horizontal="center" vertical="center"/>
    </xf>
    <xf numFmtId="2" fontId="18" fillId="3" borderId="6" xfId="5" applyNumberFormat="1" applyFont="1" applyFill="1" applyBorder="1" applyAlignment="1">
      <alignment horizontal="center" vertical="center"/>
    </xf>
    <xf numFmtId="0" fontId="19" fillId="3" borderId="8" xfId="0" applyFont="1" applyFill="1" applyBorder="1" applyAlignment="1">
      <alignment horizontal="center" vertical="center" wrapText="1"/>
    </xf>
    <xf numFmtId="0" fontId="2" fillId="0" borderId="7" xfId="0" applyFont="1" applyBorder="1" applyAlignment="1">
      <alignment horizontal="left" vertical="center" wrapText="1"/>
    </xf>
    <xf numFmtId="0" fontId="2" fillId="0" borderId="7" xfId="0" applyFont="1" applyBorder="1" applyAlignment="1">
      <alignment horizontal="right" vertical="center" wrapText="1"/>
    </xf>
    <xf numFmtId="1" fontId="9" fillId="5" borderId="1" xfId="6" applyNumberFormat="1" applyFont="1" applyFill="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cellXfs>
  <cellStyles count="22">
    <cellStyle name="Comma" xfId="1" builtinId="3"/>
    <cellStyle name="Comma 3" xfId="16" xr:uid="{00000000-0005-0000-0000-000001000000}"/>
    <cellStyle name="Comma 3 2" xfId="14" xr:uid="{00000000-0005-0000-0000-000002000000}"/>
    <cellStyle name="Currency" xfId="21" builtinId="4"/>
    <cellStyle name="Currency 3" xfId="8" xr:uid="{00000000-0005-0000-0000-000003000000}"/>
    <cellStyle name="Currency 3 2" xfId="9" xr:uid="{00000000-0005-0000-0000-000004000000}"/>
    <cellStyle name="Hyperlink 2 2" xfId="11" xr:uid="{00000000-0005-0000-0000-000005000000}"/>
    <cellStyle name="Ledger 17 x 11 in 2" xfId="5" xr:uid="{00000000-0005-0000-0000-000006000000}"/>
    <cellStyle name="Ledger 17 x 11 in 2 2" xfId="10" xr:uid="{00000000-0005-0000-0000-000007000000}"/>
    <cellStyle name="Normal" xfId="0" builtinId="0"/>
    <cellStyle name="Normal 2" xfId="3" xr:uid="{00000000-0005-0000-0000-000009000000}"/>
    <cellStyle name="Normal 2 4" xfId="19" xr:uid="{8203E561-024E-0D4A-8373-5D3F6CF31469}"/>
    <cellStyle name="Normal 3" xfId="12" xr:uid="{00000000-0005-0000-0000-00000A000000}"/>
    <cellStyle name="Normal 6" xfId="4" xr:uid="{00000000-0005-0000-0000-00000B000000}"/>
    <cellStyle name="Percent" xfId="2" builtinId="5"/>
    <cellStyle name="Percent 2" xfId="20" xr:uid="{6327EE2A-DD88-6449-B7FE-39ACC149067E}"/>
    <cellStyle name="Percent 2 2" xfId="15" xr:uid="{00000000-0005-0000-0000-00000E000000}"/>
    <cellStyle name="Percent 3 2" xfId="13" xr:uid="{00000000-0005-0000-0000-00000F000000}"/>
    <cellStyle name="vntxt1" xfId="7" xr:uid="{00000000-0005-0000-0000-000010000000}"/>
    <cellStyle name="vntxt1 3" xfId="17" xr:uid="{00000000-0005-0000-0000-000011000000}"/>
    <cellStyle name="vntxt1 3 2" xfId="18" xr:uid="{00000000-0005-0000-0000-000012000000}"/>
    <cellStyle name="vntxt2" xfId="6"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125186</xdr:colOff>
      <xdr:row>1</xdr:row>
      <xdr:rowOff>25118</xdr:rowOff>
    </xdr:from>
    <xdr:to>
      <xdr:col>12</xdr:col>
      <xdr:colOff>880616</xdr:colOff>
      <xdr:row>1</xdr:row>
      <xdr:rowOff>65740</xdr:rowOff>
    </xdr:to>
    <xdr:pic>
      <xdr:nvPicPr>
        <xdr:cNvPr id="2" name="Picture 1" descr="Image_1">
          <a:extLst>
            <a:ext uri="{FF2B5EF4-FFF2-40B4-BE49-F238E27FC236}">
              <a16:creationId xmlns:a16="http://schemas.microsoft.com/office/drawing/2014/main" id="{042763FC-F5CB-4C65-9E88-D1D3B128E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3615" y="1376761"/>
          <a:ext cx="10044572" cy="40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113081</xdr:colOff>
      <xdr:row>1</xdr:row>
      <xdr:rowOff>98245</xdr:rowOff>
    </xdr:from>
    <xdr:to>
      <xdr:col>2</xdr:col>
      <xdr:colOff>984925</xdr:colOff>
      <xdr:row>1</xdr:row>
      <xdr:rowOff>717004</xdr:rowOff>
    </xdr:to>
    <xdr:pic>
      <xdr:nvPicPr>
        <xdr:cNvPr id="4" name="Picture 28">
          <a:extLst>
            <a:ext uri="{FF2B5EF4-FFF2-40B4-BE49-F238E27FC236}">
              <a16:creationId xmlns:a16="http://schemas.microsoft.com/office/drawing/2014/main" id="{ED76E095-D308-410A-8B3A-8AE478028D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881" y="273505"/>
          <a:ext cx="1237604" cy="618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1196340</xdr:colOff>
      <xdr:row>1</xdr:row>
      <xdr:rowOff>120681</xdr:rowOff>
    </xdr:from>
    <xdr:to>
      <xdr:col>4</xdr:col>
      <xdr:colOff>487680</xdr:colOff>
      <xdr:row>1</xdr:row>
      <xdr:rowOff>716279</xdr:rowOff>
    </xdr:to>
    <xdr:pic>
      <xdr:nvPicPr>
        <xdr:cNvPr id="5" name="Hình ảnh 4">
          <a:extLst>
            <a:ext uri="{FF2B5EF4-FFF2-40B4-BE49-F238E27FC236}">
              <a16:creationId xmlns:a16="http://schemas.microsoft.com/office/drawing/2014/main" id="{A07F1534-51B7-A676-BC8D-DC7C029007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6900" y="295941"/>
          <a:ext cx="1127760" cy="595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xdr:row>
      <xdr:rowOff>0</xdr:rowOff>
    </xdr:from>
    <xdr:to>
      <xdr:col>13</xdr:col>
      <xdr:colOff>304800</xdr:colOff>
      <xdr:row>1</xdr:row>
      <xdr:rowOff>304800</xdr:rowOff>
    </xdr:to>
    <xdr:sp macro="" textlink="">
      <xdr:nvSpPr>
        <xdr:cNvPr id="1026" name="AutoShape 2" descr="Grandstream Logo PNG - Tải xuống miễn phí Grandstream Logo trong suốt -  CleanPNG / KissPNG">
          <a:extLst>
            <a:ext uri="{FF2B5EF4-FFF2-40B4-BE49-F238E27FC236}">
              <a16:creationId xmlns:a16="http://schemas.microsoft.com/office/drawing/2014/main" id="{6EB288A2-C967-ABE3-39F2-AA8F24A05FAD}"/>
            </a:ext>
          </a:extLst>
        </xdr:cNvPr>
        <xdr:cNvSpPr>
          <a:spLocks noChangeAspect="1" noChangeArrowheads="1"/>
        </xdr:cNvSpPr>
      </xdr:nvSpPr>
      <xdr:spPr bwMode="auto">
        <a:xfrm>
          <a:off x="10645140" y="17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14</xdr:row>
      <xdr:rowOff>0</xdr:rowOff>
    </xdr:from>
    <xdr:to>
      <xdr:col>13</xdr:col>
      <xdr:colOff>304800</xdr:colOff>
      <xdr:row>15</xdr:row>
      <xdr:rowOff>132963</xdr:rowOff>
    </xdr:to>
    <xdr:sp macro="" textlink="">
      <xdr:nvSpPr>
        <xdr:cNvPr id="1028" name="AutoShape 4" descr="Grandstream Logo PNG - Tải xuống miễn phí Grandstream Logo trong suốt -  CleanPNG / KissPNG">
          <a:extLst>
            <a:ext uri="{FF2B5EF4-FFF2-40B4-BE49-F238E27FC236}">
              <a16:creationId xmlns:a16="http://schemas.microsoft.com/office/drawing/2014/main" id="{5990CBBE-5C80-E5D2-7647-B69DCA4138C3}"/>
            </a:ext>
          </a:extLst>
        </xdr:cNvPr>
        <xdr:cNvSpPr>
          <a:spLocks noChangeAspect="1" noChangeArrowheads="1"/>
        </xdr:cNvSpPr>
      </xdr:nvSpPr>
      <xdr:spPr bwMode="auto">
        <a:xfrm>
          <a:off x="10645140" y="3604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14</xdr:row>
      <xdr:rowOff>0</xdr:rowOff>
    </xdr:from>
    <xdr:to>
      <xdr:col>13</xdr:col>
      <xdr:colOff>304800</xdr:colOff>
      <xdr:row>15</xdr:row>
      <xdr:rowOff>132963</xdr:rowOff>
    </xdr:to>
    <xdr:sp macro="" textlink="">
      <xdr:nvSpPr>
        <xdr:cNvPr id="1029" name="AutoShape 5" descr="Grandstream Logo PNG - Tải xuống miễn phí Grandstream Logo trong suốt -  CleanPNG / KissPNG">
          <a:extLst>
            <a:ext uri="{FF2B5EF4-FFF2-40B4-BE49-F238E27FC236}">
              <a16:creationId xmlns:a16="http://schemas.microsoft.com/office/drawing/2014/main" id="{FFAB54E6-BCBC-4C1F-E184-47A7B993AAB7}"/>
            </a:ext>
          </a:extLst>
        </xdr:cNvPr>
        <xdr:cNvSpPr>
          <a:spLocks noChangeAspect="1" noChangeArrowheads="1"/>
        </xdr:cNvSpPr>
      </xdr:nvSpPr>
      <xdr:spPr bwMode="auto">
        <a:xfrm>
          <a:off x="10645140" y="3604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11</xdr:row>
      <xdr:rowOff>0</xdr:rowOff>
    </xdr:from>
    <xdr:to>
      <xdr:col>13</xdr:col>
      <xdr:colOff>304800</xdr:colOff>
      <xdr:row>12</xdr:row>
      <xdr:rowOff>12265</xdr:rowOff>
    </xdr:to>
    <xdr:sp macro="" textlink="">
      <xdr:nvSpPr>
        <xdr:cNvPr id="1030" name="AutoShape 6" descr="Grandstream Logo PNG - Tải xuống miễn phí Grandstream Logo trong suốt -  CleanPNG / KissPNG">
          <a:extLst>
            <a:ext uri="{FF2B5EF4-FFF2-40B4-BE49-F238E27FC236}">
              <a16:creationId xmlns:a16="http://schemas.microsoft.com/office/drawing/2014/main" id="{9902F0B7-5D10-BF58-AE2A-1ACA869A363C}"/>
            </a:ext>
          </a:extLst>
        </xdr:cNvPr>
        <xdr:cNvSpPr>
          <a:spLocks noChangeAspect="1" noChangeArrowheads="1"/>
        </xdr:cNvSpPr>
      </xdr:nvSpPr>
      <xdr:spPr bwMode="auto">
        <a:xfrm>
          <a:off x="10645140" y="2918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9998-9203-420D-91D1-7C912958DE8E}">
  <sheetPr>
    <pageSetUpPr fitToPage="1"/>
  </sheetPr>
  <dimension ref="A1:M86"/>
  <sheetViews>
    <sheetView tabSelected="1" view="pageBreakPreview" zoomScale="131" zoomScaleNormal="100" zoomScaleSheetLayoutView="100" workbookViewId="0">
      <selection activeCell="G22" sqref="G22"/>
    </sheetView>
  </sheetViews>
  <sheetFormatPr baseColWidth="10" defaultColWidth="8.83203125" defaultRowHeight="14"/>
  <cols>
    <col min="1" max="1" width="4.5" style="5" customWidth="1"/>
    <col min="2" max="2" width="5.33203125" style="5" customWidth="1"/>
    <col min="3" max="3" width="17.6640625" style="5" customWidth="1"/>
    <col min="4" max="4" width="9.1640625" style="5" customWidth="1"/>
    <col min="5" max="5" width="61.1640625" style="5" customWidth="1"/>
    <col min="6" max="6" width="13.83203125" style="5" customWidth="1"/>
    <col min="7" max="7" width="10.6640625" style="5" customWidth="1"/>
    <col min="8" max="8" width="6.33203125" style="5" customWidth="1"/>
    <col min="9" max="9" width="8.6640625" style="5" customWidth="1"/>
    <col min="10" max="10" width="15.33203125" style="28" customWidth="1"/>
    <col min="11" max="11" width="14.5" style="5" customWidth="1"/>
    <col min="12" max="12" width="5.83203125" style="6" customWidth="1"/>
    <col min="13" max="13" width="17.1640625" style="5" customWidth="1"/>
    <col min="14" max="239" width="8.83203125" style="5"/>
    <col min="240" max="240" width="6" style="5" customWidth="1"/>
    <col min="241" max="241" width="10.1640625" style="5" customWidth="1"/>
    <col min="242" max="242" width="37.33203125" style="5" customWidth="1"/>
    <col min="243" max="243" width="7" style="5" customWidth="1"/>
    <col min="244" max="244" width="0" style="5" hidden="1" customWidth="1"/>
    <col min="245" max="245" width="14.1640625" style="5" customWidth="1"/>
    <col min="246" max="246" width="14.5" style="5" customWidth="1"/>
    <col min="247" max="247" width="7.33203125" style="5" customWidth="1"/>
    <col min="248" max="248" width="16.1640625" style="5" customWidth="1"/>
    <col min="249" max="249" width="8.6640625" style="5" customWidth="1"/>
    <col min="250" max="250" width="14" style="5" customWidth="1"/>
    <col min="251" max="251" width="13.5" style="5" customWidth="1"/>
    <col min="252" max="252" width="11.5" style="5" customWidth="1"/>
    <col min="253" max="253" width="13.5" style="5" customWidth="1"/>
    <col min="254" max="495" width="8.83203125" style="5"/>
    <col min="496" max="496" width="6" style="5" customWidth="1"/>
    <col min="497" max="497" width="10.1640625" style="5" customWidth="1"/>
    <col min="498" max="498" width="37.33203125" style="5" customWidth="1"/>
    <col min="499" max="499" width="7" style="5" customWidth="1"/>
    <col min="500" max="500" width="0" style="5" hidden="1" customWidth="1"/>
    <col min="501" max="501" width="14.1640625" style="5" customWidth="1"/>
    <col min="502" max="502" width="14.5" style="5" customWidth="1"/>
    <col min="503" max="503" width="7.33203125" style="5" customWidth="1"/>
    <col min="504" max="504" width="16.1640625" style="5" customWidth="1"/>
    <col min="505" max="505" width="8.6640625" style="5" customWidth="1"/>
    <col min="506" max="506" width="14" style="5" customWidth="1"/>
    <col min="507" max="507" width="13.5" style="5" customWidth="1"/>
    <col min="508" max="508" width="11.5" style="5" customWidth="1"/>
    <col min="509" max="509" width="13.5" style="5" customWidth="1"/>
    <col min="510" max="751" width="8.83203125" style="5"/>
    <col min="752" max="752" width="6" style="5" customWidth="1"/>
    <col min="753" max="753" width="10.1640625" style="5" customWidth="1"/>
    <col min="754" max="754" width="37.33203125" style="5" customWidth="1"/>
    <col min="755" max="755" width="7" style="5" customWidth="1"/>
    <col min="756" max="756" width="0" style="5" hidden="1" customWidth="1"/>
    <col min="757" max="757" width="14.1640625" style="5" customWidth="1"/>
    <col min="758" max="758" width="14.5" style="5" customWidth="1"/>
    <col min="759" max="759" width="7.33203125" style="5" customWidth="1"/>
    <col min="760" max="760" width="16.1640625" style="5" customWidth="1"/>
    <col min="761" max="761" width="8.6640625" style="5" customWidth="1"/>
    <col min="762" max="762" width="14" style="5" customWidth="1"/>
    <col min="763" max="763" width="13.5" style="5" customWidth="1"/>
    <col min="764" max="764" width="11.5" style="5" customWidth="1"/>
    <col min="765" max="765" width="13.5" style="5" customWidth="1"/>
    <col min="766" max="1007" width="8.83203125" style="5"/>
    <col min="1008" max="1008" width="6" style="5" customWidth="1"/>
    <col min="1009" max="1009" width="10.1640625" style="5" customWidth="1"/>
    <col min="1010" max="1010" width="37.33203125" style="5" customWidth="1"/>
    <col min="1011" max="1011" width="7" style="5" customWidth="1"/>
    <col min="1012" max="1012" width="0" style="5" hidden="1" customWidth="1"/>
    <col min="1013" max="1013" width="14.1640625" style="5" customWidth="1"/>
    <col min="1014" max="1014" width="14.5" style="5" customWidth="1"/>
    <col min="1015" max="1015" width="7.33203125" style="5" customWidth="1"/>
    <col min="1016" max="1016" width="16.1640625" style="5" customWidth="1"/>
    <col min="1017" max="1017" width="8.6640625" style="5" customWidth="1"/>
    <col min="1018" max="1018" width="14" style="5" customWidth="1"/>
    <col min="1019" max="1019" width="13.5" style="5" customWidth="1"/>
    <col min="1020" max="1020" width="11.5" style="5" customWidth="1"/>
    <col min="1021" max="1021" width="13.5" style="5" customWidth="1"/>
    <col min="1022" max="1263" width="8.83203125" style="5"/>
    <col min="1264" max="1264" width="6" style="5" customWidth="1"/>
    <col min="1265" max="1265" width="10.1640625" style="5" customWidth="1"/>
    <col min="1266" max="1266" width="37.33203125" style="5" customWidth="1"/>
    <col min="1267" max="1267" width="7" style="5" customWidth="1"/>
    <col min="1268" max="1268" width="0" style="5" hidden="1" customWidth="1"/>
    <col min="1269" max="1269" width="14.1640625" style="5" customWidth="1"/>
    <col min="1270" max="1270" width="14.5" style="5" customWidth="1"/>
    <col min="1271" max="1271" width="7.33203125" style="5" customWidth="1"/>
    <col min="1272" max="1272" width="16.1640625" style="5" customWidth="1"/>
    <col min="1273" max="1273" width="8.6640625" style="5" customWidth="1"/>
    <col min="1274" max="1274" width="14" style="5" customWidth="1"/>
    <col min="1275" max="1275" width="13.5" style="5" customWidth="1"/>
    <col min="1276" max="1276" width="11.5" style="5" customWidth="1"/>
    <col min="1277" max="1277" width="13.5" style="5" customWidth="1"/>
    <col min="1278" max="1519" width="8.83203125" style="5"/>
    <col min="1520" max="1520" width="6" style="5" customWidth="1"/>
    <col min="1521" max="1521" width="10.1640625" style="5" customWidth="1"/>
    <col min="1522" max="1522" width="37.33203125" style="5" customWidth="1"/>
    <col min="1523" max="1523" width="7" style="5" customWidth="1"/>
    <col min="1524" max="1524" width="0" style="5" hidden="1" customWidth="1"/>
    <col min="1525" max="1525" width="14.1640625" style="5" customWidth="1"/>
    <col min="1526" max="1526" width="14.5" style="5" customWidth="1"/>
    <col min="1527" max="1527" width="7.33203125" style="5" customWidth="1"/>
    <col min="1528" max="1528" width="16.1640625" style="5" customWidth="1"/>
    <col min="1529" max="1529" width="8.6640625" style="5" customWidth="1"/>
    <col min="1530" max="1530" width="14" style="5" customWidth="1"/>
    <col min="1531" max="1531" width="13.5" style="5" customWidth="1"/>
    <col min="1532" max="1532" width="11.5" style="5" customWidth="1"/>
    <col min="1533" max="1533" width="13.5" style="5" customWidth="1"/>
    <col min="1534" max="1775" width="8.83203125" style="5"/>
    <col min="1776" max="1776" width="6" style="5" customWidth="1"/>
    <col min="1777" max="1777" width="10.1640625" style="5" customWidth="1"/>
    <col min="1778" max="1778" width="37.33203125" style="5" customWidth="1"/>
    <col min="1779" max="1779" width="7" style="5" customWidth="1"/>
    <col min="1780" max="1780" width="0" style="5" hidden="1" customWidth="1"/>
    <col min="1781" max="1781" width="14.1640625" style="5" customWidth="1"/>
    <col min="1782" max="1782" width="14.5" style="5" customWidth="1"/>
    <col min="1783" max="1783" width="7.33203125" style="5" customWidth="1"/>
    <col min="1784" max="1784" width="16.1640625" style="5" customWidth="1"/>
    <col min="1785" max="1785" width="8.6640625" style="5" customWidth="1"/>
    <col min="1786" max="1786" width="14" style="5" customWidth="1"/>
    <col min="1787" max="1787" width="13.5" style="5" customWidth="1"/>
    <col min="1788" max="1788" width="11.5" style="5" customWidth="1"/>
    <col min="1789" max="1789" width="13.5" style="5" customWidth="1"/>
    <col min="1790" max="2031" width="8.83203125" style="5"/>
    <col min="2032" max="2032" width="6" style="5" customWidth="1"/>
    <col min="2033" max="2033" width="10.1640625" style="5" customWidth="1"/>
    <col min="2034" max="2034" width="37.33203125" style="5" customWidth="1"/>
    <col min="2035" max="2035" width="7" style="5" customWidth="1"/>
    <col min="2036" max="2036" width="0" style="5" hidden="1" customWidth="1"/>
    <col min="2037" max="2037" width="14.1640625" style="5" customWidth="1"/>
    <col min="2038" max="2038" width="14.5" style="5" customWidth="1"/>
    <col min="2039" max="2039" width="7.33203125" style="5" customWidth="1"/>
    <col min="2040" max="2040" width="16.1640625" style="5" customWidth="1"/>
    <col min="2041" max="2041" width="8.6640625" style="5" customWidth="1"/>
    <col min="2042" max="2042" width="14" style="5" customWidth="1"/>
    <col min="2043" max="2043" width="13.5" style="5" customWidth="1"/>
    <col min="2044" max="2044" width="11.5" style="5" customWidth="1"/>
    <col min="2045" max="2045" width="13.5" style="5" customWidth="1"/>
    <col min="2046" max="2287" width="8.83203125" style="5"/>
    <col min="2288" max="2288" width="6" style="5" customWidth="1"/>
    <col min="2289" max="2289" width="10.1640625" style="5" customWidth="1"/>
    <col min="2290" max="2290" width="37.33203125" style="5" customWidth="1"/>
    <col min="2291" max="2291" width="7" style="5" customWidth="1"/>
    <col min="2292" max="2292" width="0" style="5" hidden="1" customWidth="1"/>
    <col min="2293" max="2293" width="14.1640625" style="5" customWidth="1"/>
    <col min="2294" max="2294" width="14.5" style="5" customWidth="1"/>
    <col min="2295" max="2295" width="7.33203125" style="5" customWidth="1"/>
    <col min="2296" max="2296" width="16.1640625" style="5" customWidth="1"/>
    <col min="2297" max="2297" width="8.6640625" style="5" customWidth="1"/>
    <col min="2298" max="2298" width="14" style="5" customWidth="1"/>
    <col min="2299" max="2299" width="13.5" style="5" customWidth="1"/>
    <col min="2300" max="2300" width="11.5" style="5" customWidth="1"/>
    <col min="2301" max="2301" width="13.5" style="5" customWidth="1"/>
    <col min="2302" max="2543" width="8.83203125" style="5"/>
    <col min="2544" max="2544" width="6" style="5" customWidth="1"/>
    <col min="2545" max="2545" width="10.1640625" style="5" customWidth="1"/>
    <col min="2546" max="2546" width="37.33203125" style="5" customWidth="1"/>
    <col min="2547" max="2547" width="7" style="5" customWidth="1"/>
    <col min="2548" max="2548" width="0" style="5" hidden="1" customWidth="1"/>
    <col min="2549" max="2549" width="14.1640625" style="5" customWidth="1"/>
    <col min="2550" max="2550" width="14.5" style="5" customWidth="1"/>
    <col min="2551" max="2551" width="7.33203125" style="5" customWidth="1"/>
    <col min="2552" max="2552" width="16.1640625" style="5" customWidth="1"/>
    <col min="2553" max="2553" width="8.6640625" style="5" customWidth="1"/>
    <col min="2554" max="2554" width="14" style="5" customWidth="1"/>
    <col min="2555" max="2555" width="13.5" style="5" customWidth="1"/>
    <col min="2556" max="2556" width="11.5" style="5" customWidth="1"/>
    <col min="2557" max="2557" width="13.5" style="5" customWidth="1"/>
    <col min="2558" max="2799" width="8.83203125" style="5"/>
    <col min="2800" max="2800" width="6" style="5" customWidth="1"/>
    <col min="2801" max="2801" width="10.1640625" style="5" customWidth="1"/>
    <col min="2802" max="2802" width="37.33203125" style="5" customWidth="1"/>
    <col min="2803" max="2803" width="7" style="5" customWidth="1"/>
    <col min="2804" max="2804" width="0" style="5" hidden="1" customWidth="1"/>
    <col min="2805" max="2805" width="14.1640625" style="5" customWidth="1"/>
    <col min="2806" max="2806" width="14.5" style="5" customWidth="1"/>
    <col min="2807" max="2807" width="7.33203125" style="5" customWidth="1"/>
    <col min="2808" max="2808" width="16.1640625" style="5" customWidth="1"/>
    <col min="2809" max="2809" width="8.6640625" style="5" customWidth="1"/>
    <col min="2810" max="2810" width="14" style="5" customWidth="1"/>
    <col min="2811" max="2811" width="13.5" style="5" customWidth="1"/>
    <col min="2812" max="2812" width="11.5" style="5" customWidth="1"/>
    <col min="2813" max="2813" width="13.5" style="5" customWidth="1"/>
    <col min="2814" max="3055" width="8.83203125" style="5"/>
    <col min="3056" max="3056" width="6" style="5" customWidth="1"/>
    <col min="3057" max="3057" width="10.1640625" style="5" customWidth="1"/>
    <col min="3058" max="3058" width="37.33203125" style="5" customWidth="1"/>
    <col min="3059" max="3059" width="7" style="5" customWidth="1"/>
    <col min="3060" max="3060" width="0" style="5" hidden="1" customWidth="1"/>
    <col min="3061" max="3061" width="14.1640625" style="5" customWidth="1"/>
    <col min="3062" max="3062" width="14.5" style="5" customWidth="1"/>
    <col min="3063" max="3063" width="7.33203125" style="5" customWidth="1"/>
    <col min="3064" max="3064" width="16.1640625" style="5" customWidth="1"/>
    <col min="3065" max="3065" width="8.6640625" style="5" customWidth="1"/>
    <col min="3066" max="3066" width="14" style="5" customWidth="1"/>
    <col min="3067" max="3067" width="13.5" style="5" customWidth="1"/>
    <col min="3068" max="3068" width="11.5" style="5" customWidth="1"/>
    <col min="3069" max="3069" width="13.5" style="5" customWidth="1"/>
    <col min="3070" max="3311" width="8.83203125" style="5"/>
    <col min="3312" max="3312" width="6" style="5" customWidth="1"/>
    <col min="3313" max="3313" width="10.1640625" style="5" customWidth="1"/>
    <col min="3314" max="3314" width="37.33203125" style="5" customWidth="1"/>
    <col min="3315" max="3315" width="7" style="5" customWidth="1"/>
    <col min="3316" max="3316" width="0" style="5" hidden="1" customWidth="1"/>
    <col min="3317" max="3317" width="14.1640625" style="5" customWidth="1"/>
    <col min="3318" max="3318" width="14.5" style="5" customWidth="1"/>
    <col min="3319" max="3319" width="7.33203125" style="5" customWidth="1"/>
    <col min="3320" max="3320" width="16.1640625" style="5" customWidth="1"/>
    <col min="3321" max="3321" width="8.6640625" style="5" customWidth="1"/>
    <col min="3322" max="3322" width="14" style="5" customWidth="1"/>
    <col min="3323" max="3323" width="13.5" style="5" customWidth="1"/>
    <col min="3324" max="3324" width="11.5" style="5" customWidth="1"/>
    <col min="3325" max="3325" width="13.5" style="5" customWidth="1"/>
    <col min="3326" max="3567" width="8.83203125" style="5"/>
    <col min="3568" max="3568" width="6" style="5" customWidth="1"/>
    <col min="3569" max="3569" width="10.1640625" style="5" customWidth="1"/>
    <col min="3570" max="3570" width="37.33203125" style="5" customWidth="1"/>
    <col min="3571" max="3571" width="7" style="5" customWidth="1"/>
    <col min="3572" max="3572" width="0" style="5" hidden="1" customWidth="1"/>
    <col min="3573" max="3573" width="14.1640625" style="5" customWidth="1"/>
    <col min="3574" max="3574" width="14.5" style="5" customWidth="1"/>
    <col min="3575" max="3575" width="7.33203125" style="5" customWidth="1"/>
    <col min="3576" max="3576" width="16.1640625" style="5" customWidth="1"/>
    <col min="3577" max="3577" width="8.6640625" style="5" customWidth="1"/>
    <col min="3578" max="3578" width="14" style="5" customWidth="1"/>
    <col min="3579" max="3579" width="13.5" style="5" customWidth="1"/>
    <col min="3580" max="3580" width="11.5" style="5" customWidth="1"/>
    <col min="3581" max="3581" width="13.5" style="5" customWidth="1"/>
    <col min="3582" max="3823" width="8.83203125" style="5"/>
    <col min="3824" max="3824" width="6" style="5" customWidth="1"/>
    <col min="3825" max="3825" width="10.1640625" style="5" customWidth="1"/>
    <col min="3826" max="3826" width="37.33203125" style="5" customWidth="1"/>
    <col min="3827" max="3827" width="7" style="5" customWidth="1"/>
    <col min="3828" max="3828" width="0" style="5" hidden="1" customWidth="1"/>
    <col min="3829" max="3829" width="14.1640625" style="5" customWidth="1"/>
    <col min="3830" max="3830" width="14.5" style="5" customWidth="1"/>
    <col min="3831" max="3831" width="7.33203125" style="5" customWidth="1"/>
    <col min="3832" max="3832" width="16.1640625" style="5" customWidth="1"/>
    <col min="3833" max="3833" width="8.6640625" style="5" customWidth="1"/>
    <col min="3834" max="3834" width="14" style="5" customWidth="1"/>
    <col min="3835" max="3835" width="13.5" style="5" customWidth="1"/>
    <col min="3836" max="3836" width="11.5" style="5" customWidth="1"/>
    <col min="3837" max="3837" width="13.5" style="5" customWidth="1"/>
    <col min="3838" max="4079" width="8.83203125" style="5"/>
    <col min="4080" max="4080" width="6" style="5" customWidth="1"/>
    <col min="4081" max="4081" width="10.1640625" style="5" customWidth="1"/>
    <col min="4082" max="4082" width="37.33203125" style="5" customWidth="1"/>
    <col min="4083" max="4083" width="7" style="5" customWidth="1"/>
    <col min="4084" max="4084" width="0" style="5" hidden="1" customWidth="1"/>
    <col min="4085" max="4085" width="14.1640625" style="5" customWidth="1"/>
    <col min="4086" max="4086" width="14.5" style="5" customWidth="1"/>
    <col min="4087" max="4087" width="7.33203125" style="5" customWidth="1"/>
    <col min="4088" max="4088" width="16.1640625" style="5" customWidth="1"/>
    <col min="4089" max="4089" width="8.6640625" style="5" customWidth="1"/>
    <col min="4090" max="4090" width="14" style="5" customWidth="1"/>
    <col min="4091" max="4091" width="13.5" style="5" customWidth="1"/>
    <col min="4092" max="4092" width="11.5" style="5" customWidth="1"/>
    <col min="4093" max="4093" width="13.5" style="5" customWidth="1"/>
    <col min="4094" max="4335" width="8.83203125" style="5"/>
    <col min="4336" max="4336" width="6" style="5" customWidth="1"/>
    <col min="4337" max="4337" width="10.1640625" style="5" customWidth="1"/>
    <col min="4338" max="4338" width="37.33203125" style="5" customWidth="1"/>
    <col min="4339" max="4339" width="7" style="5" customWidth="1"/>
    <col min="4340" max="4340" width="0" style="5" hidden="1" customWidth="1"/>
    <col min="4341" max="4341" width="14.1640625" style="5" customWidth="1"/>
    <col min="4342" max="4342" width="14.5" style="5" customWidth="1"/>
    <col min="4343" max="4343" width="7.33203125" style="5" customWidth="1"/>
    <col min="4344" max="4344" width="16.1640625" style="5" customWidth="1"/>
    <col min="4345" max="4345" width="8.6640625" style="5" customWidth="1"/>
    <col min="4346" max="4346" width="14" style="5" customWidth="1"/>
    <col min="4347" max="4347" width="13.5" style="5" customWidth="1"/>
    <col min="4348" max="4348" width="11.5" style="5" customWidth="1"/>
    <col min="4349" max="4349" width="13.5" style="5" customWidth="1"/>
    <col min="4350" max="4591" width="8.83203125" style="5"/>
    <col min="4592" max="4592" width="6" style="5" customWidth="1"/>
    <col min="4593" max="4593" width="10.1640625" style="5" customWidth="1"/>
    <col min="4594" max="4594" width="37.33203125" style="5" customWidth="1"/>
    <col min="4595" max="4595" width="7" style="5" customWidth="1"/>
    <col min="4596" max="4596" width="0" style="5" hidden="1" customWidth="1"/>
    <col min="4597" max="4597" width="14.1640625" style="5" customWidth="1"/>
    <col min="4598" max="4598" width="14.5" style="5" customWidth="1"/>
    <col min="4599" max="4599" width="7.33203125" style="5" customWidth="1"/>
    <col min="4600" max="4600" width="16.1640625" style="5" customWidth="1"/>
    <col min="4601" max="4601" width="8.6640625" style="5" customWidth="1"/>
    <col min="4602" max="4602" width="14" style="5" customWidth="1"/>
    <col min="4603" max="4603" width="13.5" style="5" customWidth="1"/>
    <col min="4604" max="4604" width="11.5" style="5" customWidth="1"/>
    <col min="4605" max="4605" width="13.5" style="5" customWidth="1"/>
    <col min="4606" max="4847" width="8.83203125" style="5"/>
    <col min="4848" max="4848" width="6" style="5" customWidth="1"/>
    <col min="4849" max="4849" width="10.1640625" style="5" customWidth="1"/>
    <col min="4850" max="4850" width="37.33203125" style="5" customWidth="1"/>
    <col min="4851" max="4851" width="7" style="5" customWidth="1"/>
    <col min="4852" max="4852" width="0" style="5" hidden="1" customWidth="1"/>
    <col min="4853" max="4853" width="14.1640625" style="5" customWidth="1"/>
    <col min="4854" max="4854" width="14.5" style="5" customWidth="1"/>
    <col min="4855" max="4855" width="7.33203125" style="5" customWidth="1"/>
    <col min="4856" max="4856" width="16.1640625" style="5" customWidth="1"/>
    <col min="4857" max="4857" width="8.6640625" style="5" customWidth="1"/>
    <col min="4858" max="4858" width="14" style="5" customWidth="1"/>
    <col min="4859" max="4859" width="13.5" style="5" customWidth="1"/>
    <col min="4860" max="4860" width="11.5" style="5" customWidth="1"/>
    <col min="4861" max="4861" width="13.5" style="5" customWidth="1"/>
    <col min="4862" max="5103" width="8.83203125" style="5"/>
    <col min="5104" max="5104" width="6" style="5" customWidth="1"/>
    <col min="5105" max="5105" width="10.1640625" style="5" customWidth="1"/>
    <col min="5106" max="5106" width="37.33203125" style="5" customWidth="1"/>
    <col min="5107" max="5107" width="7" style="5" customWidth="1"/>
    <col min="5108" max="5108" width="0" style="5" hidden="1" customWidth="1"/>
    <col min="5109" max="5109" width="14.1640625" style="5" customWidth="1"/>
    <col min="5110" max="5110" width="14.5" style="5" customWidth="1"/>
    <col min="5111" max="5111" width="7.33203125" style="5" customWidth="1"/>
    <col min="5112" max="5112" width="16.1640625" style="5" customWidth="1"/>
    <col min="5113" max="5113" width="8.6640625" style="5" customWidth="1"/>
    <col min="5114" max="5114" width="14" style="5" customWidth="1"/>
    <col min="5115" max="5115" width="13.5" style="5" customWidth="1"/>
    <col min="5116" max="5116" width="11.5" style="5" customWidth="1"/>
    <col min="5117" max="5117" width="13.5" style="5" customWidth="1"/>
    <col min="5118" max="5359" width="8.83203125" style="5"/>
    <col min="5360" max="5360" width="6" style="5" customWidth="1"/>
    <col min="5361" max="5361" width="10.1640625" style="5" customWidth="1"/>
    <col min="5362" max="5362" width="37.33203125" style="5" customWidth="1"/>
    <col min="5363" max="5363" width="7" style="5" customWidth="1"/>
    <col min="5364" max="5364" width="0" style="5" hidden="1" customWidth="1"/>
    <col min="5365" max="5365" width="14.1640625" style="5" customWidth="1"/>
    <col min="5366" max="5366" width="14.5" style="5" customWidth="1"/>
    <col min="5367" max="5367" width="7.33203125" style="5" customWidth="1"/>
    <col min="5368" max="5368" width="16.1640625" style="5" customWidth="1"/>
    <col min="5369" max="5369" width="8.6640625" style="5" customWidth="1"/>
    <col min="5370" max="5370" width="14" style="5" customWidth="1"/>
    <col min="5371" max="5371" width="13.5" style="5" customWidth="1"/>
    <col min="5372" max="5372" width="11.5" style="5" customWidth="1"/>
    <col min="5373" max="5373" width="13.5" style="5" customWidth="1"/>
    <col min="5374" max="5615" width="8.83203125" style="5"/>
    <col min="5616" max="5616" width="6" style="5" customWidth="1"/>
    <col min="5617" max="5617" width="10.1640625" style="5" customWidth="1"/>
    <col min="5618" max="5618" width="37.33203125" style="5" customWidth="1"/>
    <col min="5619" max="5619" width="7" style="5" customWidth="1"/>
    <col min="5620" max="5620" width="0" style="5" hidden="1" customWidth="1"/>
    <col min="5621" max="5621" width="14.1640625" style="5" customWidth="1"/>
    <col min="5622" max="5622" width="14.5" style="5" customWidth="1"/>
    <col min="5623" max="5623" width="7.33203125" style="5" customWidth="1"/>
    <col min="5624" max="5624" width="16.1640625" style="5" customWidth="1"/>
    <col min="5625" max="5625" width="8.6640625" style="5" customWidth="1"/>
    <col min="5626" max="5626" width="14" style="5" customWidth="1"/>
    <col min="5627" max="5627" width="13.5" style="5" customWidth="1"/>
    <col min="5628" max="5628" width="11.5" style="5" customWidth="1"/>
    <col min="5629" max="5629" width="13.5" style="5" customWidth="1"/>
    <col min="5630" max="5871" width="8.83203125" style="5"/>
    <col min="5872" max="5872" width="6" style="5" customWidth="1"/>
    <col min="5873" max="5873" width="10.1640625" style="5" customWidth="1"/>
    <col min="5874" max="5874" width="37.33203125" style="5" customWidth="1"/>
    <col min="5875" max="5875" width="7" style="5" customWidth="1"/>
    <col min="5876" max="5876" width="0" style="5" hidden="1" customWidth="1"/>
    <col min="5877" max="5877" width="14.1640625" style="5" customWidth="1"/>
    <col min="5878" max="5878" width="14.5" style="5" customWidth="1"/>
    <col min="5879" max="5879" width="7.33203125" style="5" customWidth="1"/>
    <col min="5880" max="5880" width="16.1640625" style="5" customWidth="1"/>
    <col min="5881" max="5881" width="8.6640625" style="5" customWidth="1"/>
    <col min="5882" max="5882" width="14" style="5" customWidth="1"/>
    <col min="5883" max="5883" width="13.5" style="5" customWidth="1"/>
    <col min="5884" max="5884" width="11.5" style="5" customWidth="1"/>
    <col min="5885" max="5885" width="13.5" style="5" customWidth="1"/>
    <col min="5886" max="6127" width="8.83203125" style="5"/>
    <col min="6128" max="6128" width="6" style="5" customWidth="1"/>
    <col min="6129" max="6129" width="10.1640625" style="5" customWidth="1"/>
    <col min="6130" max="6130" width="37.33203125" style="5" customWidth="1"/>
    <col min="6131" max="6131" width="7" style="5" customWidth="1"/>
    <col min="6132" max="6132" width="0" style="5" hidden="1" customWidth="1"/>
    <col min="6133" max="6133" width="14.1640625" style="5" customWidth="1"/>
    <col min="6134" max="6134" width="14.5" style="5" customWidth="1"/>
    <col min="6135" max="6135" width="7.33203125" style="5" customWidth="1"/>
    <col min="6136" max="6136" width="16.1640625" style="5" customWidth="1"/>
    <col min="6137" max="6137" width="8.6640625" style="5" customWidth="1"/>
    <col min="6138" max="6138" width="14" style="5" customWidth="1"/>
    <col min="6139" max="6139" width="13.5" style="5" customWidth="1"/>
    <col min="6140" max="6140" width="11.5" style="5" customWidth="1"/>
    <col min="6141" max="6141" width="13.5" style="5" customWidth="1"/>
    <col min="6142" max="6383" width="8.83203125" style="5"/>
    <col min="6384" max="6384" width="6" style="5" customWidth="1"/>
    <col min="6385" max="6385" width="10.1640625" style="5" customWidth="1"/>
    <col min="6386" max="6386" width="37.33203125" style="5" customWidth="1"/>
    <col min="6387" max="6387" width="7" style="5" customWidth="1"/>
    <col min="6388" max="6388" width="0" style="5" hidden="1" customWidth="1"/>
    <col min="6389" max="6389" width="14.1640625" style="5" customWidth="1"/>
    <col min="6390" max="6390" width="14.5" style="5" customWidth="1"/>
    <col min="6391" max="6391" width="7.33203125" style="5" customWidth="1"/>
    <col min="6392" max="6392" width="16.1640625" style="5" customWidth="1"/>
    <col min="6393" max="6393" width="8.6640625" style="5" customWidth="1"/>
    <col min="6394" max="6394" width="14" style="5" customWidth="1"/>
    <col min="6395" max="6395" width="13.5" style="5" customWidth="1"/>
    <col min="6396" max="6396" width="11.5" style="5" customWidth="1"/>
    <col min="6397" max="6397" width="13.5" style="5" customWidth="1"/>
    <col min="6398" max="6639" width="8.83203125" style="5"/>
    <col min="6640" max="6640" width="6" style="5" customWidth="1"/>
    <col min="6641" max="6641" width="10.1640625" style="5" customWidth="1"/>
    <col min="6642" max="6642" width="37.33203125" style="5" customWidth="1"/>
    <col min="6643" max="6643" width="7" style="5" customWidth="1"/>
    <col min="6644" max="6644" width="0" style="5" hidden="1" customWidth="1"/>
    <col min="6645" max="6645" width="14.1640625" style="5" customWidth="1"/>
    <col min="6646" max="6646" width="14.5" style="5" customWidth="1"/>
    <col min="6647" max="6647" width="7.33203125" style="5" customWidth="1"/>
    <col min="6648" max="6648" width="16.1640625" style="5" customWidth="1"/>
    <col min="6649" max="6649" width="8.6640625" style="5" customWidth="1"/>
    <col min="6650" max="6650" width="14" style="5" customWidth="1"/>
    <col min="6651" max="6651" width="13.5" style="5" customWidth="1"/>
    <col min="6652" max="6652" width="11.5" style="5" customWidth="1"/>
    <col min="6653" max="6653" width="13.5" style="5" customWidth="1"/>
    <col min="6654" max="6895" width="8.83203125" style="5"/>
    <col min="6896" max="6896" width="6" style="5" customWidth="1"/>
    <col min="6897" max="6897" width="10.1640625" style="5" customWidth="1"/>
    <col min="6898" max="6898" width="37.33203125" style="5" customWidth="1"/>
    <col min="6899" max="6899" width="7" style="5" customWidth="1"/>
    <col min="6900" max="6900" width="0" style="5" hidden="1" customWidth="1"/>
    <col min="6901" max="6901" width="14.1640625" style="5" customWidth="1"/>
    <col min="6902" max="6902" width="14.5" style="5" customWidth="1"/>
    <col min="6903" max="6903" width="7.33203125" style="5" customWidth="1"/>
    <col min="6904" max="6904" width="16.1640625" style="5" customWidth="1"/>
    <col min="6905" max="6905" width="8.6640625" style="5" customWidth="1"/>
    <col min="6906" max="6906" width="14" style="5" customWidth="1"/>
    <col min="6907" max="6907" width="13.5" style="5" customWidth="1"/>
    <col min="6908" max="6908" width="11.5" style="5" customWidth="1"/>
    <col min="6909" max="6909" width="13.5" style="5" customWidth="1"/>
    <col min="6910" max="7151" width="8.83203125" style="5"/>
    <col min="7152" max="7152" width="6" style="5" customWidth="1"/>
    <col min="7153" max="7153" width="10.1640625" style="5" customWidth="1"/>
    <col min="7154" max="7154" width="37.33203125" style="5" customWidth="1"/>
    <col min="7155" max="7155" width="7" style="5" customWidth="1"/>
    <col min="7156" max="7156" width="0" style="5" hidden="1" customWidth="1"/>
    <col min="7157" max="7157" width="14.1640625" style="5" customWidth="1"/>
    <col min="7158" max="7158" width="14.5" style="5" customWidth="1"/>
    <col min="7159" max="7159" width="7.33203125" style="5" customWidth="1"/>
    <col min="7160" max="7160" width="16.1640625" style="5" customWidth="1"/>
    <col min="7161" max="7161" width="8.6640625" style="5" customWidth="1"/>
    <col min="7162" max="7162" width="14" style="5" customWidth="1"/>
    <col min="7163" max="7163" width="13.5" style="5" customWidth="1"/>
    <col min="7164" max="7164" width="11.5" style="5" customWidth="1"/>
    <col min="7165" max="7165" width="13.5" style="5" customWidth="1"/>
    <col min="7166" max="7407" width="8.83203125" style="5"/>
    <col min="7408" max="7408" width="6" style="5" customWidth="1"/>
    <col min="7409" max="7409" width="10.1640625" style="5" customWidth="1"/>
    <col min="7410" max="7410" width="37.33203125" style="5" customWidth="1"/>
    <col min="7411" max="7411" width="7" style="5" customWidth="1"/>
    <col min="7412" max="7412" width="0" style="5" hidden="1" customWidth="1"/>
    <col min="7413" max="7413" width="14.1640625" style="5" customWidth="1"/>
    <col min="7414" max="7414" width="14.5" style="5" customWidth="1"/>
    <col min="7415" max="7415" width="7.33203125" style="5" customWidth="1"/>
    <col min="7416" max="7416" width="16.1640625" style="5" customWidth="1"/>
    <col min="7417" max="7417" width="8.6640625" style="5" customWidth="1"/>
    <col min="7418" max="7418" width="14" style="5" customWidth="1"/>
    <col min="7419" max="7419" width="13.5" style="5" customWidth="1"/>
    <col min="7420" max="7420" width="11.5" style="5" customWidth="1"/>
    <col min="7421" max="7421" width="13.5" style="5" customWidth="1"/>
    <col min="7422" max="7663" width="8.83203125" style="5"/>
    <col min="7664" max="7664" width="6" style="5" customWidth="1"/>
    <col min="7665" max="7665" width="10.1640625" style="5" customWidth="1"/>
    <col min="7666" max="7666" width="37.33203125" style="5" customWidth="1"/>
    <col min="7667" max="7667" width="7" style="5" customWidth="1"/>
    <col min="7668" max="7668" width="0" style="5" hidden="1" customWidth="1"/>
    <col min="7669" max="7669" width="14.1640625" style="5" customWidth="1"/>
    <col min="7670" max="7670" width="14.5" style="5" customWidth="1"/>
    <col min="7671" max="7671" width="7.33203125" style="5" customWidth="1"/>
    <col min="7672" max="7672" width="16.1640625" style="5" customWidth="1"/>
    <col min="7673" max="7673" width="8.6640625" style="5" customWidth="1"/>
    <col min="7674" max="7674" width="14" style="5" customWidth="1"/>
    <col min="7675" max="7675" width="13.5" style="5" customWidth="1"/>
    <col min="7676" max="7676" width="11.5" style="5" customWidth="1"/>
    <col min="7677" max="7677" width="13.5" style="5" customWidth="1"/>
    <col min="7678" max="7919" width="8.83203125" style="5"/>
    <col min="7920" max="7920" width="6" style="5" customWidth="1"/>
    <col min="7921" max="7921" width="10.1640625" style="5" customWidth="1"/>
    <col min="7922" max="7922" width="37.33203125" style="5" customWidth="1"/>
    <col min="7923" max="7923" width="7" style="5" customWidth="1"/>
    <col min="7924" max="7924" width="0" style="5" hidden="1" customWidth="1"/>
    <col min="7925" max="7925" width="14.1640625" style="5" customWidth="1"/>
    <col min="7926" max="7926" width="14.5" style="5" customWidth="1"/>
    <col min="7927" max="7927" width="7.33203125" style="5" customWidth="1"/>
    <col min="7928" max="7928" width="16.1640625" style="5" customWidth="1"/>
    <col min="7929" max="7929" width="8.6640625" style="5" customWidth="1"/>
    <col min="7930" max="7930" width="14" style="5" customWidth="1"/>
    <col min="7931" max="7931" width="13.5" style="5" customWidth="1"/>
    <col min="7932" max="7932" width="11.5" style="5" customWidth="1"/>
    <col min="7933" max="7933" width="13.5" style="5" customWidth="1"/>
    <col min="7934" max="8175" width="8.83203125" style="5"/>
    <col min="8176" max="8176" width="6" style="5" customWidth="1"/>
    <col min="8177" max="8177" width="10.1640625" style="5" customWidth="1"/>
    <col min="8178" max="8178" width="37.33203125" style="5" customWidth="1"/>
    <col min="8179" max="8179" width="7" style="5" customWidth="1"/>
    <col min="8180" max="8180" width="0" style="5" hidden="1" customWidth="1"/>
    <col min="8181" max="8181" width="14.1640625" style="5" customWidth="1"/>
    <col min="8182" max="8182" width="14.5" style="5" customWidth="1"/>
    <col min="8183" max="8183" width="7.33203125" style="5" customWidth="1"/>
    <col min="8184" max="8184" width="16.1640625" style="5" customWidth="1"/>
    <col min="8185" max="8185" width="8.6640625" style="5" customWidth="1"/>
    <col min="8186" max="8186" width="14" style="5" customWidth="1"/>
    <col min="8187" max="8187" width="13.5" style="5" customWidth="1"/>
    <col min="8188" max="8188" width="11.5" style="5" customWidth="1"/>
    <col min="8189" max="8189" width="13.5" style="5" customWidth="1"/>
    <col min="8190" max="8431" width="8.83203125" style="5"/>
    <col min="8432" max="8432" width="6" style="5" customWidth="1"/>
    <col min="8433" max="8433" width="10.1640625" style="5" customWidth="1"/>
    <col min="8434" max="8434" width="37.33203125" style="5" customWidth="1"/>
    <col min="8435" max="8435" width="7" style="5" customWidth="1"/>
    <col min="8436" max="8436" width="0" style="5" hidden="1" customWidth="1"/>
    <col min="8437" max="8437" width="14.1640625" style="5" customWidth="1"/>
    <col min="8438" max="8438" width="14.5" style="5" customWidth="1"/>
    <col min="8439" max="8439" width="7.33203125" style="5" customWidth="1"/>
    <col min="8440" max="8440" width="16.1640625" style="5" customWidth="1"/>
    <col min="8441" max="8441" width="8.6640625" style="5" customWidth="1"/>
    <col min="8442" max="8442" width="14" style="5" customWidth="1"/>
    <col min="8443" max="8443" width="13.5" style="5" customWidth="1"/>
    <col min="8444" max="8444" width="11.5" style="5" customWidth="1"/>
    <col min="8445" max="8445" width="13.5" style="5" customWidth="1"/>
    <col min="8446" max="8687" width="8.83203125" style="5"/>
    <col min="8688" max="8688" width="6" style="5" customWidth="1"/>
    <col min="8689" max="8689" width="10.1640625" style="5" customWidth="1"/>
    <col min="8690" max="8690" width="37.33203125" style="5" customWidth="1"/>
    <col min="8691" max="8691" width="7" style="5" customWidth="1"/>
    <col min="8692" max="8692" width="0" style="5" hidden="1" customWidth="1"/>
    <col min="8693" max="8693" width="14.1640625" style="5" customWidth="1"/>
    <col min="8694" max="8694" width="14.5" style="5" customWidth="1"/>
    <col min="8695" max="8695" width="7.33203125" style="5" customWidth="1"/>
    <col min="8696" max="8696" width="16.1640625" style="5" customWidth="1"/>
    <col min="8697" max="8697" width="8.6640625" style="5" customWidth="1"/>
    <col min="8698" max="8698" width="14" style="5" customWidth="1"/>
    <col min="8699" max="8699" width="13.5" style="5" customWidth="1"/>
    <col min="8700" max="8700" width="11.5" style="5" customWidth="1"/>
    <col min="8701" max="8701" width="13.5" style="5" customWidth="1"/>
    <col min="8702" max="8943" width="8.83203125" style="5"/>
    <col min="8944" max="8944" width="6" style="5" customWidth="1"/>
    <col min="8945" max="8945" width="10.1640625" style="5" customWidth="1"/>
    <col min="8946" max="8946" width="37.33203125" style="5" customWidth="1"/>
    <col min="8947" max="8947" width="7" style="5" customWidth="1"/>
    <col min="8948" max="8948" width="0" style="5" hidden="1" customWidth="1"/>
    <col min="8949" max="8949" width="14.1640625" style="5" customWidth="1"/>
    <col min="8950" max="8950" width="14.5" style="5" customWidth="1"/>
    <col min="8951" max="8951" width="7.33203125" style="5" customWidth="1"/>
    <col min="8952" max="8952" width="16.1640625" style="5" customWidth="1"/>
    <col min="8953" max="8953" width="8.6640625" style="5" customWidth="1"/>
    <col min="8954" max="8954" width="14" style="5" customWidth="1"/>
    <col min="8955" max="8955" width="13.5" style="5" customWidth="1"/>
    <col min="8956" max="8956" width="11.5" style="5" customWidth="1"/>
    <col min="8957" max="8957" width="13.5" style="5" customWidth="1"/>
    <col min="8958" max="9199" width="8.83203125" style="5"/>
    <col min="9200" max="9200" width="6" style="5" customWidth="1"/>
    <col min="9201" max="9201" width="10.1640625" style="5" customWidth="1"/>
    <col min="9202" max="9202" width="37.33203125" style="5" customWidth="1"/>
    <col min="9203" max="9203" width="7" style="5" customWidth="1"/>
    <col min="9204" max="9204" width="0" style="5" hidden="1" customWidth="1"/>
    <col min="9205" max="9205" width="14.1640625" style="5" customWidth="1"/>
    <col min="9206" max="9206" width="14.5" style="5" customWidth="1"/>
    <col min="9207" max="9207" width="7.33203125" style="5" customWidth="1"/>
    <col min="9208" max="9208" width="16.1640625" style="5" customWidth="1"/>
    <col min="9209" max="9209" width="8.6640625" style="5" customWidth="1"/>
    <col min="9210" max="9210" width="14" style="5" customWidth="1"/>
    <col min="9211" max="9211" width="13.5" style="5" customWidth="1"/>
    <col min="9212" max="9212" width="11.5" style="5" customWidth="1"/>
    <col min="9213" max="9213" width="13.5" style="5" customWidth="1"/>
    <col min="9214" max="9455" width="8.83203125" style="5"/>
    <col min="9456" max="9456" width="6" style="5" customWidth="1"/>
    <col min="9457" max="9457" width="10.1640625" style="5" customWidth="1"/>
    <col min="9458" max="9458" width="37.33203125" style="5" customWidth="1"/>
    <col min="9459" max="9459" width="7" style="5" customWidth="1"/>
    <col min="9460" max="9460" width="0" style="5" hidden="1" customWidth="1"/>
    <col min="9461" max="9461" width="14.1640625" style="5" customWidth="1"/>
    <col min="9462" max="9462" width="14.5" style="5" customWidth="1"/>
    <col min="9463" max="9463" width="7.33203125" style="5" customWidth="1"/>
    <col min="9464" max="9464" width="16.1640625" style="5" customWidth="1"/>
    <col min="9465" max="9465" width="8.6640625" style="5" customWidth="1"/>
    <col min="9466" max="9466" width="14" style="5" customWidth="1"/>
    <col min="9467" max="9467" width="13.5" style="5" customWidth="1"/>
    <col min="9468" max="9468" width="11.5" style="5" customWidth="1"/>
    <col min="9469" max="9469" width="13.5" style="5" customWidth="1"/>
    <col min="9470" max="9711" width="8.83203125" style="5"/>
    <col min="9712" max="9712" width="6" style="5" customWidth="1"/>
    <col min="9713" max="9713" width="10.1640625" style="5" customWidth="1"/>
    <col min="9714" max="9714" width="37.33203125" style="5" customWidth="1"/>
    <col min="9715" max="9715" width="7" style="5" customWidth="1"/>
    <col min="9716" max="9716" width="0" style="5" hidden="1" customWidth="1"/>
    <col min="9717" max="9717" width="14.1640625" style="5" customWidth="1"/>
    <col min="9718" max="9718" width="14.5" style="5" customWidth="1"/>
    <col min="9719" max="9719" width="7.33203125" style="5" customWidth="1"/>
    <col min="9720" max="9720" width="16.1640625" style="5" customWidth="1"/>
    <col min="9721" max="9721" width="8.6640625" style="5" customWidth="1"/>
    <col min="9722" max="9722" width="14" style="5" customWidth="1"/>
    <col min="9723" max="9723" width="13.5" style="5" customWidth="1"/>
    <col min="9724" max="9724" width="11.5" style="5" customWidth="1"/>
    <col min="9725" max="9725" width="13.5" style="5" customWidth="1"/>
    <col min="9726" max="9967" width="8.83203125" style="5"/>
    <col min="9968" max="9968" width="6" style="5" customWidth="1"/>
    <col min="9969" max="9969" width="10.1640625" style="5" customWidth="1"/>
    <col min="9970" max="9970" width="37.33203125" style="5" customWidth="1"/>
    <col min="9971" max="9971" width="7" style="5" customWidth="1"/>
    <col min="9972" max="9972" width="0" style="5" hidden="1" customWidth="1"/>
    <col min="9973" max="9973" width="14.1640625" style="5" customWidth="1"/>
    <col min="9974" max="9974" width="14.5" style="5" customWidth="1"/>
    <col min="9975" max="9975" width="7.33203125" style="5" customWidth="1"/>
    <col min="9976" max="9976" width="16.1640625" style="5" customWidth="1"/>
    <col min="9977" max="9977" width="8.6640625" style="5" customWidth="1"/>
    <col min="9978" max="9978" width="14" style="5" customWidth="1"/>
    <col min="9979" max="9979" width="13.5" style="5" customWidth="1"/>
    <col min="9980" max="9980" width="11.5" style="5" customWidth="1"/>
    <col min="9981" max="9981" width="13.5" style="5" customWidth="1"/>
    <col min="9982" max="10223" width="8.83203125" style="5"/>
    <col min="10224" max="10224" width="6" style="5" customWidth="1"/>
    <col min="10225" max="10225" width="10.1640625" style="5" customWidth="1"/>
    <col min="10226" max="10226" width="37.33203125" style="5" customWidth="1"/>
    <col min="10227" max="10227" width="7" style="5" customWidth="1"/>
    <col min="10228" max="10228" width="0" style="5" hidden="1" customWidth="1"/>
    <col min="10229" max="10229" width="14.1640625" style="5" customWidth="1"/>
    <col min="10230" max="10230" width="14.5" style="5" customWidth="1"/>
    <col min="10231" max="10231" width="7.33203125" style="5" customWidth="1"/>
    <col min="10232" max="10232" width="16.1640625" style="5" customWidth="1"/>
    <col min="10233" max="10233" width="8.6640625" style="5" customWidth="1"/>
    <col min="10234" max="10234" width="14" style="5" customWidth="1"/>
    <col min="10235" max="10235" width="13.5" style="5" customWidth="1"/>
    <col min="10236" max="10236" width="11.5" style="5" customWidth="1"/>
    <col min="10237" max="10237" width="13.5" style="5" customWidth="1"/>
    <col min="10238" max="10479" width="8.83203125" style="5"/>
    <col min="10480" max="10480" width="6" style="5" customWidth="1"/>
    <col min="10481" max="10481" width="10.1640625" style="5" customWidth="1"/>
    <col min="10482" max="10482" width="37.33203125" style="5" customWidth="1"/>
    <col min="10483" max="10483" width="7" style="5" customWidth="1"/>
    <col min="10484" max="10484" width="0" style="5" hidden="1" customWidth="1"/>
    <col min="10485" max="10485" width="14.1640625" style="5" customWidth="1"/>
    <col min="10486" max="10486" width="14.5" style="5" customWidth="1"/>
    <col min="10487" max="10487" width="7.33203125" style="5" customWidth="1"/>
    <col min="10488" max="10488" width="16.1640625" style="5" customWidth="1"/>
    <col min="10489" max="10489" width="8.6640625" style="5" customWidth="1"/>
    <col min="10490" max="10490" width="14" style="5" customWidth="1"/>
    <col min="10491" max="10491" width="13.5" style="5" customWidth="1"/>
    <col min="10492" max="10492" width="11.5" style="5" customWidth="1"/>
    <col min="10493" max="10493" width="13.5" style="5" customWidth="1"/>
    <col min="10494" max="10735" width="8.83203125" style="5"/>
    <col min="10736" max="10736" width="6" style="5" customWidth="1"/>
    <col min="10737" max="10737" width="10.1640625" style="5" customWidth="1"/>
    <col min="10738" max="10738" width="37.33203125" style="5" customWidth="1"/>
    <col min="10739" max="10739" width="7" style="5" customWidth="1"/>
    <col min="10740" max="10740" width="0" style="5" hidden="1" customWidth="1"/>
    <col min="10741" max="10741" width="14.1640625" style="5" customWidth="1"/>
    <col min="10742" max="10742" width="14.5" style="5" customWidth="1"/>
    <col min="10743" max="10743" width="7.33203125" style="5" customWidth="1"/>
    <col min="10744" max="10744" width="16.1640625" style="5" customWidth="1"/>
    <col min="10745" max="10745" width="8.6640625" style="5" customWidth="1"/>
    <col min="10746" max="10746" width="14" style="5" customWidth="1"/>
    <col min="10747" max="10747" width="13.5" style="5" customWidth="1"/>
    <col min="10748" max="10748" width="11.5" style="5" customWidth="1"/>
    <col min="10749" max="10749" width="13.5" style="5" customWidth="1"/>
    <col min="10750" max="10991" width="8.83203125" style="5"/>
    <col min="10992" max="10992" width="6" style="5" customWidth="1"/>
    <col min="10993" max="10993" width="10.1640625" style="5" customWidth="1"/>
    <col min="10994" max="10994" width="37.33203125" style="5" customWidth="1"/>
    <col min="10995" max="10995" width="7" style="5" customWidth="1"/>
    <col min="10996" max="10996" width="0" style="5" hidden="1" customWidth="1"/>
    <col min="10997" max="10997" width="14.1640625" style="5" customWidth="1"/>
    <col min="10998" max="10998" width="14.5" style="5" customWidth="1"/>
    <col min="10999" max="10999" width="7.33203125" style="5" customWidth="1"/>
    <col min="11000" max="11000" width="16.1640625" style="5" customWidth="1"/>
    <col min="11001" max="11001" width="8.6640625" style="5" customWidth="1"/>
    <col min="11002" max="11002" width="14" style="5" customWidth="1"/>
    <col min="11003" max="11003" width="13.5" style="5" customWidth="1"/>
    <col min="11004" max="11004" width="11.5" style="5" customWidth="1"/>
    <col min="11005" max="11005" width="13.5" style="5" customWidth="1"/>
    <col min="11006" max="11247" width="8.83203125" style="5"/>
    <col min="11248" max="11248" width="6" style="5" customWidth="1"/>
    <col min="11249" max="11249" width="10.1640625" style="5" customWidth="1"/>
    <col min="11250" max="11250" width="37.33203125" style="5" customWidth="1"/>
    <col min="11251" max="11251" width="7" style="5" customWidth="1"/>
    <col min="11252" max="11252" width="0" style="5" hidden="1" customWidth="1"/>
    <col min="11253" max="11253" width="14.1640625" style="5" customWidth="1"/>
    <col min="11254" max="11254" width="14.5" style="5" customWidth="1"/>
    <col min="11255" max="11255" width="7.33203125" style="5" customWidth="1"/>
    <col min="11256" max="11256" width="16.1640625" style="5" customWidth="1"/>
    <col min="11257" max="11257" width="8.6640625" style="5" customWidth="1"/>
    <col min="11258" max="11258" width="14" style="5" customWidth="1"/>
    <col min="11259" max="11259" width="13.5" style="5" customWidth="1"/>
    <col min="11260" max="11260" width="11.5" style="5" customWidth="1"/>
    <col min="11261" max="11261" width="13.5" style="5" customWidth="1"/>
    <col min="11262" max="11503" width="8.83203125" style="5"/>
    <col min="11504" max="11504" width="6" style="5" customWidth="1"/>
    <col min="11505" max="11505" width="10.1640625" style="5" customWidth="1"/>
    <col min="11506" max="11506" width="37.33203125" style="5" customWidth="1"/>
    <col min="11507" max="11507" width="7" style="5" customWidth="1"/>
    <col min="11508" max="11508" width="0" style="5" hidden="1" customWidth="1"/>
    <col min="11509" max="11509" width="14.1640625" style="5" customWidth="1"/>
    <col min="11510" max="11510" width="14.5" style="5" customWidth="1"/>
    <col min="11511" max="11511" width="7.33203125" style="5" customWidth="1"/>
    <col min="11512" max="11512" width="16.1640625" style="5" customWidth="1"/>
    <col min="11513" max="11513" width="8.6640625" style="5" customWidth="1"/>
    <col min="11514" max="11514" width="14" style="5" customWidth="1"/>
    <col min="11515" max="11515" width="13.5" style="5" customWidth="1"/>
    <col min="11516" max="11516" width="11.5" style="5" customWidth="1"/>
    <col min="11517" max="11517" width="13.5" style="5" customWidth="1"/>
    <col min="11518" max="11759" width="8.83203125" style="5"/>
    <col min="11760" max="11760" width="6" style="5" customWidth="1"/>
    <col min="11761" max="11761" width="10.1640625" style="5" customWidth="1"/>
    <col min="11762" max="11762" width="37.33203125" style="5" customWidth="1"/>
    <col min="11763" max="11763" width="7" style="5" customWidth="1"/>
    <col min="11764" max="11764" width="0" style="5" hidden="1" customWidth="1"/>
    <col min="11765" max="11765" width="14.1640625" style="5" customWidth="1"/>
    <col min="11766" max="11766" width="14.5" style="5" customWidth="1"/>
    <col min="11767" max="11767" width="7.33203125" style="5" customWidth="1"/>
    <col min="11768" max="11768" width="16.1640625" style="5" customWidth="1"/>
    <col min="11769" max="11769" width="8.6640625" style="5" customWidth="1"/>
    <col min="11770" max="11770" width="14" style="5" customWidth="1"/>
    <col min="11771" max="11771" width="13.5" style="5" customWidth="1"/>
    <col min="11772" max="11772" width="11.5" style="5" customWidth="1"/>
    <col min="11773" max="11773" width="13.5" style="5" customWidth="1"/>
    <col min="11774" max="12015" width="8.83203125" style="5"/>
    <col min="12016" max="12016" width="6" style="5" customWidth="1"/>
    <col min="12017" max="12017" width="10.1640625" style="5" customWidth="1"/>
    <col min="12018" max="12018" width="37.33203125" style="5" customWidth="1"/>
    <col min="12019" max="12019" width="7" style="5" customWidth="1"/>
    <col min="12020" max="12020" width="0" style="5" hidden="1" customWidth="1"/>
    <col min="12021" max="12021" width="14.1640625" style="5" customWidth="1"/>
    <col min="12022" max="12022" width="14.5" style="5" customWidth="1"/>
    <col min="12023" max="12023" width="7.33203125" style="5" customWidth="1"/>
    <col min="12024" max="12024" width="16.1640625" style="5" customWidth="1"/>
    <col min="12025" max="12025" width="8.6640625" style="5" customWidth="1"/>
    <col min="12026" max="12026" width="14" style="5" customWidth="1"/>
    <col min="12027" max="12027" width="13.5" style="5" customWidth="1"/>
    <col min="12028" max="12028" width="11.5" style="5" customWidth="1"/>
    <col min="12029" max="12029" width="13.5" style="5" customWidth="1"/>
    <col min="12030" max="12271" width="8.83203125" style="5"/>
    <col min="12272" max="12272" width="6" style="5" customWidth="1"/>
    <col min="12273" max="12273" width="10.1640625" style="5" customWidth="1"/>
    <col min="12274" max="12274" width="37.33203125" style="5" customWidth="1"/>
    <col min="12275" max="12275" width="7" style="5" customWidth="1"/>
    <col min="12276" max="12276" width="0" style="5" hidden="1" customWidth="1"/>
    <col min="12277" max="12277" width="14.1640625" style="5" customWidth="1"/>
    <col min="12278" max="12278" width="14.5" style="5" customWidth="1"/>
    <col min="12279" max="12279" width="7.33203125" style="5" customWidth="1"/>
    <col min="12280" max="12280" width="16.1640625" style="5" customWidth="1"/>
    <col min="12281" max="12281" width="8.6640625" style="5" customWidth="1"/>
    <col min="12282" max="12282" width="14" style="5" customWidth="1"/>
    <col min="12283" max="12283" width="13.5" style="5" customWidth="1"/>
    <col min="12284" max="12284" width="11.5" style="5" customWidth="1"/>
    <col min="12285" max="12285" width="13.5" style="5" customWidth="1"/>
    <col min="12286" max="12527" width="8.83203125" style="5"/>
    <col min="12528" max="12528" width="6" style="5" customWidth="1"/>
    <col min="12529" max="12529" width="10.1640625" style="5" customWidth="1"/>
    <col min="12530" max="12530" width="37.33203125" style="5" customWidth="1"/>
    <col min="12531" max="12531" width="7" style="5" customWidth="1"/>
    <col min="12532" max="12532" width="0" style="5" hidden="1" customWidth="1"/>
    <col min="12533" max="12533" width="14.1640625" style="5" customWidth="1"/>
    <col min="12534" max="12534" width="14.5" style="5" customWidth="1"/>
    <col min="12535" max="12535" width="7.33203125" style="5" customWidth="1"/>
    <col min="12536" max="12536" width="16.1640625" style="5" customWidth="1"/>
    <col min="12537" max="12537" width="8.6640625" style="5" customWidth="1"/>
    <col min="12538" max="12538" width="14" style="5" customWidth="1"/>
    <col min="12539" max="12539" width="13.5" style="5" customWidth="1"/>
    <col min="12540" max="12540" width="11.5" style="5" customWidth="1"/>
    <col min="12541" max="12541" width="13.5" style="5" customWidth="1"/>
    <col min="12542" max="12783" width="8.83203125" style="5"/>
    <col min="12784" max="12784" width="6" style="5" customWidth="1"/>
    <col min="12785" max="12785" width="10.1640625" style="5" customWidth="1"/>
    <col min="12786" max="12786" width="37.33203125" style="5" customWidth="1"/>
    <col min="12787" max="12787" width="7" style="5" customWidth="1"/>
    <col min="12788" max="12788" width="0" style="5" hidden="1" customWidth="1"/>
    <col min="12789" max="12789" width="14.1640625" style="5" customWidth="1"/>
    <col min="12790" max="12790" width="14.5" style="5" customWidth="1"/>
    <col min="12791" max="12791" width="7.33203125" style="5" customWidth="1"/>
    <col min="12792" max="12792" width="16.1640625" style="5" customWidth="1"/>
    <col min="12793" max="12793" width="8.6640625" style="5" customWidth="1"/>
    <col min="12794" max="12794" width="14" style="5" customWidth="1"/>
    <col min="12795" max="12795" width="13.5" style="5" customWidth="1"/>
    <col min="12796" max="12796" width="11.5" style="5" customWidth="1"/>
    <col min="12797" max="12797" width="13.5" style="5" customWidth="1"/>
    <col min="12798" max="13039" width="8.83203125" style="5"/>
    <col min="13040" max="13040" width="6" style="5" customWidth="1"/>
    <col min="13041" max="13041" width="10.1640625" style="5" customWidth="1"/>
    <col min="13042" max="13042" width="37.33203125" style="5" customWidth="1"/>
    <col min="13043" max="13043" width="7" style="5" customWidth="1"/>
    <col min="13044" max="13044" width="0" style="5" hidden="1" customWidth="1"/>
    <col min="13045" max="13045" width="14.1640625" style="5" customWidth="1"/>
    <col min="13046" max="13046" width="14.5" style="5" customWidth="1"/>
    <col min="13047" max="13047" width="7.33203125" style="5" customWidth="1"/>
    <col min="13048" max="13048" width="16.1640625" style="5" customWidth="1"/>
    <col min="13049" max="13049" width="8.6640625" style="5" customWidth="1"/>
    <col min="13050" max="13050" width="14" style="5" customWidth="1"/>
    <col min="13051" max="13051" width="13.5" style="5" customWidth="1"/>
    <col min="13052" max="13052" width="11.5" style="5" customWidth="1"/>
    <col min="13053" max="13053" width="13.5" style="5" customWidth="1"/>
    <col min="13054" max="13295" width="8.83203125" style="5"/>
    <col min="13296" max="13296" width="6" style="5" customWidth="1"/>
    <col min="13297" max="13297" width="10.1640625" style="5" customWidth="1"/>
    <col min="13298" max="13298" width="37.33203125" style="5" customWidth="1"/>
    <col min="13299" max="13299" width="7" style="5" customWidth="1"/>
    <col min="13300" max="13300" width="0" style="5" hidden="1" customWidth="1"/>
    <col min="13301" max="13301" width="14.1640625" style="5" customWidth="1"/>
    <col min="13302" max="13302" width="14.5" style="5" customWidth="1"/>
    <col min="13303" max="13303" width="7.33203125" style="5" customWidth="1"/>
    <col min="13304" max="13304" width="16.1640625" style="5" customWidth="1"/>
    <col min="13305" max="13305" width="8.6640625" style="5" customWidth="1"/>
    <col min="13306" max="13306" width="14" style="5" customWidth="1"/>
    <col min="13307" max="13307" width="13.5" style="5" customWidth="1"/>
    <col min="13308" max="13308" width="11.5" style="5" customWidth="1"/>
    <col min="13309" max="13309" width="13.5" style="5" customWidth="1"/>
    <col min="13310" max="13551" width="8.83203125" style="5"/>
    <col min="13552" max="13552" width="6" style="5" customWidth="1"/>
    <col min="13553" max="13553" width="10.1640625" style="5" customWidth="1"/>
    <col min="13554" max="13554" width="37.33203125" style="5" customWidth="1"/>
    <col min="13555" max="13555" width="7" style="5" customWidth="1"/>
    <col min="13556" max="13556" width="0" style="5" hidden="1" customWidth="1"/>
    <col min="13557" max="13557" width="14.1640625" style="5" customWidth="1"/>
    <col min="13558" max="13558" width="14.5" style="5" customWidth="1"/>
    <col min="13559" max="13559" width="7.33203125" style="5" customWidth="1"/>
    <col min="13560" max="13560" width="16.1640625" style="5" customWidth="1"/>
    <col min="13561" max="13561" width="8.6640625" style="5" customWidth="1"/>
    <col min="13562" max="13562" width="14" style="5" customWidth="1"/>
    <col min="13563" max="13563" width="13.5" style="5" customWidth="1"/>
    <col min="13564" max="13564" width="11.5" style="5" customWidth="1"/>
    <col min="13565" max="13565" width="13.5" style="5" customWidth="1"/>
    <col min="13566" max="13807" width="8.83203125" style="5"/>
    <col min="13808" max="13808" width="6" style="5" customWidth="1"/>
    <col min="13809" max="13809" width="10.1640625" style="5" customWidth="1"/>
    <col min="13810" max="13810" width="37.33203125" style="5" customWidth="1"/>
    <col min="13811" max="13811" width="7" style="5" customWidth="1"/>
    <col min="13812" max="13812" width="0" style="5" hidden="1" customWidth="1"/>
    <col min="13813" max="13813" width="14.1640625" style="5" customWidth="1"/>
    <col min="13814" max="13814" width="14.5" style="5" customWidth="1"/>
    <col min="13815" max="13815" width="7.33203125" style="5" customWidth="1"/>
    <col min="13816" max="13816" width="16.1640625" style="5" customWidth="1"/>
    <col min="13817" max="13817" width="8.6640625" style="5" customWidth="1"/>
    <col min="13818" max="13818" width="14" style="5" customWidth="1"/>
    <col min="13819" max="13819" width="13.5" style="5" customWidth="1"/>
    <col min="13820" max="13820" width="11.5" style="5" customWidth="1"/>
    <col min="13821" max="13821" width="13.5" style="5" customWidth="1"/>
    <col min="13822" max="14063" width="8.83203125" style="5"/>
    <col min="14064" max="14064" width="6" style="5" customWidth="1"/>
    <col min="14065" max="14065" width="10.1640625" style="5" customWidth="1"/>
    <col min="14066" max="14066" width="37.33203125" style="5" customWidth="1"/>
    <col min="14067" max="14067" width="7" style="5" customWidth="1"/>
    <col min="14068" max="14068" width="0" style="5" hidden="1" customWidth="1"/>
    <col min="14069" max="14069" width="14.1640625" style="5" customWidth="1"/>
    <col min="14070" max="14070" width="14.5" style="5" customWidth="1"/>
    <col min="14071" max="14071" width="7.33203125" style="5" customWidth="1"/>
    <col min="14072" max="14072" width="16.1640625" style="5" customWidth="1"/>
    <col min="14073" max="14073" width="8.6640625" style="5" customWidth="1"/>
    <col min="14074" max="14074" width="14" style="5" customWidth="1"/>
    <col min="14075" max="14075" width="13.5" style="5" customWidth="1"/>
    <col min="14076" max="14076" width="11.5" style="5" customWidth="1"/>
    <col min="14077" max="14077" width="13.5" style="5" customWidth="1"/>
    <col min="14078" max="14319" width="8.83203125" style="5"/>
    <col min="14320" max="14320" width="6" style="5" customWidth="1"/>
    <col min="14321" max="14321" width="10.1640625" style="5" customWidth="1"/>
    <col min="14322" max="14322" width="37.33203125" style="5" customWidth="1"/>
    <col min="14323" max="14323" width="7" style="5" customWidth="1"/>
    <col min="14324" max="14324" width="0" style="5" hidden="1" customWidth="1"/>
    <col min="14325" max="14325" width="14.1640625" style="5" customWidth="1"/>
    <col min="14326" max="14326" width="14.5" style="5" customWidth="1"/>
    <col min="14327" max="14327" width="7.33203125" style="5" customWidth="1"/>
    <col min="14328" max="14328" width="16.1640625" style="5" customWidth="1"/>
    <col min="14329" max="14329" width="8.6640625" style="5" customWidth="1"/>
    <col min="14330" max="14330" width="14" style="5" customWidth="1"/>
    <col min="14331" max="14331" width="13.5" style="5" customWidth="1"/>
    <col min="14332" max="14332" width="11.5" style="5" customWidth="1"/>
    <col min="14333" max="14333" width="13.5" style="5" customWidth="1"/>
    <col min="14334" max="14575" width="8.83203125" style="5"/>
    <col min="14576" max="14576" width="6" style="5" customWidth="1"/>
    <col min="14577" max="14577" width="10.1640625" style="5" customWidth="1"/>
    <col min="14578" max="14578" width="37.33203125" style="5" customWidth="1"/>
    <col min="14579" max="14579" width="7" style="5" customWidth="1"/>
    <col min="14580" max="14580" width="0" style="5" hidden="1" customWidth="1"/>
    <col min="14581" max="14581" width="14.1640625" style="5" customWidth="1"/>
    <col min="14582" max="14582" width="14.5" style="5" customWidth="1"/>
    <col min="14583" max="14583" width="7.33203125" style="5" customWidth="1"/>
    <col min="14584" max="14584" width="16.1640625" style="5" customWidth="1"/>
    <col min="14585" max="14585" width="8.6640625" style="5" customWidth="1"/>
    <col min="14586" max="14586" width="14" style="5" customWidth="1"/>
    <col min="14587" max="14587" width="13.5" style="5" customWidth="1"/>
    <col min="14588" max="14588" width="11.5" style="5" customWidth="1"/>
    <col min="14589" max="14589" width="13.5" style="5" customWidth="1"/>
    <col min="14590" max="14831" width="8.83203125" style="5"/>
    <col min="14832" max="14832" width="6" style="5" customWidth="1"/>
    <col min="14833" max="14833" width="10.1640625" style="5" customWidth="1"/>
    <col min="14834" max="14834" width="37.33203125" style="5" customWidth="1"/>
    <col min="14835" max="14835" width="7" style="5" customWidth="1"/>
    <col min="14836" max="14836" width="0" style="5" hidden="1" customWidth="1"/>
    <col min="14837" max="14837" width="14.1640625" style="5" customWidth="1"/>
    <col min="14838" max="14838" width="14.5" style="5" customWidth="1"/>
    <col min="14839" max="14839" width="7.33203125" style="5" customWidth="1"/>
    <col min="14840" max="14840" width="16.1640625" style="5" customWidth="1"/>
    <col min="14841" max="14841" width="8.6640625" style="5" customWidth="1"/>
    <col min="14842" max="14842" width="14" style="5" customWidth="1"/>
    <col min="14843" max="14843" width="13.5" style="5" customWidth="1"/>
    <col min="14844" max="14844" width="11.5" style="5" customWidth="1"/>
    <col min="14845" max="14845" width="13.5" style="5" customWidth="1"/>
    <col min="14846" max="15087" width="8.83203125" style="5"/>
    <col min="15088" max="15088" width="6" style="5" customWidth="1"/>
    <col min="15089" max="15089" width="10.1640625" style="5" customWidth="1"/>
    <col min="15090" max="15090" width="37.33203125" style="5" customWidth="1"/>
    <col min="15091" max="15091" width="7" style="5" customWidth="1"/>
    <col min="15092" max="15092" width="0" style="5" hidden="1" customWidth="1"/>
    <col min="15093" max="15093" width="14.1640625" style="5" customWidth="1"/>
    <col min="15094" max="15094" width="14.5" style="5" customWidth="1"/>
    <col min="15095" max="15095" width="7.33203125" style="5" customWidth="1"/>
    <col min="15096" max="15096" width="16.1640625" style="5" customWidth="1"/>
    <col min="15097" max="15097" width="8.6640625" style="5" customWidth="1"/>
    <col min="15098" max="15098" width="14" style="5" customWidth="1"/>
    <col min="15099" max="15099" width="13.5" style="5" customWidth="1"/>
    <col min="15100" max="15100" width="11.5" style="5" customWidth="1"/>
    <col min="15101" max="15101" width="13.5" style="5" customWidth="1"/>
    <col min="15102" max="15343" width="8.83203125" style="5"/>
    <col min="15344" max="15344" width="6" style="5" customWidth="1"/>
    <col min="15345" max="15345" width="10.1640625" style="5" customWidth="1"/>
    <col min="15346" max="15346" width="37.33203125" style="5" customWidth="1"/>
    <col min="15347" max="15347" width="7" style="5" customWidth="1"/>
    <col min="15348" max="15348" width="0" style="5" hidden="1" customWidth="1"/>
    <col min="15349" max="15349" width="14.1640625" style="5" customWidth="1"/>
    <col min="15350" max="15350" width="14.5" style="5" customWidth="1"/>
    <col min="15351" max="15351" width="7.33203125" style="5" customWidth="1"/>
    <col min="15352" max="15352" width="16.1640625" style="5" customWidth="1"/>
    <col min="15353" max="15353" width="8.6640625" style="5" customWidth="1"/>
    <col min="15354" max="15354" width="14" style="5" customWidth="1"/>
    <col min="15355" max="15355" width="13.5" style="5" customWidth="1"/>
    <col min="15356" max="15356" width="11.5" style="5" customWidth="1"/>
    <col min="15357" max="15357" width="13.5" style="5" customWidth="1"/>
    <col min="15358" max="15599" width="8.83203125" style="5"/>
    <col min="15600" max="15600" width="6" style="5" customWidth="1"/>
    <col min="15601" max="15601" width="10.1640625" style="5" customWidth="1"/>
    <col min="15602" max="15602" width="37.33203125" style="5" customWidth="1"/>
    <col min="15603" max="15603" width="7" style="5" customWidth="1"/>
    <col min="15604" max="15604" width="0" style="5" hidden="1" customWidth="1"/>
    <col min="15605" max="15605" width="14.1640625" style="5" customWidth="1"/>
    <col min="15606" max="15606" width="14.5" style="5" customWidth="1"/>
    <col min="15607" max="15607" width="7.33203125" style="5" customWidth="1"/>
    <col min="15608" max="15608" width="16.1640625" style="5" customWidth="1"/>
    <col min="15609" max="15609" width="8.6640625" style="5" customWidth="1"/>
    <col min="15610" max="15610" width="14" style="5" customWidth="1"/>
    <col min="15611" max="15611" width="13.5" style="5" customWidth="1"/>
    <col min="15612" max="15612" width="11.5" style="5" customWidth="1"/>
    <col min="15613" max="15613" width="13.5" style="5" customWidth="1"/>
    <col min="15614" max="15855" width="8.83203125" style="5"/>
    <col min="15856" max="15856" width="6" style="5" customWidth="1"/>
    <col min="15857" max="15857" width="10.1640625" style="5" customWidth="1"/>
    <col min="15858" max="15858" width="37.33203125" style="5" customWidth="1"/>
    <col min="15859" max="15859" width="7" style="5" customWidth="1"/>
    <col min="15860" max="15860" width="0" style="5" hidden="1" customWidth="1"/>
    <col min="15861" max="15861" width="14.1640625" style="5" customWidth="1"/>
    <col min="15862" max="15862" width="14.5" style="5" customWidth="1"/>
    <col min="15863" max="15863" width="7.33203125" style="5" customWidth="1"/>
    <col min="15864" max="15864" width="16.1640625" style="5" customWidth="1"/>
    <col min="15865" max="15865" width="8.6640625" style="5" customWidth="1"/>
    <col min="15866" max="15866" width="14" style="5" customWidth="1"/>
    <col min="15867" max="15867" width="13.5" style="5" customWidth="1"/>
    <col min="15868" max="15868" width="11.5" style="5" customWidth="1"/>
    <col min="15869" max="15869" width="13.5" style="5" customWidth="1"/>
    <col min="15870" max="16111" width="8.83203125" style="5"/>
    <col min="16112" max="16112" width="6" style="5" customWidth="1"/>
    <col min="16113" max="16113" width="10.1640625" style="5" customWidth="1"/>
    <col min="16114" max="16114" width="37.33203125" style="5" customWidth="1"/>
    <col min="16115" max="16115" width="7" style="5" customWidth="1"/>
    <col min="16116" max="16116" width="0" style="5" hidden="1" customWidth="1"/>
    <col min="16117" max="16117" width="14.1640625" style="5" customWidth="1"/>
    <col min="16118" max="16118" width="14.5" style="5" customWidth="1"/>
    <col min="16119" max="16119" width="7.33203125" style="5" customWidth="1"/>
    <col min="16120" max="16120" width="16.1640625" style="5" customWidth="1"/>
    <col min="16121" max="16121" width="8.6640625" style="5" customWidth="1"/>
    <col min="16122" max="16122" width="14" style="5" customWidth="1"/>
    <col min="16123" max="16123" width="13.5" style="5" customWidth="1"/>
    <col min="16124" max="16124" width="11.5" style="5" customWidth="1"/>
    <col min="16125" max="16125" width="13.5" style="5" customWidth="1"/>
    <col min="16126" max="16376" width="8.83203125" style="5"/>
    <col min="16377" max="16384" width="8.6640625" style="5" customWidth="1"/>
  </cols>
  <sheetData>
    <row r="1" spans="1:13">
      <c r="A1" s="83" t="s">
        <v>8</v>
      </c>
      <c r="B1" s="83"/>
      <c r="C1" s="83"/>
      <c r="D1" s="83"/>
      <c r="E1" s="83"/>
      <c r="F1" s="83"/>
      <c r="G1" s="83"/>
      <c r="H1" s="83"/>
      <c r="I1" s="83"/>
      <c r="J1" s="83"/>
      <c r="K1" s="83"/>
      <c r="L1" s="83"/>
      <c r="M1" s="83"/>
    </row>
    <row r="2" spans="1:13" s="7" customFormat="1" ht="66" customHeight="1">
      <c r="B2" s="84" t="s">
        <v>12</v>
      </c>
      <c r="C2" s="85"/>
      <c r="D2" s="85"/>
      <c r="E2" s="85"/>
      <c r="F2" s="85"/>
      <c r="G2" s="85"/>
      <c r="H2" s="85"/>
      <c r="I2" s="85"/>
      <c r="J2" s="85"/>
      <c r="K2" s="85"/>
      <c r="L2" s="85"/>
      <c r="M2" s="86"/>
    </row>
    <row r="3" spans="1:13" s="7" customFormat="1">
      <c r="B3" s="87"/>
      <c r="C3" s="87"/>
      <c r="D3" s="87"/>
      <c r="E3" s="87"/>
      <c r="F3" s="87"/>
      <c r="G3" s="87"/>
      <c r="H3" s="87"/>
      <c r="I3" s="87"/>
      <c r="J3" s="87"/>
      <c r="K3" s="87"/>
      <c r="L3" s="87"/>
      <c r="M3" s="87"/>
    </row>
    <row r="4" spans="1:13" s="7" customFormat="1">
      <c r="B4" s="88" t="s">
        <v>26</v>
      </c>
      <c r="C4" s="88"/>
      <c r="D4" s="88"/>
      <c r="E4" s="88"/>
      <c r="F4" s="88"/>
      <c r="G4" s="88"/>
      <c r="H4" s="88"/>
      <c r="I4" s="88"/>
      <c r="J4" s="88"/>
      <c r="K4" s="89" t="s">
        <v>21</v>
      </c>
      <c r="L4" s="89"/>
      <c r="M4" s="43" t="str">
        <f ca="1">IF(OR(M5="",B6=""),"",
"PO-"&amp;
UPPER(LEFT(MID(B6,15,LEN(B6)),4))&amp;
"-"&amp;TEXT(M5,"ddmm"))</f>
        <v>PO-BR-1006</v>
      </c>
    </row>
    <row r="5" spans="1:13" s="7" customFormat="1">
      <c r="B5" s="92" t="s">
        <v>78</v>
      </c>
      <c r="C5" s="92"/>
      <c r="D5" s="92"/>
      <c r="E5" s="92"/>
      <c r="F5" s="92"/>
      <c r="G5" s="92"/>
      <c r="H5" s="92"/>
      <c r="I5" s="92"/>
      <c r="J5" s="92"/>
      <c r="K5" s="91" t="s">
        <v>22</v>
      </c>
      <c r="L5" s="91"/>
      <c r="M5" s="35">
        <f ca="1">TODAY()</f>
        <v>46183</v>
      </c>
    </row>
    <row r="6" spans="1:13" s="7" customFormat="1">
      <c r="B6" s="93" t="s">
        <v>77</v>
      </c>
      <c r="C6" s="93"/>
      <c r="D6" s="93"/>
      <c r="E6" s="93"/>
      <c r="F6" s="93"/>
      <c r="G6" s="93"/>
      <c r="H6" s="93"/>
      <c r="I6" s="93"/>
      <c r="J6" s="93"/>
      <c r="K6" s="91" t="s">
        <v>23</v>
      </c>
      <c r="L6" s="91"/>
      <c r="M6" s="35">
        <v>46172</v>
      </c>
    </row>
    <row r="7" spans="1:13" s="7" customFormat="1">
      <c r="B7" s="92" t="s">
        <v>27</v>
      </c>
      <c r="C7" s="92"/>
      <c r="D7" s="92"/>
      <c r="E7" s="92"/>
      <c r="F7" s="92"/>
      <c r="G7" s="92"/>
      <c r="H7" s="92"/>
      <c r="I7" s="92"/>
      <c r="J7" s="92"/>
      <c r="K7" s="91" t="s">
        <v>24</v>
      </c>
      <c r="L7" s="91"/>
      <c r="M7" s="34" t="s">
        <v>25</v>
      </c>
    </row>
    <row r="8" spans="1:13">
      <c r="A8" s="7"/>
      <c r="B8" s="44" t="s">
        <v>28</v>
      </c>
      <c r="C8" s="45"/>
      <c r="D8" s="45"/>
      <c r="E8" s="45"/>
      <c r="F8" s="45"/>
      <c r="G8" s="45"/>
      <c r="H8" s="45"/>
      <c r="I8" s="45"/>
      <c r="J8" s="46"/>
      <c r="K8" s="47"/>
      <c r="L8" s="48"/>
      <c r="M8" s="49"/>
    </row>
    <row r="9" spans="1:13" ht="28">
      <c r="A9" s="7"/>
      <c r="B9" s="57" t="s">
        <v>1</v>
      </c>
      <c r="C9" s="57" t="s">
        <v>19</v>
      </c>
      <c r="D9" s="57" t="s">
        <v>18</v>
      </c>
      <c r="E9" s="57" t="s">
        <v>17</v>
      </c>
      <c r="F9" s="57" t="s">
        <v>126</v>
      </c>
      <c r="G9" s="57" t="s">
        <v>139</v>
      </c>
      <c r="H9" s="57" t="s">
        <v>16</v>
      </c>
      <c r="I9" s="57" t="s">
        <v>13</v>
      </c>
      <c r="J9" s="57" t="s">
        <v>15</v>
      </c>
      <c r="K9" s="57" t="s">
        <v>14</v>
      </c>
      <c r="L9" s="57" t="s">
        <v>0</v>
      </c>
      <c r="M9" s="57" t="s">
        <v>20</v>
      </c>
    </row>
    <row r="10" spans="1:13" s="11" customFormat="1">
      <c r="A10" s="7"/>
      <c r="B10" s="53" t="s">
        <v>49</v>
      </c>
      <c r="C10" s="54"/>
      <c r="D10" s="54"/>
      <c r="E10" s="54"/>
      <c r="F10" s="54"/>
      <c r="G10" s="54"/>
      <c r="H10" s="54"/>
      <c r="I10" s="54"/>
      <c r="J10" s="54"/>
      <c r="K10" s="54"/>
      <c r="L10" s="54"/>
      <c r="M10" s="54"/>
    </row>
    <row r="11" spans="1:13" s="11" customFormat="1" ht="28">
      <c r="A11" s="7"/>
      <c r="B11" s="30" t="s">
        <v>11</v>
      </c>
      <c r="C11" s="42" t="s">
        <v>56</v>
      </c>
      <c r="D11" s="1" t="s">
        <v>30</v>
      </c>
      <c r="E11" s="29" t="s">
        <v>55</v>
      </c>
      <c r="F11" s="29" t="s">
        <v>127</v>
      </c>
      <c r="G11" s="29" t="s">
        <v>140</v>
      </c>
      <c r="H11" s="1">
        <v>1</v>
      </c>
      <c r="I11" s="1" t="s">
        <v>109</v>
      </c>
      <c r="J11" s="50">
        <v>980000</v>
      </c>
      <c r="K11" s="36">
        <f>J11*H11</f>
        <v>980000</v>
      </c>
      <c r="L11" s="37">
        <v>0.08</v>
      </c>
      <c r="M11" s="36">
        <f>K11*L11+K11</f>
        <v>1058400</v>
      </c>
    </row>
    <row r="12" spans="1:13" s="11" customFormat="1">
      <c r="A12" s="7"/>
      <c r="B12" s="30" t="s">
        <v>29</v>
      </c>
      <c r="C12" s="42" t="s">
        <v>57</v>
      </c>
      <c r="D12" s="1" t="s">
        <v>30</v>
      </c>
      <c r="E12" s="29" t="s">
        <v>58</v>
      </c>
      <c r="F12" s="29" t="s">
        <v>127</v>
      </c>
      <c r="G12" s="29" t="s">
        <v>140</v>
      </c>
      <c r="H12" s="1">
        <v>24</v>
      </c>
      <c r="I12" s="1" t="s">
        <v>109</v>
      </c>
      <c r="J12" s="50">
        <v>100000</v>
      </c>
      <c r="K12" s="36">
        <f t="shared" ref="K12:K62" si="0">J12*H12</f>
        <v>2400000</v>
      </c>
      <c r="L12" s="37">
        <v>0.08</v>
      </c>
      <c r="M12" s="36">
        <f>K12*L12+K12</f>
        <v>2592000</v>
      </c>
    </row>
    <row r="13" spans="1:13" s="11" customFormat="1">
      <c r="A13" s="7"/>
      <c r="B13" s="30" t="s">
        <v>33</v>
      </c>
      <c r="C13" s="42" t="s">
        <v>90</v>
      </c>
      <c r="D13" s="1" t="s">
        <v>30</v>
      </c>
      <c r="E13" s="29" t="s">
        <v>91</v>
      </c>
      <c r="F13" s="29" t="s">
        <v>130</v>
      </c>
      <c r="G13" s="29" t="s">
        <v>141</v>
      </c>
      <c r="H13" s="1">
        <v>1</v>
      </c>
      <c r="I13" s="2" t="s">
        <v>44</v>
      </c>
      <c r="J13" s="50">
        <v>5690000</v>
      </c>
      <c r="K13" s="36">
        <f t="shared" si="0"/>
        <v>5690000</v>
      </c>
      <c r="L13" s="37">
        <v>0.08</v>
      </c>
      <c r="M13" s="36">
        <f t="shared" ref="M13:M62" si="1">K13*L13+K13</f>
        <v>6145200</v>
      </c>
    </row>
    <row r="14" spans="1:13" s="11" customFormat="1">
      <c r="A14" s="7"/>
      <c r="B14" s="30" t="s">
        <v>34</v>
      </c>
      <c r="C14" s="42" t="s">
        <v>111</v>
      </c>
      <c r="D14" s="1" t="s">
        <v>30</v>
      </c>
      <c r="E14" s="29" t="s">
        <v>112</v>
      </c>
      <c r="F14" s="29" t="s">
        <v>132</v>
      </c>
      <c r="G14" s="29" t="s">
        <v>140</v>
      </c>
      <c r="H14" s="1">
        <v>1</v>
      </c>
      <c r="I14" s="2" t="s">
        <v>109</v>
      </c>
      <c r="J14" s="50">
        <v>7350000</v>
      </c>
      <c r="K14" s="36">
        <f t="shared" si="0"/>
        <v>7350000</v>
      </c>
      <c r="L14" s="37">
        <v>0.08</v>
      </c>
      <c r="M14" s="36">
        <f t="shared" si="1"/>
        <v>7938000</v>
      </c>
    </row>
    <row r="15" spans="1:13" s="11" customFormat="1">
      <c r="A15" s="7"/>
      <c r="B15" s="30" t="s">
        <v>37</v>
      </c>
      <c r="C15" s="42" t="s">
        <v>110</v>
      </c>
      <c r="D15" s="1" t="s">
        <v>30</v>
      </c>
      <c r="E15" s="29" t="s">
        <v>115</v>
      </c>
      <c r="F15" s="29" t="s">
        <v>132</v>
      </c>
      <c r="G15" s="29" t="s">
        <v>140</v>
      </c>
      <c r="H15" s="1">
        <v>1</v>
      </c>
      <c r="I15" s="2" t="s">
        <v>109</v>
      </c>
      <c r="J15" s="50">
        <v>14350000</v>
      </c>
      <c r="K15" s="36">
        <f t="shared" si="0"/>
        <v>14350000</v>
      </c>
      <c r="L15" s="37">
        <v>0.08</v>
      </c>
      <c r="M15" s="36">
        <f t="shared" si="1"/>
        <v>15498000</v>
      </c>
    </row>
    <row r="16" spans="1:13" s="11" customFormat="1" ht="42">
      <c r="A16" s="7"/>
      <c r="B16" s="30" t="s">
        <v>38</v>
      </c>
      <c r="C16" s="42" t="s">
        <v>99</v>
      </c>
      <c r="D16" s="1" t="s">
        <v>30</v>
      </c>
      <c r="E16" s="51" t="s">
        <v>100</v>
      </c>
      <c r="F16" s="51" t="s">
        <v>138</v>
      </c>
      <c r="G16" s="51" t="s">
        <v>140</v>
      </c>
      <c r="H16" s="1">
        <v>1</v>
      </c>
      <c r="I16" s="2" t="s">
        <v>109</v>
      </c>
      <c r="J16" s="50">
        <v>25750000</v>
      </c>
      <c r="K16" s="36">
        <f t="shared" si="0"/>
        <v>25750000</v>
      </c>
      <c r="L16" s="37">
        <v>0.08</v>
      </c>
      <c r="M16" s="36">
        <f t="shared" si="1"/>
        <v>27810000</v>
      </c>
    </row>
    <row r="17" spans="1:13" s="11" customFormat="1">
      <c r="A17" s="7"/>
      <c r="B17" s="30" t="s">
        <v>39</v>
      </c>
      <c r="C17" s="42" t="s">
        <v>35</v>
      </c>
      <c r="D17" s="1" t="s">
        <v>30</v>
      </c>
      <c r="E17" s="51" t="s">
        <v>66</v>
      </c>
      <c r="F17" s="51" t="s">
        <v>128</v>
      </c>
      <c r="G17" s="51" t="s">
        <v>141</v>
      </c>
      <c r="H17" s="1">
        <v>1</v>
      </c>
      <c r="I17" s="2" t="s">
        <v>109</v>
      </c>
      <c r="J17" s="50">
        <v>300000</v>
      </c>
      <c r="K17" s="36">
        <f t="shared" si="0"/>
        <v>300000</v>
      </c>
      <c r="L17" s="37">
        <v>0.08</v>
      </c>
      <c r="M17" s="36">
        <f t="shared" si="1"/>
        <v>324000</v>
      </c>
    </row>
    <row r="18" spans="1:13" s="11" customFormat="1">
      <c r="A18" s="7"/>
      <c r="B18" s="30" t="s">
        <v>40</v>
      </c>
      <c r="C18" s="42" t="s">
        <v>101</v>
      </c>
      <c r="D18" s="1" t="s">
        <v>30</v>
      </c>
      <c r="E18" s="51" t="s">
        <v>102</v>
      </c>
      <c r="F18" s="51" t="s">
        <v>132</v>
      </c>
      <c r="G18" s="51" t="s">
        <v>140</v>
      </c>
      <c r="H18" s="1">
        <v>8</v>
      </c>
      <c r="I18" s="2" t="s">
        <v>109</v>
      </c>
      <c r="J18" s="50">
        <v>3810000</v>
      </c>
      <c r="K18" s="36">
        <f t="shared" si="0"/>
        <v>30480000</v>
      </c>
      <c r="L18" s="37">
        <v>0.08</v>
      </c>
      <c r="M18" s="36">
        <f t="shared" si="1"/>
        <v>32918400</v>
      </c>
    </row>
    <row r="19" spans="1:13" s="11" customFormat="1">
      <c r="A19" s="7"/>
      <c r="B19" s="30" t="s">
        <v>41</v>
      </c>
      <c r="C19" s="42" t="s">
        <v>79</v>
      </c>
      <c r="D19" s="1" t="s">
        <v>30</v>
      </c>
      <c r="E19" s="51" t="s">
        <v>31</v>
      </c>
      <c r="F19" s="51" t="s">
        <v>131</v>
      </c>
      <c r="G19" s="51" t="s">
        <v>140</v>
      </c>
      <c r="H19" s="1">
        <v>1</v>
      </c>
      <c r="I19" s="2" t="s">
        <v>109</v>
      </c>
      <c r="J19" s="50">
        <v>1450000</v>
      </c>
      <c r="K19" s="36">
        <f t="shared" si="0"/>
        <v>1450000</v>
      </c>
      <c r="L19" s="37">
        <v>0.08</v>
      </c>
      <c r="M19" s="36">
        <f t="shared" si="1"/>
        <v>1566000</v>
      </c>
    </row>
    <row r="20" spans="1:13" s="11" customFormat="1">
      <c r="A20" s="7"/>
      <c r="B20" s="30" t="s">
        <v>52</v>
      </c>
      <c r="C20" s="42" t="s">
        <v>80</v>
      </c>
      <c r="D20" s="1" t="s">
        <v>30</v>
      </c>
      <c r="E20" s="51" t="s">
        <v>53</v>
      </c>
      <c r="F20" s="51" t="s">
        <v>137</v>
      </c>
      <c r="G20" s="51" t="s">
        <v>140</v>
      </c>
      <c r="H20" s="1">
        <v>10</v>
      </c>
      <c r="I20" s="2" t="s">
        <v>54</v>
      </c>
      <c r="J20" s="50">
        <v>200000</v>
      </c>
      <c r="K20" s="36">
        <f t="shared" si="0"/>
        <v>2000000</v>
      </c>
      <c r="L20" s="37">
        <v>0.08</v>
      </c>
      <c r="M20" s="36">
        <f t="shared" si="1"/>
        <v>2160000</v>
      </c>
    </row>
    <row r="21" spans="1:13" s="11" customFormat="1">
      <c r="A21" s="7"/>
      <c r="B21" s="30" t="s">
        <v>68</v>
      </c>
      <c r="C21" s="42" t="s">
        <v>81</v>
      </c>
      <c r="D21" s="1" t="s">
        <v>30</v>
      </c>
      <c r="E21" s="51" t="s">
        <v>76</v>
      </c>
      <c r="F21" s="51" t="s">
        <v>137</v>
      </c>
      <c r="G21" s="51" t="s">
        <v>140</v>
      </c>
      <c r="H21" s="1">
        <v>1</v>
      </c>
      <c r="I21" s="2" t="s">
        <v>54</v>
      </c>
      <c r="J21" s="50">
        <v>200000</v>
      </c>
      <c r="K21" s="36">
        <f t="shared" si="0"/>
        <v>200000</v>
      </c>
      <c r="L21" s="37"/>
      <c r="M21" s="36">
        <f t="shared" si="1"/>
        <v>200000</v>
      </c>
    </row>
    <row r="22" spans="1:13" s="11" customFormat="1" ht="154">
      <c r="A22" s="7"/>
      <c r="B22" s="30" t="s">
        <v>75</v>
      </c>
      <c r="C22" s="42" t="s">
        <v>71</v>
      </c>
      <c r="D22" s="1" t="s">
        <v>30</v>
      </c>
      <c r="E22" s="51" t="s">
        <v>89</v>
      </c>
      <c r="F22" s="51" t="s">
        <v>136</v>
      </c>
      <c r="G22" s="51" t="s">
        <v>140</v>
      </c>
      <c r="H22" s="1">
        <v>1</v>
      </c>
      <c r="I22" s="2" t="s">
        <v>109</v>
      </c>
      <c r="J22" s="50">
        <v>10450000</v>
      </c>
      <c r="K22" s="36">
        <f t="shared" si="0"/>
        <v>10450000</v>
      </c>
      <c r="L22" s="37">
        <v>0.08</v>
      </c>
      <c r="M22" s="36">
        <f t="shared" si="1"/>
        <v>11286000</v>
      </c>
    </row>
    <row r="23" spans="1:13" s="11" customFormat="1">
      <c r="A23" s="7"/>
      <c r="B23" s="30" t="s">
        <v>84</v>
      </c>
      <c r="C23" s="42" t="s">
        <v>70</v>
      </c>
      <c r="D23" s="1" t="s">
        <v>30</v>
      </c>
      <c r="E23" s="51" t="s">
        <v>69</v>
      </c>
      <c r="F23" s="51" t="s">
        <v>128</v>
      </c>
      <c r="G23" s="51" t="s">
        <v>141</v>
      </c>
      <c r="H23" s="1">
        <v>1</v>
      </c>
      <c r="I23" s="2" t="s">
        <v>109</v>
      </c>
      <c r="J23" s="50">
        <v>1100000</v>
      </c>
      <c r="K23" s="36">
        <f t="shared" si="0"/>
        <v>1100000</v>
      </c>
      <c r="L23" s="37">
        <v>0.08</v>
      </c>
      <c r="M23" s="36">
        <f t="shared" si="1"/>
        <v>1188000</v>
      </c>
    </row>
    <row r="24" spans="1:13" s="11" customFormat="1" ht="345">
      <c r="A24" s="7"/>
      <c r="B24" s="30" t="s">
        <v>142</v>
      </c>
      <c r="C24" s="42" t="s">
        <v>85</v>
      </c>
      <c r="D24" s="1" t="s">
        <v>30</v>
      </c>
      <c r="E24" s="51" t="s">
        <v>88</v>
      </c>
      <c r="F24" s="51" t="s">
        <v>135</v>
      </c>
      <c r="G24" s="51" t="s">
        <v>140</v>
      </c>
      <c r="H24" s="1">
        <v>1</v>
      </c>
      <c r="I24" s="2" t="s">
        <v>109</v>
      </c>
      <c r="J24" s="50">
        <v>8500000</v>
      </c>
      <c r="K24" s="36">
        <f t="shared" si="0"/>
        <v>8500000</v>
      </c>
      <c r="L24" s="37">
        <v>0.08</v>
      </c>
      <c r="M24" s="36">
        <f t="shared" si="1"/>
        <v>9180000</v>
      </c>
    </row>
    <row r="25" spans="1:13" s="11" customFormat="1">
      <c r="A25" s="7"/>
      <c r="B25" s="54" t="s">
        <v>48</v>
      </c>
      <c r="C25" s="55"/>
      <c r="D25" s="55"/>
      <c r="E25" s="55"/>
      <c r="F25" s="55"/>
      <c r="G25" s="55"/>
      <c r="H25" s="55"/>
      <c r="I25" s="55"/>
      <c r="J25" s="55"/>
      <c r="K25" s="56">
        <f t="shared" si="0"/>
        <v>0</v>
      </c>
      <c r="L25" s="55"/>
      <c r="M25" s="56">
        <f t="shared" si="1"/>
        <v>0</v>
      </c>
    </row>
    <row r="26" spans="1:13" s="11" customFormat="1" ht="28">
      <c r="A26" s="7"/>
      <c r="B26" s="30" t="s">
        <v>11</v>
      </c>
      <c r="C26" s="42" t="s">
        <v>56</v>
      </c>
      <c r="D26" s="1" t="s">
        <v>30</v>
      </c>
      <c r="E26" s="29" t="s">
        <v>55</v>
      </c>
      <c r="F26" s="29" t="s">
        <v>127</v>
      </c>
      <c r="G26" s="29" t="s">
        <v>140</v>
      </c>
      <c r="H26" s="1">
        <v>1</v>
      </c>
      <c r="I26" s="2" t="s">
        <v>109</v>
      </c>
      <c r="J26" s="50">
        <v>980000</v>
      </c>
      <c r="K26" s="36">
        <f t="shared" si="0"/>
        <v>980000</v>
      </c>
      <c r="L26" s="37">
        <v>0.08</v>
      </c>
      <c r="M26" s="36">
        <f t="shared" si="1"/>
        <v>1058400</v>
      </c>
    </row>
    <row r="27" spans="1:13" s="11" customFormat="1">
      <c r="A27" s="7"/>
      <c r="B27" s="30" t="s">
        <v>29</v>
      </c>
      <c r="C27" s="42" t="s">
        <v>57</v>
      </c>
      <c r="D27" s="1" t="s">
        <v>30</v>
      </c>
      <c r="E27" s="29" t="s">
        <v>59</v>
      </c>
      <c r="F27" s="29" t="s">
        <v>127</v>
      </c>
      <c r="G27" s="29" t="s">
        <v>140</v>
      </c>
      <c r="H27" s="1">
        <v>24</v>
      </c>
      <c r="I27" s="2" t="s">
        <v>109</v>
      </c>
      <c r="J27" s="50">
        <v>100000</v>
      </c>
      <c r="K27" s="36">
        <f t="shared" si="0"/>
        <v>2400000</v>
      </c>
      <c r="L27" s="37">
        <v>0.08</v>
      </c>
      <c r="M27" s="36">
        <f t="shared" si="1"/>
        <v>2592000</v>
      </c>
    </row>
    <row r="28" spans="1:13" s="11" customFormat="1">
      <c r="A28" s="7"/>
      <c r="B28" s="30" t="s">
        <v>33</v>
      </c>
      <c r="C28" s="42" t="s">
        <v>45</v>
      </c>
      <c r="D28" s="1" t="s">
        <v>30</v>
      </c>
      <c r="E28" s="71" t="s">
        <v>67</v>
      </c>
      <c r="F28" s="71" t="s">
        <v>128</v>
      </c>
      <c r="G28" s="71" t="s">
        <v>141</v>
      </c>
      <c r="H28" s="1">
        <v>1</v>
      </c>
      <c r="I28" s="2" t="s">
        <v>46</v>
      </c>
      <c r="J28" s="50">
        <v>50000</v>
      </c>
      <c r="K28" s="36">
        <f t="shared" si="0"/>
        <v>50000</v>
      </c>
      <c r="L28" s="37">
        <v>0.08</v>
      </c>
      <c r="M28" s="36">
        <f t="shared" si="1"/>
        <v>54000</v>
      </c>
    </row>
    <row r="29" spans="1:13" s="11" customFormat="1">
      <c r="A29" s="7"/>
      <c r="B29" s="30" t="s">
        <v>34</v>
      </c>
      <c r="C29" s="42" t="s">
        <v>42</v>
      </c>
      <c r="D29" s="1" t="s">
        <v>30</v>
      </c>
      <c r="E29" s="29" t="s">
        <v>43</v>
      </c>
      <c r="F29" s="29" t="s">
        <v>130</v>
      </c>
      <c r="G29" s="29" t="s">
        <v>141</v>
      </c>
      <c r="H29" s="1">
        <v>1</v>
      </c>
      <c r="I29" s="2" t="s">
        <v>44</v>
      </c>
      <c r="J29" s="50">
        <v>4490000</v>
      </c>
      <c r="K29" s="36">
        <f t="shared" si="0"/>
        <v>4490000</v>
      </c>
      <c r="L29" s="37">
        <v>0.08</v>
      </c>
      <c r="M29" s="36">
        <f t="shared" si="1"/>
        <v>4849200</v>
      </c>
    </row>
    <row r="30" spans="1:13" s="11" customFormat="1" ht="126">
      <c r="A30" s="7"/>
      <c r="B30" s="30" t="s">
        <v>37</v>
      </c>
      <c r="C30" s="42" t="s">
        <v>92</v>
      </c>
      <c r="D30" s="1" t="s">
        <v>30</v>
      </c>
      <c r="E30" s="29" t="s">
        <v>95</v>
      </c>
      <c r="F30" s="29" t="s">
        <v>136</v>
      </c>
      <c r="G30" s="29" t="s">
        <v>140</v>
      </c>
      <c r="H30" s="1">
        <v>1</v>
      </c>
      <c r="I30" s="2" t="s">
        <v>109</v>
      </c>
      <c r="J30" s="50">
        <v>6282000</v>
      </c>
      <c r="K30" s="36">
        <f t="shared" si="0"/>
        <v>6282000</v>
      </c>
      <c r="L30" s="37">
        <v>0.08</v>
      </c>
      <c r="M30" s="36">
        <f t="shared" si="1"/>
        <v>6784560</v>
      </c>
    </row>
    <row r="31" spans="1:13" s="11" customFormat="1">
      <c r="A31" s="7"/>
      <c r="B31" s="30" t="s">
        <v>38</v>
      </c>
      <c r="C31" s="42" t="s">
        <v>93</v>
      </c>
      <c r="D31" s="1" t="s">
        <v>30</v>
      </c>
      <c r="E31" s="29" t="s">
        <v>94</v>
      </c>
      <c r="F31" s="29" t="s">
        <v>129</v>
      </c>
      <c r="G31" s="29" t="s">
        <v>141</v>
      </c>
      <c r="H31" s="1">
        <v>1</v>
      </c>
      <c r="I31" s="2" t="s">
        <v>109</v>
      </c>
      <c r="J31" s="50">
        <v>203000</v>
      </c>
      <c r="K31" s="36">
        <f t="shared" si="0"/>
        <v>203000</v>
      </c>
      <c r="L31" s="37">
        <v>0.08</v>
      </c>
      <c r="M31" s="36">
        <f t="shared" si="1"/>
        <v>219240</v>
      </c>
    </row>
    <row r="32" spans="1:13" s="11" customFormat="1">
      <c r="A32" s="7"/>
      <c r="B32" s="30" t="s">
        <v>39</v>
      </c>
      <c r="C32" s="42" t="s">
        <v>111</v>
      </c>
      <c r="D32" s="1" t="s">
        <v>30</v>
      </c>
      <c r="E32" s="29" t="s">
        <v>112</v>
      </c>
      <c r="F32" s="29" t="s">
        <v>132</v>
      </c>
      <c r="G32" s="29" t="s">
        <v>140</v>
      </c>
      <c r="H32" s="1">
        <v>1</v>
      </c>
      <c r="I32" s="2" t="s">
        <v>109</v>
      </c>
      <c r="J32" s="50">
        <v>7350000</v>
      </c>
      <c r="K32" s="36">
        <f t="shared" si="0"/>
        <v>7350000</v>
      </c>
      <c r="L32" s="37">
        <v>0.08</v>
      </c>
      <c r="M32" s="36">
        <f t="shared" si="1"/>
        <v>7938000</v>
      </c>
    </row>
    <row r="33" spans="1:13" s="11" customFormat="1">
      <c r="A33" s="7"/>
      <c r="B33" s="54" t="s">
        <v>47</v>
      </c>
      <c r="C33" s="54"/>
      <c r="D33" s="54"/>
      <c r="E33" s="54"/>
      <c r="F33" s="54"/>
      <c r="G33" s="54"/>
      <c r="H33" s="54"/>
      <c r="I33" s="54"/>
      <c r="J33" s="54"/>
      <c r="K33" s="56">
        <f t="shared" si="0"/>
        <v>0</v>
      </c>
      <c r="L33" s="54"/>
      <c r="M33" s="56">
        <f t="shared" si="1"/>
        <v>0</v>
      </c>
    </row>
    <row r="34" spans="1:13" s="11" customFormat="1" ht="28">
      <c r="A34" s="7"/>
      <c r="B34" s="30" t="s">
        <v>11</v>
      </c>
      <c r="C34" s="42" t="s">
        <v>56</v>
      </c>
      <c r="D34" s="1" t="s">
        <v>30</v>
      </c>
      <c r="E34" s="29" t="s">
        <v>55</v>
      </c>
      <c r="F34" s="29" t="s">
        <v>127</v>
      </c>
      <c r="G34" s="29" t="s">
        <v>140</v>
      </c>
      <c r="H34" s="1">
        <v>1</v>
      </c>
      <c r="I34" s="2" t="s">
        <v>109</v>
      </c>
      <c r="J34" s="50">
        <v>980000</v>
      </c>
      <c r="K34" s="36">
        <f t="shared" si="0"/>
        <v>980000</v>
      </c>
      <c r="L34" s="37">
        <v>0.08</v>
      </c>
      <c r="M34" s="36">
        <f t="shared" si="1"/>
        <v>1058400</v>
      </c>
    </row>
    <row r="35" spans="1:13" s="11" customFormat="1">
      <c r="A35" s="7"/>
      <c r="B35" s="75" t="s">
        <v>29</v>
      </c>
      <c r="C35" s="76" t="s">
        <v>57</v>
      </c>
      <c r="D35" s="77" t="s">
        <v>30</v>
      </c>
      <c r="E35" s="78" t="s">
        <v>59</v>
      </c>
      <c r="F35" s="78" t="s">
        <v>127</v>
      </c>
      <c r="G35" s="78" t="s">
        <v>140</v>
      </c>
      <c r="H35" s="77">
        <v>24</v>
      </c>
      <c r="I35" s="79" t="s">
        <v>109</v>
      </c>
      <c r="J35" s="80">
        <v>100000</v>
      </c>
      <c r="K35" s="81">
        <f t="shared" si="0"/>
        <v>2400000</v>
      </c>
      <c r="L35" s="82">
        <v>0.08</v>
      </c>
      <c r="M35" s="81">
        <f t="shared" si="1"/>
        <v>2592000</v>
      </c>
    </row>
    <row r="36" spans="1:13" s="11" customFormat="1">
      <c r="A36" s="7"/>
      <c r="B36" s="30" t="s">
        <v>33</v>
      </c>
      <c r="C36" s="42" t="s">
        <v>45</v>
      </c>
      <c r="D36" s="1" t="s">
        <v>30</v>
      </c>
      <c r="E36" s="72" t="s">
        <v>67</v>
      </c>
      <c r="F36" s="72" t="s">
        <v>128</v>
      </c>
      <c r="G36" s="72" t="s">
        <v>141</v>
      </c>
      <c r="H36" s="1">
        <v>1</v>
      </c>
      <c r="I36" s="2" t="s">
        <v>46</v>
      </c>
      <c r="J36" s="50">
        <v>50000</v>
      </c>
      <c r="K36" s="36">
        <f t="shared" si="0"/>
        <v>50000</v>
      </c>
      <c r="L36" s="37">
        <v>0.08</v>
      </c>
      <c r="M36" s="36">
        <f t="shared" si="1"/>
        <v>54000</v>
      </c>
    </row>
    <row r="37" spans="1:13" s="11" customFormat="1">
      <c r="A37" s="7"/>
      <c r="B37" s="30" t="s">
        <v>34</v>
      </c>
      <c r="C37" s="42" t="s">
        <v>42</v>
      </c>
      <c r="D37" s="1" t="s">
        <v>30</v>
      </c>
      <c r="E37" s="29" t="s">
        <v>43</v>
      </c>
      <c r="F37" s="29" t="s">
        <v>130</v>
      </c>
      <c r="G37" s="29"/>
      <c r="H37" s="1">
        <v>1</v>
      </c>
      <c r="I37" s="2" t="s">
        <v>44</v>
      </c>
      <c r="J37" s="50">
        <v>4490000</v>
      </c>
      <c r="K37" s="36">
        <f t="shared" si="0"/>
        <v>4490000</v>
      </c>
      <c r="L37" s="37">
        <v>0.08</v>
      </c>
      <c r="M37" s="36">
        <f t="shared" si="1"/>
        <v>4849200</v>
      </c>
    </row>
    <row r="38" spans="1:13" s="11" customFormat="1" ht="126">
      <c r="A38" s="7"/>
      <c r="B38" s="30" t="s">
        <v>37</v>
      </c>
      <c r="C38" s="42" t="s">
        <v>92</v>
      </c>
      <c r="D38" s="1" t="s">
        <v>30</v>
      </c>
      <c r="E38" s="29" t="s">
        <v>95</v>
      </c>
      <c r="F38" s="29" t="s">
        <v>136</v>
      </c>
      <c r="G38" s="29" t="s">
        <v>140</v>
      </c>
      <c r="H38" s="1">
        <v>1</v>
      </c>
      <c r="I38" s="2" t="s">
        <v>109</v>
      </c>
      <c r="J38" s="50">
        <v>6282000</v>
      </c>
      <c r="K38" s="36">
        <f t="shared" ref="K38:K39" si="2">J38*H38</f>
        <v>6282000</v>
      </c>
      <c r="L38" s="37">
        <v>0.08</v>
      </c>
      <c r="M38" s="36">
        <f t="shared" ref="M38:M39" si="3">K38*L38+K38</f>
        <v>6784560</v>
      </c>
    </row>
    <row r="39" spans="1:13" s="11" customFormat="1">
      <c r="A39" s="7"/>
      <c r="B39" s="30" t="s">
        <v>38</v>
      </c>
      <c r="C39" s="42" t="s">
        <v>93</v>
      </c>
      <c r="D39" s="1" t="s">
        <v>30</v>
      </c>
      <c r="E39" s="29" t="s">
        <v>94</v>
      </c>
      <c r="F39" s="29" t="s">
        <v>129</v>
      </c>
      <c r="G39" s="29" t="s">
        <v>141</v>
      </c>
      <c r="H39" s="1">
        <v>1</v>
      </c>
      <c r="I39" s="2" t="s">
        <v>109</v>
      </c>
      <c r="J39" s="50">
        <v>203000</v>
      </c>
      <c r="K39" s="36">
        <f t="shared" si="2"/>
        <v>203000</v>
      </c>
      <c r="L39" s="37">
        <v>0.08</v>
      </c>
      <c r="M39" s="36">
        <f t="shared" si="3"/>
        <v>219240</v>
      </c>
    </row>
    <row r="40" spans="1:13" s="11" customFormat="1">
      <c r="A40" s="7"/>
      <c r="B40" s="30" t="s">
        <v>39</v>
      </c>
      <c r="C40" s="42" t="s">
        <v>116</v>
      </c>
      <c r="D40" s="1" t="s">
        <v>30</v>
      </c>
      <c r="E40" s="29" t="s">
        <v>122</v>
      </c>
      <c r="F40" s="29" t="s">
        <v>132</v>
      </c>
      <c r="G40" s="29" t="s">
        <v>140</v>
      </c>
      <c r="H40" s="1">
        <v>1</v>
      </c>
      <c r="I40" s="2" t="s">
        <v>109</v>
      </c>
      <c r="J40" s="50">
        <v>15050000</v>
      </c>
      <c r="K40" s="36">
        <f t="shared" si="0"/>
        <v>15050000</v>
      </c>
      <c r="L40" s="37">
        <v>0.08</v>
      </c>
      <c r="M40" s="36">
        <f t="shared" si="1"/>
        <v>16254000</v>
      </c>
    </row>
    <row r="41" spans="1:13" s="11" customFormat="1" ht="140">
      <c r="A41" s="7"/>
      <c r="B41" s="30" t="s">
        <v>40</v>
      </c>
      <c r="C41" s="42" t="s">
        <v>86</v>
      </c>
      <c r="D41" s="1" t="s">
        <v>30</v>
      </c>
      <c r="E41" s="62" t="s">
        <v>87</v>
      </c>
      <c r="F41" s="62" t="s">
        <v>135</v>
      </c>
      <c r="G41" s="62" t="s">
        <v>140</v>
      </c>
      <c r="H41" s="1">
        <v>2</v>
      </c>
      <c r="I41" s="2" t="s">
        <v>109</v>
      </c>
      <c r="J41" s="50">
        <v>1705000</v>
      </c>
      <c r="K41" s="36">
        <f t="shared" si="0"/>
        <v>3410000</v>
      </c>
      <c r="L41" s="37">
        <v>0.08</v>
      </c>
      <c r="M41" s="36">
        <f t="shared" si="1"/>
        <v>3682800</v>
      </c>
    </row>
    <row r="42" spans="1:13" s="11" customFormat="1">
      <c r="A42" s="7"/>
      <c r="B42" s="54" t="s">
        <v>50</v>
      </c>
      <c r="C42" s="54"/>
      <c r="D42" s="54"/>
      <c r="E42" s="54"/>
      <c r="F42" s="54"/>
      <c r="G42" s="54"/>
      <c r="H42" s="54"/>
      <c r="I42" s="54"/>
      <c r="J42" s="54"/>
      <c r="K42" s="56">
        <f t="shared" si="0"/>
        <v>0</v>
      </c>
      <c r="L42" s="54"/>
      <c r="M42" s="56">
        <f t="shared" si="1"/>
        <v>0</v>
      </c>
    </row>
    <row r="43" spans="1:13" s="11" customFormat="1" ht="28">
      <c r="A43" s="7"/>
      <c r="B43" s="30" t="s">
        <v>11</v>
      </c>
      <c r="C43" s="42" t="s">
        <v>56</v>
      </c>
      <c r="D43" s="1" t="s">
        <v>30</v>
      </c>
      <c r="E43" s="29" t="s">
        <v>55</v>
      </c>
      <c r="F43" s="29" t="s">
        <v>127</v>
      </c>
      <c r="G43" s="29" t="s">
        <v>140</v>
      </c>
      <c r="H43" s="1">
        <v>2</v>
      </c>
      <c r="I43" s="2" t="s">
        <v>109</v>
      </c>
      <c r="J43" s="50">
        <v>980000</v>
      </c>
      <c r="K43" s="36">
        <f t="shared" si="0"/>
        <v>1960000</v>
      </c>
      <c r="L43" s="37">
        <v>0.08</v>
      </c>
      <c r="M43" s="36">
        <f t="shared" si="1"/>
        <v>2116800</v>
      </c>
    </row>
    <row r="44" spans="1:13" s="11" customFormat="1">
      <c r="A44" s="7"/>
      <c r="B44" s="30" t="s">
        <v>29</v>
      </c>
      <c r="C44" s="42" t="s">
        <v>57</v>
      </c>
      <c r="D44" s="1" t="s">
        <v>30</v>
      </c>
      <c r="E44" s="29" t="s">
        <v>59</v>
      </c>
      <c r="F44" s="29" t="s">
        <v>127</v>
      </c>
      <c r="G44" s="29" t="s">
        <v>140</v>
      </c>
      <c r="H44" s="1">
        <v>48</v>
      </c>
      <c r="I44" s="2" t="s">
        <v>109</v>
      </c>
      <c r="J44" s="50">
        <v>100000</v>
      </c>
      <c r="K44" s="36">
        <f t="shared" si="0"/>
        <v>4800000</v>
      </c>
      <c r="L44" s="37">
        <v>0.08</v>
      </c>
      <c r="M44" s="36">
        <f t="shared" si="1"/>
        <v>5184000</v>
      </c>
    </row>
    <row r="45" spans="1:13" s="11" customFormat="1">
      <c r="A45" s="7"/>
      <c r="B45" s="30" t="s">
        <v>33</v>
      </c>
      <c r="C45" s="42" t="s">
        <v>45</v>
      </c>
      <c r="D45" s="1" t="s">
        <v>30</v>
      </c>
      <c r="E45" s="72" t="s">
        <v>67</v>
      </c>
      <c r="F45" s="72" t="s">
        <v>128</v>
      </c>
      <c r="G45" s="72" t="s">
        <v>141</v>
      </c>
      <c r="H45" s="1">
        <v>1</v>
      </c>
      <c r="I45" s="2" t="s">
        <v>109</v>
      </c>
      <c r="J45" s="50">
        <v>50000</v>
      </c>
      <c r="K45" s="36">
        <f t="shared" si="0"/>
        <v>50000</v>
      </c>
      <c r="L45" s="37">
        <v>0.08</v>
      </c>
      <c r="M45" s="36">
        <f t="shared" si="1"/>
        <v>54000</v>
      </c>
    </row>
    <row r="46" spans="1:13" s="11" customFormat="1">
      <c r="A46" s="7"/>
      <c r="B46" s="30" t="s">
        <v>34</v>
      </c>
      <c r="C46" s="42" t="s">
        <v>42</v>
      </c>
      <c r="D46" s="1" t="s">
        <v>30</v>
      </c>
      <c r="E46" s="29" t="s">
        <v>43</v>
      </c>
      <c r="F46" s="29" t="s">
        <v>128</v>
      </c>
      <c r="G46" s="29" t="s">
        <v>141</v>
      </c>
      <c r="H46" s="1">
        <v>1</v>
      </c>
      <c r="I46" s="2" t="s">
        <v>44</v>
      </c>
      <c r="J46" s="50">
        <v>4490000</v>
      </c>
      <c r="K46" s="36">
        <f t="shared" si="0"/>
        <v>4490000</v>
      </c>
      <c r="L46" s="37">
        <v>0.08</v>
      </c>
      <c r="M46" s="36">
        <f t="shared" si="1"/>
        <v>4849200</v>
      </c>
    </row>
    <row r="47" spans="1:13" s="11" customFormat="1" ht="126">
      <c r="A47" s="7"/>
      <c r="B47" s="30" t="s">
        <v>37</v>
      </c>
      <c r="C47" s="42" t="s">
        <v>92</v>
      </c>
      <c r="D47" s="1" t="s">
        <v>30</v>
      </c>
      <c r="E47" s="29" t="s">
        <v>95</v>
      </c>
      <c r="F47" s="29" t="s">
        <v>136</v>
      </c>
      <c r="G47" s="29" t="s">
        <v>140</v>
      </c>
      <c r="H47" s="1">
        <v>1</v>
      </c>
      <c r="I47" s="2" t="s">
        <v>109</v>
      </c>
      <c r="J47" s="50">
        <v>6282000</v>
      </c>
      <c r="K47" s="36">
        <f t="shared" si="0"/>
        <v>6282000</v>
      </c>
      <c r="L47" s="37">
        <v>0.08</v>
      </c>
      <c r="M47" s="36">
        <f t="shared" si="1"/>
        <v>6784560</v>
      </c>
    </row>
    <row r="48" spans="1:13" s="11" customFormat="1">
      <c r="A48" s="7"/>
      <c r="B48" s="30" t="s">
        <v>38</v>
      </c>
      <c r="C48" s="42" t="s">
        <v>93</v>
      </c>
      <c r="D48" s="1" t="s">
        <v>30</v>
      </c>
      <c r="E48" s="29" t="s">
        <v>94</v>
      </c>
      <c r="F48" s="29" t="s">
        <v>129</v>
      </c>
      <c r="G48" s="29" t="s">
        <v>141</v>
      </c>
      <c r="H48" s="1">
        <v>1</v>
      </c>
      <c r="I48" s="2" t="s">
        <v>109</v>
      </c>
      <c r="J48" s="50">
        <v>203000</v>
      </c>
      <c r="K48" s="36">
        <f t="shared" si="0"/>
        <v>203000</v>
      </c>
      <c r="L48" s="37">
        <v>0.08</v>
      </c>
      <c r="M48" s="36">
        <f t="shared" si="1"/>
        <v>219240</v>
      </c>
    </row>
    <row r="49" spans="1:13" s="11" customFormat="1">
      <c r="A49" s="7"/>
      <c r="B49" s="30" t="s">
        <v>39</v>
      </c>
      <c r="C49" s="42" t="s">
        <v>113</v>
      </c>
      <c r="D49" s="1" t="s">
        <v>30</v>
      </c>
      <c r="E49" s="29" t="s">
        <v>114</v>
      </c>
      <c r="F49" s="29" t="s">
        <v>132</v>
      </c>
      <c r="G49" s="29" t="s">
        <v>140</v>
      </c>
      <c r="H49" s="1">
        <v>1</v>
      </c>
      <c r="I49" s="2" t="s">
        <v>109</v>
      </c>
      <c r="J49" s="50">
        <v>14550000</v>
      </c>
      <c r="K49" s="36">
        <f t="shared" si="0"/>
        <v>14550000</v>
      </c>
      <c r="L49" s="37">
        <v>0.08</v>
      </c>
      <c r="M49" s="36">
        <f t="shared" si="1"/>
        <v>15714000</v>
      </c>
    </row>
    <row r="50" spans="1:13" s="11" customFormat="1" ht="140">
      <c r="A50" s="7"/>
      <c r="B50" s="30" t="s">
        <v>40</v>
      </c>
      <c r="C50" s="42" t="s">
        <v>86</v>
      </c>
      <c r="D50" s="1" t="s">
        <v>30</v>
      </c>
      <c r="E50" s="62" t="s">
        <v>87</v>
      </c>
      <c r="F50" s="62" t="s">
        <v>135</v>
      </c>
      <c r="G50" s="62" t="s">
        <v>140</v>
      </c>
      <c r="H50" s="1">
        <v>6</v>
      </c>
      <c r="I50" s="2" t="s">
        <v>109</v>
      </c>
      <c r="J50" s="50">
        <v>1705000</v>
      </c>
      <c r="K50" s="36">
        <f t="shared" si="0"/>
        <v>10230000</v>
      </c>
      <c r="L50" s="37">
        <v>0.08</v>
      </c>
      <c r="M50" s="36">
        <f t="shared" si="1"/>
        <v>11048400</v>
      </c>
    </row>
    <row r="51" spans="1:13" s="11" customFormat="1">
      <c r="A51" s="7"/>
      <c r="B51" s="54" t="s">
        <v>51</v>
      </c>
      <c r="C51" s="54"/>
      <c r="D51" s="54"/>
      <c r="E51" s="54"/>
      <c r="F51" s="54"/>
      <c r="G51" s="54"/>
      <c r="H51" s="54"/>
      <c r="I51" s="54"/>
      <c r="J51" s="54"/>
      <c r="K51" s="56">
        <f t="shared" si="0"/>
        <v>0</v>
      </c>
      <c r="L51" s="54"/>
      <c r="M51" s="56">
        <f t="shared" si="1"/>
        <v>0</v>
      </c>
    </row>
    <row r="52" spans="1:13" s="11" customFormat="1">
      <c r="A52" s="7"/>
      <c r="B52" s="30" t="s">
        <v>11</v>
      </c>
      <c r="C52" s="42" t="s">
        <v>143</v>
      </c>
      <c r="D52" s="1" t="s">
        <v>30</v>
      </c>
      <c r="E52" s="62" t="s">
        <v>144</v>
      </c>
      <c r="F52" s="62" t="s">
        <v>145</v>
      </c>
      <c r="G52" s="62" t="s">
        <v>140</v>
      </c>
      <c r="H52" s="1">
        <v>6</v>
      </c>
      <c r="I52" s="2" t="s">
        <v>109</v>
      </c>
      <c r="J52" s="50">
        <v>3150000</v>
      </c>
      <c r="K52" s="36">
        <f t="shared" si="0"/>
        <v>18900000</v>
      </c>
      <c r="L52" s="37">
        <v>0.08</v>
      </c>
      <c r="M52" s="36">
        <f t="shared" si="1"/>
        <v>20412000</v>
      </c>
    </row>
    <row r="53" spans="1:13" s="11" customFormat="1">
      <c r="A53" s="7"/>
      <c r="B53" s="30" t="s">
        <v>29</v>
      </c>
      <c r="C53" s="62" t="s">
        <v>103</v>
      </c>
      <c r="D53" s="1" t="s">
        <v>36</v>
      </c>
      <c r="E53" s="62" t="s">
        <v>121</v>
      </c>
      <c r="F53" s="62" t="s">
        <v>131</v>
      </c>
      <c r="G53" s="62" t="s">
        <v>140</v>
      </c>
      <c r="H53" s="1">
        <v>6</v>
      </c>
      <c r="I53" s="2" t="s">
        <v>109</v>
      </c>
      <c r="J53" s="50">
        <v>546000</v>
      </c>
      <c r="K53" s="36">
        <f t="shared" si="0"/>
        <v>3276000</v>
      </c>
      <c r="L53" s="37">
        <v>0.08</v>
      </c>
      <c r="M53" s="36">
        <f t="shared" si="1"/>
        <v>3538080</v>
      </c>
    </row>
    <row r="54" spans="1:13" s="11" customFormat="1">
      <c r="A54" s="7"/>
      <c r="B54" s="69" t="s">
        <v>106</v>
      </c>
      <c r="C54" s="73" t="s">
        <v>108</v>
      </c>
      <c r="D54" s="58"/>
      <c r="E54" s="67"/>
      <c r="F54" s="67"/>
      <c r="G54" s="67"/>
      <c r="H54" s="58"/>
      <c r="I54" s="59"/>
      <c r="J54" s="68"/>
      <c r="K54" s="56"/>
      <c r="L54" s="60"/>
      <c r="M54" s="56"/>
    </row>
    <row r="55" spans="1:13" s="11" customFormat="1">
      <c r="A55" s="7"/>
      <c r="B55" s="30" t="s">
        <v>11</v>
      </c>
      <c r="C55" s="66" t="s">
        <v>104</v>
      </c>
      <c r="D55" s="63" t="s">
        <v>30</v>
      </c>
      <c r="E55" s="74" t="s">
        <v>105</v>
      </c>
      <c r="F55" s="74" t="s">
        <v>132</v>
      </c>
      <c r="G55" s="74" t="s">
        <v>140</v>
      </c>
      <c r="H55" s="1">
        <v>1</v>
      </c>
      <c r="I55" s="2" t="s">
        <v>109</v>
      </c>
      <c r="J55" s="50">
        <v>6980000</v>
      </c>
      <c r="K55" s="36">
        <f t="shared" si="0"/>
        <v>6980000</v>
      </c>
      <c r="L55" s="37">
        <v>0.08</v>
      </c>
      <c r="M55" s="36">
        <f t="shared" si="1"/>
        <v>7538400</v>
      </c>
    </row>
    <row r="56" spans="1:13" s="11" customFormat="1">
      <c r="A56" s="7"/>
      <c r="B56" s="30" t="s">
        <v>29</v>
      </c>
      <c r="C56" s="42" t="s">
        <v>35</v>
      </c>
      <c r="D56" s="63" t="s">
        <v>30</v>
      </c>
      <c r="E56" s="74" t="s">
        <v>66</v>
      </c>
      <c r="F56" s="74" t="s">
        <v>128</v>
      </c>
      <c r="G56" s="74" t="s">
        <v>141</v>
      </c>
      <c r="H56" s="1">
        <v>1</v>
      </c>
      <c r="I56" s="2" t="s">
        <v>109</v>
      </c>
      <c r="J56" s="50">
        <v>300000</v>
      </c>
      <c r="K56" s="36">
        <f t="shared" si="0"/>
        <v>300000</v>
      </c>
      <c r="L56" s="37">
        <v>0.08</v>
      </c>
      <c r="M56" s="36">
        <f t="shared" si="1"/>
        <v>324000</v>
      </c>
    </row>
    <row r="57" spans="1:13" s="11" customFormat="1">
      <c r="A57" s="7"/>
      <c r="B57" s="30" t="s">
        <v>32</v>
      </c>
      <c r="C57" s="42" t="s">
        <v>93</v>
      </c>
      <c r="D57" s="1" t="s">
        <v>30</v>
      </c>
      <c r="E57" s="29" t="s">
        <v>94</v>
      </c>
      <c r="F57" s="29" t="s">
        <v>129</v>
      </c>
      <c r="G57" s="29" t="s">
        <v>141</v>
      </c>
      <c r="H57" s="1">
        <v>1</v>
      </c>
      <c r="I57" s="2" t="s">
        <v>109</v>
      </c>
      <c r="J57" s="50">
        <v>203000</v>
      </c>
      <c r="K57" s="36">
        <f t="shared" si="0"/>
        <v>203000</v>
      </c>
      <c r="L57" s="37">
        <v>0.08</v>
      </c>
      <c r="M57" s="36">
        <f t="shared" si="1"/>
        <v>219240</v>
      </c>
    </row>
    <row r="58" spans="1:13" s="11" customFormat="1" ht="126">
      <c r="A58" s="7"/>
      <c r="B58" s="30" t="s">
        <v>33</v>
      </c>
      <c r="C58" s="70" t="s">
        <v>92</v>
      </c>
      <c r="D58" s="1" t="s">
        <v>30</v>
      </c>
      <c r="E58" s="29" t="s">
        <v>95</v>
      </c>
      <c r="F58" s="29" t="s">
        <v>136</v>
      </c>
      <c r="G58" s="29" t="s">
        <v>140</v>
      </c>
      <c r="H58" s="1">
        <v>1</v>
      </c>
      <c r="I58" s="2" t="s">
        <v>109</v>
      </c>
      <c r="J58" s="50">
        <v>6282000</v>
      </c>
      <c r="K58" s="36">
        <f t="shared" si="0"/>
        <v>6282000</v>
      </c>
      <c r="L58" s="37">
        <v>0.08</v>
      </c>
      <c r="M58" s="36">
        <f t="shared" si="1"/>
        <v>6784560</v>
      </c>
    </row>
    <row r="59" spans="1:13" s="11" customFormat="1">
      <c r="A59" s="7"/>
      <c r="B59" s="30" t="s">
        <v>34</v>
      </c>
      <c r="C59" s="42" t="s">
        <v>42</v>
      </c>
      <c r="D59" s="1" t="s">
        <v>30</v>
      </c>
      <c r="E59" s="29" t="s">
        <v>43</v>
      </c>
      <c r="F59" s="29" t="s">
        <v>130</v>
      </c>
      <c r="G59" s="29" t="s">
        <v>141</v>
      </c>
      <c r="H59" s="1">
        <v>1</v>
      </c>
      <c r="I59" s="2" t="s">
        <v>44</v>
      </c>
      <c r="J59" s="50">
        <v>4490000</v>
      </c>
      <c r="K59" s="36">
        <f t="shared" ref="K59" si="4">J59*H59</f>
        <v>4490000</v>
      </c>
      <c r="L59" s="37">
        <v>0.08</v>
      </c>
      <c r="M59" s="36">
        <f t="shared" ref="M59" si="5">K59*L59+K59</f>
        <v>4849200</v>
      </c>
    </row>
    <row r="60" spans="1:13" s="11" customFormat="1">
      <c r="A60" s="7"/>
      <c r="B60" s="61" t="s">
        <v>107</v>
      </c>
      <c r="C60" s="67"/>
      <c r="D60" s="58"/>
      <c r="E60" s="67"/>
      <c r="F60" s="67"/>
      <c r="G60" s="67"/>
      <c r="H60" s="58"/>
      <c r="I60" s="59"/>
      <c r="J60" s="56"/>
      <c r="K60" s="56"/>
      <c r="L60" s="60"/>
      <c r="M60" s="56"/>
    </row>
    <row r="61" spans="1:13" s="11" customFormat="1">
      <c r="A61" s="7"/>
      <c r="B61" s="65" t="s">
        <v>11</v>
      </c>
      <c r="C61" s="66" t="s">
        <v>96</v>
      </c>
      <c r="D61" s="63" t="s">
        <v>30</v>
      </c>
      <c r="E61" s="74" t="s">
        <v>98</v>
      </c>
      <c r="F61" s="74" t="s">
        <v>134</v>
      </c>
      <c r="G61" s="74" t="s">
        <v>140</v>
      </c>
      <c r="H61" s="63">
        <v>1</v>
      </c>
      <c r="I61" s="64" t="s">
        <v>97</v>
      </c>
      <c r="J61" s="50">
        <v>300000</v>
      </c>
      <c r="K61" s="50">
        <f t="shared" si="0"/>
        <v>300000</v>
      </c>
      <c r="L61" s="37">
        <v>0.08</v>
      </c>
      <c r="M61" s="36">
        <f t="shared" si="1"/>
        <v>324000</v>
      </c>
    </row>
    <row r="62" spans="1:13" s="11" customFormat="1">
      <c r="A62" s="7"/>
      <c r="B62" s="30" t="s">
        <v>33</v>
      </c>
      <c r="C62" s="62" t="s">
        <v>72</v>
      </c>
      <c r="D62" s="1" t="s">
        <v>7</v>
      </c>
      <c r="E62" s="62" t="s">
        <v>123</v>
      </c>
      <c r="F62" s="62" t="s">
        <v>133</v>
      </c>
      <c r="G62" s="62" t="s">
        <v>141</v>
      </c>
      <c r="H62" s="1">
        <v>1</v>
      </c>
      <c r="I62" s="2" t="s">
        <v>73</v>
      </c>
      <c r="J62" s="50">
        <v>20000000</v>
      </c>
      <c r="K62" s="50">
        <f t="shared" si="0"/>
        <v>20000000</v>
      </c>
      <c r="L62" s="37">
        <v>0.08</v>
      </c>
      <c r="M62" s="36">
        <f t="shared" si="1"/>
        <v>21600000</v>
      </c>
    </row>
    <row r="63" spans="1:13" s="12" customFormat="1">
      <c r="A63" s="7"/>
      <c r="B63" s="90" t="s">
        <v>3</v>
      </c>
      <c r="C63" s="90"/>
      <c r="D63" s="90"/>
      <c r="E63" s="90"/>
      <c r="F63" s="90"/>
      <c r="G63" s="90"/>
      <c r="H63" s="90"/>
      <c r="I63" s="90"/>
      <c r="J63" s="90"/>
      <c r="K63" s="3">
        <f>SUM(K11:K62)</f>
        <v>268916000</v>
      </c>
      <c r="L63" s="41"/>
      <c r="M63" s="3">
        <f>SUM(M11:M62)</f>
        <v>290413280</v>
      </c>
    </row>
    <row r="64" spans="1:13">
      <c r="A64" s="7"/>
      <c r="B64" s="13" t="s">
        <v>62</v>
      </c>
      <c r="C64" s="9"/>
      <c r="D64" s="9"/>
      <c r="E64" s="32"/>
      <c r="F64" s="32"/>
      <c r="G64" s="32"/>
      <c r="H64" s="32"/>
      <c r="I64" s="32"/>
      <c r="J64" s="32"/>
      <c r="K64" s="32"/>
      <c r="L64" s="33"/>
      <c r="M64" s="32" t="s">
        <v>74</v>
      </c>
    </row>
    <row r="65" spans="1:13">
      <c r="A65" s="7"/>
      <c r="B65" s="38" t="s">
        <v>60</v>
      </c>
      <c r="C65" s="7"/>
      <c r="D65" s="7"/>
      <c r="E65" s="7"/>
      <c r="F65" s="7"/>
      <c r="G65" s="7"/>
      <c r="H65" s="7"/>
      <c r="I65" s="7"/>
      <c r="J65" s="7"/>
      <c r="K65" s="7"/>
      <c r="L65" s="7"/>
      <c r="M65" s="7"/>
    </row>
    <row r="66" spans="1:13">
      <c r="A66" s="7"/>
      <c r="B66" s="39" t="s">
        <v>117</v>
      </c>
      <c r="C66" s="7"/>
      <c r="D66" s="7"/>
      <c r="E66" s="7"/>
      <c r="F66" s="7"/>
      <c r="G66" s="7"/>
      <c r="H66" s="7"/>
      <c r="I66" s="7"/>
      <c r="J66" s="7"/>
      <c r="K66" s="7"/>
      <c r="L66" s="7"/>
      <c r="M66" s="7"/>
    </row>
    <row r="67" spans="1:13" s="7" customFormat="1">
      <c r="B67" s="40" t="s">
        <v>118</v>
      </c>
    </row>
    <row r="68" spans="1:13" s="7" customFormat="1">
      <c r="B68" s="8" t="s">
        <v>63</v>
      </c>
      <c r="C68" s="4"/>
      <c r="D68" s="4"/>
      <c r="E68" s="14"/>
      <c r="F68" s="14"/>
      <c r="G68" s="14"/>
      <c r="H68" s="4"/>
      <c r="I68" s="4"/>
      <c r="J68" s="15"/>
      <c r="K68" s="4"/>
    </row>
    <row r="69" spans="1:13" s="7" customFormat="1">
      <c r="A69" s="4"/>
      <c r="B69" s="8"/>
      <c r="C69" s="52" t="s">
        <v>124</v>
      </c>
      <c r="D69" s="4"/>
      <c r="E69" s="14"/>
      <c r="F69" s="14"/>
      <c r="G69" s="14"/>
      <c r="H69" s="4"/>
      <c r="I69" s="4"/>
      <c r="J69" s="15"/>
      <c r="K69" s="4"/>
      <c r="L69" s="9"/>
      <c r="M69" s="4"/>
    </row>
    <row r="70" spans="1:13" s="7" customFormat="1">
      <c r="A70" s="4"/>
      <c r="B70" s="8" t="s">
        <v>64</v>
      </c>
      <c r="C70" s="8"/>
      <c r="D70" s="8"/>
      <c r="E70" s="8"/>
      <c r="F70" s="8"/>
      <c r="G70" s="8"/>
      <c r="H70" s="8"/>
      <c r="I70" s="8"/>
      <c r="J70" s="8"/>
      <c r="K70" s="8"/>
      <c r="L70" s="17"/>
      <c r="M70" s="4"/>
    </row>
    <row r="71" spans="1:13" s="7" customFormat="1">
      <c r="A71" s="4"/>
      <c r="B71" s="4"/>
      <c r="C71" s="4" t="s">
        <v>125</v>
      </c>
      <c r="D71" s="4"/>
      <c r="E71" s="8"/>
      <c r="F71" s="8"/>
      <c r="G71" s="8"/>
      <c r="H71" s="8"/>
      <c r="I71" s="8"/>
      <c r="J71" s="8"/>
      <c r="K71" s="8"/>
      <c r="L71" s="17"/>
      <c r="M71" s="4"/>
    </row>
    <row r="72" spans="1:13" s="7" customFormat="1">
      <c r="A72" s="4"/>
      <c r="B72" s="8" t="s">
        <v>65</v>
      </c>
      <c r="C72" s="8"/>
      <c r="D72" s="8"/>
      <c r="E72" s="8"/>
      <c r="F72" s="8"/>
      <c r="G72" s="8"/>
      <c r="H72" s="8"/>
      <c r="I72" s="8"/>
      <c r="J72" s="8"/>
      <c r="K72" s="8"/>
      <c r="L72" s="17"/>
      <c r="M72" s="8"/>
    </row>
    <row r="73" spans="1:13" s="7" customFormat="1">
      <c r="A73" s="4"/>
      <c r="B73" s="8"/>
      <c r="C73" s="31" t="s">
        <v>119</v>
      </c>
      <c r="D73" s="16"/>
      <c r="E73" s="8"/>
      <c r="F73" s="8"/>
      <c r="G73" s="8"/>
      <c r="H73" s="8"/>
      <c r="I73" s="8"/>
      <c r="J73" s="8"/>
      <c r="K73" s="8"/>
      <c r="L73" s="17"/>
      <c r="M73" s="8"/>
    </row>
    <row r="74" spans="1:13" s="7" customFormat="1">
      <c r="A74" s="4"/>
      <c r="B74" s="4"/>
      <c r="C74" s="4" t="s">
        <v>120</v>
      </c>
      <c r="D74" s="4"/>
      <c r="E74" s="4"/>
      <c r="F74" s="4"/>
      <c r="G74" s="4"/>
      <c r="H74" s="4"/>
      <c r="I74" s="4"/>
      <c r="J74" s="4"/>
      <c r="K74" s="4"/>
      <c r="L74" s="9"/>
      <c r="M74" s="4"/>
    </row>
    <row r="75" spans="1:13" s="7" customFormat="1">
      <c r="A75" s="4"/>
      <c r="B75" s="8" t="s">
        <v>82</v>
      </c>
      <c r="C75" s="18"/>
      <c r="D75" s="18"/>
      <c r="E75" s="19"/>
      <c r="F75" s="19"/>
      <c r="G75" s="19"/>
      <c r="H75" s="19"/>
      <c r="I75" s="19"/>
      <c r="J75" s="19"/>
      <c r="K75" s="19"/>
      <c r="L75" s="20"/>
      <c r="M75" s="19"/>
    </row>
    <row r="76" spans="1:13" s="7" customFormat="1">
      <c r="A76" s="4"/>
      <c r="B76" s="8" t="s">
        <v>83</v>
      </c>
      <c r="C76" s="18"/>
      <c r="D76" s="18"/>
      <c r="E76" s="19"/>
      <c r="F76" s="19"/>
      <c r="G76" s="19"/>
      <c r="H76" s="19"/>
      <c r="I76" s="19"/>
      <c r="J76" s="19"/>
      <c r="K76" s="19"/>
      <c r="L76" s="20"/>
      <c r="M76" s="19"/>
    </row>
    <row r="77" spans="1:13" s="7" customFormat="1">
      <c r="A77" s="4"/>
      <c r="B77" s="8" t="s">
        <v>61</v>
      </c>
      <c r="C77" s="4"/>
      <c r="D77" s="4"/>
      <c r="E77" s="14"/>
      <c r="F77" s="14"/>
      <c r="G77" s="14"/>
      <c r="H77" s="4"/>
      <c r="I77" s="4"/>
      <c r="J77" s="15"/>
      <c r="K77" s="4"/>
      <c r="L77" s="9"/>
      <c r="M77" s="4"/>
    </row>
    <row r="78" spans="1:13" s="7" customFormat="1">
      <c r="A78" s="4"/>
      <c r="B78" s="4"/>
      <c r="C78" s="23" t="s">
        <v>5</v>
      </c>
      <c r="D78" s="23"/>
      <c r="E78" s="4"/>
      <c r="F78" s="4"/>
      <c r="G78" s="4"/>
      <c r="H78" s="4"/>
      <c r="I78" s="4"/>
      <c r="J78" s="15"/>
      <c r="K78" s="4"/>
      <c r="L78" s="9"/>
      <c r="M78" s="4"/>
    </row>
    <row r="79" spans="1:13" s="21" customFormat="1">
      <c r="A79" s="19"/>
      <c r="B79" s="19"/>
      <c r="C79" s="23" t="s">
        <v>4</v>
      </c>
      <c r="D79" s="23"/>
      <c r="E79" s="19"/>
      <c r="F79" s="19"/>
      <c r="G79" s="19"/>
      <c r="H79" s="19"/>
      <c r="I79" s="19"/>
      <c r="J79" s="22"/>
      <c r="K79" s="19"/>
      <c r="L79" s="20"/>
      <c r="M79" s="19"/>
    </row>
    <row r="80" spans="1:13" s="21" customFormat="1">
      <c r="A80" s="19"/>
      <c r="B80" s="19"/>
      <c r="C80" s="23" t="s">
        <v>6</v>
      </c>
      <c r="D80" s="23"/>
      <c r="E80" s="19"/>
      <c r="F80" s="19"/>
      <c r="G80" s="19"/>
      <c r="H80" s="14"/>
      <c r="I80" s="14"/>
      <c r="J80" s="14"/>
      <c r="K80" s="14"/>
      <c r="L80" s="10"/>
      <c r="M80" s="19"/>
    </row>
    <row r="81" spans="1:13" s="7" customFormat="1">
      <c r="A81" s="4"/>
      <c r="B81" s="8"/>
      <c r="C81" s="8"/>
      <c r="D81" s="8"/>
      <c r="E81" s="8"/>
      <c r="F81" s="8"/>
      <c r="G81" s="8"/>
      <c r="H81" s="8"/>
      <c r="I81" s="8"/>
      <c r="J81" s="15"/>
      <c r="K81" s="17"/>
      <c r="L81" s="9"/>
      <c r="M81" s="8"/>
    </row>
    <row r="82" spans="1:13" s="7" customFormat="1">
      <c r="A82" s="4"/>
      <c r="B82" s="24" t="s">
        <v>2</v>
      </c>
      <c r="C82" s="8"/>
      <c r="D82" s="8"/>
      <c r="E82" s="8"/>
      <c r="F82" s="8"/>
      <c r="G82" s="8"/>
      <c r="H82" s="8"/>
      <c r="I82" s="8"/>
      <c r="J82" s="15"/>
      <c r="K82" s="4"/>
      <c r="L82" s="9"/>
      <c r="M82" s="8"/>
    </row>
    <row r="83" spans="1:13" s="7" customFormat="1">
      <c r="A83" s="4"/>
      <c r="B83" s="8" t="s">
        <v>9</v>
      </c>
      <c r="C83" s="4"/>
      <c r="D83" s="4"/>
      <c r="E83" s="8"/>
      <c r="F83" s="8"/>
      <c r="G83" s="8"/>
      <c r="H83" s="8"/>
      <c r="I83" s="8"/>
      <c r="J83" s="25"/>
      <c r="K83" s="25"/>
      <c r="L83" s="9"/>
      <c r="M83" s="8"/>
    </row>
    <row r="84" spans="1:13" s="7" customFormat="1">
      <c r="A84" s="4"/>
      <c r="B84" s="26" t="s">
        <v>10</v>
      </c>
      <c r="C84" s="4"/>
      <c r="D84" s="4"/>
      <c r="E84" s="8"/>
      <c r="F84" s="8"/>
      <c r="G84" s="8"/>
      <c r="H84" s="8"/>
      <c r="I84" s="8"/>
      <c r="J84" s="27"/>
      <c r="K84" s="25"/>
      <c r="L84" s="9"/>
      <c r="M84" s="8"/>
    </row>
    <row r="85" spans="1:13" s="7" customFormat="1">
      <c r="A85" s="4"/>
      <c r="B85" s="26"/>
      <c r="C85" s="4"/>
      <c r="D85" s="4"/>
      <c r="E85" s="8"/>
      <c r="F85" s="8"/>
      <c r="G85" s="8"/>
      <c r="H85" s="8"/>
      <c r="I85" s="8"/>
      <c r="J85" s="27"/>
      <c r="K85" s="25"/>
      <c r="L85" s="9"/>
      <c r="M85" s="8"/>
    </row>
    <row r="86" spans="1:13" s="7" customFormat="1">
      <c r="A86" s="4"/>
      <c r="B86" s="26"/>
      <c r="C86" s="4"/>
      <c r="D86" s="4"/>
      <c r="E86" s="8"/>
      <c r="F86" s="8"/>
      <c r="G86" s="8"/>
      <c r="H86" s="8"/>
      <c r="I86" s="8"/>
      <c r="J86" s="27"/>
      <c r="K86" s="25"/>
      <c r="L86" s="9"/>
      <c r="M86" s="8"/>
    </row>
  </sheetData>
  <mergeCells count="12">
    <mergeCell ref="B63:J63"/>
    <mergeCell ref="K5:L5"/>
    <mergeCell ref="K6:L6"/>
    <mergeCell ref="K7:L7"/>
    <mergeCell ref="B5:J5"/>
    <mergeCell ref="B6:J6"/>
    <mergeCell ref="B7:J7"/>
    <mergeCell ref="A1:M1"/>
    <mergeCell ref="B2:M2"/>
    <mergeCell ref="B3:M3"/>
    <mergeCell ref="B4:J4"/>
    <mergeCell ref="K4:L4"/>
  </mergeCells>
  <phoneticPr fontId="26" type="noConversion"/>
  <pageMargins left="0.7" right="0.7" top="0.75" bottom="0.75" header="0.3" footer="0.3"/>
  <pageSetup paperSize="9" scale="43" fitToHeight="0" orientation="portrait" r:id="rId1"/>
  <rowBreaks count="1" manualBreakCount="1">
    <brk id="49" max="12" man="1"/>
  </rowBreaks>
  <drawing r:id="rId2"/>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S1</vt:lpstr>
      <vt:lpstr>'S1'!Print_Area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Microsoft Office User</cp:lastModifiedBy>
  <cp:revision/>
  <cp:lastPrinted>2026-04-29T03:54:25Z</cp:lastPrinted>
  <dcterms:created xsi:type="dcterms:W3CDTF">2018-01-03T07:37:56Z</dcterms:created>
  <dcterms:modified xsi:type="dcterms:W3CDTF">2026-06-10T08:50:14Z</dcterms:modified>
  <cp:category/>
  <cp:contentStatus/>
</cp:coreProperties>
</file>