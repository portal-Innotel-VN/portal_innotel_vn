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uan\Bao Gia\Innotel\Thủy Mộc\2026\Tháng 6\"/>
    </mc:Choice>
  </mc:AlternateContent>
  <xr:revisionPtr revIDLastSave="0" documentId="13_ncr:1_{D8ACC85F-CCFA-4877-80F4-CB7040E858AF}" xr6:coauthVersionLast="47" xr6:coauthVersionMax="47" xr10:uidLastSave="{00000000-0000-0000-0000-000000000000}"/>
  <bookViews>
    <workbookView xWindow="-110" yWindow="-110" windowWidth="19420" windowHeight="10300" tabRatio="767" xr2:uid="{00000000-000D-0000-FFFF-FFFF00000000}"/>
  </bookViews>
  <sheets>
    <sheet name="Quote" sheetId="12" r:id="rId1"/>
  </sheets>
  <definedNames>
    <definedName name="_xlnm.Print_Area" localSheetId="0">Quote!$A$1:$F$35</definedName>
  </definedNames>
  <calcPr calcId="191029"/>
</workbook>
</file>

<file path=xl/calcChain.xml><?xml version="1.0" encoding="utf-8"?>
<calcChain xmlns="http://schemas.openxmlformats.org/spreadsheetml/2006/main">
  <c r="F18" i="12" l="1"/>
  <c r="F17" i="12"/>
  <c r="F16" i="12"/>
  <c r="F15" i="12"/>
  <c r="F19" i="12" l="1"/>
</calcChain>
</file>

<file path=xl/sharedStrings.xml><?xml version="1.0" encoding="utf-8"?>
<sst xmlns="http://schemas.openxmlformats.org/spreadsheetml/2006/main" count="37" uniqueCount="36">
  <si>
    <t>Số lượng</t>
  </si>
  <si>
    <t>Thành tiền 
(VNĐ)</t>
  </si>
  <si>
    <t>BẢNG CHÀO GIÁ</t>
  </si>
  <si>
    <t>Tên hàng hóa</t>
  </si>
  <si>
    <t>Đơn giá</t>
  </si>
  <si>
    <t xml:space="preserve">Cộng: </t>
  </si>
  <si>
    <t>Tổng cộng:</t>
  </si>
  <si>
    <t>Điều kiện thương mại:</t>
  </si>
  <si>
    <t>Đại Diện Công Ty</t>
  </si>
  <si>
    <t>Xác nhận đặt hàng của Quý khách</t>
  </si>
  <si>
    <t>Công ty CP Phân phối Công Nghệ HK xin trân trọng gửi đến Quý Khách hàng bảng chào như sau:</t>
  </si>
  <si>
    <t>HUỲNH TRỌNG HIẾU</t>
  </si>
  <si>
    <t>Sales Manager</t>
  </si>
  <si>
    <t>Mail: support@hktech.net.vn</t>
  </si>
  <si>
    <t xml:space="preserve">Người nhận: </t>
  </si>
  <si>
    <t>Địa điểm giao hàng ở Tp.HCM</t>
  </si>
  <si>
    <t>Mả sản phẩm</t>
  </si>
  <si>
    <t>ĐVT</t>
  </si>
  <si>
    <t>cái</t>
  </si>
  <si>
    <t>Khách Hàng:</t>
  </si>
  <si>
    <t xml:space="preserve">Địa chỉ: </t>
  </si>
  <si>
    <t>1.</t>
  </si>
  <si>
    <t>2.</t>
  </si>
  <si>
    <t>3.</t>
  </si>
  <si>
    <t>4.</t>
  </si>
  <si>
    <t>Thời gian hiệu lực của báo giá là 7 ngày</t>
  </si>
  <si>
    <t>CHI NHÁNH CÔNG TY CỔ PHẦN IN HOSPITALITY</t>
  </si>
  <si>
    <t>08 Nguyễn Bỉnh Khiêm, Phường Sài Gòn, TPHCM</t>
  </si>
  <si>
    <t>DS-2CD1143G2-LIU</t>
  </si>
  <si>
    <t>Camera DS-2CD1143G2-LIU (2.8MM) - Màu trắng</t>
  </si>
  <si>
    <t>R2H28A</t>
  </si>
  <si>
    <t>Aruba AP-505 (RW) Dual Radio 2x2:2 802.11ax Internal Antennas Unified Campus A</t>
  </si>
  <si>
    <t>Thuế (VAT) 8%</t>
  </si>
  <si>
    <t>Thời gian giao hàng: 1 -2 ngày làm việc. Thời gian tính từ lúc nhận được PO xác nhận đặt hàng</t>
  </si>
  <si>
    <t>Thanh toán 100% giá trị đơn hàng ngay khi giao hàng</t>
  </si>
  <si>
    <t>TP HCM, ngày 23/06/2024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</si>
</sst>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\$* #,##0.00_ ;_ \$* \-#,##0.00_ ;_ \$* \-??_ ;_ @_ "/>
    <numFmt numFmtId="165" formatCode="_(* #,##0_);_(* \(#,##0\);_(* &quot;-&quot;??_);_(@_)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color theme="3"/>
      <name val="Times New Roman"/>
      <family val="1"/>
    </font>
    <font>
      <sz val="10"/>
      <name val="MS Sans Serif"/>
      <family val="2"/>
    </font>
    <font>
      <sz val="10"/>
      <name val="MS Sans Serif"/>
      <family val="2"/>
    </font>
    <font>
      <sz val="12"/>
      <name val="¹ÙÅÁÃ¼"/>
    </font>
    <font>
      <sz val="10"/>
      <name val="Helv"/>
    </font>
    <font>
      <b/>
      <sz val="12"/>
      <name val="Times New Roman"/>
      <family val="1"/>
    </font>
    <font>
      <b/>
      <sz val="12"/>
      <color theme="3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FA92C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1" fillId="0" borderId="0">
      <alignment horizontal="center"/>
    </xf>
    <xf numFmtId="0" fontId="6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8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/>
    <xf numFmtId="43" fontId="4" fillId="0" borderId="0" xfId="1" applyFont="1"/>
    <xf numFmtId="43" fontId="3" fillId="0" borderId="0" xfId="1" applyFont="1"/>
    <xf numFmtId="0" fontId="5" fillId="0" borderId="0" xfId="0" applyFont="1"/>
    <xf numFmtId="0" fontId="4" fillId="2" borderId="0" xfId="0" applyFont="1" applyFill="1"/>
    <xf numFmtId="0" fontId="10" fillId="0" borderId="0" xfId="0" applyFont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vertical="center" wrapText="1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4" fontId="16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/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wrapText="1"/>
    </xf>
    <xf numFmtId="43" fontId="15" fillId="0" borderId="0" xfId="1" applyFont="1"/>
    <xf numFmtId="43" fontId="12" fillId="0" borderId="0" xfId="1" applyFont="1" applyBorder="1" applyAlignment="1">
      <alignment horizontal="center"/>
    </xf>
    <xf numFmtId="43" fontId="15" fillId="0" borderId="0" xfId="16" applyFont="1"/>
    <xf numFmtId="0" fontId="18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15" fillId="4" borderId="1" xfId="0" applyNumberFormat="1" applyFont="1" applyFill="1" applyBorder="1" applyAlignment="1">
      <alignment horizontal="right" vertical="center" wrapText="1"/>
    </xf>
    <xf numFmtId="165" fontId="15" fillId="4" borderId="1" xfId="1" applyNumberFormat="1" applyFont="1" applyFill="1" applyBorder="1" applyAlignment="1">
      <alignment horizontal="right" vertical="center" wrapText="1"/>
    </xf>
    <xf numFmtId="3" fontId="12" fillId="4" borderId="1" xfId="0" applyNumberFormat="1" applyFont="1" applyFill="1" applyBorder="1" applyAlignment="1">
      <alignment horizontal="right" vertical="center" wrapText="1"/>
    </xf>
    <xf numFmtId="165" fontId="12" fillId="0" borderId="1" xfId="1" applyNumberFormat="1" applyFont="1" applyFill="1" applyBorder="1" applyAlignment="1">
      <alignment horizontal="right" vertical="center" wrapText="1"/>
    </xf>
    <xf numFmtId="43" fontId="15" fillId="0" borderId="0" xfId="1" applyFont="1" applyAlignment="1">
      <alignment horizontal="right"/>
    </xf>
    <xf numFmtId="0" fontId="12" fillId="0" borderId="0" xfId="0" quotePrefix="1" applyFont="1" applyAlignment="1">
      <alignment horizontal="right"/>
    </xf>
    <xf numFmtId="0" fontId="12" fillId="0" borderId="0" xfId="0" quotePrefix="1" applyFont="1" applyAlignment="1">
      <alignment horizontal="right" vertical="center"/>
    </xf>
    <xf numFmtId="0" fontId="12" fillId="2" borderId="0" xfId="0" quotePrefix="1" applyFont="1" applyFill="1" applyAlignment="1">
      <alignment horizontal="right"/>
    </xf>
    <xf numFmtId="0" fontId="13" fillId="0" borderId="0" xfId="0" applyFont="1" applyAlignment="1">
      <alignment vertical="center" wrapText="1"/>
    </xf>
    <xf numFmtId="0" fontId="15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4" fontId="17" fillId="3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right" vertical="center" wrapText="1"/>
    </xf>
    <xf numFmtId="0" fontId="12" fillId="4" borderId="3" xfId="0" applyFont="1" applyFill="1" applyBorder="1" applyAlignment="1">
      <alignment horizontal="right" vertical="center" wrapText="1"/>
    </xf>
    <xf numFmtId="0" fontId="12" fillId="4" borderId="4" xfId="0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0" borderId="2" xfId="0" quotePrefix="1" applyFont="1" applyBorder="1" applyAlignment="1">
      <alignment horizontal="left" vertical="center"/>
    </xf>
    <xf numFmtId="0" fontId="15" fillId="0" borderId="3" xfId="0" quotePrefix="1" applyFont="1" applyBorder="1" applyAlignment="1">
      <alignment horizontal="left" vertical="center"/>
    </xf>
    <xf numFmtId="0" fontId="15" fillId="0" borderId="4" xfId="0" quotePrefix="1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</cellXfs>
  <cellStyles count="17">
    <cellStyle name="_ET_STYLE_NoName_00_" xfId="3" xr:uid="{00000000-0005-0000-0000-000000000000}"/>
    <cellStyle name="_ET_STYLE_NoName_00__báo giá" xfId="5" xr:uid="{00000000-0005-0000-0000-000001000000}"/>
    <cellStyle name="_ET_STYLE_NoName_00__báo giá_1" xfId="6" xr:uid="{00000000-0005-0000-0000-000002000000}"/>
    <cellStyle name="_ET_STYLE_NoName_00__báo giá_2" xfId="7" xr:uid="{00000000-0005-0000-0000-000003000000}"/>
    <cellStyle name="_ET_STYLE_NoName_00__báo giá_3" xfId="8" xr:uid="{00000000-0005-0000-0000-000004000000}"/>
    <cellStyle name="_HP ProCurve Switch" xfId="9" xr:uid="{00000000-0005-0000-0000-000005000000}"/>
    <cellStyle name="0,0_x000a__x000a_NA_x000a__x000a_" xfId="10" xr:uid="{00000000-0005-0000-0000-000006000000}"/>
    <cellStyle name="Bình thường" xfId="0" builtinId="0"/>
    <cellStyle name="Comma 2" xfId="11" xr:uid="{00000000-0005-0000-0000-000008000000}"/>
    <cellStyle name="Comma 4" xfId="16" xr:uid="{00000000-0005-0000-0000-000009000000}"/>
    <cellStyle name="Currency 2" xfId="12" xr:uid="{00000000-0005-0000-0000-00000A000000}"/>
    <cellStyle name="Currency 3" xfId="15" xr:uid="{00000000-0005-0000-0000-00000B000000}"/>
    <cellStyle name="Dấu phẩy" xfId="1" builtinId="3"/>
    <cellStyle name="Ledger 17 x 11 in" xfId="2" xr:uid="{00000000-0005-0000-0000-00000C000000}"/>
    <cellStyle name="Ledger 17 x 11 in 2" xfId="13" xr:uid="{00000000-0005-0000-0000-00000D000000}"/>
    <cellStyle name="Normal 2" xfId="4" xr:uid="{00000000-0005-0000-0000-00000F000000}"/>
    <cellStyle name="표준_QUOT(MMF) - 송준호" xfId="14" xr:uid="{00000000-0005-0000-0000-000010000000}"/>
  </cellStyles>
  <dxfs count="0"/>
  <tableStyles count="0" defaultTableStyle="TableStyleMedium9" defaultPivotStyle="PivotStyleLight16"/>
  <colors>
    <mruColors>
      <color rgb="FF0FA92C"/>
      <color rgb="FF1E9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35860</xdr:rowOff>
    </xdr:from>
    <xdr:to>
      <xdr:col>5</xdr:col>
      <xdr:colOff>869576</xdr:colOff>
      <xdr:row>7</xdr:row>
      <xdr:rowOff>89648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00000000-0008-0000-0000-000033240000}"/>
            </a:ext>
          </a:extLst>
        </xdr:cNvPr>
        <xdr:cNvSpPr>
          <a:spLocks noChangeArrowheads="1"/>
        </xdr:cNvSpPr>
      </xdr:nvSpPr>
      <xdr:spPr bwMode="auto">
        <a:xfrm>
          <a:off x="182880" y="35860"/>
          <a:ext cx="12147176" cy="1227268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noFill/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/>
          <a:r>
            <a:rPr lang="en-US" sz="2000" b="1">
              <a:effectLst/>
              <a:latin typeface="Times New Roman" pitchFamily="18" charset="0"/>
              <a:ea typeface="+mn-ea"/>
              <a:cs typeface="Times New Roman" pitchFamily="18" charset="0"/>
            </a:rPr>
            <a:t>CÔNG TY CỔ PHẦN PHÂN PHỐI CÔNG NGHỆ HK </a:t>
          </a:r>
        </a:p>
        <a:p>
          <a:pPr algn="ctr"/>
          <a:r>
            <a:rPr lang="en-US" sz="1100">
              <a:effectLst/>
              <a:latin typeface="Times New Roman" pitchFamily="18" charset="0"/>
              <a:ea typeface="+mn-ea"/>
              <a:cs typeface="Times New Roman" pitchFamily="18" charset="0"/>
            </a:rPr>
            <a:t>Tel.: (84028) 36369793 Fax.: </a:t>
          </a:r>
          <a:r>
            <a:rPr lang="en-US" sz="1100">
              <a:effectLst/>
              <a:latin typeface="+mn-lt"/>
              <a:ea typeface="+mn-ea"/>
              <a:cs typeface="+mn-cs"/>
            </a:rPr>
            <a:t>84028) 36369793</a:t>
          </a:r>
        </a:p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www.</a:t>
          </a:r>
          <a:r>
            <a:rPr lang="en-US">
              <a:hlinkClick xmlns:r="http://schemas.openxmlformats.org/officeDocument/2006/relationships" r:id=""/>
            </a:rPr>
            <a:t>https://hktech.net.vn</a:t>
          </a:r>
          <a:endParaRPr lang="en-US" sz="110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681653</xdr:colOff>
      <xdr:row>0</xdr:row>
      <xdr:rowOff>97788</xdr:rowOff>
    </xdr:from>
    <xdr:to>
      <xdr:col>1</xdr:col>
      <xdr:colOff>922020</xdr:colOff>
      <xdr:row>7</xdr:row>
      <xdr:rowOff>129737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653" y="97788"/>
          <a:ext cx="2008207" cy="120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8"/>
  </sheetPr>
  <dimension ref="A1:F35"/>
  <sheetViews>
    <sheetView tabSelected="1" view="pageBreakPreview" topLeftCell="A25" zoomScale="90" zoomScaleNormal="90" zoomScaleSheetLayoutView="90" workbookViewId="0">
      <selection activeCell="B23" sqref="B23"/>
    </sheetView>
  </sheetViews>
  <sheetFormatPr defaultColWidth="9.1796875" defaultRowHeight="13"/>
  <cols>
    <col min="1" max="1" width="25.81640625" style="1" customWidth="1"/>
    <col min="2" max="2" width="87.7265625" style="1" customWidth="1"/>
    <col min="3" max="3" width="9.453125" style="1" customWidth="1"/>
    <col min="4" max="4" width="11.453125" style="1" customWidth="1"/>
    <col min="5" max="5" width="17.6328125" style="2" customWidth="1"/>
    <col min="6" max="6" width="14.453125" style="2" customWidth="1"/>
    <col min="7" max="7" width="1.1796875" style="1" customWidth="1"/>
    <col min="8" max="8" width="9.1796875" style="1"/>
    <col min="9" max="9" width="12" style="1" bestFit="1" customWidth="1"/>
    <col min="10" max="10" width="10.54296875" style="1" bestFit="1" customWidth="1"/>
    <col min="11" max="12" width="12" style="1" bestFit="1" customWidth="1"/>
    <col min="13" max="16384" width="9.1796875" style="1"/>
  </cols>
  <sheetData>
    <row r="1" spans="1:6">
      <c r="A1" s="40"/>
      <c r="B1" s="40"/>
      <c r="C1" s="40"/>
      <c r="D1" s="40"/>
      <c r="E1" s="40"/>
      <c r="F1" s="40"/>
    </row>
    <row r="2" spans="1:6">
      <c r="A2" s="40"/>
      <c r="B2" s="40"/>
      <c r="C2" s="40"/>
      <c r="D2" s="40"/>
      <c r="E2" s="40"/>
      <c r="F2" s="40"/>
    </row>
    <row r="3" spans="1:6">
      <c r="A3" s="40"/>
      <c r="B3" s="40"/>
      <c r="C3" s="40"/>
      <c r="D3" s="40"/>
      <c r="E3" s="40"/>
      <c r="F3" s="40"/>
    </row>
    <row r="4" spans="1:6">
      <c r="A4" s="40"/>
      <c r="B4" s="40"/>
      <c r="C4" s="40"/>
      <c r="D4" s="40"/>
      <c r="E4" s="40"/>
      <c r="F4" s="40"/>
    </row>
    <row r="5" spans="1:6">
      <c r="A5" s="40"/>
      <c r="B5" s="40"/>
      <c r="C5" s="40"/>
      <c r="D5" s="40"/>
      <c r="E5" s="40"/>
      <c r="F5" s="40"/>
    </row>
    <row r="6" spans="1:6">
      <c r="A6" s="40"/>
      <c r="B6" s="40"/>
      <c r="C6" s="40"/>
      <c r="D6" s="40"/>
      <c r="E6" s="40"/>
      <c r="F6" s="40"/>
    </row>
    <row r="7" spans="1:6">
      <c r="A7" s="40"/>
      <c r="B7" s="40"/>
      <c r="C7" s="40"/>
      <c r="D7" s="40"/>
      <c r="E7" s="40"/>
      <c r="F7" s="40"/>
    </row>
    <row r="8" spans="1:6" ht="12" customHeight="1">
      <c r="A8" s="40"/>
      <c r="B8" s="40"/>
      <c r="C8" s="40"/>
      <c r="D8" s="40"/>
      <c r="E8" s="40"/>
      <c r="F8" s="40"/>
    </row>
    <row r="9" spans="1:6" ht="28.5" customHeight="1">
      <c r="A9" s="41" t="s">
        <v>2</v>
      </c>
      <c r="B9" s="41"/>
      <c r="C9" s="41"/>
      <c r="D9" s="41"/>
      <c r="E9" s="41"/>
      <c r="F9" s="41"/>
    </row>
    <row r="10" spans="1:6" ht="18">
      <c r="A10" s="10" t="s">
        <v>19</v>
      </c>
      <c r="B10" s="48" t="s">
        <v>26</v>
      </c>
      <c r="C10" s="49"/>
      <c r="D10" s="50"/>
      <c r="E10" s="54" t="s">
        <v>14</v>
      </c>
      <c r="F10" s="54"/>
    </row>
    <row r="11" spans="1:6" ht="18">
      <c r="A11" s="10" t="s">
        <v>20</v>
      </c>
      <c r="B11" s="51" t="s">
        <v>27</v>
      </c>
      <c r="C11" s="52"/>
      <c r="D11" s="53"/>
      <c r="E11" s="55"/>
      <c r="F11" s="55"/>
    </row>
    <row r="12" spans="1:6" ht="18">
      <c r="A12" s="37"/>
      <c r="B12" s="38"/>
      <c r="C12" s="38"/>
      <c r="D12" s="38"/>
      <c r="E12" s="26"/>
      <c r="F12" s="26"/>
    </row>
    <row r="13" spans="1:6" ht="30" customHeight="1">
      <c r="A13" s="39" t="s">
        <v>10</v>
      </c>
      <c r="B13" s="11"/>
      <c r="C13" s="12"/>
      <c r="D13" s="12"/>
      <c r="E13" s="12"/>
      <c r="F13" s="12"/>
    </row>
    <row r="14" spans="1:6" s="5" customFormat="1" ht="39.65" customHeight="1">
      <c r="A14" s="13" t="s">
        <v>16</v>
      </c>
      <c r="B14" s="14" t="s">
        <v>3</v>
      </c>
      <c r="C14" s="13" t="s">
        <v>17</v>
      </c>
      <c r="D14" s="13" t="s">
        <v>0</v>
      </c>
      <c r="E14" s="13" t="s">
        <v>4</v>
      </c>
      <c r="F14" s="15" t="s">
        <v>1</v>
      </c>
    </row>
    <row r="15" spans="1:6" s="5" customFormat="1" ht="21.65" customHeight="1">
      <c r="A15" s="25" t="s">
        <v>28</v>
      </c>
      <c r="B15" s="27" t="s">
        <v>29</v>
      </c>
      <c r="C15" s="16" t="s">
        <v>18</v>
      </c>
      <c r="D15" s="16">
        <v>3</v>
      </c>
      <c r="E15" s="32">
        <v>1150000</v>
      </c>
      <c r="F15" s="28">
        <f t="shared" ref="F15:F16" si="0">E15*D15</f>
        <v>3450000</v>
      </c>
    </row>
    <row r="16" spans="1:6" s="5" customFormat="1" ht="21.65" customHeight="1">
      <c r="A16" s="25" t="s">
        <v>30</v>
      </c>
      <c r="B16" s="27" t="s">
        <v>31</v>
      </c>
      <c r="C16" s="16" t="s">
        <v>18</v>
      </c>
      <c r="D16" s="16">
        <v>1</v>
      </c>
      <c r="E16" s="32">
        <v>9700000</v>
      </c>
      <c r="F16" s="28">
        <f t="shared" si="0"/>
        <v>9700000</v>
      </c>
    </row>
    <row r="17" spans="1:6" s="5" customFormat="1" ht="25.5" customHeight="1">
      <c r="A17" s="44" t="s">
        <v>5</v>
      </c>
      <c r="B17" s="44"/>
      <c r="C17" s="44"/>
      <c r="D17" s="44"/>
      <c r="E17" s="44"/>
      <c r="F17" s="29">
        <f>SUM(F15:F16)</f>
        <v>13150000</v>
      </c>
    </row>
    <row r="18" spans="1:6" s="5" customFormat="1" ht="25.5" customHeight="1">
      <c r="A18" s="44" t="s">
        <v>32</v>
      </c>
      <c r="B18" s="44"/>
      <c r="C18" s="44"/>
      <c r="D18" s="44"/>
      <c r="E18" s="44"/>
      <c r="F18" s="30">
        <f>F17*8%</f>
        <v>1052000</v>
      </c>
    </row>
    <row r="19" spans="1:6" s="5" customFormat="1" ht="25.5" customHeight="1">
      <c r="A19" s="45" t="s">
        <v>6</v>
      </c>
      <c r="B19" s="46"/>
      <c r="C19" s="46"/>
      <c r="D19" s="46"/>
      <c r="E19" s="47"/>
      <c r="F19" s="31">
        <f>F17+F18</f>
        <v>14202000</v>
      </c>
    </row>
    <row r="20" spans="1:6" s="5" customFormat="1" ht="25.5" customHeight="1">
      <c r="A20" s="43"/>
      <c r="B20" s="43"/>
      <c r="C20" s="43"/>
      <c r="D20" s="43"/>
      <c r="E20" s="43"/>
      <c r="F20" s="43"/>
    </row>
    <row r="21" spans="1:6" s="5" customFormat="1" ht="25.5" customHeight="1">
      <c r="A21" s="9" t="s">
        <v>7</v>
      </c>
      <c r="B21" s="9"/>
      <c r="C21" s="17"/>
      <c r="D21" s="17"/>
      <c r="E21" s="18"/>
      <c r="F21" s="19"/>
    </row>
    <row r="22" spans="1:6" s="5" customFormat="1" ht="25" customHeight="1">
      <c r="A22" s="34" t="s">
        <v>21</v>
      </c>
      <c r="B22" s="17" t="s">
        <v>33</v>
      </c>
      <c r="C22" s="17"/>
      <c r="D22" s="17"/>
      <c r="E22" s="18"/>
      <c r="F22" s="19"/>
    </row>
    <row r="23" spans="1:6" s="5" customFormat="1" ht="25" customHeight="1">
      <c r="A23" s="34" t="s">
        <v>22</v>
      </c>
      <c r="B23" s="17" t="s">
        <v>15</v>
      </c>
      <c r="C23" s="17"/>
      <c r="D23" s="17"/>
      <c r="E23" s="18"/>
      <c r="F23" s="19"/>
    </row>
    <row r="24" spans="1:6" s="5" customFormat="1" ht="25" customHeight="1">
      <c r="A24" s="35" t="s">
        <v>23</v>
      </c>
      <c r="B24" s="42" t="s">
        <v>34</v>
      </c>
      <c r="C24" s="42"/>
      <c r="D24" s="42"/>
      <c r="E24" s="42"/>
      <c r="F24" s="42"/>
    </row>
    <row r="25" spans="1:6" s="5" customFormat="1" ht="25" customHeight="1">
      <c r="A25" s="36" t="s">
        <v>24</v>
      </c>
      <c r="B25" s="11" t="s">
        <v>25</v>
      </c>
      <c r="C25" s="17"/>
      <c r="D25" s="17"/>
      <c r="E25" s="21"/>
      <c r="F25" s="21"/>
    </row>
    <row r="26" spans="1:6" s="5" customFormat="1" ht="25" customHeight="1">
      <c r="A26" s="33"/>
      <c r="B26" s="22"/>
      <c r="C26" s="23" t="s">
        <v>9</v>
      </c>
      <c r="D26" s="23"/>
      <c r="E26" s="22"/>
      <c r="F26" s="23"/>
    </row>
    <row r="27" spans="1:6" s="5" customFormat="1" ht="15" customHeight="1">
      <c r="A27" s="17"/>
      <c r="B27" s="17" t="s">
        <v>35</v>
      </c>
      <c r="C27" s="17"/>
      <c r="D27" s="17"/>
      <c r="E27" s="24"/>
      <c r="F27" s="20"/>
    </row>
    <row r="28" spans="1:6" s="5" customFormat="1" ht="18">
      <c r="A28" s="17"/>
      <c r="B28" s="9" t="s">
        <v>8</v>
      </c>
      <c r="C28" s="17"/>
      <c r="D28" s="17"/>
      <c r="E28" s="22"/>
      <c r="F28" s="22"/>
    </row>
    <row r="29" spans="1:6" ht="15.5">
      <c r="A29" s="7"/>
      <c r="B29" s="6"/>
      <c r="C29" s="7"/>
      <c r="D29" s="7"/>
      <c r="E29" s="3"/>
      <c r="F29" s="3"/>
    </row>
    <row r="30" spans="1:6" ht="15.5">
      <c r="A30" s="7"/>
      <c r="B30" s="6"/>
      <c r="C30" s="7"/>
      <c r="D30" s="7"/>
      <c r="E30" s="3"/>
      <c r="F30" s="3"/>
    </row>
    <row r="31" spans="1:6" ht="15.5">
      <c r="A31" s="7"/>
      <c r="B31" s="6"/>
      <c r="C31" s="7"/>
      <c r="D31" s="7"/>
      <c r="E31" s="3"/>
      <c r="F31" s="3"/>
    </row>
    <row r="32" spans="1:6" ht="15" customHeight="1">
      <c r="A32" s="7"/>
      <c r="B32" s="6"/>
      <c r="C32" s="7"/>
      <c r="D32" s="7"/>
      <c r="E32" s="3"/>
      <c r="F32" s="3"/>
    </row>
    <row r="33" spans="1:6" ht="27" customHeight="1">
      <c r="A33" s="7"/>
      <c r="B33" s="8" t="s">
        <v>11</v>
      </c>
      <c r="C33" s="7"/>
      <c r="D33" s="7"/>
      <c r="E33" s="3"/>
      <c r="F33" s="3"/>
    </row>
    <row r="34" spans="1:6" ht="15.5">
      <c r="A34" s="7"/>
      <c r="B34" s="8" t="s">
        <v>12</v>
      </c>
      <c r="C34" s="7"/>
      <c r="D34" s="7"/>
      <c r="E34" s="3"/>
      <c r="F34" s="3"/>
    </row>
    <row r="35" spans="1:6" s="2" customFormat="1" ht="15.5">
      <c r="A35" s="7"/>
      <c r="B35" s="4" t="s">
        <v>13</v>
      </c>
      <c r="C35" s="7"/>
      <c r="D35" s="7"/>
      <c r="E35" s="3"/>
      <c r="F35" s="3"/>
    </row>
  </sheetData>
  <mergeCells count="11">
    <mergeCell ref="A1:F8"/>
    <mergeCell ref="A9:F9"/>
    <mergeCell ref="B24:F24"/>
    <mergeCell ref="A20:F20"/>
    <mergeCell ref="A17:E17"/>
    <mergeCell ref="A18:E18"/>
    <mergeCell ref="A19:E19"/>
    <mergeCell ref="B10:D10"/>
    <mergeCell ref="B11:D11"/>
    <mergeCell ref="E10:E11"/>
    <mergeCell ref="F10:F11"/>
  </mergeCells>
  <phoneticPr fontId="2" type="noConversion"/>
  <printOptions horizontalCentered="1"/>
  <pageMargins left="0.21" right="0.31999890600000003" top="0.3" bottom="0.3" header="0.32" footer="0.25"/>
  <pageSetup paperSize="9" scale="75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Quote</vt:lpstr>
      <vt:lpstr>Quote!Vùng_In</vt:lpstr>
    </vt:vector>
  </TitlesOfParts>
  <Company>BP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Sieuvd</dc:creator>
  <cp:lastModifiedBy>Việt Nguyễn</cp:lastModifiedBy>
  <cp:lastPrinted>2026-06-23T05:01:04Z</cp:lastPrinted>
  <dcterms:created xsi:type="dcterms:W3CDTF">2005-06-07T03:20:57Z</dcterms:created>
  <dcterms:modified xsi:type="dcterms:W3CDTF">2026-06-23T05:01:14Z</dcterms:modified>
</cp:coreProperties>
</file>