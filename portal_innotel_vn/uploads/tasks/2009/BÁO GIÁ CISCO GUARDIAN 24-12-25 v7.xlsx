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an\Bao Gia\2025\Guardian\Tháng 12\Excel\"/>
    </mc:Choice>
  </mc:AlternateContent>
  <xr:revisionPtr revIDLastSave="0" documentId="13_ncr:1_{AD1F247D-17DD-4BBC-8F85-96E4333B6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Giá" sheetId="2" r:id="rId1"/>
  </sheets>
  <definedNames>
    <definedName name="_xlnm.Print_Area" localSheetId="0">'Báo Giá'!$A$1:$L$67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" i="2" l="1"/>
  <c r="K51" i="2"/>
  <c r="K47" i="2" l="1"/>
  <c r="K46" i="2"/>
  <c r="K45" i="2"/>
  <c r="K34" i="2"/>
  <c r="K33" i="2"/>
  <c r="K15" i="2"/>
  <c r="K14" i="2"/>
  <c r="J48" i="2"/>
  <c r="M47" i="2"/>
  <c r="M46" i="2"/>
  <c r="M45" i="2"/>
  <c r="M34" i="2"/>
  <c r="M33" i="2"/>
  <c r="M15" i="2"/>
  <c r="M14" i="2"/>
  <c r="I45" i="2"/>
  <c r="I46" i="2"/>
  <c r="I47" i="2"/>
  <c r="J46" i="2"/>
  <c r="J47" i="2"/>
  <c r="K48" i="2" l="1"/>
  <c r="J45" i="2"/>
  <c r="J34" i="2"/>
  <c r="J33" i="2"/>
  <c r="J15" i="2"/>
  <c r="J14" i="2"/>
  <c r="S48" i="2"/>
  <c r="R47" i="2"/>
  <c r="S47" i="2" s="1"/>
  <c r="R46" i="2"/>
  <c r="S46" i="2" s="1"/>
  <c r="R45" i="2"/>
  <c r="S45" i="2" s="1"/>
  <c r="R34" i="2"/>
  <c r="S34" i="2" s="1"/>
  <c r="S33" i="2"/>
  <c r="R33" i="2"/>
  <c r="R15" i="2"/>
  <c r="S15" i="2" s="1"/>
  <c r="S14" i="2"/>
  <c r="R14" i="2"/>
  <c r="Q15" i="2"/>
  <c r="H15" i="2" s="1"/>
  <c r="Q47" i="2"/>
  <c r="H47" i="2" s="1"/>
  <c r="Q46" i="2"/>
  <c r="H46" i="2" s="1"/>
  <c r="Q45" i="2"/>
  <c r="H45" i="2" s="1"/>
  <c r="Q34" i="2"/>
  <c r="H34" i="2" s="1"/>
  <c r="O47" i="2" l="1"/>
  <c r="O46" i="2"/>
  <c r="O45" i="2"/>
  <c r="O34" i="2"/>
  <c r="O15" i="2"/>
  <c r="P45" i="2"/>
  <c r="P34" i="2"/>
  <c r="P15" i="2"/>
  <c r="N14" i="2"/>
  <c r="T51" i="2"/>
  <c r="P47" i="2"/>
  <c r="P46" i="2"/>
  <c r="Q14" i="2" l="1"/>
  <c r="H14" i="2" s="1"/>
  <c r="P14" i="2"/>
  <c r="O14" i="2"/>
  <c r="N33" i="2"/>
  <c r="Q33" i="2" s="1"/>
  <c r="H33" i="2" s="1"/>
  <c r="P33" i="2" l="1"/>
  <c r="O33" i="2"/>
  <c r="O48" i="2" s="1"/>
  <c r="O57" i="2" l="1"/>
  <c r="O56" i="2"/>
  <c r="O55" i="2"/>
  <c r="O54" i="2"/>
  <c r="O52" i="2"/>
  <c r="O53" i="2"/>
  <c r="O51" i="2"/>
  <c r="I14" i="2"/>
  <c r="I34" i="2" l="1"/>
  <c r="I15" i="2"/>
  <c r="I33" i="2"/>
  <c r="I48" i="2" l="1"/>
  <c r="M48" i="2"/>
  <c r="O50" i="2" s="1"/>
  <c r="T50" i="2" l="1"/>
</calcChain>
</file>

<file path=xl/sharedStrings.xml><?xml version="1.0" encoding="utf-8"?>
<sst xmlns="http://schemas.openxmlformats.org/spreadsheetml/2006/main" count="148" uniqueCount="125">
  <si>
    <t>BẢNG CHÀO GIÁ</t>
  </si>
  <si>
    <t>STT</t>
  </si>
  <si>
    <t>ĐVT</t>
  </si>
  <si>
    <t>ĐƠN GIÁ
(VNĐ)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</si>
  <si>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</si>
  <si>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</si>
  <si>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</si>
  <si>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</si>
  <si>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</si>
  <si>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THÀNH TIỀN 
VNĐ)</t>
  </si>
  <si>
    <t>SL</t>
  </si>
  <si>
    <t>TÊN SẢN PHẨM</t>
  </si>
  <si>
    <t>LOẠI SẢN PHẨM</t>
  </si>
  <si>
    <t>4. Bảo hành theo tiêu chuẩn nhà sản xuất 12 tháng đối với phần cứng, phần mềm</t>
  </si>
  <si>
    <t xml:space="preserve">Võ Nguyễn Thanh Xuân </t>
  </si>
  <si>
    <t>Người báo giá: VÕ NGUYỄN THANH XUÂN</t>
  </si>
  <si>
    <t>Email: xuan@innotel.com.vn</t>
  </si>
  <si>
    <t>Nhà Phân phối: CÔNG TY TNHH VIỄN THÔNG SÁNG TẠO THUẬN PHONG( Innotel)</t>
  </si>
  <si>
    <t>Hardware</t>
  </si>
  <si>
    <t>GHI CHÚ</t>
  </si>
  <si>
    <t>Thuế VAT
(8%)</t>
  </si>
  <si>
    <t>I</t>
  </si>
  <si>
    <t>II</t>
  </si>
  <si>
    <t>lic.</t>
  </si>
  <si>
    <t>Khách hàng: CÔNG TY TNHH MTV THƯƠNG MẠI VÀ ĐẦU TƯ LIÊN Á CHÂU (GUARDIAN)</t>
  </si>
  <si>
    <t>Người nhận: Mr. Nhật</t>
  </si>
  <si>
    <t>Người dùng cuối: CÔNG TY TNHH MTV THƯƠNG MẠI VÀ ĐẦU TƯ LIÊN Á CHÂU (GUARDIAN)</t>
  </si>
  <si>
    <t>Mobi: 0907 080 952</t>
  </si>
  <si>
    <t>Email: nhat_tran@guardian.com.vn</t>
  </si>
  <si>
    <t>BOM: Cisco</t>
  </si>
  <si>
    <t>C9300-48T-E</t>
  </si>
  <si>
    <t>Catalyst 9300 48-port data only, Network Essentials</t>
  </si>
  <si>
    <t>CON-SNT-C930048E</t>
  </si>
  <si>
    <t>SNTC-8X5XNBD Catalyst 9300 48-port data only, Network</t>
  </si>
  <si>
    <t>C9300-DNA-E-48</t>
  </si>
  <si>
    <t>C9300 DNA Essentials, 48-Port Term Licenses</t>
  </si>
  <si>
    <t>C9300-DNA-E-48-3Y</t>
  </si>
  <si>
    <t>C9300 DNA Essentials, 48-port - 3 Year Term License</t>
  </si>
  <si>
    <t>C9300-NW-E-48</t>
  </si>
  <si>
    <t>C9300 Network Essentials, 48-port license</t>
  </si>
  <si>
    <t>SC9300UK9-1715</t>
  </si>
  <si>
    <t>CAT9300/9400/9500/9600 UNIVERSAL</t>
  </si>
  <si>
    <t>PWR-C1-350WAC-P</t>
  </si>
  <si>
    <t>350W AC 80+ platinum Config 1 Power Supply</t>
  </si>
  <si>
    <t>C9300-SPS-NONE</t>
  </si>
  <si>
    <t>No Secondary Power Supply Selected</t>
  </si>
  <si>
    <t>CAB-TA-EU</t>
  </si>
  <si>
    <t>Europe AC Type A Power Cable</t>
  </si>
  <si>
    <t>C9300-SSD-NONE</t>
  </si>
  <si>
    <t>No SSD Card Selected</t>
  </si>
  <si>
    <t>STACK-T1-50CM</t>
  </si>
  <si>
    <t>50CM Type 1 Stacking Cable</t>
  </si>
  <si>
    <t>CAB-SPWR-30CM</t>
  </si>
  <si>
    <t>Catalyst Stack Power Cable 30 CM</t>
  </si>
  <si>
    <t>PWR-C1-BLANK</t>
  </si>
  <si>
    <t>Config 1 Power Supply Blank</t>
  </si>
  <si>
    <t>C9K-ACC-RBFT</t>
  </si>
  <si>
    <t>RUBBER FEET FOR TABLE TOP SETUP 9200 and 93xx</t>
  </si>
  <si>
    <t>C9K-ACC-SCR-4</t>
  </si>
  <si>
    <t>12-24 and 10-32 SCREWS FOR RACK INSTALLATION, QTY 4</t>
  </si>
  <si>
    <t>CAB-GUIDE-1RU</t>
  </si>
  <si>
    <t>1RU CABLE MANAGEMENT GUIDES 9200 and 9300</t>
  </si>
  <si>
    <t>NETWORK-PNP-LIC</t>
  </si>
  <si>
    <t>Network Plug-n-Play Connect for zero-touch device deployment</t>
  </si>
  <si>
    <t>C9300-NM-8X</t>
  </si>
  <si>
    <t>Catalyst 9300 8 x 10GE Network Module</t>
  </si>
  <si>
    <t>bộ</t>
  </si>
  <si>
    <t>Cisco C9300-48T-E</t>
  </si>
  <si>
    <t>C9200L-48T-4X-E</t>
  </si>
  <si>
    <t>Catalyst 9200L 48-port data only,4 x 10G,Network Essentials</t>
  </si>
  <si>
    <t>CON-SNT-C920L4XE</t>
  </si>
  <si>
    <t>SNTC-8X5XNBD Catalyst 9200L 48-port data, 4 x 10G ,Ne</t>
  </si>
  <si>
    <t>C9200L-DNA-E-48</t>
  </si>
  <si>
    <t>C9200L Cisco DNA Essentials, 48-port Term license</t>
  </si>
  <si>
    <t>C9200L-DNA-E-48-3Y</t>
  </si>
  <si>
    <t>C9200L Cisco DNA Essentials, 48-port, 3 Year Term license</t>
  </si>
  <si>
    <t>C9200L-NW-E-48</t>
  </si>
  <si>
    <t>C9200L Network Essentials, 48-port license</t>
  </si>
  <si>
    <t>PWR-C5-BLANK</t>
  </si>
  <si>
    <t>Config 5 Power Supply Blank</t>
  </si>
  <si>
    <t>C9200-STACK-BLANK</t>
  </si>
  <si>
    <t>Catalyst 9200 Blank Stack Module</t>
  </si>
  <si>
    <t>SFP-10G-SR-S=</t>
  </si>
  <si>
    <t>10GBASE-SR SFP Module, Enterprise-Class</t>
  </si>
  <si>
    <t>Cisco C9200L-48T-4X-E</t>
  </si>
  <si>
    <t>Switch</t>
  </si>
  <si>
    <t>Cáp AOC 10GBASE Active Optical SFP+ Cable, 10M</t>
  </si>
  <si>
    <t>Dây nhảy quang OM3 ,duplex, 3m</t>
  </si>
  <si>
    <t>Module</t>
  </si>
  <si>
    <t>AOC Cablle</t>
  </si>
  <si>
    <t>Patch cord</t>
  </si>
  <si>
    <t>SFP-10G-AOC10M=</t>
  </si>
  <si>
    <t>Giao hàng trong tháng 12/2025</t>
  </si>
  <si>
    <t>2. Thời gian giao hàng: 3 - 7 ngày kể từ khi nhận thanh toán đợt 1</t>
  </si>
  <si>
    <t>3. Thanh toán: 2 đợt</t>
  </si>
  <si>
    <t xml:space="preserve">  - Đợt 2: Thanh toán 70% tổng giá trị còn lịa trong vòng 30 ngày kể từ khi bàn giao hàng hóa</t>
  </si>
  <si>
    <t>1. Hiệu lực báo giá: có giá trị đến ngày 31/12/2025</t>
  </si>
  <si>
    <t xml:space="preserve">  - Đợt 1: Tạm ứng 30% tổng giá trị trong vòng 3 ngày ngay sau khi ký hợp đồng</t>
  </si>
  <si>
    <t>Ngày hết hạn báo giá: 31-12-25</t>
  </si>
  <si>
    <t>Giá nhập</t>
  </si>
  <si>
    <t>NCC</t>
  </si>
  <si>
    <t>TNT</t>
  </si>
  <si>
    <t>FDC</t>
  </si>
  <si>
    <t>USTech</t>
  </si>
  <si>
    <t>CNTTShop</t>
  </si>
  <si>
    <t>Tổng bán trước VAT</t>
  </si>
  <si>
    <t>Tổng nhập trước VAT</t>
  </si>
  <si>
    <t>THÀNH TIỀN TRƯỚC THUẾ</t>
  </si>
  <si>
    <t>Bước 8</t>
  </si>
  <si>
    <t>Bước 7</t>
  </si>
  <si>
    <t>Bước 6</t>
  </si>
  <si>
    <t>Bước 5</t>
  </si>
  <si>
    <t>Bước 4</t>
  </si>
  <si>
    <t>Bước 3</t>
  </si>
  <si>
    <t>Bước 2</t>
  </si>
  <si>
    <t>Bước 1</t>
  </si>
  <si>
    <t>Bước</t>
  </si>
  <si>
    <t>LN</t>
  </si>
  <si>
    <t>Tổng giá 
trước VAT</t>
  </si>
  <si>
    <t>Qno: 091225-6</t>
  </si>
  <si>
    <t>Ngày báo giá: 24-12-25</t>
  </si>
  <si>
    <t xml:space="preserve">Giá bán </t>
  </si>
  <si>
    <t>Giá bán điều 
chỉnh 24/12</t>
  </si>
  <si>
    <t>Tổng LN</t>
  </si>
  <si>
    <t>Innotel chốt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</si>
</sst>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10"/>
      <color rgb="FFED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2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164" fontId="8" fillId="0" borderId="7" xfId="1" applyNumberFormat="1" applyFont="1" applyFill="1" applyBorder="1" applyAlignment="1">
      <alignment horizontal="right" vertical="center"/>
    </xf>
    <xf numFmtId="3" fontId="9" fillId="0" borderId="7" xfId="1" applyNumberFormat="1" applyFont="1" applyBorder="1" applyAlignment="1">
      <alignment horizontal="right" vertical="center"/>
    </xf>
    <xf numFmtId="3" fontId="8" fillId="0" borderId="7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0" fontId="3" fillId="0" borderId="2" xfId="0" applyFont="1" applyBorder="1"/>
    <xf numFmtId="0" fontId="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165" fontId="8" fillId="0" borderId="7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37" fontId="8" fillId="0" borderId="7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8" fillId="3" borderId="7" xfId="0" applyFont="1" applyFill="1" applyBorder="1" applyAlignment="1">
      <alignment vertical="center"/>
    </xf>
    <xf numFmtId="164" fontId="8" fillId="0" borderId="7" xfId="1" applyNumberFormat="1" applyFont="1" applyFill="1" applyBorder="1" applyAlignment="1">
      <alignment vertical="center"/>
    </xf>
    <xf numFmtId="3" fontId="9" fillId="0" borderId="7" xfId="1" applyNumberFormat="1" applyFont="1" applyBorder="1" applyAlignment="1">
      <alignment vertical="center"/>
    </xf>
    <xf numFmtId="39" fontId="8" fillId="0" borderId="7" xfId="1" applyNumberFormat="1" applyFont="1" applyBorder="1" applyAlignment="1">
      <alignment horizontal="center" vertical="center"/>
    </xf>
    <xf numFmtId="164" fontId="3" fillId="0" borderId="1" xfId="1" applyNumberFormat="1" applyFont="1" applyBorder="1"/>
    <xf numFmtId="164" fontId="5" fillId="0" borderId="1" xfId="1" applyNumberFormat="1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vertical="center"/>
    </xf>
    <xf numFmtId="164" fontId="3" fillId="0" borderId="20" xfId="1" applyNumberFormat="1" applyFont="1" applyBorder="1" applyAlignment="1">
      <alignment horizontal="center" vertical="top" wrapText="1"/>
    </xf>
    <xf numFmtId="164" fontId="3" fillId="0" borderId="0" xfId="1" applyNumberFormat="1" applyFont="1" applyFill="1" applyBorder="1" applyAlignment="1">
      <alignment vertical="center"/>
    </xf>
    <xf numFmtId="164" fontId="17" fillId="0" borderId="0" xfId="1" applyNumberFormat="1" applyFont="1" applyFill="1" applyBorder="1" applyAlignment="1">
      <alignment vertical="center"/>
    </xf>
    <xf numFmtId="164" fontId="3" fillId="0" borderId="21" xfId="1" applyNumberFormat="1" applyFont="1" applyBorder="1" applyAlignment="1">
      <alignment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3" fontId="8" fillId="0" borderId="0" xfId="1" quotePrefix="1" applyNumberFormat="1" applyFont="1" applyBorder="1" applyAlignment="1">
      <alignment horizontal="center" vertical="center" wrapText="1"/>
    </xf>
    <xf numFmtId="164" fontId="16" fillId="0" borderId="1" xfId="1" applyNumberFormat="1" applyFont="1" applyBorder="1"/>
    <xf numFmtId="0" fontId="3" fillId="0" borderId="22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164" fontId="16" fillId="0" borderId="12" xfId="1" applyNumberFormat="1" applyFont="1" applyBorder="1"/>
    <xf numFmtId="164" fontId="3" fillId="0" borderId="12" xfId="1" applyNumberFormat="1" applyFont="1" applyBorder="1"/>
    <xf numFmtId="164" fontId="5" fillId="0" borderId="12" xfId="1" applyNumberFormat="1" applyFont="1" applyBorder="1" applyAlignment="1">
      <alignment horizontal="right"/>
    </xf>
    <xf numFmtId="164" fontId="3" fillId="0" borderId="24" xfId="1" applyNumberFormat="1" applyFont="1" applyBorder="1" applyAlignment="1">
      <alignment vertical="center"/>
    </xf>
    <xf numFmtId="0" fontId="5" fillId="0" borderId="14" xfId="0" applyFont="1" applyBorder="1" applyAlignment="1">
      <alignment horizontal="right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right"/>
    </xf>
    <xf numFmtId="164" fontId="3" fillId="0" borderId="7" xfId="1" applyNumberFormat="1" applyFont="1" applyBorder="1" applyAlignment="1">
      <alignment horizontal="center" vertical="center"/>
    </xf>
    <xf numFmtId="10" fontId="3" fillId="0" borderId="7" xfId="3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3" fontId="16" fillId="0" borderId="7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wrapText="1"/>
    </xf>
    <xf numFmtId="10" fontId="2" fillId="0" borderId="7" xfId="3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2" fillId="0" borderId="7" xfId="1" applyNumberFormat="1" applyFont="1" applyBorder="1" applyAlignment="1">
      <alignment horizontal="center" vertical="center"/>
    </xf>
    <xf numFmtId="3" fontId="8" fillId="0" borderId="7" xfId="1" quotePrefix="1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0" fillId="0" borderId="7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right"/>
    </xf>
  </cellXfs>
  <cellStyles count="4">
    <cellStyle name="Bình thường" xfId="0" builtinId="0"/>
    <cellStyle name="Comma 3" xfId="2" xr:uid="{C737F914-D561-4902-9D06-ACC009E49CB5}"/>
    <cellStyle name="Dấu phẩy" xfId="1" builtinId="3"/>
    <cellStyle name="Phần tră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2</xdr:col>
      <xdr:colOff>673803</xdr:colOff>
      <xdr:row>3</xdr:row>
      <xdr:rowOff>113393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332617</xdr:colOff>
      <xdr:row>3</xdr:row>
      <xdr:rowOff>10166</xdr:rowOff>
    </xdr:from>
    <xdr:to>
      <xdr:col>11</xdr:col>
      <xdr:colOff>763510</xdr:colOff>
      <xdr:row>3</xdr:row>
      <xdr:rowOff>643559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046" y="486416"/>
          <a:ext cx="1383393" cy="633393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57</xdr:row>
      <xdr:rowOff>22860</xdr:rowOff>
    </xdr:from>
    <xdr:to>
      <xdr:col>2</xdr:col>
      <xdr:colOff>30480</xdr:colOff>
      <xdr:row>60</xdr:row>
      <xdr:rowOff>78507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DB346-725C-4537-8813-4F328C838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234160"/>
          <a:ext cx="975360" cy="581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showGridLines="0" tabSelected="1" topLeftCell="A43" zoomScaleNormal="100" zoomScaleSheetLayoutView="85" workbookViewId="0">
      <selection activeCell="K51" sqref="K51:K52"/>
    </sheetView>
  </sheetViews>
  <sheetFormatPr defaultRowHeight="13.2" x14ac:dyDescent="0.25"/>
  <cols>
    <col min="1" max="1" width="5.88671875" style="1" customWidth="1"/>
    <col min="2" max="2" width="11.6640625" style="10" customWidth="1"/>
    <col min="3" max="3" width="11.6640625" style="2" customWidth="1"/>
    <col min="4" max="4" width="15.33203125" style="2" customWidth="1"/>
    <col min="5" max="5" width="48.21875" style="2" customWidth="1"/>
    <col min="6" max="6" width="6.33203125" style="10" customWidth="1"/>
    <col min="7" max="7" width="6.6640625" style="14" customWidth="1"/>
    <col min="8" max="10" width="12.77734375" style="12" customWidth="1"/>
    <col min="11" max="11" width="13.6640625" style="12" customWidth="1"/>
    <col min="12" max="13" width="13" style="14" customWidth="1"/>
    <col min="14" max="15" width="16.33203125" style="52" customWidth="1"/>
    <col min="16" max="16" width="16.6640625" style="52" bestFit="1" customWidth="1"/>
    <col min="17" max="19" width="16.6640625" style="52" customWidth="1"/>
    <col min="20" max="20" width="9.21875" style="2"/>
    <col min="21" max="21" width="13.109375" style="2" bestFit="1" customWidth="1"/>
    <col min="22" max="257" width="9.21875" style="2"/>
    <col min="258" max="258" width="5" style="2" customWidth="1"/>
    <col min="259" max="259" width="23.77734375" style="2" customWidth="1"/>
    <col min="260" max="260" width="46.77734375" style="2" customWidth="1"/>
    <col min="261" max="261" width="5.77734375" style="2" customWidth="1"/>
    <col min="262" max="262" width="10" style="2" customWidth="1"/>
    <col min="263" max="263" width="12.21875" style="2" customWidth="1"/>
    <col min="264" max="264" width="13.77734375" style="2" customWidth="1"/>
    <col min="265" max="265" width="12.5546875" style="2" customWidth="1"/>
    <col min="266" max="266" width="13" style="2" customWidth="1"/>
    <col min="267" max="267" width="13.77734375" style="2" bestFit="1" customWidth="1"/>
    <col min="268" max="513" width="9.21875" style="2"/>
    <col min="514" max="514" width="5" style="2" customWidth="1"/>
    <col min="515" max="515" width="23.77734375" style="2" customWidth="1"/>
    <col min="516" max="516" width="46.77734375" style="2" customWidth="1"/>
    <col min="517" max="517" width="5.77734375" style="2" customWidth="1"/>
    <col min="518" max="518" width="10" style="2" customWidth="1"/>
    <col min="519" max="519" width="12.21875" style="2" customWidth="1"/>
    <col min="520" max="520" width="13.77734375" style="2" customWidth="1"/>
    <col min="521" max="521" width="12.5546875" style="2" customWidth="1"/>
    <col min="522" max="522" width="13" style="2" customWidth="1"/>
    <col min="523" max="523" width="13.77734375" style="2" bestFit="1" customWidth="1"/>
    <col min="524" max="769" width="9.21875" style="2"/>
    <col min="770" max="770" width="5" style="2" customWidth="1"/>
    <col min="771" max="771" width="23.77734375" style="2" customWidth="1"/>
    <col min="772" max="772" width="46.77734375" style="2" customWidth="1"/>
    <col min="773" max="773" width="5.77734375" style="2" customWidth="1"/>
    <col min="774" max="774" width="10" style="2" customWidth="1"/>
    <col min="775" max="775" width="12.21875" style="2" customWidth="1"/>
    <col min="776" max="776" width="13.77734375" style="2" customWidth="1"/>
    <col min="777" max="777" width="12.5546875" style="2" customWidth="1"/>
    <col min="778" max="778" width="13" style="2" customWidth="1"/>
    <col min="779" max="779" width="13.77734375" style="2" bestFit="1" customWidth="1"/>
    <col min="780" max="1025" width="9.21875" style="2"/>
    <col min="1026" max="1026" width="5" style="2" customWidth="1"/>
    <col min="1027" max="1027" width="23.77734375" style="2" customWidth="1"/>
    <col min="1028" max="1028" width="46.77734375" style="2" customWidth="1"/>
    <col min="1029" max="1029" width="5.77734375" style="2" customWidth="1"/>
    <col min="1030" max="1030" width="10" style="2" customWidth="1"/>
    <col min="1031" max="1031" width="12.21875" style="2" customWidth="1"/>
    <col min="1032" max="1032" width="13.77734375" style="2" customWidth="1"/>
    <col min="1033" max="1033" width="12.5546875" style="2" customWidth="1"/>
    <col min="1034" max="1034" width="13" style="2" customWidth="1"/>
    <col min="1035" max="1035" width="13.77734375" style="2" bestFit="1" customWidth="1"/>
    <col min="1036" max="1281" width="9.21875" style="2"/>
    <col min="1282" max="1282" width="5" style="2" customWidth="1"/>
    <col min="1283" max="1283" width="23.77734375" style="2" customWidth="1"/>
    <col min="1284" max="1284" width="46.77734375" style="2" customWidth="1"/>
    <col min="1285" max="1285" width="5.77734375" style="2" customWidth="1"/>
    <col min="1286" max="1286" width="10" style="2" customWidth="1"/>
    <col min="1287" max="1287" width="12.21875" style="2" customWidth="1"/>
    <col min="1288" max="1288" width="13.77734375" style="2" customWidth="1"/>
    <col min="1289" max="1289" width="12.5546875" style="2" customWidth="1"/>
    <col min="1290" max="1290" width="13" style="2" customWidth="1"/>
    <col min="1291" max="1291" width="13.77734375" style="2" bestFit="1" customWidth="1"/>
    <col min="1292" max="1537" width="9.21875" style="2"/>
    <col min="1538" max="1538" width="5" style="2" customWidth="1"/>
    <col min="1539" max="1539" width="23.77734375" style="2" customWidth="1"/>
    <col min="1540" max="1540" width="46.77734375" style="2" customWidth="1"/>
    <col min="1541" max="1541" width="5.77734375" style="2" customWidth="1"/>
    <col min="1542" max="1542" width="10" style="2" customWidth="1"/>
    <col min="1543" max="1543" width="12.21875" style="2" customWidth="1"/>
    <col min="1544" max="1544" width="13.77734375" style="2" customWidth="1"/>
    <col min="1545" max="1545" width="12.5546875" style="2" customWidth="1"/>
    <col min="1546" max="1546" width="13" style="2" customWidth="1"/>
    <col min="1547" max="1547" width="13.77734375" style="2" bestFit="1" customWidth="1"/>
    <col min="1548" max="1793" width="9.21875" style="2"/>
    <col min="1794" max="1794" width="5" style="2" customWidth="1"/>
    <col min="1795" max="1795" width="23.77734375" style="2" customWidth="1"/>
    <col min="1796" max="1796" width="46.77734375" style="2" customWidth="1"/>
    <col min="1797" max="1797" width="5.77734375" style="2" customWidth="1"/>
    <col min="1798" max="1798" width="10" style="2" customWidth="1"/>
    <col min="1799" max="1799" width="12.21875" style="2" customWidth="1"/>
    <col min="1800" max="1800" width="13.77734375" style="2" customWidth="1"/>
    <col min="1801" max="1801" width="12.5546875" style="2" customWidth="1"/>
    <col min="1802" max="1802" width="13" style="2" customWidth="1"/>
    <col min="1803" max="1803" width="13.77734375" style="2" bestFit="1" customWidth="1"/>
    <col min="1804" max="2049" width="9.21875" style="2"/>
    <col min="2050" max="2050" width="5" style="2" customWidth="1"/>
    <col min="2051" max="2051" width="23.77734375" style="2" customWidth="1"/>
    <col min="2052" max="2052" width="46.77734375" style="2" customWidth="1"/>
    <col min="2053" max="2053" width="5.77734375" style="2" customWidth="1"/>
    <col min="2054" max="2054" width="10" style="2" customWidth="1"/>
    <col min="2055" max="2055" width="12.21875" style="2" customWidth="1"/>
    <col min="2056" max="2056" width="13.77734375" style="2" customWidth="1"/>
    <col min="2057" max="2057" width="12.5546875" style="2" customWidth="1"/>
    <col min="2058" max="2058" width="13" style="2" customWidth="1"/>
    <col min="2059" max="2059" width="13.77734375" style="2" bestFit="1" customWidth="1"/>
    <col min="2060" max="2305" width="9.21875" style="2"/>
    <col min="2306" max="2306" width="5" style="2" customWidth="1"/>
    <col min="2307" max="2307" width="23.77734375" style="2" customWidth="1"/>
    <col min="2308" max="2308" width="46.77734375" style="2" customWidth="1"/>
    <col min="2309" max="2309" width="5.77734375" style="2" customWidth="1"/>
    <col min="2310" max="2310" width="10" style="2" customWidth="1"/>
    <col min="2311" max="2311" width="12.21875" style="2" customWidth="1"/>
    <col min="2312" max="2312" width="13.77734375" style="2" customWidth="1"/>
    <col min="2313" max="2313" width="12.5546875" style="2" customWidth="1"/>
    <col min="2314" max="2314" width="13" style="2" customWidth="1"/>
    <col min="2315" max="2315" width="13.77734375" style="2" bestFit="1" customWidth="1"/>
    <col min="2316" max="2561" width="9.21875" style="2"/>
    <col min="2562" max="2562" width="5" style="2" customWidth="1"/>
    <col min="2563" max="2563" width="23.77734375" style="2" customWidth="1"/>
    <col min="2564" max="2564" width="46.77734375" style="2" customWidth="1"/>
    <col min="2565" max="2565" width="5.77734375" style="2" customWidth="1"/>
    <col min="2566" max="2566" width="10" style="2" customWidth="1"/>
    <col min="2567" max="2567" width="12.21875" style="2" customWidth="1"/>
    <col min="2568" max="2568" width="13.77734375" style="2" customWidth="1"/>
    <col min="2569" max="2569" width="12.5546875" style="2" customWidth="1"/>
    <col min="2570" max="2570" width="13" style="2" customWidth="1"/>
    <col min="2571" max="2571" width="13.77734375" style="2" bestFit="1" customWidth="1"/>
    <col min="2572" max="2817" width="9.21875" style="2"/>
    <col min="2818" max="2818" width="5" style="2" customWidth="1"/>
    <col min="2819" max="2819" width="23.77734375" style="2" customWidth="1"/>
    <col min="2820" max="2820" width="46.77734375" style="2" customWidth="1"/>
    <col min="2821" max="2821" width="5.77734375" style="2" customWidth="1"/>
    <col min="2822" max="2822" width="10" style="2" customWidth="1"/>
    <col min="2823" max="2823" width="12.21875" style="2" customWidth="1"/>
    <col min="2824" max="2824" width="13.77734375" style="2" customWidth="1"/>
    <col min="2825" max="2825" width="12.5546875" style="2" customWidth="1"/>
    <col min="2826" max="2826" width="13" style="2" customWidth="1"/>
    <col min="2827" max="2827" width="13.77734375" style="2" bestFit="1" customWidth="1"/>
    <col min="2828" max="3073" width="9.21875" style="2"/>
    <col min="3074" max="3074" width="5" style="2" customWidth="1"/>
    <col min="3075" max="3075" width="23.77734375" style="2" customWidth="1"/>
    <col min="3076" max="3076" width="46.77734375" style="2" customWidth="1"/>
    <col min="3077" max="3077" width="5.77734375" style="2" customWidth="1"/>
    <col min="3078" max="3078" width="10" style="2" customWidth="1"/>
    <col min="3079" max="3079" width="12.21875" style="2" customWidth="1"/>
    <col min="3080" max="3080" width="13.77734375" style="2" customWidth="1"/>
    <col min="3081" max="3081" width="12.5546875" style="2" customWidth="1"/>
    <col min="3082" max="3082" width="13" style="2" customWidth="1"/>
    <col min="3083" max="3083" width="13.77734375" style="2" bestFit="1" customWidth="1"/>
    <col min="3084" max="3329" width="9.21875" style="2"/>
    <col min="3330" max="3330" width="5" style="2" customWidth="1"/>
    <col min="3331" max="3331" width="23.77734375" style="2" customWidth="1"/>
    <col min="3332" max="3332" width="46.77734375" style="2" customWidth="1"/>
    <col min="3333" max="3333" width="5.77734375" style="2" customWidth="1"/>
    <col min="3334" max="3334" width="10" style="2" customWidth="1"/>
    <col min="3335" max="3335" width="12.21875" style="2" customWidth="1"/>
    <col min="3336" max="3336" width="13.77734375" style="2" customWidth="1"/>
    <col min="3337" max="3337" width="12.5546875" style="2" customWidth="1"/>
    <col min="3338" max="3338" width="13" style="2" customWidth="1"/>
    <col min="3339" max="3339" width="13.77734375" style="2" bestFit="1" customWidth="1"/>
    <col min="3340" max="3585" width="9.21875" style="2"/>
    <col min="3586" max="3586" width="5" style="2" customWidth="1"/>
    <col min="3587" max="3587" width="23.77734375" style="2" customWidth="1"/>
    <col min="3588" max="3588" width="46.77734375" style="2" customWidth="1"/>
    <col min="3589" max="3589" width="5.77734375" style="2" customWidth="1"/>
    <col min="3590" max="3590" width="10" style="2" customWidth="1"/>
    <col min="3591" max="3591" width="12.21875" style="2" customWidth="1"/>
    <col min="3592" max="3592" width="13.77734375" style="2" customWidth="1"/>
    <col min="3593" max="3593" width="12.5546875" style="2" customWidth="1"/>
    <col min="3594" max="3594" width="13" style="2" customWidth="1"/>
    <col min="3595" max="3595" width="13.77734375" style="2" bestFit="1" customWidth="1"/>
    <col min="3596" max="3841" width="9.21875" style="2"/>
    <col min="3842" max="3842" width="5" style="2" customWidth="1"/>
    <col min="3843" max="3843" width="23.77734375" style="2" customWidth="1"/>
    <col min="3844" max="3844" width="46.77734375" style="2" customWidth="1"/>
    <col min="3845" max="3845" width="5.77734375" style="2" customWidth="1"/>
    <col min="3846" max="3846" width="10" style="2" customWidth="1"/>
    <col min="3847" max="3847" width="12.21875" style="2" customWidth="1"/>
    <col min="3848" max="3848" width="13.77734375" style="2" customWidth="1"/>
    <col min="3849" max="3849" width="12.5546875" style="2" customWidth="1"/>
    <col min="3850" max="3850" width="13" style="2" customWidth="1"/>
    <col min="3851" max="3851" width="13.77734375" style="2" bestFit="1" customWidth="1"/>
    <col min="3852" max="4097" width="9.21875" style="2"/>
    <col min="4098" max="4098" width="5" style="2" customWidth="1"/>
    <col min="4099" max="4099" width="23.77734375" style="2" customWidth="1"/>
    <col min="4100" max="4100" width="46.77734375" style="2" customWidth="1"/>
    <col min="4101" max="4101" width="5.77734375" style="2" customWidth="1"/>
    <col min="4102" max="4102" width="10" style="2" customWidth="1"/>
    <col min="4103" max="4103" width="12.21875" style="2" customWidth="1"/>
    <col min="4104" max="4104" width="13.77734375" style="2" customWidth="1"/>
    <col min="4105" max="4105" width="12.5546875" style="2" customWidth="1"/>
    <col min="4106" max="4106" width="13" style="2" customWidth="1"/>
    <col min="4107" max="4107" width="13.77734375" style="2" bestFit="1" customWidth="1"/>
    <col min="4108" max="4353" width="9.21875" style="2"/>
    <col min="4354" max="4354" width="5" style="2" customWidth="1"/>
    <col min="4355" max="4355" width="23.77734375" style="2" customWidth="1"/>
    <col min="4356" max="4356" width="46.77734375" style="2" customWidth="1"/>
    <col min="4357" max="4357" width="5.77734375" style="2" customWidth="1"/>
    <col min="4358" max="4358" width="10" style="2" customWidth="1"/>
    <col min="4359" max="4359" width="12.21875" style="2" customWidth="1"/>
    <col min="4360" max="4360" width="13.77734375" style="2" customWidth="1"/>
    <col min="4361" max="4361" width="12.5546875" style="2" customWidth="1"/>
    <col min="4362" max="4362" width="13" style="2" customWidth="1"/>
    <col min="4363" max="4363" width="13.77734375" style="2" bestFit="1" customWidth="1"/>
    <col min="4364" max="4609" width="9.21875" style="2"/>
    <col min="4610" max="4610" width="5" style="2" customWidth="1"/>
    <col min="4611" max="4611" width="23.77734375" style="2" customWidth="1"/>
    <col min="4612" max="4612" width="46.77734375" style="2" customWidth="1"/>
    <col min="4613" max="4613" width="5.77734375" style="2" customWidth="1"/>
    <col min="4614" max="4614" width="10" style="2" customWidth="1"/>
    <col min="4615" max="4615" width="12.21875" style="2" customWidth="1"/>
    <col min="4616" max="4616" width="13.77734375" style="2" customWidth="1"/>
    <col min="4617" max="4617" width="12.5546875" style="2" customWidth="1"/>
    <col min="4618" max="4618" width="13" style="2" customWidth="1"/>
    <col min="4619" max="4619" width="13.77734375" style="2" bestFit="1" customWidth="1"/>
    <col min="4620" max="4865" width="9.21875" style="2"/>
    <col min="4866" max="4866" width="5" style="2" customWidth="1"/>
    <col min="4867" max="4867" width="23.77734375" style="2" customWidth="1"/>
    <col min="4868" max="4868" width="46.77734375" style="2" customWidth="1"/>
    <col min="4869" max="4869" width="5.77734375" style="2" customWidth="1"/>
    <col min="4870" max="4870" width="10" style="2" customWidth="1"/>
    <col min="4871" max="4871" width="12.21875" style="2" customWidth="1"/>
    <col min="4872" max="4872" width="13.77734375" style="2" customWidth="1"/>
    <col min="4873" max="4873" width="12.5546875" style="2" customWidth="1"/>
    <col min="4874" max="4874" width="13" style="2" customWidth="1"/>
    <col min="4875" max="4875" width="13.77734375" style="2" bestFit="1" customWidth="1"/>
    <col min="4876" max="5121" width="9.21875" style="2"/>
    <col min="5122" max="5122" width="5" style="2" customWidth="1"/>
    <col min="5123" max="5123" width="23.77734375" style="2" customWidth="1"/>
    <col min="5124" max="5124" width="46.77734375" style="2" customWidth="1"/>
    <col min="5125" max="5125" width="5.77734375" style="2" customWidth="1"/>
    <col min="5126" max="5126" width="10" style="2" customWidth="1"/>
    <col min="5127" max="5127" width="12.21875" style="2" customWidth="1"/>
    <col min="5128" max="5128" width="13.77734375" style="2" customWidth="1"/>
    <col min="5129" max="5129" width="12.5546875" style="2" customWidth="1"/>
    <col min="5130" max="5130" width="13" style="2" customWidth="1"/>
    <col min="5131" max="5131" width="13.77734375" style="2" bestFit="1" customWidth="1"/>
    <col min="5132" max="5377" width="9.21875" style="2"/>
    <col min="5378" max="5378" width="5" style="2" customWidth="1"/>
    <col min="5379" max="5379" width="23.77734375" style="2" customWidth="1"/>
    <col min="5380" max="5380" width="46.77734375" style="2" customWidth="1"/>
    <col min="5381" max="5381" width="5.77734375" style="2" customWidth="1"/>
    <col min="5382" max="5382" width="10" style="2" customWidth="1"/>
    <col min="5383" max="5383" width="12.21875" style="2" customWidth="1"/>
    <col min="5384" max="5384" width="13.77734375" style="2" customWidth="1"/>
    <col min="5385" max="5385" width="12.5546875" style="2" customWidth="1"/>
    <col min="5386" max="5386" width="13" style="2" customWidth="1"/>
    <col min="5387" max="5387" width="13.77734375" style="2" bestFit="1" customWidth="1"/>
    <col min="5388" max="5633" width="9.21875" style="2"/>
    <col min="5634" max="5634" width="5" style="2" customWidth="1"/>
    <col min="5635" max="5635" width="23.77734375" style="2" customWidth="1"/>
    <col min="5636" max="5636" width="46.77734375" style="2" customWidth="1"/>
    <col min="5637" max="5637" width="5.77734375" style="2" customWidth="1"/>
    <col min="5638" max="5638" width="10" style="2" customWidth="1"/>
    <col min="5639" max="5639" width="12.21875" style="2" customWidth="1"/>
    <col min="5640" max="5640" width="13.77734375" style="2" customWidth="1"/>
    <col min="5641" max="5641" width="12.5546875" style="2" customWidth="1"/>
    <col min="5642" max="5642" width="13" style="2" customWidth="1"/>
    <col min="5643" max="5643" width="13.77734375" style="2" bestFit="1" customWidth="1"/>
    <col min="5644" max="5889" width="9.21875" style="2"/>
    <col min="5890" max="5890" width="5" style="2" customWidth="1"/>
    <col min="5891" max="5891" width="23.77734375" style="2" customWidth="1"/>
    <col min="5892" max="5892" width="46.77734375" style="2" customWidth="1"/>
    <col min="5893" max="5893" width="5.77734375" style="2" customWidth="1"/>
    <col min="5894" max="5894" width="10" style="2" customWidth="1"/>
    <col min="5895" max="5895" width="12.21875" style="2" customWidth="1"/>
    <col min="5896" max="5896" width="13.77734375" style="2" customWidth="1"/>
    <col min="5897" max="5897" width="12.5546875" style="2" customWidth="1"/>
    <col min="5898" max="5898" width="13" style="2" customWidth="1"/>
    <col min="5899" max="5899" width="13.77734375" style="2" bestFit="1" customWidth="1"/>
    <col min="5900" max="6145" width="9.21875" style="2"/>
    <col min="6146" max="6146" width="5" style="2" customWidth="1"/>
    <col min="6147" max="6147" width="23.77734375" style="2" customWidth="1"/>
    <col min="6148" max="6148" width="46.77734375" style="2" customWidth="1"/>
    <col min="6149" max="6149" width="5.77734375" style="2" customWidth="1"/>
    <col min="6150" max="6150" width="10" style="2" customWidth="1"/>
    <col min="6151" max="6151" width="12.21875" style="2" customWidth="1"/>
    <col min="6152" max="6152" width="13.77734375" style="2" customWidth="1"/>
    <col min="6153" max="6153" width="12.5546875" style="2" customWidth="1"/>
    <col min="6154" max="6154" width="13" style="2" customWidth="1"/>
    <col min="6155" max="6155" width="13.77734375" style="2" bestFit="1" customWidth="1"/>
    <col min="6156" max="6401" width="9.21875" style="2"/>
    <col min="6402" max="6402" width="5" style="2" customWidth="1"/>
    <col min="6403" max="6403" width="23.77734375" style="2" customWidth="1"/>
    <col min="6404" max="6404" width="46.77734375" style="2" customWidth="1"/>
    <col min="6405" max="6405" width="5.77734375" style="2" customWidth="1"/>
    <col min="6406" max="6406" width="10" style="2" customWidth="1"/>
    <col min="6407" max="6407" width="12.21875" style="2" customWidth="1"/>
    <col min="6408" max="6408" width="13.77734375" style="2" customWidth="1"/>
    <col min="6409" max="6409" width="12.5546875" style="2" customWidth="1"/>
    <col min="6410" max="6410" width="13" style="2" customWidth="1"/>
    <col min="6411" max="6411" width="13.77734375" style="2" bestFit="1" customWidth="1"/>
    <col min="6412" max="6657" width="9.21875" style="2"/>
    <col min="6658" max="6658" width="5" style="2" customWidth="1"/>
    <col min="6659" max="6659" width="23.77734375" style="2" customWidth="1"/>
    <col min="6660" max="6660" width="46.77734375" style="2" customWidth="1"/>
    <col min="6661" max="6661" width="5.77734375" style="2" customWidth="1"/>
    <col min="6662" max="6662" width="10" style="2" customWidth="1"/>
    <col min="6663" max="6663" width="12.21875" style="2" customWidth="1"/>
    <col min="6664" max="6664" width="13.77734375" style="2" customWidth="1"/>
    <col min="6665" max="6665" width="12.5546875" style="2" customWidth="1"/>
    <col min="6666" max="6666" width="13" style="2" customWidth="1"/>
    <col min="6667" max="6667" width="13.77734375" style="2" bestFit="1" customWidth="1"/>
    <col min="6668" max="6913" width="9.21875" style="2"/>
    <col min="6914" max="6914" width="5" style="2" customWidth="1"/>
    <col min="6915" max="6915" width="23.77734375" style="2" customWidth="1"/>
    <col min="6916" max="6916" width="46.77734375" style="2" customWidth="1"/>
    <col min="6917" max="6917" width="5.77734375" style="2" customWidth="1"/>
    <col min="6918" max="6918" width="10" style="2" customWidth="1"/>
    <col min="6919" max="6919" width="12.21875" style="2" customWidth="1"/>
    <col min="6920" max="6920" width="13.77734375" style="2" customWidth="1"/>
    <col min="6921" max="6921" width="12.5546875" style="2" customWidth="1"/>
    <col min="6922" max="6922" width="13" style="2" customWidth="1"/>
    <col min="6923" max="6923" width="13.77734375" style="2" bestFit="1" customWidth="1"/>
    <col min="6924" max="7169" width="9.21875" style="2"/>
    <col min="7170" max="7170" width="5" style="2" customWidth="1"/>
    <col min="7171" max="7171" width="23.77734375" style="2" customWidth="1"/>
    <col min="7172" max="7172" width="46.77734375" style="2" customWidth="1"/>
    <col min="7173" max="7173" width="5.77734375" style="2" customWidth="1"/>
    <col min="7174" max="7174" width="10" style="2" customWidth="1"/>
    <col min="7175" max="7175" width="12.21875" style="2" customWidth="1"/>
    <col min="7176" max="7176" width="13.77734375" style="2" customWidth="1"/>
    <col min="7177" max="7177" width="12.5546875" style="2" customWidth="1"/>
    <col min="7178" max="7178" width="13" style="2" customWidth="1"/>
    <col min="7179" max="7179" width="13.77734375" style="2" bestFit="1" customWidth="1"/>
    <col min="7180" max="7425" width="9.21875" style="2"/>
    <col min="7426" max="7426" width="5" style="2" customWidth="1"/>
    <col min="7427" max="7427" width="23.77734375" style="2" customWidth="1"/>
    <col min="7428" max="7428" width="46.77734375" style="2" customWidth="1"/>
    <col min="7429" max="7429" width="5.77734375" style="2" customWidth="1"/>
    <col min="7430" max="7430" width="10" style="2" customWidth="1"/>
    <col min="7431" max="7431" width="12.21875" style="2" customWidth="1"/>
    <col min="7432" max="7432" width="13.77734375" style="2" customWidth="1"/>
    <col min="7433" max="7433" width="12.5546875" style="2" customWidth="1"/>
    <col min="7434" max="7434" width="13" style="2" customWidth="1"/>
    <col min="7435" max="7435" width="13.77734375" style="2" bestFit="1" customWidth="1"/>
    <col min="7436" max="7681" width="9.21875" style="2"/>
    <col min="7682" max="7682" width="5" style="2" customWidth="1"/>
    <col min="7683" max="7683" width="23.77734375" style="2" customWidth="1"/>
    <col min="7684" max="7684" width="46.77734375" style="2" customWidth="1"/>
    <col min="7685" max="7685" width="5.77734375" style="2" customWidth="1"/>
    <col min="7686" max="7686" width="10" style="2" customWidth="1"/>
    <col min="7687" max="7687" width="12.21875" style="2" customWidth="1"/>
    <col min="7688" max="7688" width="13.77734375" style="2" customWidth="1"/>
    <col min="7689" max="7689" width="12.5546875" style="2" customWidth="1"/>
    <col min="7690" max="7690" width="13" style="2" customWidth="1"/>
    <col min="7691" max="7691" width="13.77734375" style="2" bestFit="1" customWidth="1"/>
    <col min="7692" max="7937" width="9.21875" style="2"/>
    <col min="7938" max="7938" width="5" style="2" customWidth="1"/>
    <col min="7939" max="7939" width="23.77734375" style="2" customWidth="1"/>
    <col min="7940" max="7940" width="46.77734375" style="2" customWidth="1"/>
    <col min="7941" max="7941" width="5.77734375" style="2" customWidth="1"/>
    <col min="7942" max="7942" width="10" style="2" customWidth="1"/>
    <col min="7943" max="7943" width="12.21875" style="2" customWidth="1"/>
    <col min="7944" max="7944" width="13.77734375" style="2" customWidth="1"/>
    <col min="7945" max="7945" width="12.5546875" style="2" customWidth="1"/>
    <col min="7946" max="7946" width="13" style="2" customWidth="1"/>
    <col min="7947" max="7947" width="13.77734375" style="2" bestFit="1" customWidth="1"/>
    <col min="7948" max="8193" width="9.21875" style="2"/>
    <col min="8194" max="8194" width="5" style="2" customWidth="1"/>
    <col min="8195" max="8195" width="23.77734375" style="2" customWidth="1"/>
    <col min="8196" max="8196" width="46.77734375" style="2" customWidth="1"/>
    <col min="8197" max="8197" width="5.77734375" style="2" customWidth="1"/>
    <col min="8198" max="8198" width="10" style="2" customWidth="1"/>
    <col min="8199" max="8199" width="12.21875" style="2" customWidth="1"/>
    <col min="8200" max="8200" width="13.77734375" style="2" customWidth="1"/>
    <col min="8201" max="8201" width="12.5546875" style="2" customWidth="1"/>
    <col min="8202" max="8202" width="13" style="2" customWidth="1"/>
    <col min="8203" max="8203" width="13.77734375" style="2" bestFit="1" customWidth="1"/>
    <col min="8204" max="8449" width="9.21875" style="2"/>
    <col min="8450" max="8450" width="5" style="2" customWidth="1"/>
    <col min="8451" max="8451" width="23.77734375" style="2" customWidth="1"/>
    <col min="8452" max="8452" width="46.77734375" style="2" customWidth="1"/>
    <col min="8453" max="8453" width="5.77734375" style="2" customWidth="1"/>
    <col min="8454" max="8454" width="10" style="2" customWidth="1"/>
    <col min="8455" max="8455" width="12.21875" style="2" customWidth="1"/>
    <col min="8456" max="8456" width="13.77734375" style="2" customWidth="1"/>
    <col min="8457" max="8457" width="12.5546875" style="2" customWidth="1"/>
    <col min="8458" max="8458" width="13" style="2" customWidth="1"/>
    <col min="8459" max="8459" width="13.77734375" style="2" bestFit="1" customWidth="1"/>
    <col min="8460" max="8705" width="9.21875" style="2"/>
    <col min="8706" max="8706" width="5" style="2" customWidth="1"/>
    <col min="8707" max="8707" width="23.77734375" style="2" customWidth="1"/>
    <col min="8708" max="8708" width="46.77734375" style="2" customWidth="1"/>
    <col min="8709" max="8709" width="5.77734375" style="2" customWidth="1"/>
    <col min="8710" max="8710" width="10" style="2" customWidth="1"/>
    <col min="8711" max="8711" width="12.21875" style="2" customWidth="1"/>
    <col min="8712" max="8712" width="13.77734375" style="2" customWidth="1"/>
    <col min="8713" max="8713" width="12.5546875" style="2" customWidth="1"/>
    <col min="8714" max="8714" width="13" style="2" customWidth="1"/>
    <col min="8715" max="8715" width="13.77734375" style="2" bestFit="1" customWidth="1"/>
    <col min="8716" max="8961" width="9.21875" style="2"/>
    <col min="8962" max="8962" width="5" style="2" customWidth="1"/>
    <col min="8963" max="8963" width="23.77734375" style="2" customWidth="1"/>
    <col min="8964" max="8964" width="46.77734375" style="2" customWidth="1"/>
    <col min="8965" max="8965" width="5.77734375" style="2" customWidth="1"/>
    <col min="8966" max="8966" width="10" style="2" customWidth="1"/>
    <col min="8967" max="8967" width="12.21875" style="2" customWidth="1"/>
    <col min="8968" max="8968" width="13.77734375" style="2" customWidth="1"/>
    <col min="8969" max="8969" width="12.5546875" style="2" customWidth="1"/>
    <col min="8970" max="8970" width="13" style="2" customWidth="1"/>
    <col min="8971" max="8971" width="13.77734375" style="2" bestFit="1" customWidth="1"/>
    <col min="8972" max="9217" width="9.21875" style="2"/>
    <col min="9218" max="9218" width="5" style="2" customWidth="1"/>
    <col min="9219" max="9219" width="23.77734375" style="2" customWidth="1"/>
    <col min="9220" max="9220" width="46.77734375" style="2" customWidth="1"/>
    <col min="9221" max="9221" width="5.77734375" style="2" customWidth="1"/>
    <col min="9222" max="9222" width="10" style="2" customWidth="1"/>
    <col min="9223" max="9223" width="12.21875" style="2" customWidth="1"/>
    <col min="9224" max="9224" width="13.77734375" style="2" customWidth="1"/>
    <col min="9225" max="9225" width="12.5546875" style="2" customWidth="1"/>
    <col min="9226" max="9226" width="13" style="2" customWidth="1"/>
    <col min="9227" max="9227" width="13.77734375" style="2" bestFit="1" customWidth="1"/>
    <col min="9228" max="9473" width="9.21875" style="2"/>
    <col min="9474" max="9474" width="5" style="2" customWidth="1"/>
    <col min="9475" max="9475" width="23.77734375" style="2" customWidth="1"/>
    <col min="9476" max="9476" width="46.77734375" style="2" customWidth="1"/>
    <col min="9477" max="9477" width="5.77734375" style="2" customWidth="1"/>
    <col min="9478" max="9478" width="10" style="2" customWidth="1"/>
    <col min="9479" max="9479" width="12.21875" style="2" customWidth="1"/>
    <col min="9480" max="9480" width="13.77734375" style="2" customWidth="1"/>
    <col min="9481" max="9481" width="12.5546875" style="2" customWidth="1"/>
    <col min="9482" max="9482" width="13" style="2" customWidth="1"/>
    <col min="9483" max="9483" width="13.77734375" style="2" bestFit="1" customWidth="1"/>
    <col min="9484" max="9729" width="9.21875" style="2"/>
    <col min="9730" max="9730" width="5" style="2" customWidth="1"/>
    <col min="9731" max="9731" width="23.77734375" style="2" customWidth="1"/>
    <col min="9732" max="9732" width="46.77734375" style="2" customWidth="1"/>
    <col min="9733" max="9733" width="5.77734375" style="2" customWidth="1"/>
    <col min="9734" max="9734" width="10" style="2" customWidth="1"/>
    <col min="9735" max="9735" width="12.21875" style="2" customWidth="1"/>
    <col min="9736" max="9736" width="13.77734375" style="2" customWidth="1"/>
    <col min="9737" max="9737" width="12.5546875" style="2" customWidth="1"/>
    <col min="9738" max="9738" width="13" style="2" customWidth="1"/>
    <col min="9739" max="9739" width="13.77734375" style="2" bestFit="1" customWidth="1"/>
    <col min="9740" max="9985" width="9.21875" style="2"/>
    <col min="9986" max="9986" width="5" style="2" customWidth="1"/>
    <col min="9987" max="9987" width="23.77734375" style="2" customWidth="1"/>
    <col min="9988" max="9988" width="46.77734375" style="2" customWidth="1"/>
    <col min="9989" max="9989" width="5.77734375" style="2" customWidth="1"/>
    <col min="9990" max="9990" width="10" style="2" customWidth="1"/>
    <col min="9991" max="9991" width="12.21875" style="2" customWidth="1"/>
    <col min="9992" max="9992" width="13.77734375" style="2" customWidth="1"/>
    <col min="9993" max="9993" width="12.5546875" style="2" customWidth="1"/>
    <col min="9994" max="9994" width="13" style="2" customWidth="1"/>
    <col min="9995" max="9995" width="13.77734375" style="2" bestFit="1" customWidth="1"/>
    <col min="9996" max="10241" width="9.21875" style="2"/>
    <col min="10242" max="10242" width="5" style="2" customWidth="1"/>
    <col min="10243" max="10243" width="23.77734375" style="2" customWidth="1"/>
    <col min="10244" max="10244" width="46.77734375" style="2" customWidth="1"/>
    <col min="10245" max="10245" width="5.77734375" style="2" customWidth="1"/>
    <col min="10246" max="10246" width="10" style="2" customWidth="1"/>
    <col min="10247" max="10247" width="12.21875" style="2" customWidth="1"/>
    <col min="10248" max="10248" width="13.77734375" style="2" customWidth="1"/>
    <col min="10249" max="10249" width="12.5546875" style="2" customWidth="1"/>
    <col min="10250" max="10250" width="13" style="2" customWidth="1"/>
    <col min="10251" max="10251" width="13.77734375" style="2" bestFit="1" customWidth="1"/>
    <col min="10252" max="10497" width="9.21875" style="2"/>
    <col min="10498" max="10498" width="5" style="2" customWidth="1"/>
    <col min="10499" max="10499" width="23.77734375" style="2" customWidth="1"/>
    <col min="10500" max="10500" width="46.77734375" style="2" customWidth="1"/>
    <col min="10501" max="10501" width="5.77734375" style="2" customWidth="1"/>
    <col min="10502" max="10502" width="10" style="2" customWidth="1"/>
    <col min="10503" max="10503" width="12.21875" style="2" customWidth="1"/>
    <col min="10504" max="10504" width="13.77734375" style="2" customWidth="1"/>
    <col min="10505" max="10505" width="12.5546875" style="2" customWidth="1"/>
    <col min="10506" max="10506" width="13" style="2" customWidth="1"/>
    <col min="10507" max="10507" width="13.77734375" style="2" bestFit="1" customWidth="1"/>
    <col min="10508" max="10753" width="9.21875" style="2"/>
    <col min="10754" max="10754" width="5" style="2" customWidth="1"/>
    <col min="10755" max="10755" width="23.77734375" style="2" customWidth="1"/>
    <col min="10756" max="10756" width="46.77734375" style="2" customWidth="1"/>
    <col min="10757" max="10757" width="5.77734375" style="2" customWidth="1"/>
    <col min="10758" max="10758" width="10" style="2" customWidth="1"/>
    <col min="10759" max="10759" width="12.21875" style="2" customWidth="1"/>
    <col min="10760" max="10760" width="13.77734375" style="2" customWidth="1"/>
    <col min="10761" max="10761" width="12.5546875" style="2" customWidth="1"/>
    <col min="10762" max="10762" width="13" style="2" customWidth="1"/>
    <col min="10763" max="10763" width="13.77734375" style="2" bestFit="1" customWidth="1"/>
    <col min="10764" max="11009" width="9.21875" style="2"/>
    <col min="11010" max="11010" width="5" style="2" customWidth="1"/>
    <col min="11011" max="11011" width="23.77734375" style="2" customWidth="1"/>
    <col min="11012" max="11012" width="46.77734375" style="2" customWidth="1"/>
    <col min="11013" max="11013" width="5.77734375" style="2" customWidth="1"/>
    <col min="11014" max="11014" width="10" style="2" customWidth="1"/>
    <col min="11015" max="11015" width="12.21875" style="2" customWidth="1"/>
    <col min="11016" max="11016" width="13.77734375" style="2" customWidth="1"/>
    <col min="11017" max="11017" width="12.5546875" style="2" customWidth="1"/>
    <col min="11018" max="11018" width="13" style="2" customWidth="1"/>
    <col min="11019" max="11019" width="13.77734375" style="2" bestFit="1" customWidth="1"/>
    <col min="11020" max="11265" width="9.21875" style="2"/>
    <col min="11266" max="11266" width="5" style="2" customWidth="1"/>
    <col min="11267" max="11267" width="23.77734375" style="2" customWidth="1"/>
    <col min="11268" max="11268" width="46.77734375" style="2" customWidth="1"/>
    <col min="11269" max="11269" width="5.77734375" style="2" customWidth="1"/>
    <col min="11270" max="11270" width="10" style="2" customWidth="1"/>
    <col min="11271" max="11271" width="12.21875" style="2" customWidth="1"/>
    <col min="11272" max="11272" width="13.77734375" style="2" customWidth="1"/>
    <col min="11273" max="11273" width="12.5546875" style="2" customWidth="1"/>
    <col min="11274" max="11274" width="13" style="2" customWidth="1"/>
    <col min="11275" max="11275" width="13.77734375" style="2" bestFit="1" customWidth="1"/>
    <col min="11276" max="11521" width="9.21875" style="2"/>
    <col min="11522" max="11522" width="5" style="2" customWidth="1"/>
    <col min="11523" max="11523" width="23.77734375" style="2" customWidth="1"/>
    <col min="11524" max="11524" width="46.77734375" style="2" customWidth="1"/>
    <col min="11525" max="11525" width="5.77734375" style="2" customWidth="1"/>
    <col min="11526" max="11526" width="10" style="2" customWidth="1"/>
    <col min="11527" max="11527" width="12.21875" style="2" customWidth="1"/>
    <col min="11528" max="11528" width="13.77734375" style="2" customWidth="1"/>
    <col min="11529" max="11529" width="12.5546875" style="2" customWidth="1"/>
    <col min="11530" max="11530" width="13" style="2" customWidth="1"/>
    <col min="11531" max="11531" width="13.77734375" style="2" bestFit="1" customWidth="1"/>
    <col min="11532" max="11777" width="9.21875" style="2"/>
    <col min="11778" max="11778" width="5" style="2" customWidth="1"/>
    <col min="11779" max="11779" width="23.77734375" style="2" customWidth="1"/>
    <col min="11780" max="11780" width="46.77734375" style="2" customWidth="1"/>
    <col min="11781" max="11781" width="5.77734375" style="2" customWidth="1"/>
    <col min="11782" max="11782" width="10" style="2" customWidth="1"/>
    <col min="11783" max="11783" width="12.21875" style="2" customWidth="1"/>
    <col min="11784" max="11784" width="13.77734375" style="2" customWidth="1"/>
    <col min="11785" max="11785" width="12.5546875" style="2" customWidth="1"/>
    <col min="11786" max="11786" width="13" style="2" customWidth="1"/>
    <col min="11787" max="11787" width="13.77734375" style="2" bestFit="1" customWidth="1"/>
    <col min="11788" max="12033" width="9.21875" style="2"/>
    <col min="12034" max="12034" width="5" style="2" customWidth="1"/>
    <col min="12035" max="12035" width="23.77734375" style="2" customWidth="1"/>
    <col min="12036" max="12036" width="46.77734375" style="2" customWidth="1"/>
    <col min="12037" max="12037" width="5.77734375" style="2" customWidth="1"/>
    <col min="12038" max="12038" width="10" style="2" customWidth="1"/>
    <col min="12039" max="12039" width="12.21875" style="2" customWidth="1"/>
    <col min="12040" max="12040" width="13.77734375" style="2" customWidth="1"/>
    <col min="12041" max="12041" width="12.5546875" style="2" customWidth="1"/>
    <col min="12042" max="12042" width="13" style="2" customWidth="1"/>
    <col min="12043" max="12043" width="13.77734375" style="2" bestFit="1" customWidth="1"/>
    <col min="12044" max="12289" width="9.21875" style="2"/>
    <col min="12290" max="12290" width="5" style="2" customWidth="1"/>
    <col min="12291" max="12291" width="23.77734375" style="2" customWidth="1"/>
    <col min="12292" max="12292" width="46.77734375" style="2" customWidth="1"/>
    <col min="12293" max="12293" width="5.77734375" style="2" customWidth="1"/>
    <col min="12294" max="12294" width="10" style="2" customWidth="1"/>
    <col min="12295" max="12295" width="12.21875" style="2" customWidth="1"/>
    <col min="12296" max="12296" width="13.77734375" style="2" customWidth="1"/>
    <col min="12297" max="12297" width="12.5546875" style="2" customWidth="1"/>
    <col min="12298" max="12298" width="13" style="2" customWidth="1"/>
    <col min="12299" max="12299" width="13.77734375" style="2" bestFit="1" customWidth="1"/>
    <col min="12300" max="12545" width="9.21875" style="2"/>
    <col min="12546" max="12546" width="5" style="2" customWidth="1"/>
    <col min="12547" max="12547" width="23.77734375" style="2" customWidth="1"/>
    <col min="12548" max="12548" width="46.77734375" style="2" customWidth="1"/>
    <col min="12549" max="12549" width="5.77734375" style="2" customWidth="1"/>
    <col min="12550" max="12550" width="10" style="2" customWidth="1"/>
    <col min="12551" max="12551" width="12.21875" style="2" customWidth="1"/>
    <col min="12552" max="12552" width="13.77734375" style="2" customWidth="1"/>
    <col min="12553" max="12553" width="12.5546875" style="2" customWidth="1"/>
    <col min="12554" max="12554" width="13" style="2" customWidth="1"/>
    <col min="12555" max="12555" width="13.77734375" style="2" bestFit="1" customWidth="1"/>
    <col min="12556" max="12801" width="9.21875" style="2"/>
    <col min="12802" max="12802" width="5" style="2" customWidth="1"/>
    <col min="12803" max="12803" width="23.77734375" style="2" customWidth="1"/>
    <col min="12804" max="12804" width="46.77734375" style="2" customWidth="1"/>
    <col min="12805" max="12805" width="5.77734375" style="2" customWidth="1"/>
    <col min="12806" max="12806" width="10" style="2" customWidth="1"/>
    <col min="12807" max="12807" width="12.21875" style="2" customWidth="1"/>
    <col min="12808" max="12808" width="13.77734375" style="2" customWidth="1"/>
    <col min="12809" max="12809" width="12.5546875" style="2" customWidth="1"/>
    <col min="12810" max="12810" width="13" style="2" customWidth="1"/>
    <col min="12811" max="12811" width="13.77734375" style="2" bestFit="1" customWidth="1"/>
    <col min="12812" max="13057" width="9.21875" style="2"/>
    <col min="13058" max="13058" width="5" style="2" customWidth="1"/>
    <col min="13059" max="13059" width="23.77734375" style="2" customWidth="1"/>
    <col min="13060" max="13060" width="46.77734375" style="2" customWidth="1"/>
    <col min="13061" max="13061" width="5.77734375" style="2" customWidth="1"/>
    <col min="13062" max="13062" width="10" style="2" customWidth="1"/>
    <col min="13063" max="13063" width="12.21875" style="2" customWidth="1"/>
    <col min="13064" max="13064" width="13.77734375" style="2" customWidth="1"/>
    <col min="13065" max="13065" width="12.5546875" style="2" customWidth="1"/>
    <col min="13066" max="13066" width="13" style="2" customWidth="1"/>
    <col min="13067" max="13067" width="13.77734375" style="2" bestFit="1" customWidth="1"/>
    <col min="13068" max="13313" width="9.21875" style="2"/>
    <col min="13314" max="13314" width="5" style="2" customWidth="1"/>
    <col min="13315" max="13315" width="23.77734375" style="2" customWidth="1"/>
    <col min="13316" max="13316" width="46.77734375" style="2" customWidth="1"/>
    <col min="13317" max="13317" width="5.77734375" style="2" customWidth="1"/>
    <col min="13318" max="13318" width="10" style="2" customWidth="1"/>
    <col min="13319" max="13319" width="12.21875" style="2" customWidth="1"/>
    <col min="13320" max="13320" width="13.77734375" style="2" customWidth="1"/>
    <col min="13321" max="13321" width="12.5546875" style="2" customWidth="1"/>
    <col min="13322" max="13322" width="13" style="2" customWidth="1"/>
    <col min="13323" max="13323" width="13.77734375" style="2" bestFit="1" customWidth="1"/>
    <col min="13324" max="13569" width="9.21875" style="2"/>
    <col min="13570" max="13570" width="5" style="2" customWidth="1"/>
    <col min="13571" max="13571" width="23.77734375" style="2" customWidth="1"/>
    <col min="13572" max="13572" width="46.77734375" style="2" customWidth="1"/>
    <col min="13573" max="13573" width="5.77734375" style="2" customWidth="1"/>
    <col min="13574" max="13574" width="10" style="2" customWidth="1"/>
    <col min="13575" max="13575" width="12.21875" style="2" customWidth="1"/>
    <col min="13576" max="13576" width="13.77734375" style="2" customWidth="1"/>
    <col min="13577" max="13577" width="12.5546875" style="2" customWidth="1"/>
    <col min="13578" max="13578" width="13" style="2" customWidth="1"/>
    <col min="13579" max="13579" width="13.77734375" style="2" bestFit="1" customWidth="1"/>
    <col min="13580" max="13825" width="9.21875" style="2"/>
    <col min="13826" max="13826" width="5" style="2" customWidth="1"/>
    <col min="13827" max="13827" width="23.77734375" style="2" customWidth="1"/>
    <col min="13828" max="13828" width="46.77734375" style="2" customWidth="1"/>
    <col min="13829" max="13829" width="5.77734375" style="2" customWidth="1"/>
    <col min="13830" max="13830" width="10" style="2" customWidth="1"/>
    <col min="13831" max="13831" width="12.21875" style="2" customWidth="1"/>
    <col min="13832" max="13832" width="13.77734375" style="2" customWidth="1"/>
    <col min="13833" max="13833" width="12.5546875" style="2" customWidth="1"/>
    <col min="13834" max="13834" width="13" style="2" customWidth="1"/>
    <col min="13835" max="13835" width="13.77734375" style="2" bestFit="1" customWidth="1"/>
    <col min="13836" max="14081" width="9.21875" style="2"/>
    <col min="14082" max="14082" width="5" style="2" customWidth="1"/>
    <col min="14083" max="14083" width="23.77734375" style="2" customWidth="1"/>
    <col min="14084" max="14084" width="46.77734375" style="2" customWidth="1"/>
    <col min="14085" max="14085" width="5.77734375" style="2" customWidth="1"/>
    <col min="14086" max="14086" width="10" style="2" customWidth="1"/>
    <col min="14087" max="14087" width="12.21875" style="2" customWidth="1"/>
    <col min="14088" max="14088" width="13.77734375" style="2" customWidth="1"/>
    <col min="14089" max="14089" width="12.5546875" style="2" customWidth="1"/>
    <col min="14090" max="14090" width="13" style="2" customWidth="1"/>
    <col min="14091" max="14091" width="13.77734375" style="2" bestFit="1" customWidth="1"/>
    <col min="14092" max="14337" width="9.21875" style="2"/>
    <col min="14338" max="14338" width="5" style="2" customWidth="1"/>
    <col min="14339" max="14339" width="23.77734375" style="2" customWidth="1"/>
    <col min="14340" max="14340" width="46.77734375" style="2" customWidth="1"/>
    <col min="14341" max="14341" width="5.77734375" style="2" customWidth="1"/>
    <col min="14342" max="14342" width="10" style="2" customWidth="1"/>
    <col min="14343" max="14343" width="12.21875" style="2" customWidth="1"/>
    <col min="14344" max="14344" width="13.77734375" style="2" customWidth="1"/>
    <col min="14345" max="14345" width="12.5546875" style="2" customWidth="1"/>
    <col min="14346" max="14346" width="13" style="2" customWidth="1"/>
    <col min="14347" max="14347" width="13.77734375" style="2" bestFit="1" customWidth="1"/>
    <col min="14348" max="14593" width="9.21875" style="2"/>
    <col min="14594" max="14594" width="5" style="2" customWidth="1"/>
    <col min="14595" max="14595" width="23.77734375" style="2" customWidth="1"/>
    <col min="14596" max="14596" width="46.77734375" style="2" customWidth="1"/>
    <col min="14597" max="14597" width="5.77734375" style="2" customWidth="1"/>
    <col min="14598" max="14598" width="10" style="2" customWidth="1"/>
    <col min="14599" max="14599" width="12.21875" style="2" customWidth="1"/>
    <col min="14600" max="14600" width="13.77734375" style="2" customWidth="1"/>
    <col min="14601" max="14601" width="12.5546875" style="2" customWidth="1"/>
    <col min="14602" max="14602" width="13" style="2" customWidth="1"/>
    <col min="14603" max="14603" width="13.77734375" style="2" bestFit="1" customWidth="1"/>
    <col min="14604" max="14849" width="9.21875" style="2"/>
    <col min="14850" max="14850" width="5" style="2" customWidth="1"/>
    <col min="14851" max="14851" width="23.77734375" style="2" customWidth="1"/>
    <col min="14852" max="14852" width="46.77734375" style="2" customWidth="1"/>
    <col min="14853" max="14853" width="5.77734375" style="2" customWidth="1"/>
    <col min="14854" max="14854" width="10" style="2" customWidth="1"/>
    <col min="14855" max="14855" width="12.21875" style="2" customWidth="1"/>
    <col min="14856" max="14856" width="13.77734375" style="2" customWidth="1"/>
    <col min="14857" max="14857" width="12.5546875" style="2" customWidth="1"/>
    <col min="14858" max="14858" width="13" style="2" customWidth="1"/>
    <col min="14859" max="14859" width="13.77734375" style="2" bestFit="1" customWidth="1"/>
    <col min="14860" max="15105" width="9.21875" style="2"/>
    <col min="15106" max="15106" width="5" style="2" customWidth="1"/>
    <col min="15107" max="15107" width="23.77734375" style="2" customWidth="1"/>
    <col min="15108" max="15108" width="46.77734375" style="2" customWidth="1"/>
    <col min="15109" max="15109" width="5.77734375" style="2" customWidth="1"/>
    <col min="15110" max="15110" width="10" style="2" customWidth="1"/>
    <col min="15111" max="15111" width="12.21875" style="2" customWidth="1"/>
    <col min="15112" max="15112" width="13.77734375" style="2" customWidth="1"/>
    <col min="15113" max="15113" width="12.5546875" style="2" customWidth="1"/>
    <col min="15114" max="15114" width="13" style="2" customWidth="1"/>
    <col min="15115" max="15115" width="13.77734375" style="2" bestFit="1" customWidth="1"/>
    <col min="15116" max="15361" width="9.21875" style="2"/>
    <col min="15362" max="15362" width="5" style="2" customWidth="1"/>
    <col min="15363" max="15363" width="23.77734375" style="2" customWidth="1"/>
    <col min="15364" max="15364" width="46.77734375" style="2" customWidth="1"/>
    <col min="15365" max="15365" width="5.77734375" style="2" customWidth="1"/>
    <col min="15366" max="15366" width="10" style="2" customWidth="1"/>
    <col min="15367" max="15367" width="12.21875" style="2" customWidth="1"/>
    <col min="15368" max="15368" width="13.77734375" style="2" customWidth="1"/>
    <col min="15369" max="15369" width="12.5546875" style="2" customWidth="1"/>
    <col min="15370" max="15370" width="13" style="2" customWidth="1"/>
    <col min="15371" max="15371" width="13.77734375" style="2" bestFit="1" customWidth="1"/>
    <col min="15372" max="15617" width="9.21875" style="2"/>
    <col min="15618" max="15618" width="5" style="2" customWidth="1"/>
    <col min="15619" max="15619" width="23.77734375" style="2" customWidth="1"/>
    <col min="15620" max="15620" width="46.77734375" style="2" customWidth="1"/>
    <col min="15621" max="15621" width="5.77734375" style="2" customWidth="1"/>
    <col min="15622" max="15622" width="10" style="2" customWidth="1"/>
    <col min="15623" max="15623" width="12.21875" style="2" customWidth="1"/>
    <col min="15624" max="15624" width="13.77734375" style="2" customWidth="1"/>
    <col min="15625" max="15625" width="12.5546875" style="2" customWidth="1"/>
    <col min="15626" max="15626" width="13" style="2" customWidth="1"/>
    <col min="15627" max="15627" width="13.77734375" style="2" bestFit="1" customWidth="1"/>
    <col min="15628" max="15873" width="9.21875" style="2"/>
    <col min="15874" max="15874" width="5" style="2" customWidth="1"/>
    <col min="15875" max="15875" width="23.77734375" style="2" customWidth="1"/>
    <col min="15876" max="15876" width="46.77734375" style="2" customWidth="1"/>
    <col min="15877" max="15877" width="5.77734375" style="2" customWidth="1"/>
    <col min="15878" max="15878" width="10" style="2" customWidth="1"/>
    <col min="15879" max="15879" width="12.21875" style="2" customWidth="1"/>
    <col min="15880" max="15880" width="13.77734375" style="2" customWidth="1"/>
    <col min="15881" max="15881" width="12.5546875" style="2" customWidth="1"/>
    <col min="15882" max="15882" width="13" style="2" customWidth="1"/>
    <col min="15883" max="15883" width="13.77734375" style="2" bestFit="1" customWidth="1"/>
    <col min="15884" max="16129" width="9.21875" style="2"/>
    <col min="16130" max="16130" width="5" style="2" customWidth="1"/>
    <col min="16131" max="16131" width="23.77734375" style="2" customWidth="1"/>
    <col min="16132" max="16132" width="46.77734375" style="2" customWidth="1"/>
    <col min="16133" max="16133" width="5.77734375" style="2" customWidth="1"/>
    <col min="16134" max="16134" width="10" style="2" customWidth="1"/>
    <col min="16135" max="16135" width="12.21875" style="2" customWidth="1"/>
    <col min="16136" max="16136" width="13.77734375" style="2" customWidth="1"/>
    <col min="16137" max="16137" width="12.5546875" style="2" customWidth="1"/>
    <col min="16138" max="16138" width="13" style="2" customWidth="1"/>
    <col min="16139" max="16139" width="13.77734375" style="2" bestFit="1" customWidth="1"/>
    <col min="16140" max="16383" width="9.21875" style="2"/>
    <col min="16384" max="16384" width="9.21875" style="2" customWidth="1"/>
  </cols>
  <sheetData>
    <row r="1" spans="1:20" ht="12.75" customHeight="1" x14ac:dyDescent="0.25">
      <c r="C1" s="30"/>
      <c r="D1" s="30"/>
      <c r="E1" s="109" t="s">
        <v>5</v>
      </c>
      <c r="F1" s="110"/>
      <c r="G1" s="110"/>
      <c r="H1" s="110"/>
      <c r="I1" s="110"/>
      <c r="J1" s="110"/>
      <c r="K1" s="110"/>
      <c r="L1" s="110"/>
      <c r="M1" s="54"/>
    </row>
    <row r="2" spans="1:20" ht="12.75" customHeight="1" x14ac:dyDescent="0.25">
      <c r="C2" s="31"/>
      <c r="D2" s="31"/>
      <c r="E2" s="111"/>
      <c r="F2" s="112"/>
      <c r="G2" s="112"/>
      <c r="H2" s="112"/>
      <c r="I2" s="112"/>
      <c r="J2" s="112"/>
      <c r="K2" s="112"/>
      <c r="L2" s="112"/>
      <c r="M2" s="55"/>
    </row>
    <row r="3" spans="1:20" ht="12.75" customHeight="1" x14ac:dyDescent="0.25">
      <c r="C3" s="31"/>
      <c r="D3" s="31"/>
      <c r="E3" s="111"/>
      <c r="F3" s="112"/>
      <c r="G3" s="112"/>
      <c r="H3" s="112"/>
      <c r="I3" s="112"/>
      <c r="J3" s="112"/>
      <c r="K3" s="112"/>
      <c r="L3" s="112"/>
      <c r="M3" s="55"/>
    </row>
    <row r="4" spans="1:20" ht="51" customHeight="1" x14ac:dyDescent="0.3">
      <c r="A4" s="42"/>
      <c r="B4" s="113" t="s">
        <v>0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64"/>
    </row>
    <row r="5" spans="1:20" ht="30" customHeight="1" x14ac:dyDescent="0.25">
      <c r="A5" s="94" t="s">
        <v>24</v>
      </c>
      <c r="B5" s="95"/>
      <c r="C5" s="95"/>
      <c r="D5" s="95"/>
      <c r="E5" s="96"/>
      <c r="F5" s="117" t="s">
        <v>17</v>
      </c>
      <c r="G5" s="118"/>
      <c r="H5" s="118"/>
      <c r="I5" s="118"/>
      <c r="J5" s="118"/>
      <c r="K5" s="118"/>
      <c r="L5" s="119"/>
      <c r="M5" s="65"/>
    </row>
    <row r="6" spans="1:20" ht="17.55" customHeight="1" x14ac:dyDescent="0.25">
      <c r="A6" s="94" t="s">
        <v>25</v>
      </c>
      <c r="B6" s="95"/>
      <c r="C6" s="95"/>
      <c r="D6" s="95"/>
      <c r="E6" s="96"/>
      <c r="F6" s="120" t="s">
        <v>120</v>
      </c>
      <c r="G6" s="98"/>
      <c r="H6" s="98"/>
      <c r="I6" s="98"/>
      <c r="J6" s="98"/>
      <c r="K6" s="98"/>
      <c r="L6" s="99"/>
      <c r="M6" s="66"/>
    </row>
    <row r="7" spans="1:20" x14ac:dyDescent="0.25">
      <c r="A7" s="94" t="s">
        <v>26</v>
      </c>
      <c r="B7" s="95"/>
      <c r="C7" s="95"/>
      <c r="D7" s="95"/>
      <c r="E7" s="96"/>
      <c r="F7" s="120" t="s">
        <v>98</v>
      </c>
      <c r="G7" s="98"/>
      <c r="H7" s="98"/>
      <c r="I7" s="98"/>
      <c r="J7" s="98"/>
      <c r="K7" s="98"/>
      <c r="L7" s="99"/>
      <c r="M7" s="66"/>
    </row>
    <row r="8" spans="1:20" x14ac:dyDescent="0.25">
      <c r="A8" s="106" t="s">
        <v>28</v>
      </c>
      <c r="B8" s="107"/>
      <c r="C8" s="107"/>
      <c r="D8" s="107"/>
      <c r="E8" s="108"/>
      <c r="F8" s="120" t="s">
        <v>15</v>
      </c>
      <c r="G8" s="98"/>
      <c r="H8" s="98"/>
      <c r="I8" s="98"/>
      <c r="J8" s="98"/>
      <c r="K8" s="98"/>
      <c r="L8" s="99"/>
      <c r="M8" s="66"/>
    </row>
    <row r="9" spans="1:20" x14ac:dyDescent="0.25">
      <c r="A9" s="106" t="s">
        <v>27</v>
      </c>
      <c r="B9" s="107"/>
      <c r="C9" s="107"/>
      <c r="D9" s="107"/>
      <c r="E9" s="108"/>
      <c r="F9" s="120" t="s">
        <v>16</v>
      </c>
      <c r="G9" s="98"/>
      <c r="H9" s="98"/>
      <c r="I9" s="98"/>
      <c r="J9" s="98"/>
      <c r="K9" s="98"/>
      <c r="L9" s="99"/>
      <c r="M9" s="66"/>
    </row>
    <row r="10" spans="1:20" ht="18.45" customHeight="1" x14ac:dyDescent="0.25">
      <c r="A10" s="94" t="s">
        <v>29</v>
      </c>
      <c r="B10" s="95"/>
      <c r="C10" s="95"/>
      <c r="D10" s="95"/>
      <c r="E10" s="96"/>
      <c r="F10" s="98" t="s">
        <v>119</v>
      </c>
      <c r="G10" s="98"/>
      <c r="H10" s="98"/>
      <c r="I10" s="98"/>
      <c r="J10" s="98"/>
      <c r="K10" s="98"/>
      <c r="L10" s="99"/>
      <c r="M10" s="66"/>
    </row>
    <row r="11" spans="1:20" x14ac:dyDescent="0.25">
      <c r="A11" s="3"/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67"/>
      <c r="T11" s="2" t="s">
        <v>100</v>
      </c>
    </row>
    <row r="12" spans="1:20" s="4" customFormat="1" ht="39.6" x14ac:dyDescent="0.25">
      <c r="A12" s="15" t="s">
        <v>1</v>
      </c>
      <c r="B12" s="15" t="s">
        <v>11</v>
      </c>
      <c r="C12" s="15" t="s">
        <v>12</v>
      </c>
      <c r="D12" s="15" t="s">
        <v>6</v>
      </c>
      <c r="E12" s="15" t="s">
        <v>7</v>
      </c>
      <c r="F12" s="15" t="s">
        <v>10</v>
      </c>
      <c r="G12" s="15" t="s">
        <v>2</v>
      </c>
      <c r="H12" s="15" t="s">
        <v>3</v>
      </c>
      <c r="I12" s="15" t="s">
        <v>107</v>
      </c>
      <c r="J12" s="15" t="s">
        <v>20</v>
      </c>
      <c r="K12" s="15" t="s">
        <v>9</v>
      </c>
      <c r="L12" s="15" t="s">
        <v>19</v>
      </c>
      <c r="M12" s="68" t="s">
        <v>105</v>
      </c>
      <c r="N12" s="59" t="s">
        <v>99</v>
      </c>
      <c r="O12" s="59" t="s">
        <v>106</v>
      </c>
      <c r="P12" s="52" t="s">
        <v>121</v>
      </c>
      <c r="Q12" s="86" t="s">
        <v>122</v>
      </c>
      <c r="R12" s="86" t="s">
        <v>117</v>
      </c>
      <c r="S12" s="86" t="s">
        <v>123</v>
      </c>
    </row>
    <row r="13" spans="1:20" s="5" customFormat="1" ht="15" customHeight="1" x14ac:dyDescent="0.3">
      <c r="A13" s="45" t="s">
        <v>21</v>
      </c>
      <c r="B13" s="46" t="s">
        <v>67</v>
      </c>
      <c r="C13" s="46"/>
      <c r="D13" s="46"/>
      <c r="E13" s="46"/>
      <c r="F13" s="46"/>
      <c r="G13" s="45"/>
      <c r="H13" s="46"/>
      <c r="I13" s="46"/>
      <c r="J13" s="46"/>
      <c r="K13" s="46"/>
      <c r="L13" s="48"/>
      <c r="M13" s="69"/>
      <c r="N13" s="63"/>
      <c r="O13" s="63"/>
      <c r="P13" s="58"/>
      <c r="Q13" s="58"/>
      <c r="R13" s="58"/>
      <c r="S13" s="58"/>
    </row>
    <row r="14" spans="1:20" s="5" customFormat="1" ht="26.4" customHeight="1" x14ac:dyDescent="0.3">
      <c r="A14" s="41">
        <v>1</v>
      </c>
      <c r="B14" s="100" t="s">
        <v>85</v>
      </c>
      <c r="C14" s="103" t="s">
        <v>18</v>
      </c>
      <c r="D14" s="38" t="s">
        <v>30</v>
      </c>
      <c r="E14" s="39" t="s">
        <v>31</v>
      </c>
      <c r="F14" s="38">
        <v>2</v>
      </c>
      <c r="G14" s="27" t="s">
        <v>66</v>
      </c>
      <c r="H14" s="49">
        <f>Q14</f>
        <v>99900000</v>
      </c>
      <c r="I14" s="49">
        <f>H14*F14</f>
        <v>199800000</v>
      </c>
      <c r="J14" s="49">
        <f>I14*0.08</f>
        <v>15984000</v>
      </c>
      <c r="K14" s="50">
        <f>I14+J14</f>
        <v>215784000</v>
      </c>
      <c r="L14" s="91" t="s">
        <v>92</v>
      </c>
      <c r="M14" s="70">
        <f>I14+J14</f>
        <v>215784000</v>
      </c>
      <c r="N14" s="60">
        <f>70400000+(SUM(N24:N31))</f>
        <v>92840000</v>
      </c>
      <c r="O14" s="60">
        <f>N14*F14</f>
        <v>185680000</v>
      </c>
      <c r="P14" s="58">
        <f>ROUNDUP((N14*1.08),-5)</f>
        <v>100300000</v>
      </c>
      <c r="Q14" s="58">
        <f>ROUNDUP((N14*1.075),-5)</f>
        <v>99900000</v>
      </c>
      <c r="R14" s="58">
        <f>Q14-N14</f>
        <v>7060000</v>
      </c>
      <c r="S14" s="58">
        <f>R14*F14</f>
        <v>14120000</v>
      </c>
      <c r="T14" s="5" t="s">
        <v>101</v>
      </c>
    </row>
    <row r="15" spans="1:20" s="5" customFormat="1" ht="26.4" x14ac:dyDescent="0.3">
      <c r="A15" s="34">
        <v>1.1000000000000001</v>
      </c>
      <c r="B15" s="101"/>
      <c r="C15" s="104"/>
      <c r="D15" s="38" t="s">
        <v>32</v>
      </c>
      <c r="E15" s="39" t="s">
        <v>33</v>
      </c>
      <c r="F15" s="38">
        <v>2</v>
      </c>
      <c r="G15" s="27" t="s">
        <v>23</v>
      </c>
      <c r="H15" s="49">
        <f>Q15</f>
        <v>10800000</v>
      </c>
      <c r="I15" s="49">
        <f>H15*F15</f>
        <v>21600000</v>
      </c>
      <c r="J15" s="49">
        <f>I15*0.08</f>
        <v>1728000</v>
      </c>
      <c r="K15" s="50">
        <f>I15+J15</f>
        <v>23328000</v>
      </c>
      <c r="L15" s="91"/>
      <c r="M15" s="70">
        <f>I15+J15</f>
        <v>23328000</v>
      </c>
      <c r="N15" s="60">
        <v>10000000</v>
      </c>
      <c r="O15" s="60">
        <f>N15*F15</f>
        <v>20000000</v>
      </c>
      <c r="P15" s="58">
        <f>ROUNDUP((N15*1.1),-5)</f>
        <v>11000000</v>
      </c>
      <c r="Q15" s="58">
        <f>ROUNDUP((N15*1.075),-5)</f>
        <v>10800000</v>
      </c>
      <c r="R15" s="58">
        <f>Q15-N15</f>
        <v>800000</v>
      </c>
      <c r="S15" s="58">
        <f>R15*F15</f>
        <v>1600000</v>
      </c>
      <c r="T15" s="5" t="s">
        <v>102</v>
      </c>
    </row>
    <row r="16" spans="1:20" s="5" customFormat="1" ht="26.4" x14ac:dyDescent="0.3">
      <c r="A16" s="34">
        <v>1.2</v>
      </c>
      <c r="B16" s="101"/>
      <c r="C16" s="104"/>
      <c r="D16" s="32" t="s">
        <v>34</v>
      </c>
      <c r="E16" s="40" t="s">
        <v>35</v>
      </c>
      <c r="F16" s="32">
        <v>2</v>
      </c>
      <c r="G16" s="27"/>
      <c r="H16" s="49"/>
      <c r="I16" s="49"/>
      <c r="J16" s="49"/>
      <c r="K16" s="50"/>
      <c r="L16" s="91"/>
      <c r="M16" s="70"/>
      <c r="N16" s="60"/>
      <c r="O16" s="60"/>
      <c r="P16" s="58"/>
      <c r="Q16" s="58"/>
      <c r="R16" s="58"/>
      <c r="S16" s="58"/>
    </row>
    <row r="17" spans="1:20" s="5" customFormat="1" ht="26.4" x14ac:dyDescent="0.3">
      <c r="A17" s="34">
        <v>1.3</v>
      </c>
      <c r="B17" s="101"/>
      <c r="C17" s="104"/>
      <c r="D17" s="38" t="s">
        <v>36</v>
      </c>
      <c r="E17" s="39" t="s">
        <v>37</v>
      </c>
      <c r="F17" s="38">
        <v>2</v>
      </c>
      <c r="G17" s="27"/>
      <c r="H17" s="49"/>
      <c r="I17" s="49"/>
      <c r="J17" s="49"/>
      <c r="K17" s="50"/>
      <c r="L17" s="91"/>
      <c r="M17" s="70"/>
      <c r="N17" s="60"/>
      <c r="O17" s="60"/>
      <c r="P17" s="58"/>
      <c r="Q17" s="58"/>
      <c r="R17" s="58"/>
      <c r="S17" s="58"/>
    </row>
    <row r="18" spans="1:20" s="5" customFormat="1" x14ac:dyDescent="0.3">
      <c r="A18" s="34">
        <v>1.4</v>
      </c>
      <c r="B18" s="101"/>
      <c r="C18" s="104"/>
      <c r="D18" s="32" t="s">
        <v>38</v>
      </c>
      <c r="E18" s="40" t="s">
        <v>39</v>
      </c>
      <c r="F18" s="32">
        <v>2</v>
      </c>
      <c r="G18" s="27"/>
      <c r="H18" s="49"/>
      <c r="I18" s="49"/>
      <c r="J18" s="49"/>
      <c r="K18" s="50"/>
      <c r="L18" s="91"/>
      <c r="M18" s="70"/>
      <c r="N18" s="60"/>
      <c r="O18" s="60"/>
      <c r="P18" s="58"/>
      <c r="Q18" s="58"/>
      <c r="R18" s="58"/>
      <c r="S18" s="58"/>
    </row>
    <row r="19" spans="1:20" s="5" customFormat="1" ht="26.4" x14ac:dyDescent="0.3">
      <c r="A19" s="34">
        <v>1.5</v>
      </c>
      <c r="B19" s="101"/>
      <c r="C19" s="104"/>
      <c r="D19" s="32" t="s">
        <v>40</v>
      </c>
      <c r="E19" s="40" t="s">
        <v>41</v>
      </c>
      <c r="F19" s="32">
        <v>2</v>
      </c>
      <c r="G19" s="27"/>
      <c r="H19" s="49"/>
      <c r="I19" s="49"/>
      <c r="J19" s="49"/>
      <c r="K19" s="50"/>
      <c r="L19" s="91"/>
      <c r="M19" s="70"/>
      <c r="N19" s="60"/>
      <c r="O19" s="60"/>
      <c r="P19" s="58"/>
      <c r="Q19" s="58"/>
      <c r="R19" s="58"/>
      <c r="S19" s="58"/>
    </row>
    <row r="20" spans="1:20" s="5" customFormat="1" ht="26.4" x14ac:dyDescent="0.3">
      <c r="A20" s="34">
        <v>1.6</v>
      </c>
      <c r="B20" s="101"/>
      <c r="C20" s="104"/>
      <c r="D20" s="56" t="s">
        <v>42</v>
      </c>
      <c r="E20" s="39" t="s">
        <v>43</v>
      </c>
      <c r="F20" s="38">
        <v>2</v>
      </c>
      <c r="G20" s="27"/>
      <c r="H20" s="49"/>
      <c r="I20" s="49"/>
      <c r="J20" s="49"/>
      <c r="K20" s="50"/>
      <c r="L20" s="91"/>
      <c r="M20" s="70"/>
      <c r="N20" s="61"/>
      <c r="O20" s="61"/>
      <c r="P20" s="58"/>
      <c r="Q20" s="58"/>
      <c r="R20" s="58"/>
      <c r="S20" s="58"/>
    </row>
    <row r="21" spans="1:20" s="5" customFormat="1" ht="26.4" x14ac:dyDescent="0.3">
      <c r="A21" s="34">
        <v>1.7</v>
      </c>
      <c r="B21" s="101"/>
      <c r="C21" s="104"/>
      <c r="D21" s="57" t="s">
        <v>44</v>
      </c>
      <c r="E21" s="40" t="s">
        <v>45</v>
      </c>
      <c r="F21" s="32">
        <v>2</v>
      </c>
      <c r="G21" s="27"/>
      <c r="H21" s="49"/>
      <c r="I21" s="49"/>
      <c r="J21" s="49"/>
      <c r="K21" s="50"/>
      <c r="L21" s="91"/>
      <c r="M21" s="70"/>
      <c r="N21" s="61"/>
      <c r="O21" s="61"/>
      <c r="P21" s="58"/>
      <c r="Q21" s="58"/>
      <c r="R21" s="58"/>
      <c r="S21" s="58"/>
    </row>
    <row r="22" spans="1:20" s="5" customFormat="1" x14ac:dyDescent="0.3">
      <c r="A22" s="34">
        <v>1.8</v>
      </c>
      <c r="B22" s="101"/>
      <c r="C22" s="104"/>
      <c r="D22" s="32" t="s">
        <v>46</v>
      </c>
      <c r="E22" s="40" t="s">
        <v>47</v>
      </c>
      <c r="F22" s="32">
        <v>2</v>
      </c>
      <c r="G22" s="27"/>
      <c r="H22" s="49"/>
      <c r="I22" s="49"/>
      <c r="J22" s="49"/>
      <c r="K22" s="50"/>
      <c r="L22" s="91"/>
      <c r="M22" s="70"/>
      <c r="N22" s="60"/>
      <c r="O22" s="60"/>
      <c r="P22" s="58"/>
      <c r="Q22" s="58"/>
      <c r="R22" s="58"/>
      <c r="S22" s="58"/>
    </row>
    <row r="23" spans="1:20" s="5" customFormat="1" ht="26.4" x14ac:dyDescent="0.3">
      <c r="A23" s="34">
        <v>1.9</v>
      </c>
      <c r="B23" s="101"/>
      <c r="C23" s="104"/>
      <c r="D23" s="32" t="s">
        <v>48</v>
      </c>
      <c r="E23" s="40" t="s">
        <v>49</v>
      </c>
      <c r="F23" s="32">
        <v>2</v>
      </c>
      <c r="G23" s="27"/>
      <c r="H23" s="49"/>
      <c r="I23" s="49"/>
      <c r="J23" s="49"/>
      <c r="K23" s="50"/>
      <c r="L23" s="91"/>
      <c r="M23" s="70"/>
      <c r="N23" s="60"/>
      <c r="O23" s="60"/>
      <c r="P23" s="58"/>
      <c r="Q23" s="58"/>
      <c r="R23" s="58"/>
      <c r="S23" s="58"/>
    </row>
    <row r="24" spans="1:20" s="5" customFormat="1" ht="26.4" x14ac:dyDescent="0.3">
      <c r="A24" s="51">
        <v>1.1000000000000001</v>
      </c>
      <c r="B24" s="101"/>
      <c r="C24" s="104"/>
      <c r="D24" s="38" t="s">
        <v>50</v>
      </c>
      <c r="E24" s="39" t="s">
        <v>51</v>
      </c>
      <c r="F24" s="32">
        <v>2</v>
      </c>
      <c r="G24" s="27"/>
      <c r="H24" s="49"/>
      <c r="I24" s="49"/>
      <c r="J24" s="49"/>
      <c r="K24" s="50"/>
      <c r="L24" s="91"/>
      <c r="M24" s="70"/>
      <c r="N24" s="60">
        <v>1070000</v>
      </c>
      <c r="O24" s="60"/>
      <c r="P24" s="58"/>
      <c r="Q24" s="58"/>
      <c r="R24" s="58"/>
      <c r="S24" s="58"/>
      <c r="T24" s="5" t="s">
        <v>103</v>
      </c>
    </row>
    <row r="25" spans="1:20" s="5" customFormat="1" ht="26.4" x14ac:dyDescent="0.3">
      <c r="A25" s="51">
        <v>1.1100000000000001</v>
      </c>
      <c r="B25" s="101"/>
      <c r="C25" s="104"/>
      <c r="D25" s="38" t="s">
        <v>52</v>
      </c>
      <c r="E25" s="39" t="s">
        <v>53</v>
      </c>
      <c r="F25" s="32">
        <v>2</v>
      </c>
      <c r="G25" s="27"/>
      <c r="H25" s="49"/>
      <c r="I25" s="49"/>
      <c r="J25" s="49"/>
      <c r="K25" s="50"/>
      <c r="L25" s="91"/>
      <c r="M25" s="70"/>
      <c r="N25" s="60">
        <v>1070000</v>
      </c>
      <c r="O25" s="60"/>
      <c r="P25" s="58"/>
      <c r="Q25" s="58"/>
      <c r="R25" s="58"/>
      <c r="S25" s="58"/>
      <c r="T25" s="5" t="s">
        <v>103</v>
      </c>
    </row>
    <row r="26" spans="1:20" s="5" customFormat="1" x14ac:dyDescent="0.3">
      <c r="A26" s="51">
        <v>1.1200000000000001</v>
      </c>
      <c r="B26" s="101"/>
      <c r="C26" s="104"/>
      <c r="D26" s="32" t="s">
        <v>54</v>
      </c>
      <c r="E26" s="40" t="s">
        <v>55</v>
      </c>
      <c r="F26" s="32">
        <v>2</v>
      </c>
      <c r="G26" s="27"/>
      <c r="H26" s="49"/>
      <c r="I26" s="49"/>
      <c r="J26" s="49"/>
      <c r="K26" s="50"/>
      <c r="L26" s="91"/>
      <c r="M26" s="70"/>
      <c r="N26" s="60"/>
      <c r="O26" s="60"/>
      <c r="P26" s="58"/>
      <c r="Q26" s="58"/>
      <c r="R26" s="58"/>
      <c r="S26" s="58"/>
    </row>
    <row r="27" spans="1:20" s="5" customFormat="1" x14ac:dyDescent="0.3">
      <c r="A27" s="51">
        <v>1.1299999999999999</v>
      </c>
      <c r="B27" s="101"/>
      <c r="C27" s="104"/>
      <c r="D27" s="32" t="s">
        <v>56</v>
      </c>
      <c r="E27" s="40" t="s">
        <v>57</v>
      </c>
      <c r="F27" s="32">
        <v>2</v>
      </c>
      <c r="G27" s="27"/>
      <c r="H27" s="49"/>
      <c r="I27" s="49"/>
      <c r="J27" s="49"/>
      <c r="K27" s="50"/>
      <c r="L27" s="91"/>
      <c r="M27" s="70"/>
      <c r="N27" s="60"/>
      <c r="O27" s="60"/>
      <c r="P27" s="58"/>
      <c r="Q27" s="58"/>
      <c r="R27" s="58"/>
      <c r="S27" s="58"/>
    </row>
    <row r="28" spans="1:20" s="5" customFormat="1" ht="26.4" x14ac:dyDescent="0.3">
      <c r="A28" s="51">
        <v>1.1399999999999999</v>
      </c>
      <c r="B28" s="101"/>
      <c r="C28" s="104"/>
      <c r="D28" s="32" t="s">
        <v>58</v>
      </c>
      <c r="E28" s="40" t="s">
        <v>59</v>
      </c>
      <c r="F28" s="32">
        <v>2</v>
      </c>
      <c r="G28" s="27"/>
      <c r="H28" s="49"/>
      <c r="I28" s="49"/>
      <c r="J28" s="49"/>
      <c r="K28" s="50"/>
      <c r="L28" s="91"/>
      <c r="M28" s="70"/>
      <c r="N28" s="60"/>
      <c r="O28" s="60"/>
      <c r="P28" s="58"/>
      <c r="Q28" s="58"/>
      <c r="R28" s="58"/>
      <c r="S28" s="58"/>
    </row>
    <row r="29" spans="1:20" s="5" customFormat="1" x14ac:dyDescent="0.3">
      <c r="A29" s="51">
        <v>1.1499999999999999</v>
      </c>
      <c r="B29" s="101"/>
      <c r="C29" s="104"/>
      <c r="D29" s="32" t="s">
        <v>60</v>
      </c>
      <c r="E29" s="40" t="s">
        <v>61</v>
      </c>
      <c r="F29" s="32">
        <v>2</v>
      </c>
      <c r="G29" s="27"/>
      <c r="H29" s="49"/>
      <c r="I29" s="49"/>
      <c r="J29" s="49"/>
      <c r="K29" s="50"/>
      <c r="L29" s="91"/>
      <c r="M29" s="70"/>
      <c r="N29" s="60"/>
      <c r="O29" s="60"/>
      <c r="P29" s="58"/>
      <c r="Q29" s="58"/>
      <c r="R29" s="58"/>
      <c r="S29" s="58"/>
    </row>
    <row r="30" spans="1:20" s="5" customFormat="1" ht="26.4" x14ac:dyDescent="0.3">
      <c r="A30" s="51">
        <v>1.1599999999999999</v>
      </c>
      <c r="B30" s="101"/>
      <c r="C30" s="104"/>
      <c r="D30" s="32" t="s">
        <v>62</v>
      </c>
      <c r="E30" s="40" t="s">
        <v>63</v>
      </c>
      <c r="F30" s="32">
        <v>2</v>
      </c>
      <c r="G30" s="27"/>
      <c r="H30" s="49"/>
      <c r="I30" s="49"/>
      <c r="J30" s="49"/>
      <c r="K30" s="50"/>
      <c r="L30" s="91"/>
      <c r="M30" s="70"/>
      <c r="N30" s="60"/>
      <c r="O30" s="60"/>
      <c r="P30" s="58"/>
      <c r="Q30" s="58"/>
      <c r="R30" s="58"/>
      <c r="S30" s="58"/>
    </row>
    <row r="31" spans="1:20" s="5" customFormat="1" x14ac:dyDescent="0.3">
      <c r="A31" s="51">
        <v>1.17</v>
      </c>
      <c r="B31" s="102"/>
      <c r="C31" s="105"/>
      <c r="D31" s="38" t="s">
        <v>64</v>
      </c>
      <c r="E31" s="39" t="s">
        <v>65</v>
      </c>
      <c r="F31" s="38">
        <v>2</v>
      </c>
      <c r="G31" s="27"/>
      <c r="H31" s="49"/>
      <c r="I31" s="49"/>
      <c r="J31" s="49"/>
      <c r="K31" s="50"/>
      <c r="L31" s="91"/>
      <c r="M31" s="70"/>
      <c r="N31" s="60">
        <v>20300000</v>
      </c>
      <c r="O31" s="60"/>
      <c r="P31" s="58"/>
      <c r="Q31" s="58"/>
      <c r="R31" s="58"/>
      <c r="S31" s="58"/>
      <c r="T31" s="5" t="s">
        <v>101</v>
      </c>
    </row>
    <row r="32" spans="1:20" s="5" customFormat="1" ht="15" customHeight="1" x14ac:dyDescent="0.3">
      <c r="A32" s="45" t="s">
        <v>22</v>
      </c>
      <c r="B32" s="46" t="s">
        <v>84</v>
      </c>
      <c r="C32" s="46"/>
      <c r="D32" s="46"/>
      <c r="E32" s="46"/>
      <c r="F32" s="46"/>
      <c r="G32" s="45"/>
      <c r="H32" s="46"/>
      <c r="I32" s="46"/>
      <c r="J32" s="46"/>
      <c r="K32" s="46"/>
      <c r="L32" s="48"/>
      <c r="M32" s="69"/>
      <c r="N32" s="60"/>
      <c r="O32" s="60"/>
      <c r="P32" s="58"/>
      <c r="Q32" s="58"/>
      <c r="R32" s="58"/>
      <c r="S32" s="58"/>
    </row>
    <row r="33" spans="1:21" s="5" customFormat="1" ht="26.4" x14ac:dyDescent="0.3">
      <c r="A33" s="41">
        <v>1</v>
      </c>
      <c r="B33" s="93" t="s">
        <v>85</v>
      </c>
      <c r="C33" s="92" t="s">
        <v>18</v>
      </c>
      <c r="D33" s="38" t="s">
        <v>68</v>
      </c>
      <c r="E33" s="47" t="s">
        <v>69</v>
      </c>
      <c r="F33" s="38">
        <v>4</v>
      </c>
      <c r="G33" s="27" t="s">
        <v>66</v>
      </c>
      <c r="H33" s="49">
        <f>Q33</f>
        <v>51000000</v>
      </c>
      <c r="I33" s="49">
        <f>H33*F33</f>
        <v>204000000</v>
      </c>
      <c r="J33" s="49">
        <f>I33*0.08</f>
        <v>16320000</v>
      </c>
      <c r="K33" s="50">
        <f>I33+J33</f>
        <v>220320000</v>
      </c>
      <c r="L33" s="91" t="s">
        <v>92</v>
      </c>
      <c r="M33" s="70">
        <f>I33+J33</f>
        <v>220320000</v>
      </c>
      <c r="N33" s="60">
        <f>47400000</f>
        <v>47400000</v>
      </c>
      <c r="O33" s="60">
        <f>N33*F33</f>
        <v>189600000</v>
      </c>
      <c r="P33" s="58">
        <f>ROUNDUP((N33*1.1),-5)</f>
        <v>52200000</v>
      </c>
      <c r="Q33" s="58">
        <f>ROUNDUP((N33*1.075),-5)</f>
        <v>51000000</v>
      </c>
      <c r="R33" s="58">
        <f>Q33-N33</f>
        <v>3600000</v>
      </c>
      <c r="S33" s="58">
        <f>R33*F33</f>
        <v>14400000</v>
      </c>
      <c r="T33" s="5" t="s">
        <v>101</v>
      </c>
    </row>
    <row r="34" spans="1:21" s="5" customFormat="1" ht="26.4" x14ac:dyDescent="0.3">
      <c r="A34" s="34">
        <v>1.1000000000000001</v>
      </c>
      <c r="B34" s="93"/>
      <c r="C34" s="92"/>
      <c r="D34" s="38" t="s">
        <v>70</v>
      </c>
      <c r="E34" s="47" t="s">
        <v>71</v>
      </c>
      <c r="F34" s="38">
        <v>4</v>
      </c>
      <c r="G34" s="27" t="s">
        <v>23</v>
      </c>
      <c r="H34" s="49">
        <f>Q34</f>
        <v>6500000</v>
      </c>
      <c r="I34" s="49">
        <f>H34*F34</f>
        <v>26000000</v>
      </c>
      <c r="J34" s="49">
        <f>I34*0.08</f>
        <v>2080000</v>
      </c>
      <c r="K34" s="50">
        <f>I34+J34</f>
        <v>28080000</v>
      </c>
      <c r="L34" s="91"/>
      <c r="M34" s="70">
        <f>I34+J34</f>
        <v>28080000</v>
      </c>
      <c r="N34" s="60">
        <v>6000000</v>
      </c>
      <c r="O34" s="60">
        <f>N34*F34</f>
        <v>24000000</v>
      </c>
      <c r="P34" s="58">
        <f>ROUNDUP((N34*1.1),-5)</f>
        <v>6600000</v>
      </c>
      <c r="Q34" s="58">
        <f>ROUNDUP((N34*1.07),-5)</f>
        <v>6500000</v>
      </c>
      <c r="R34" s="58">
        <f>Q34-N34</f>
        <v>500000</v>
      </c>
      <c r="S34" s="58">
        <f>R34*F34</f>
        <v>2000000</v>
      </c>
      <c r="T34" s="5" t="s">
        <v>102</v>
      </c>
    </row>
    <row r="35" spans="1:21" s="5" customFormat="1" ht="26.4" x14ac:dyDescent="0.3">
      <c r="A35" s="34">
        <v>1.2</v>
      </c>
      <c r="B35" s="93"/>
      <c r="C35" s="92"/>
      <c r="D35" s="32" t="s">
        <v>72</v>
      </c>
      <c r="E35" s="33" t="s">
        <v>73</v>
      </c>
      <c r="F35" s="32">
        <v>4</v>
      </c>
      <c r="G35" s="27"/>
      <c r="H35" s="25"/>
      <c r="I35" s="25"/>
      <c r="J35" s="25"/>
      <c r="K35" s="26"/>
      <c r="L35" s="91"/>
      <c r="M35" s="70"/>
      <c r="N35" s="60"/>
      <c r="O35" s="60"/>
      <c r="P35" s="58"/>
      <c r="Q35" s="58"/>
      <c r="R35" s="58"/>
      <c r="S35" s="58"/>
    </row>
    <row r="36" spans="1:21" s="5" customFormat="1" ht="26.4" x14ac:dyDescent="0.3">
      <c r="A36" s="34">
        <v>1.3</v>
      </c>
      <c r="B36" s="93"/>
      <c r="C36" s="92"/>
      <c r="D36" s="38" t="s">
        <v>74</v>
      </c>
      <c r="E36" s="47" t="s">
        <v>75</v>
      </c>
      <c r="F36" s="38">
        <v>4</v>
      </c>
      <c r="G36" s="27"/>
      <c r="H36" s="25"/>
      <c r="I36" s="25"/>
      <c r="J36" s="25"/>
      <c r="K36" s="26"/>
      <c r="L36" s="91"/>
      <c r="M36" s="70"/>
      <c r="N36" s="60"/>
      <c r="O36" s="60"/>
      <c r="P36" s="58"/>
      <c r="Q36" s="58"/>
      <c r="R36" s="58"/>
      <c r="S36" s="58"/>
    </row>
    <row r="37" spans="1:21" s="5" customFormat="1" ht="26.4" x14ac:dyDescent="0.3">
      <c r="A37" s="34">
        <v>1.4</v>
      </c>
      <c r="B37" s="93"/>
      <c r="C37" s="92"/>
      <c r="D37" s="32" t="s">
        <v>76</v>
      </c>
      <c r="E37" s="33" t="s">
        <v>77</v>
      </c>
      <c r="F37" s="32">
        <v>4</v>
      </c>
      <c r="G37" s="27"/>
      <c r="H37" s="25"/>
      <c r="I37" s="25"/>
      <c r="J37" s="25"/>
      <c r="K37" s="26"/>
      <c r="L37" s="91"/>
      <c r="M37" s="70"/>
      <c r="N37" s="60"/>
      <c r="O37" s="60"/>
      <c r="P37" s="58"/>
      <c r="Q37" s="58"/>
      <c r="R37" s="58"/>
      <c r="S37" s="58"/>
    </row>
    <row r="38" spans="1:21" s="5" customFormat="1" x14ac:dyDescent="0.3">
      <c r="A38" s="34">
        <v>1.5</v>
      </c>
      <c r="B38" s="93"/>
      <c r="C38" s="92"/>
      <c r="D38" s="32" t="s">
        <v>46</v>
      </c>
      <c r="E38" s="33" t="s">
        <v>47</v>
      </c>
      <c r="F38" s="32">
        <v>4</v>
      </c>
      <c r="G38" s="27"/>
      <c r="H38" s="25"/>
      <c r="I38" s="25"/>
      <c r="J38" s="25"/>
      <c r="K38" s="26"/>
      <c r="L38" s="91"/>
      <c r="M38" s="70"/>
      <c r="N38" s="60"/>
      <c r="O38" s="60"/>
      <c r="P38" s="58"/>
      <c r="Q38" s="58"/>
      <c r="R38" s="58"/>
      <c r="S38" s="58"/>
    </row>
    <row r="39" spans="1:21" s="5" customFormat="1" x14ac:dyDescent="0.3">
      <c r="A39" s="34">
        <v>1.6</v>
      </c>
      <c r="B39" s="93"/>
      <c r="C39" s="92"/>
      <c r="D39" s="32" t="s">
        <v>78</v>
      </c>
      <c r="E39" s="33" t="s">
        <v>79</v>
      </c>
      <c r="F39" s="32">
        <v>4</v>
      </c>
      <c r="G39" s="27"/>
      <c r="H39" s="25"/>
      <c r="I39" s="25"/>
      <c r="J39" s="25"/>
      <c r="K39" s="26"/>
      <c r="L39" s="91"/>
      <c r="M39" s="70"/>
      <c r="N39" s="60"/>
      <c r="O39" s="60"/>
      <c r="P39" s="58"/>
      <c r="Q39" s="58"/>
      <c r="R39" s="58"/>
      <c r="S39" s="58"/>
    </row>
    <row r="40" spans="1:21" s="5" customFormat="1" ht="26.4" x14ac:dyDescent="0.3">
      <c r="A40" s="34">
        <v>1.7</v>
      </c>
      <c r="B40" s="93"/>
      <c r="C40" s="92"/>
      <c r="D40" s="32" t="s">
        <v>80</v>
      </c>
      <c r="E40" s="33" t="s">
        <v>81</v>
      </c>
      <c r="F40" s="32">
        <v>8</v>
      </c>
      <c r="G40" s="27"/>
      <c r="H40" s="25"/>
      <c r="I40" s="25"/>
      <c r="J40" s="25"/>
      <c r="K40" s="26"/>
      <c r="L40" s="91"/>
      <c r="M40" s="70"/>
      <c r="N40" s="60"/>
      <c r="O40" s="60"/>
      <c r="P40" s="58"/>
      <c r="Q40" s="58"/>
      <c r="R40" s="58"/>
      <c r="S40" s="58"/>
    </row>
    <row r="41" spans="1:21" s="5" customFormat="1" x14ac:dyDescent="0.3">
      <c r="A41" s="34">
        <v>1.8</v>
      </c>
      <c r="B41" s="93"/>
      <c r="C41" s="92"/>
      <c r="D41" s="32" t="s">
        <v>56</v>
      </c>
      <c r="E41" s="33" t="s">
        <v>57</v>
      </c>
      <c r="F41" s="32">
        <v>4</v>
      </c>
      <c r="G41" s="27"/>
      <c r="H41" s="25"/>
      <c r="I41" s="25"/>
      <c r="J41" s="25"/>
      <c r="K41" s="26"/>
      <c r="L41" s="91"/>
      <c r="M41" s="70"/>
      <c r="N41" s="60"/>
      <c r="O41" s="60"/>
      <c r="P41" s="58"/>
      <c r="Q41" s="58"/>
      <c r="R41" s="58"/>
      <c r="S41" s="58"/>
    </row>
    <row r="42" spans="1:21" s="5" customFormat="1" ht="13.2" customHeight="1" x14ac:dyDescent="0.3">
      <c r="A42" s="34">
        <v>1.9</v>
      </c>
      <c r="B42" s="93"/>
      <c r="C42" s="92"/>
      <c r="D42" s="32" t="s">
        <v>58</v>
      </c>
      <c r="E42" s="33" t="s">
        <v>59</v>
      </c>
      <c r="F42" s="32">
        <v>4</v>
      </c>
      <c r="G42" s="27"/>
      <c r="H42" s="25"/>
      <c r="I42" s="25"/>
      <c r="J42" s="25"/>
      <c r="K42" s="26"/>
      <c r="L42" s="91"/>
      <c r="M42" s="70"/>
      <c r="N42" s="60"/>
      <c r="O42" s="60"/>
      <c r="P42" s="58"/>
      <c r="Q42" s="58"/>
      <c r="R42" s="58"/>
      <c r="S42" s="58"/>
    </row>
    <row r="43" spans="1:21" s="5" customFormat="1" x14ac:dyDescent="0.3">
      <c r="A43" s="51">
        <v>1.1000000000000001</v>
      </c>
      <c r="B43" s="93"/>
      <c r="C43" s="92"/>
      <c r="D43" s="32" t="s">
        <v>60</v>
      </c>
      <c r="E43" s="33" t="s">
        <v>61</v>
      </c>
      <c r="F43" s="32">
        <v>4</v>
      </c>
      <c r="G43" s="27"/>
      <c r="H43" s="25"/>
      <c r="I43" s="25"/>
      <c r="J43" s="25"/>
      <c r="K43" s="26"/>
      <c r="L43" s="91"/>
      <c r="M43" s="70"/>
      <c r="N43" s="60"/>
      <c r="O43" s="60"/>
      <c r="P43" s="58"/>
      <c r="Q43" s="58"/>
      <c r="R43" s="58"/>
      <c r="S43" s="58"/>
    </row>
    <row r="44" spans="1:21" s="5" customFormat="1" ht="26.4" x14ac:dyDescent="0.3">
      <c r="A44" s="51">
        <v>1.1100000000000001</v>
      </c>
      <c r="B44" s="93"/>
      <c r="C44" s="92"/>
      <c r="D44" s="32" t="s">
        <v>62</v>
      </c>
      <c r="E44" s="33" t="s">
        <v>63</v>
      </c>
      <c r="F44" s="32">
        <v>4</v>
      </c>
      <c r="G44" s="27"/>
      <c r="H44" s="25"/>
      <c r="I44" s="25"/>
      <c r="J44" s="25"/>
      <c r="K44" s="26"/>
      <c r="L44" s="91"/>
      <c r="M44" s="70"/>
      <c r="N44" s="60"/>
      <c r="O44" s="60"/>
      <c r="P44" s="58"/>
      <c r="Q44" s="58"/>
      <c r="R44" s="58"/>
      <c r="S44" s="58"/>
    </row>
    <row r="45" spans="1:21" s="5" customFormat="1" x14ac:dyDescent="0.3">
      <c r="A45" s="41">
        <v>2</v>
      </c>
      <c r="B45" s="38" t="s">
        <v>88</v>
      </c>
      <c r="C45" s="32" t="s">
        <v>18</v>
      </c>
      <c r="D45" s="32" t="s">
        <v>82</v>
      </c>
      <c r="E45" s="33" t="s">
        <v>83</v>
      </c>
      <c r="F45" s="32">
        <v>8</v>
      </c>
      <c r="G45" s="27"/>
      <c r="H45" s="49">
        <f>Q45</f>
        <v>5300000</v>
      </c>
      <c r="I45" s="49">
        <f>H45*F45</f>
        <v>42400000</v>
      </c>
      <c r="J45" s="49">
        <f>I45*0.08</f>
        <v>3392000</v>
      </c>
      <c r="K45" s="50">
        <f>I45+J45</f>
        <v>45792000</v>
      </c>
      <c r="L45" s="91"/>
      <c r="M45" s="70">
        <f>I45+J45</f>
        <v>45792000</v>
      </c>
      <c r="N45" s="60">
        <v>4950000</v>
      </c>
      <c r="O45" s="60">
        <f>N45*F45</f>
        <v>39600000</v>
      </c>
      <c r="P45" s="58">
        <f>ROUNDUP((N45*1.12),-5)</f>
        <v>5600000</v>
      </c>
      <c r="Q45" s="58">
        <f>ROUNDUP((N45*1.07),-5)</f>
        <v>5300000</v>
      </c>
      <c r="R45" s="58">
        <f>Q45-N45</f>
        <v>350000</v>
      </c>
      <c r="S45" s="58">
        <f>R45*F45</f>
        <v>2800000</v>
      </c>
      <c r="T45" s="5" t="s">
        <v>104</v>
      </c>
      <c r="U45" s="35">
        <v>7426263.84845162</v>
      </c>
    </row>
    <row r="46" spans="1:21" s="5" customFormat="1" ht="26.4" x14ac:dyDescent="0.3">
      <c r="A46" s="41">
        <v>3</v>
      </c>
      <c r="B46" s="38" t="s">
        <v>89</v>
      </c>
      <c r="C46" s="32" t="s">
        <v>18</v>
      </c>
      <c r="D46" s="32" t="s">
        <v>91</v>
      </c>
      <c r="E46" s="33" t="s">
        <v>86</v>
      </c>
      <c r="F46" s="32">
        <v>4</v>
      </c>
      <c r="G46" s="27"/>
      <c r="H46" s="49">
        <f>Q46</f>
        <v>4900000</v>
      </c>
      <c r="I46" s="49">
        <f>H46*F46</f>
        <v>19600000</v>
      </c>
      <c r="J46" s="49">
        <f t="shared" ref="J46:J47" si="0">I46*0.08</f>
        <v>1568000</v>
      </c>
      <c r="K46" s="50">
        <f>I46+J46</f>
        <v>21168000</v>
      </c>
      <c r="L46" s="91"/>
      <c r="M46" s="70">
        <f>I46+J46</f>
        <v>21168000</v>
      </c>
      <c r="N46" s="60">
        <v>4500000</v>
      </c>
      <c r="O46" s="60">
        <f>N46*F46</f>
        <v>18000000</v>
      </c>
      <c r="P46" s="58">
        <f>ROUNDUP((N46/1.08),-4)</f>
        <v>4170000</v>
      </c>
      <c r="Q46" s="58">
        <f>ROUNDUP((N46*1.07),-5)</f>
        <v>4900000</v>
      </c>
      <c r="R46" s="58">
        <f>Q46-N46</f>
        <v>400000</v>
      </c>
      <c r="S46" s="58">
        <f>R46*F46</f>
        <v>1600000</v>
      </c>
      <c r="U46" s="35">
        <v>4228898.5518206228</v>
      </c>
    </row>
    <row r="47" spans="1:21" s="5" customFormat="1" x14ac:dyDescent="0.3">
      <c r="A47" s="41">
        <v>4</v>
      </c>
      <c r="B47" s="38" t="s">
        <v>90</v>
      </c>
      <c r="C47" s="32" t="s">
        <v>18</v>
      </c>
      <c r="D47" s="32"/>
      <c r="E47" s="33" t="s">
        <v>87</v>
      </c>
      <c r="F47" s="32">
        <v>4</v>
      </c>
      <c r="G47" s="27"/>
      <c r="H47" s="49">
        <f>Q47</f>
        <v>400000</v>
      </c>
      <c r="I47" s="49">
        <f>H47*F47</f>
        <v>1600000</v>
      </c>
      <c r="J47" s="49">
        <f t="shared" si="0"/>
        <v>128000</v>
      </c>
      <c r="K47" s="50">
        <f>I47+J47</f>
        <v>1728000</v>
      </c>
      <c r="L47" s="91"/>
      <c r="M47" s="70">
        <f>I47+J47</f>
        <v>1728000</v>
      </c>
      <c r="N47" s="60">
        <v>350000</v>
      </c>
      <c r="O47" s="60">
        <f>N47*F47</f>
        <v>1400000</v>
      </c>
      <c r="P47" s="58">
        <f>ROUNDUP((N47/1.1),-4)</f>
        <v>320000</v>
      </c>
      <c r="Q47" s="58">
        <f>ROUNDUP((N47*1.07),-5)</f>
        <v>400000</v>
      </c>
      <c r="R47" s="58">
        <f>Q47-N47</f>
        <v>50000</v>
      </c>
      <c r="S47" s="58">
        <f>R47*F47</f>
        <v>200000</v>
      </c>
      <c r="U47" s="35">
        <v>328655.80217037851</v>
      </c>
    </row>
    <row r="48" spans="1:21" s="5" customFormat="1" ht="16.5" customHeight="1" x14ac:dyDescent="0.3">
      <c r="A48" s="28"/>
      <c r="B48" s="97" t="s">
        <v>8</v>
      </c>
      <c r="C48" s="97"/>
      <c r="D48" s="97"/>
      <c r="E48" s="97"/>
      <c r="F48" s="97"/>
      <c r="G48" s="97"/>
      <c r="H48" s="97"/>
      <c r="I48" s="29">
        <f>SUM(I14:I47)</f>
        <v>515000000</v>
      </c>
      <c r="J48" s="29">
        <f>SUM(J14:J47)</f>
        <v>41200000</v>
      </c>
      <c r="K48" s="29">
        <f>SUM(K14:K47)</f>
        <v>556200000</v>
      </c>
      <c r="L48" s="85"/>
      <c r="M48" s="77">
        <f>SUM(M14:M47)</f>
        <v>556200000</v>
      </c>
      <c r="N48" s="62"/>
      <c r="O48" s="62">
        <f>SUM(O14:O47)</f>
        <v>478280000</v>
      </c>
      <c r="P48" s="35"/>
      <c r="Q48" s="35"/>
      <c r="R48" s="35"/>
      <c r="S48" s="35">
        <f>SUM(S14:S47)</f>
        <v>36720000</v>
      </c>
    </row>
    <row r="49" spans="1:20" s="5" customFormat="1" ht="26.4" x14ac:dyDescent="0.3">
      <c r="A49" s="36"/>
      <c r="B49" s="36"/>
      <c r="C49" s="37"/>
      <c r="D49" s="37"/>
      <c r="E49" s="37"/>
      <c r="F49" s="37"/>
      <c r="G49" s="36"/>
      <c r="H49" s="37"/>
      <c r="I49" s="37"/>
      <c r="J49" s="37"/>
      <c r="K49" s="84"/>
      <c r="L49" s="84"/>
      <c r="M49" s="79" t="s">
        <v>116</v>
      </c>
      <c r="N49" s="56" t="s">
        <v>118</v>
      </c>
      <c r="O49" s="79" t="s">
        <v>117</v>
      </c>
      <c r="P49" s="58"/>
      <c r="Q49" s="58"/>
      <c r="R49" s="58"/>
      <c r="S49" s="58"/>
      <c r="T49" s="35"/>
    </row>
    <row r="50" spans="1:20" x14ac:dyDescent="0.25">
      <c r="A50" s="16" t="s">
        <v>4</v>
      </c>
      <c r="C50" s="16"/>
      <c r="D50" s="16"/>
      <c r="E50" s="17"/>
      <c r="F50" s="18"/>
      <c r="G50" s="19"/>
      <c r="H50" s="20"/>
      <c r="I50" s="20"/>
      <c r="J50" s="72"/>
      <c r="M50" s="83" t="s">
        <v>108</v>
      </c>
      <c r="N50" s="88">
        <v>520000000</v>
      </c>
      <c r="O50" s="82">
        <f>1-(O48/M48)</f>
        <v>0.14009349154980222</v>
      </c>
      <c r="P50" s="74"/>
      <c r="Q50" s="74"/>
      <c r="R50" s="74"/>
      <c r="S50" s="74"/>
      <c r="T50" s="71">
        <f>K48</f>
        <v>556200000</v>
      </c>
    </row>
    <row r="51" spans="1:20" x14ac:dyDescent="0.25">
      <c r="A51" s="2" t="s">
        <v>96</v>
      </c>
      <c r="J51" s="73"/>
      <c r="K51" s="121">
        <f>K48*0.3</f>
        <v>166860000</v>
      </c>
      <c r="M51" s="89" t="s">
        <v>109</v>
      </c>
      <c r="N51" s="90">
        <v>515000000</v>
      </c>
      <c r="O51" s="87">
        <f>1-(O48/N51)</f>
        <v>7.1300970873786396E-2</v>
      </c>
      <c r="P51" s="58" t="s">
        <v>124</v>
      </c>
      <c r="Q51" s="58"/>
      <c r="R51" s="58"/>
      <c r="S51" s="58"/>
      <c r="T51" s="35">
        <f>21500*26500</f>
        <v>569750000</v>
      </c>
    </row>
    <row r="52" spans="1:20" x14ac:dyDescent="0.25">
      <c r="A52" s="2" t="s">
        <v>93</v>
      </c>
      <c r="J52" s="73"/>
      <c r="K52" s="121">
        <f>K48*0.7</f>
        <v>389340000</v>
      </c>
      <c r="M52" s="83" t="s">
        <v>110</v>
      </c>
      <c r="N52" s="81">
        <v>510000000</v>
      </c>
      <c r="O52" s="82">
        <f>1-(O48/N52)</f>
        <v>6.2196078431372537E-2</v>
      </c>
      <c r="P52" s="75"/>
      <c r="Q52" s="75"/>
      <c r="R52" s="75"/>
      <c r="S52" s="75"/>
      <c r="T52" s="52">
        <v>602000000</v>
      </c>
    </row>
    <row r="53" spans="1:20" ht="14.25" customHeight="1" x14ac:dyDescent="0.25">
      <c r="A53" s="2" t="s">
        <v>94</v>
      </c>
      <c r="J53" s="73"/>
      <c r="M53" s="80" t="s">
        <v>111</v>
      </c>
      <c r="N53" s="81">
        <v>505000000</v>
      </c>
      <c r="O53" s="82">
        <f>1-(O48/N53)</f>
        <v>5.2910891089108958E-2</v>
      </c>
      <c r="P53" s="76"/>
      <c r="Q53" s="76"/>
      <c r="R53" s="76"/>
      <c r="S53" s="76"/>
      <c r="T53" s="53"/>
    </row>
    <row r="54" spans="1:20" ht="14.25" customHeight="1" x14ac:dyDescent="0.25">
      <c r="A54" s="21" t="s">
        <v>97</v>
      </c>
      <c r="C54" s="21"/>
      <c r="D54" s="21"/>
      <c r="J54" s="73"/>
      <c r="M54" s="83" t="s">
        <v>112</v>
      </c>
      <c r="N54" s="81">
        <v>500000000</v>
      </c>
      <c r="O54" s="82">
        <f>1-(O48/N54)</f>
        <v>4.3440000000000034E-2</v>
      </c>
      <c r="P54" s="76"/>
      <c r="Q54" s="76"/>
      <c r="R54" s="76"/>
      <c r="S54" s="76"/>
      <c r="T54" s="53"/>
    </row>
    <row r="55" spans="1:20" ht="14.25" customHeight="1" x14ac:dyDescent="0.25">
      <c r="A55" s="21" t="s">
        <v>95</v>
      </c>
      <c r="C55" s="21"/>
      <c r="D55" s="21"/>
      <c r="J55" s="73"/>
      <c r="M55" s="80" t="s">
        <v>113</v>
      </c>
      <c r="N55" s="81">
        <v>495000000</v>
      </c>
      <c r="O55" s="82">
        <f>1-(O48/N55)</f>
        <v>3.3777777777777795E-2</v>
      </c>
      <c r="P55" s="76"/>
      <c r="Q55" s="76"/>
      <c r="R55" s="76"/>
      <c r="S55" s="76"/>
      <c r="T55" s="53"/>
    </row>
    <row r="56" spans="1:20" ht="13.8" x14ac:dyDescent="0.25">
      <c r="A56" s="21" t="s">
        <v>13</v>
      </c>
      <c r="C56" s="21"/>
      <c r="D56" s="21"/>
      <c r="J56" s="73"/>
      <c r="M56" s="83" t="s">
        <v>114</v>
      </c>
      <c r="N56" s="81">
        <v>490000000</v>
      </c>
      <c r="O56" s="82">
        <f>1-(O48/N56)</f>
        <v>2.3918367346938751E-2</v>
      </c>
      <c r="P56" s="76"/>
      <c r="Q56" s="76"/>
      <c r="R56" s="76"/>
      <c r="S56" s="76"/>
      <c r="T56" s="53"/>
    </row>
    <row r="57" spans="1:20" ht="13.8" x14ac:dyDescent="0.25">
      <c r="A57" s="43"/>
      <c r="B57" s="44"/>
      <c r="C57" s="23"/>
      <c r="D57" s="10"/>
      <c r="E57" s="22"/>
      <c r="F57" s="2"/>
      <c r="J57" s="73"/>
      <c r="M57" s="80" t="s">
        <v>115</v>
      </c>
      <c r="N57" s="81">
        <v>485000000</v>
      </c>
      <c r="O57" s="82">
        <f>1-(O48/N57)</f>
        <v>1.3855670103092743E-2</v>
      </c>
      <c r="P57" s="76"/>
      <c r="Q57" s="76"/>
      <c r="R57" s="76"/>
      <c r="S57" s="76"/>
      <c r="T57" s="53"/>
    </row>
    <row r="58" spans="1:20" ht="13.8" x14ac:dyDescent="0.25">
      <c r="A58" s="43"/>
      <c r="B58" s="44"/>
      <c r="C58" s="23"/>
      <c r="D58" s="23"/>
      <c r="E58" s="22"/>
      <c r="F58" s="2"/>
      <c r="K58" s="78"/>
      <c r="L58" s="19"/>
      <c r="M58" s="19"/>
      <c r="N58" s="53"/>
      <c r="O58" s="53"/>
      <c r="P58" s="13"/>
      <c r="Q58" s="13"/>
      <c r="R58" s="13"/>
      <c r="S58" s="13"/>
    </row>
    <row r="59" spans="1:20" ht="13.8" x14ac:dyDescent="0.25">
      <c r="A59" s="43"/>
      <c r="B59" s="44"/>
      <c r="C59" s="23"/>
      <c r="D59" s="23"/>
      <c r="E59" s="22"/>
      <c r="F59" s="2"/>
      <c r="K59" s="53"/>
    </row>
    <row r="60" spans="1:20" ht="13.8" x14ac:dyDescent="0.25">
      <c r="A60" s="43"/>
      <c r="B60" s="44"/>
      <c r="C60" s="23"/>
      <c r="D60" s="23"/>
      <c r="E60" s="22"/>
      <c r="F60" s="2"/>
      <c r="K60" s="11"/>
    </row>
    <row r="61" spans="1:20" ht="13.8" x14ac:dyDescent="0.25">
      <c r="A61" s="43"/>
      <c r="B61" s="44"/>
      <c r="C61" s="23"/>
      <c r="D61" s="23"/>
      <c r="E61" s="22"/>
      <c r="F61" s="2"/>
      <c r="K61" s="11"/>
    </row>
    <row r="62" spans="1:20" ht="13.8" x14ac:dyDescent="0.25">
      <c r="A62" s="23"/>
      <c r="B62" s="6" t="s">
        <v>14</v>
      </c>
      <c r="C62" s="23"/>
      <c r="D62" s="23"/>
      <c r="E62" s="22"/>
      <c r="F62" s="2"/>
      <c r="K62" s="11"/>
    </row>
    <row r="63" spans="1:20" ht="13.8" x14ac:dyDescent="0.25">
      <c r="A63" s="23"/>
      <c r="B63" s="23"/>
      <c r="C63" s="9"/>
      <c r="D63" s="9"/>
      <c r="E63" s="10"/>
      <c r="F63" s="22"/>
      <c r="K63" s="11"/>
      <c r="L63" s="13"/>
      <c r="M63" s="13"/>
    </row>
    <row r="64" spans="1:20" ht="13.8" x14ac:dyDescent="0.25">
      <c r="A64" s="23"/>
      <c r="C64" s="10"/>
      <c r="D64" s="10"/>
      <c r="E64" s="22"/>
      <c r="F64" s="2"/>
      <c r="K64" s="11"/>
    </row>
    <row r="65" spans="1:13" ht="13.8" x14ac:dyDescent="0.25">
      <c r="A65" s="6"/>
      <c r="C65" s="24"/>
      <c r="D65" s="24"/>
      <c r="K65" s="11"/>
      <c r="L65" s="13"/>
      <c r="M65" s="13"/>
    </row>
    <row r="66" spans="1:13" ht="13.8" x14ac:dyDescent="0.25">
      <c r="K66" s="11"/>
      <c r="L66" s="13"/>
      <c r="M66" s="13"/>
    </row>
    <row r="67" spans="1:13" ht="13.8" x14ac:dyDescent="0.25">
      <c r="E67" s="7"/>
      <c r="F67" s="8"/>
      <c r="G67" s="13"/>
      <c r="H67" s="11"/>
      <c r="I67" s="11"/>
      <c r="J67" s="11"/>
      <c r="K67" s="11"/>
      <c r="L67" s="13"/>
      <c r="M67" s="13"/>
    </row>
  </sheetData>
  <mergeCells count="22">
    <mergeCell ref="A9:E9"/>
    <mergeCell ref="E1:L3"/>
    <mergeCell ref="B4:L4"/>
    <mergeCell ref="B11:L11"/>
    <mergeCell ref="F5:L5"/>
    <mergeCell ref="A5:E5"/>
    <mergeCell ref="F6:L6"/>
    <mergeCell ref="A6:E6"/>
    <mergeCell ref="F7:L7"/>
    <mergeCell ref="A7:E7"/>
    <mergeCell ref="F8:L8"/>
    <mergeCell ref="A8:E8"/>
    <mergeCell ref="F9:L9"/>
    <mergeCell ref="L33:L47"/>
    <mergeCell ref="C33:C44"/>
    <mergeCell ref="B33:B44"/>
    <mergeCell ref="A10:E10"/>
    <mergeCell ref="B48:H48"/>
    <mergeCell ref="F10:L10"/>
    <mergeCell ref="B14:B31"/>
    <mergeCell ref="C14:C31"/>
    <mergeCell ref="L14:L31"/>
  </mergeCells>
  <phoneticPr fontId="15" type="noConversion"/>
  <printOptions horizontalCentered="1"/>
  <pageMargins left="0.2" right="0.2" top="0.3" bottom="0.3" header="0.4" footer="0.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Báo Giá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Việt Nguyễn</cp:lastModifiedBy>
  <cp:lastPrinted>2025-12-25T07:30:19Z</cp:lastPrinted>
  <dcterms:created xsi:type="dcterms:W3CDTF">2022-12-12T03:18:33Z</dcterms:created>
  <dcterms:modified xsi:type="dcterms:W3CDTF">2025-12-26T11:55:34Z</dcterms:modified>
</cp:coreProperties>
</file>