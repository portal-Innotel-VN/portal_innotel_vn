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Xuan\Hop Dong\SWATER KANKYO\HPE_Bình Minh 231225\Chốt\"/>
    </mc:Choice>
  </mc:AlternateContent>
  <xr:revisionPtr revIDLastSave="0" documentId="13_ncr:1_{88223E2C-9CC5-4B3C-810B-23C43DA4B74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Giá" sheetId="2" r:id="rId1"/>
    <sheet name="Trang_tính1" sheetId="3" r:id="rId2"/>
    <sheet name="Trang_tính2" sheetId="4" r:id="rId3"/>
  </sheets>
  <definedNames>
    <definedName name="_xlnm.Print_Area" localSheetId="0">'Báo Giá'!$A$1:$L$49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4" i="2" l="1"/>
  <c r="V32" i="2"/>
  <c r="X32" i="2"/>
  <c r="X30" i="2"/>
  <c r="X26" i="2"/>
  <c r="X24" i="2"/>
  <c r="X20" i="2"/>
  <c r="X18" i="2"/>
  <c r="X14" i="2"/>
  <c r="W30" i="2"/>
  <c r="W26" i="2"/>
  <c r="W24" i="2"/>
  <c r="W20" i="2"/>
  <c r="W18" i="2"/>
  <c r="W14" i="2"/>
  <c r="M14" i="2"/>
  <c r="X31" i="2" l="1"/>
  <c r="M36" i="2"/>
  <c r="M35" i="2"/>
  <c r="M20" i="2" l="1"/>
  <c r="M18" i="2"/>
  <c r="S20" i="2" l="1"/>
  <c r="T20" i="2" s="1"/>
  <c r="S26" i="2"/>
  <c r="S14" i="2"/>
  <c r="S18" i="2"/>
  <c r="S24" i="2"/>
  <c r="S30" i="2"/>
  <c r="Q33" i="2"/>
  <c r="V31" i="2"/>
  <c r="R31" i="2"/>
  <c r="V30" i="2"/>
  <c r="V26" i="2"/>
  <c r="V24" i="2"/>
  <c r="V20" i="2"/>
  <c r="V18" i="2"/>
  <c r="V14" i="2"/>
  <c r="R14" i="2"/>
  <c r="Q26" i="2"/>
  <c r="U30" i="2"/>
  <c r="U26" i="2"/>
  <c r="U24" i="2"/>
  <c r="U20" i="2"/>
  <c r="U18" i="2"/>
  <c r="U14" i="2"/>
  <c r="R34" i="2" l="1"/>
  <c r="Q24" i="2"/>
  <c r="T24" i="2" s="1"/>
  <c r="O26" i="2"/>
  <c r="O30" i="2"/>
  <c r="O24" i="2"/>
  <c r="O20" i="2"/>
  <c r="O18" i="2"/>
  <c r="O14" i="2"/>
  <c r="N20" i="2"/>
  <c r="N14" i="2"/>
  <c r="T14" i="2"/>
  <c r="R24" i="2" l="1"/>
  <c r="G24" i="2"/>
  <c r="G14" i="2"/>
  <c r="Q18" i="2"/>
  <c r="Q17" i="2"/>
  <c r="Q16" i="2"/>
  <c r="Q29" i="2"/>
  <c r="Q28" i="2"/>
  <c r="Q20" i="2"/>
  <c r="Q22" i="2"/>
  <c r="Q21" i="2"/>
  <c r="Q30" i="2"/>
  <c r="H24" i="2" l="1"/>
  <c r="M24" i="2" s="1"/>
  <c r="H14" i="2"/>
  <c r="T26" i="2"/>
  <c r="G26" i="2" s="1"/>
  <c r="R26" i="2"/>
  <c r="T30" i="2"/>
  <c r="G30" i="2" s="1"/>
  <c r="R30" i="2"/>
  <c r="R18" i="2"/>
  <c r="T18" i="2"/>
  <c r="G18" i="2" s="1"/>
  <c r="R20" i="2"/>
  <c r="J18" i="2" l="1"/>
  <c r="H18" i="2"/>
  <c r="J24" i="2"/>
  <c r="J30" i="2"/>
  <c r="H30" i="2"/>
  <c r="M30" i="2" s="1"/>
  <c r="H26" i="2"/>
  <c r="M26" i="2" s="1"/>
  <c r="J14" i="2"/>
  <c r="C2" i="3"/>
  <c r="C4" i="3"/>
  <c r="E4" i="3" s="1"/>
  <c r="G4" i="3" s="1"/>
  <c r="C3" i="3"/>
  <c r="E3" i="3" s="1"/>
  <c r="G3" i="3" s="1"/>
  <c r="A3" i="3"/>
  <c r="A4" i="3"/>
  <c r="A2" i="3"/>
  <c r="J26" i="2" l="1"/>
  <c r="G20" i="2"/>
  <c r="H20" i="2" s="1"/>
  <c r="M31" i="2" s="1"/>
  <c r="E2" i="3"/>
  <c r="G2" i="3" s="1"/>
  <c r="J20" i="2" l="1"/>
  <c r="J31" i="2" s="1"/>
  <c r="P32" i="2" s="1"/>
  <c r="H31" i="2"/>
  <c r="R32" i="2" l="1"/>
  <c r="N31" i="2"/>
</calcChain>
</file>

<file path=xl/sharedStrings.xml><?xml version="1.0" encoding="utf-8"?>
<sst xmlns="http://schemas.openxmlformats.org/spreadsheetml/2006/main" count="181" uniqueCount="118">
  <si>
    <t>STT</t>
  </si>
  <si>
    <t>ĐVT</t>
  </si>
  <si>
    <t>ĐƠN GIÁ
(VNĐ)</t>
  </si>
  <si>
    <t>THỜI HẠN BẢO HÀNH</t>
  </si>
  <si>
    <t>CÁC ĐIỀU KHOẢN THƯƠNG MẠI</t>
  </si>
  <si>
    <r>
      <t xml:space="preserve">THUAN PHONG INNOVATIVE TELECOMMUNICATION CO., LTD.
</t>
    </r>
    <r>
      <rPr>
        <sz val="10"/>
        <rFont val="Arial"/>
        <family val="2"/>
      </rPr>
      <t>Website: http://www.innotel.com.vn            Email: sales@innotel.com.vn
Tel: (84 28) 38621119.                      Fax: (84 28) 38630366.
55/31 Tran Dinh Xu Street, Dist 1, HCMC, Vietnam</t>
    </r>
  </si>
  <si>
    <t>MÃ HÀNG</t>
  </si>
  <si>
    <t>MÔ TẢ</t>
  </si>
  <si>
    <t>SL</t>
  </si>
  <si>
    <t xml:space="preserve">Võ Nguyễn Thanh Xuân </t>
  </si>
  <si>
    <t>Người báo giá: VÕ TNGUYỄN THANH XUÂN</t>
  </si>
  <si>
    <t>Email: xuan@innotel.com.vn</t>
  </si>
  <si>
    <t>Giá nhâp</t>
  </si>
  <si>
    <t>Giá bán</t>
  </si>
  <si>
    <t>Lợi nhuận</t>
  </si>
  <si>
    <t>NCC</t>
  </si>
  <si>
    <t>Lê Trần Gia</t>
  </si>
  <si>
    <t>T2Q</t>
  </si>
  <si>
    <t>Số lượng</t>
  </si>
  <si>
    <t>Tổng LN</t>
  </si>
  <si>
    <t>Giá nhập</t>
  </si>
  <si>
    <t>VIETRACK</t>
  </si>
  <si>
    <t>#</t>
  </si>
  <si>
    <t>TÊN HÀNG</t>
  </si>
  <si>
    <t>THƯƠNG HIỆU</t>
  </si>
  <si>
    <t>XUẤT</t>
  </si>
  <si>
    <t>XỨ</t>
  </si>
  <si>
    <t>ĐẶT</t>
  </si>
  <si>
    <t>HÀNG</t>
  </si>
  <si>
    <t>SỐ LƯỢNG</t>
  </si>
  <si>
    <t>ĐƠN GIÁ</t>
  </si>
  <si>
    <t>THÀNH TIỀN</t>
  </si>
  <si>
    <t>%</t>
  </si>
  <si>
    <t>VAT</t>
  </si>
  <si>
    <t>VRW10G155 : Tủ chứa thiết bị gắn tường, 10U, 600mm x 550mm, màu xám trắng</t>
  </si>
  <si>
    <t>VN</t>
  </si>
  <si>
    <t>có sẳn</t>
  </si>
  <si>
    <t>Cái</t>
  </si>
  <si>
    <t>2,00</t>
  </si>
  <si>
    <t>5.000.000</t>
  </si>
  <si>
    <t>VRV15-6100 : Tủ chứa máy chủ dòng V, 15U, 600mm x 1000mm, màu đen</t>
  </si>
  <si>
    <t>2 tuần</t>
  </si>
  <si>
    <t>19.000.000</t>
  </si>
  <si>
    <t>VRP106-MCB16 : Thanh phân phối nguồn điện, 6 ổ cắm Universal, 16A, 250V, MCB</t>
  </si>
  <si>
    <t>CN</t>
  </si>
  <si>
    <t>4,00</t>
  </si>
  <si>
    <t>3.400.000</t>
  </si>
  <si>
    <t>PP9510 : Hộp đấu nối sợi quang UC9500, 4 khe Snap-in, 1U, rỗng</t>
  </si>
  <si>
    <t>Draka</t>
  </si>
  <si>
    <t>8.000.000</t>
  </si>
  <si>
    <t>PPST9521-24 : Khay hàn quang UC9500, 24 sợi</t>
  </si>
  <si>
    <t>PPST9521-C : Nắp đậy khay hàn quang UC9500</t>
  </si>
  <si>
    <t>PPA9514-6LCSM : Thanh khớp nối sợi quang UC9500, SM, LC-LC đôi, 12 sợi</t>
  </si>
  <si>
    <t>1.400.000</t>
  </si>
  <si>
    <t>PT09LC-1 : Cáp đấu nối sợi quang, OS2, LC-Pigtail đơn, 1m</t>
  </si>
  <si>
    <t>Sợi</t>
  </si>
  <si>
    <t>14,00</t>
  </si>
  <si>
    <t>UG004SM : Cáp sợi quang, Outdoor, Un-Armoured, PE, SM  G652D, 4 sợi</t>
  </si>
  <si>
    <t>Mét</t>
  </si>
  <si>
    <t>700,00</t>
  </si>
  <si>
    <t>7.700.000</t>
  </si>
  <si>
    <t>Đại lý: Công ty TNHH Swater Kankyo</t>
  </si>
  <si>
    <t xml:space="preserve">Email: </t>
  </si>
  <si>
    <t>HPE</t>
  </si>
  <si>
    <t xml:space="preserve">Giá bán </t>
  </si>
  <si>
    <t>4. Bảo hành theo tiêu chuẩn nhà sản xuất.</t>
  </si>
  <si>
    <t>3. Thanh toán : 2 đợt</t>
  </si>
  <si>
    <t>Nhà Phân phối: CÔNG TY TNHH VIỄN THÔNG SÁNG TẠO THUẬN PHONG (Innotel)</t>
  </si>
  <si>
    <t xml:space="preserve">  INCLUDED: Power Cord - Europe localization</t>
  </si>
  <si>
    <t>cái</t>
  </si>
  <si>
    <t>JL826A</t>
  </si>
  <si>
    <t>HPE Networking Comware Switch 24G SFP w/8G Combo 4SFP+ EI 5140</t>
  </si>
  <si>
    <t>JD362B</t>
  </si>
  <si>
    <t>HPE X361 150W 100-240VAC to 12VDC Power Supply</t>
  </si>
  <si>
    <t>JD362B      ABB</t>
  </si>
  <si>
    <t>S0F79A</t>
  </si>
  <si>
    <t>HPE Networking Comware Campus Switch 8G PoE+ 2 SFP 5120v3</t>
  </si>
  <si>
    <t>S0F79A      ABB</t>
  </si>
  <si>
    <t>S0F80A</t>
  </si>
  <si>
    <t>HPE Networking Comware 5120v3 Campus Rack Mount Kit</t>
  </si>
  <si>
    <t>JD103A</t>
  </si>
  <si>
    <t>HPE Networking X120 1G SFP LC LH100 Transceiver</t>
  </si>
  <si>
    <t>incl.</t>
  </si>
  <si>
    <t xml:space="preserve">incld. </t>
  </si>
  <si>
    <t>1 năm</t>
  </si>
  <si>
    <t>3 năm</t>
  </si>
  <si>
    <t>I</t>
  </si>
  <si>
    <t>Thiết bị tại các trạm bơm</t>
  </si>
  <si>
    <t>FDC</t>
  </si>
  <si>
    <t>Aruba - Nguyên</t>
  </si>
  <si>
    <t>Nguyên bán</t>
  </si>
  <si>
    <t>II</t>
  </si>
  <si>
    <t>Thiết bị tại trung tâm</t>
  </si>
  <si>
    <t>III</t>
  </si>
  <si>
    <t>bộ</t>
  </si>
  <si>
    <t>THÀNH TIỀN 
(VNĐ)</t>
  </si>
  <si>
    <t>THUẾ
(%)</t>
  </si>
  <si>
    <t>TỔNG TIỀN 
(Đã VAT)</t>
  </si>
  <si>
    <t>GHI CHÚ</t>
  </si>
  <si>
    <t>Người nhận: Ms. Đào</t>
  </si>
  <si>
    <t xml:space="preserve">Mobi: </t>
  </si>
  <si>
    <t>TỔNG</t>
  </si>
  <si>
    <t xml:space="preserve">Đặt hàng 
6 - 10 tuần
(Không bao gồm ngày Lễ, ngày nghỉ) </t>
  </si>
  <si>
    <t>Người dùng cuối: Công ty TNHH xây dựng dân dụng Bình Minh</t>
  </si>
  <si>
    <t>Thiết bị tại trạm bơm Debay (phát sinh)</t>
  </si>
  <si>
    <t>BOM: Cung cấp thi công lắp đặt thiết bị công nghệ cấp nước từ chân lên đỉnh núi</t>
  </si>
  <si>
    <t>H1L06A300NN</t>
  </si>
  <si>
    <t xml:space="preserve">HPE 3Y PBS NBD Support SVC - HPE ANW 5120v3 8G Support  [for S0F79A] </t>
  </si>
  <si>
    <t>H1L06A3#ZS6</t>
  </si>
  <si>
    <t xml:space="preserve">HPE 3Y PBS NBD Support SVC - HPE 5140 24G SFP 4SFP+ Switch Support  [for JL826A] </t>
  </si>
  <si>
    <t>Giá nhập CT</t>
  </si>
  <si>
    <t>Ngày báo giá: 07-01-26</t>
  </si>
  <si>
    <t>Ngày hết hạn báo giá: 13-01-26</t>
  </si>
  <si>
    <t>Qno: 110925-7</t>
  </si>
  <si>
    <t>1. Hiệu lực báo giá: trong vòng 7 ngày kể từ khi báo giá</t>
  </si>
  <si>
    <t>2. Thời gian giao hàng: 6 - 10 tuần làm việc kể từ ngày nhận được thanh toán đợt 1 và thư bảo lãnh thanh toán không hủy ngang có giá trị bằng 70% tổng giá trị hợp đồng có hiệu lực 70 ngày kể từ ngày phát hành</t>
  </si>
  <si>
    <t xml:space="preserve">  - Đợt 2: Thanh toán 70% còn lại trong vòng 45 ngày kể từ khi bàn giao hàng hóa</t>
  </si>
  <si>
    <t xml:space="preserve">  - Đợt 1: Tạm ứng 30% tổng giá trị hàng hóa ngay khi đặt hàng; Bên Bán mở thư bảo lãnh tạm ứng có hiệu lực 60 ngày kể từ ngày phát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</si>
</sst>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sz val="8"/>
      <color rgb="FF000000"/>
      <name val="Segoe UI"/>
      <family val="2"/>
    </font>
    <font>
      <u/>
      <sz val="10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/>
      <top style="medium">
        <color rgb="FFC00000"/>
      </top>
      <bottom/>
      <diagonal/>
    </border>
    <border>
      <left/>
      <right/>
      <top/>
      <bottom style="medium">
        <color rgb="FFC00000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center"/>
    </xf>
    <xf numFmtId="0" fontId="2" fillId="0" borderId="12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0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" xfId="0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8" fillId="0" borderId="6" xfId="0" applyFont="1" applyBorder="1" applyAlignment="1">
      <alignment horizontal="center" vertical="center"/>
    </xf>
    <xf numFmtId="164" fontId="8" fillId="0" borderId="6" xfId="1" applyNumberFormat="1" applyFont="1" applyFill="1" applyBorder="1" applyAlignment="1">
      <alignment horizontal="right" vertical="center"/>
    </xf>
    <xf numFmtId="3" fontId="9" fillId="0" borderId="6" xfId="1" applyNumberFormat="1" applyFont="1" applyBorder="1" applyAlignment="1">
      <alignment horizontal="right" vertical="center"/>
    </xf>
    <xf numFmtId="3" fontId="8" fillId="0" borderId="6" xfId="1" applyNumberFormat="1" applyFont="1" applyBorder="1" applyAlignment="1">
      <alignment horizontal="center" vertical="center"/>
    </xf>
    <xf numFmtId="3" fontId="10" fillId="0" borderId="6" xfId="0" applyNumberFormat="1" applyFont="1" applyBorder="1" applyAlignment="1">
      <alignment horizontal="right" vertical="center"/>
    </xf>
    <xf numFmtId="3" fontId="10" fillId="0" borderId="6" xfId="0" applyNumberFormat="1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11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/>
    </xf>
    <xf numFmtId="164" fontId="0" fillId="0" borderId="0" xfId="1" applyNumberFormat="1" applyFont="1"/>
    <xf numFmtId="9" fontId="8" fillId="0" borderId="6" xfId="2" applyFont="1" applyFill="1" applyBorder="1" applyAlignment="1">
      <alignment horizontal="center" vertical="center"/>
    </xf>
    <xf numFmtId="0" fontId="13" fillId="0" borderId="6" xfId="0" applyFont="1" applyBorder="1" applyAlignment="1">
      <alignment vertical="center" wrapText="1"/>
    </xf>
    <xf numFmtId="164" fontId="3" fillId="0" borderId="1" xfId="1" applyNumberFormat="1" applyFont="1" applyBorder="1"/>
    <xf numFmtId="164" fontId="3" fillId="0" borderId="1" xfId="1" applyNumberFormat="1" applyFont="1" applyBorder="1" applyAlignment="1">
      <alignment vertical="center"/>
    </xf>
    <xf numFmtId="0" fontId="12" fillId="0" borderId="6" xfId="0" applyFont="1" applyBorder="1" applyAlignment="1">
      <alignment vertical="center" wrapText="1"/>
    </xf>
    <xf numFmtId="164" fontId="3" fillId="0" borderId="10" xfId="1" applyNumberFormat="1" applyFont="1" applyBorder="1" applyAlignment="1">
      <alignment vertical="center"/>
    </xf>
    <xf numFmtId="164" fontId="3" fillId="0" borderId="16" xfId="1" applyNumberFormat="1" applyFont="1" applyBorder="1" applyAlignment="1">
      <alignment vertical="center"/>
    </xf>
    <xf numFmtId="164" fontId="3" fillId="0" borderId="10" xfId="1" applyNumberFormat="1" applyFont="1" applyBorder="1"/>
    <xf numFmtId="164" fontId="3" fillId="0" borderId="1" xfId="0" applyNumberFormat="1" applyFont="1" applyBorder="1" applyAlignment="1">
      <alignment horizontal="center" vertical="top" wrapText="1"/>
    </xf>
    <xf numFmtId="0" fontId="15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right" vertical="center" wrapText="1"/>
    </xf>
    <xf numFmtId="0" fontId="15" fillId="5" borderId="0" xfId="0" applyFont="1" applyFill="1" applyAlignment="1">
      <alignment vertical="center" wrapText="1"/>
    </xf>
    <xf numFmtId="0" fontId="15" fillId="5" borderId="0" xfId="0" applyFont="1" applyFill="1" applyAlignment="1">
      <alignment horizontal="center" vertical="center" wrapText="1"/>
    </xf>
    <xf numFmtId="9" fontId="15" fillId="5" borderId="0" xfId="0" applyNumberFormat="1" applyFont="1" applyFill="1" applyAlignment="1">
      <alignment horizontal="center" vertical="center" wrapText="1"/>
    </xf>
    <xf numFmtId="0" fontId="15" fillId="4" borderId="0" xfId="0" applyFont="1" applyFill="1" applyAlignment="1">
      <alignment horizontal="right" vertical="center" wrapText="1"/>
    </xf>
    <xf numFmtId="0" fontId="15" fillId="4" borderId="0" xfId="0" applyFont="1" applyFill="1" applyAlignment="1">
      <alignment vertical="center" wrapText="1"/>
    </xf>
    <xf numFmtId="0" fontId="15" fillId="4" borderId="0" xfId="0" applyFont="1" applyFill="1" applyAlignment="1">
      <alignment horizontal="center" vertical="center" wrapText="1"/>
    </xf>
    <xf numFmtId="9" fontId="15" fillId="4" borderId="0" xfId="0" applyNumberFormat="1" applyFont="1" applyFill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17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3" fontId="9" fillId="0" borderId="6" xfId="1" quotePrefix="1" applyNumberFormat="1" applyFont="1" applyBorder="1" applyAlignment="1">
      <alignment horizontal="center" vertical="center" wrapText="1"/>
    </xf>
    <xf numFmtId="0" fontId="2" fillId="0" borderId="12" xfId="0" applyFont="1" applyBorder="1"/>
    <xf numFmtId="0" fontId="16" fillId="0" borderId="12" xfId="0" applyFont="1" applyBorder="1"/>
    <xf numFmtId="0" fontId="7" fillId="0" borderId="12" xfId="0" applyFont="1" applyBorder="1"/>
    <xf numFmtId="0" fontId="3" fillId="0" borderId="12" xfId="0" applyFont="1" applyBorder="1"/>
    <xf numFmtId="0" fontId="3" fillId="0" borderId="12" xfId="0" applyFont="1" applyBorder="1" applyAlignment="1">
      <alignment vertical="center"/>
    </xf>
    <xf numFmtId="3" fontId="5" fillId="0" borderId="12" xfId="0" applyNumberFormat="1" applyFont="1" applyBorder="1"/>
    <xf numFmtId="3" fontId="5" fillId="0" borderId="12" xfId="0" applyNumberFormat="1" applyFont="1" applyBorder="1" applyAlignment="1">
      <alignment vertical="center"/>
    </xf>
    <xf numFmtId="0" fontId="2" fillId="0" borderId="1" xfId="0" applyFont="1" applyBorder="1"/>
    <xf numFmtId="0" fontId="5" fillId="0" borderId="1" xfId="0" applyFont="1" applyBorder="1" applyAlignment="1">
      <alignment vertical="center"/>
    </xf>
    <xf numFmtId="0" fontId="2" fillId="0" borderId="13" xfId="0" applyFont="1" applyBorder="1"/>
    <xf numFmtId="0" fontId="3" fillId="0" borderId="15" xfId="0" applyFont="1" applyBorder="1"/>
    <xf numFmtId="0" fontId="3" fillId="0" borderId="17" xfId="0" applyFont="1" applyBorder="1"/>
    <xf numFmtId="0" fontId="5" fillId="0" borderId="17" xfId="0" applyFont="1" applyBorder="1"/>
    <xf numFmtId="0" fontId="5" fillId="0" borderId="17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2" fillId="0" borderId="14" xfId="0" applyFont="1" applyBorder="1"/>
    <xf numFmtId="0" fontId="3" fillId="0" borderId="3" xfId="0" applyFont="1" applyBorder="1" applyAlignment="1">
      <alignment vertical="center"/>
    </xf>
    <xf numFmtId="0" fontId="9" fillId="3" borderId="6" xfId="0" applyFont="1" applyFill="1" applyBorder="1" applyAlignment="1">
      <alignment horizontal="center" vertical="center"/>
    </xf>
    <xf numFmtId="164" fontId="3" fillId="0" borderId="17" xfId="0" applyNumberFormat="1" applyFont="1" applyBorder="1" applyAlignment="1">
      <alignment horizontal="center" vertical="top" wrapText="1"/>
    </xf>
    <xf numFmtId="0" fontId="3" fillId="0" borderId="21" xfId="0" applyFont="1" applyBorder="1"/>
    <xf numFmtId="164" fontId="10" fillId="0" borderId="6" xfId="0" applyNumberFormat="1" applyFont="1" applyBorder="1" applyAlignment="1">
      <alignment vertical="center"/>
    </xf>
    <xf numFmtId="164" fontId="3" fillId="0" borderId="17" xfId="1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0" fontId="3" fillId="0" borderId="1" xfId="2" applyNumberFormat="1" applyFont="1" applyBorder="1"/>
    <xf numFmtId="0" fontId="3" fillId="0" borderId="15" xfId="0" applyFont="1" applyBorder="1" applyAlignment="1">
      <alignment vertical="center"/>
    </xf>
    <xf numFmtId="0" fontId="17" fillId="3" borderId="6" xfId="0" applyFont="1" applyFill="1" applyBorder="1" applyAlignment="1">
      <alignment vertical="center" wrapText="1"/>
    </xf>
    <xf numFmtId="3" fontId="9" fillId="0" borderId="6" xfId="1" applyNumberFormat="1" applyFont="1" applyBorder="1" applyAlignment="1">
      <alignment horizontal="center" vertical="center"/>
    </xf>
    <xf numFmtId="0" fontId="10" fillId="0" borderId="6" xfId="0" applyFont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164" fontId="3" fillId="0" borderId="1" xfId="1" applyNumberFormat="1" applyFont="1" applyBorder="1" applyAlignment="1">
      <alignment horizontal="center"/>
    </xf>
    <xf numFmtId="164" fontId="3" fillId="0" borderId="1" xfId="1" applyNumberFormat="1" applyFont="1" applyBorder="1" applyAlignment="1">
      <alignment horizontal="center" vertical="top" wrapText="1"/>
    </xf>
    <xf numFmtId="164" fontId="3" fillId="0" borderId="13" xfId="1" applyNumberFormat="1" applyFont="1" applyBorder="1" applyAlignment="1">
      <alignment horizontal="center" vertical="center"/>
    </xf>
    <xf numFmtId="164" fontId="3" fillId="0" borderId="13" xfId="1" applyNumberFormat="1" applyFont="1" applyBorder="1" applyAlignment="1">
      <alignment vertical="center"/>
    </xf>
    <xf numFmtId="164" fontId="3" fillId="0" borderId="20" xfId="1" applyNumberFormat="1" applyFont="1" applyBorder="1" applyAlignment="1">
      <alignment vertical="center"/>
    </xf>
    <xf numFmtId="164" fontId="3" fillId="0" borderId="12" xfId="1" applyNumberFormat="1" applyFont="1" applyBorder="1" applyAlignment="1">
      <alignment vertical="center"/>
    </xf>
    <xf numFmtId="0" fontId="5" fillId="0" borderId="3" xfId="0" applyFont="1" applyBorder="1"/>
    <xf numFmtId="0" fontId="5" fillId="0" borderId="0" xfId="0" applyFont="1"/>
    <xf numFmtId="164" fontId="5" fillId="0" borderId="1" xfId="1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3" fontId="9" fillId="0" borderId="0" xfId="1" quotePrefix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3" fillId="0" borderId="17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0" xfId="0" applyFont="1"/>
    <xf numFmtId="0" fontId="6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64" fontId="3" fillId="0" borderId="15" xfId="1" applyNumberFormat="1" applyFont="1" applyBorder="1" applyAlignment="1">
      <alignment horizontal="center" vertical="center"/>
    </xf>
    <xf numFmtId="164" fontId="3" fillId="0" borderId="10" xfId="1" applyNumberFormat="1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right" vertical="center"/>
    </xf>
    <xf numFmtId="3" fontId="9" fillId="0" borderId="6" xfId="1" quotePrefix="1" applyNumberFormat="1" applyFont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0" fontId="15" fillId="4" borderId="18" xfId="0" applyFont="1" applyFill="1" applyBorder="1" applyAlignment="1">
      <alignment horizontal="right" vertical="center"/>
    </xf>
    <xf numFmtId="0" fontId="15" fillId="4" borderId="19" xfId="0" applyFont="1" applyFill="1" applyBorder="1" applyAlignment="1">
      <alignment horizontal="right" vertical="center"/>
    </xf>
    <xf numFmtId="0" fontId="15" fillId="4" borderId="18" xfId="0" applyFont="1" applyFill="1" applyBorder="1" applyAlignment="1">
      <alignment horizontal="center" vertical="center"/>
    </xf>
    <xf numFmtId="0" fontId="15" fillId="4" borderId="19" xfId="0" applyFont="1" applyFill="1" applyBorder="1" applyAlignment="1">
      <alignment horizontal="center" vertical="center"/>
    </xf>
    <xf numFmtId="164" fontId="5" fillId="0" borderId="17" xfId="1" applyNumberFormat="1" applyFont="1" applyBorder="1" applyAlignment="1">
      <alignment vertical="center"/>
    </xf>
    <xf numFmtId="9" fontId="3" fillId="0" borderId="1" xfId="2" applyFont="1" applyBorder="1"/>
  </cellXfs>
  <cellStyles count="3">
    <cellStyle name="Bình thường" xfId="0" builtinId="0"/>
    <cellStyle name="Dấu phẩy" xfId="1" builtinId="3"/>
    <cellStyle name="Phần tră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0</xdr:row>
      <xdr:rowOff>38100</xdr:rowOff>
    </xdr:from>
    <xdr:to>
      <xdr:col>2</xdr:col>
      <xdr:colOff>735126</xdr:colOff>
      <xdr:row>3</xdr:row>
      <xdr:rowOff>113393</xdr:rowOff>
    </xdr:to>
    <xdr:pic>
      <xdr:nvPicPr>
        <xdr:cNvPr id="2" name="Picture 28">
          <a:extLst>
            <a:ext uri="{FF2B5EF4-FFF2-40B4-BE49-F238E27FC236}">
              <a16:creationId xmlns:a16="http://schemas.microsoft.com/office/drawing/2014/main" id="{8012318C-29A9-4D98-BF58-1C44022BF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1" y="38100"/>
          <a:ext cx="1817649" cy="551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35437</xdr:colOff>
      <xdr:row>1</xdr:row>
      <xdr:rowOff>147326</xdr:rowOff>
    </xdr:from>
    <xdr:to>
      <xdr:col>11</xdr:col>
      <xdr:colOff>381000</xdr:colOff>
      <xdr:row>3</xdr:row>
      <xdr:rowOff>400009</xdr:rowOff>
    </xdr:to>
    <xdr:pic>
      <xdr:nvPicPr>
        <xdr:cNvPr id="4" name="图片 1">
          <a:extLst>
            <a:ext uri="{FF2B5EF4-FFF2-40B4-BE49-F238E27FC236}">
              <a16:creationId xmlns:a16="http://schemas.microsoft.com/office/drawing/2014/main" id="{4A6E655B-311E-5F40-9E3C-FB5662ABB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7457" y="307346"/>
          <a:ext cx="1237103" cy="572723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38</xdr:row>
      <xdr:rowOff>114300</xdr:rowOff>
    </xdr:from>
    <xdr:to>
      <xdr:col>2</xdr:col>
      <xdr:colOff>251460</xdr:colOff>
      <xdr:row>41</xdr:row>
      <xdr:rowOff>144780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85DCD6-D38B-5AA3-B372-609EED2A0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10706100"/>
          <a:ext cx="975360" cy="548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"/>
  <sheetViews>
    <sheetView showGridLines="0" tabSelected="1" topLeftCell="K25" zoomScaleNormal="100" zoomScaleSheetLayoutView="85" workbookViewId="0">
      <selection activeCell="V32" sqref="V32"/>
    </sheetView>
  </sheetViews>
  <sheetFormatPr defaultRowHeight="13.2" x14ac:dyDescent="0.25"/>
  <cols>
    <col min="1" max="1" width="5" style="1" customWidth="1"/>
    <col min="2" max="2" width="11.6640625" style="10" customWidth="1"/>
    <col min="3" max="3" width="13.109375" style="2" customWidth="1"/>
    <col min="4" max="4" width="42.77734375" style="2" customWidth="1"/>
    <col min="5" max="5" width="6.33203125" style="10" customWidth="1"/>
    <col min="6" max="6" width="6.6640625" style="14" customWidth="1"/>
    <col min="7" max="8" width="14.77734375" style="12" customWidth="1"/>
    <col min="9" max="9" width="5.88671875" style="12" customWidth="1"/>
    <col min="10" max="10" width="13.77734375" style="12" customWidth="1"/>
    <col min="11" max="12" width="13" style="14" customWidth="1"/>
    <col min="13" max="13" width="14.21875" style="14" customWidth="1"/>
    <col min="14" max="15" width="16.44140625" style="33" customWidth="1"/>
    <col min="16" max="16" width="1.44140625" style="33" customWidth="1"/>
    <col min="17" max="20" width="14.77734375" style="33" customWidth="1"/>
    <col min="21" max="21" width="16.21875" style="86" customWidth="1"/>
    <col min="22" max="22" width="16.21875" style="33" customWidth="1"/>
    <col min="23" max="23" width="12.44140625" style="33" customWidth="1"/>
    <col min="24" max="24" width="13.6640625" style="33" customWidth="1"/>
    <col min="25" max="254" width="9.21875" style="2"/>
    <col min="255" max="255" width="5" style="2" customWidth="1"/>
    <col min="256" max="256" width="23.77734375" style="2" customWidth="1"/>
    <col min="257" max="257" width="46.77734375" style="2" customWidth="1"/>
    <col min="258" max="258" width="5.77734375" style="2" customWidth="1"/>
    <col min="259" max="259" width="10" style="2" customWidth="1"/>
    <col min="260" max="260" width="12.21875" style="2" customWidth="1"/>
    <col min="261" max="261" width="13.77734375" style="2" customWidth="1"/>
    <col min="262" max="262" width="12.5546875" style="2" customWidth="1"/>
    <col min="263" max="263" width="13" style="2" customWidth="1"/>
    <col min="264" max="264" width="13.77734375" style="2" bestFit="1" customWidth="1"/>
    <col min="265" max="510" width="9.21875" style="2"/>
    <col min="511" max="511" width="5" style="2" customWidth="1"/>
    <col min="512" max="512" width="23.77734375" style="2" customWidth="1"/>
    <col min="513" max="513" width="46.77734375" style="2" customWidth="1"/>
    <col min="514" max="514" width="5.77734375" style="2" customWidth="1"/>
    <col min="515" max="515" width="10" style="2" customWidth="1"/>
    <col min="516" max="516" width="12.21875" style="2" customWidth="1"/>
    <col min="517" max="517" width="13.77734375" style="2" customWidth="1"/>
    <col min="518" max="518" width="12.5546875" style="2" customWidth="1"/>
    <col min="519" max="519" width="13" style="2" customWidth="1"/>
    <col min="520" max="520" width="13.77734375" style="2" bestFit="1" customWidth="1"/>
    <col min="521" max="766" width="9.21875" style="2"/>
    <col min="767" max="767" width="5" style="2" customWidth="1"/>
    <col min="768" max="768" width="23.77734375" style="2" customWidth="1"/>
    <col min="769" max="769" width="46.77734375" style="2" customWidth="1"/>
    <col min="770" max="770" width="5.77734375" style="2" customWidth="1"/>
    <col min="771" max="771" width="10" style="2" customWidth="1"/>
    <col min="772" max="772" width="12.21875" style="2" customWidth="1"/>
    <col min="773" max="773" width="13.77734375" style="2" customWidth="1"/>
    <col min="774" max="774" width="12.5546875" style="2" customWidth="1"/>
    <col min="775" max="775" width="13" style="2" customWidth="1"/>
    <col min="776" max="776" width="13.77734375" style="2" bestFit="1" customWidth="1"/>
    <col min="777" max="1022" width="9.21875" style="2"/>
    <col min="1023" max="1023" width="5" style="2" customWidth="1"/>
    <col min="1024" max="1024" width="23.77734375" style="2" customWidth="1"/>
    <col min="1025" max="1025" width="46.77734375" style="2" customWidth="1"/>
    <col min="1026" max="1026" width="5.77734375" style="2" customWidth="1"/>
    <col min="1027" max="1027" width="10" style="2" customWidth="1"/>
    <col min="1028" max="1028" width="12.21875" style="2" customWidth="1"/>
    <col min="1029" max="1029" width="13.77734375" style="2" customWidth="1"/>
    <col min="1030" max="1030" width="12.5546875" style="2" customWidth="1"/>
    <col min="1031" max="1031" width="13" style="2" customWidth="1"/>
    <col min="1032" max="1032" width="13.77734375" style="2" bestFit="1" customWidth="1"/>
    <col min="1033" max="1278" width="9.21875" style="2"/>
    <col min="1279" max="1279" width="5" style="2" customWidth="1"/>
    <col min="1280" max="1280" width="23.77734375" style="2" customWidth="1"/>
    <col min="1281" max="1281" width="46.77734375" style="2" customWidth="1"/>
    <col min="1282" max="1282" width="5.77734375" style="2" customWidth="1"/>
    <col min="1283" max="1283" width="10" style="2" customWidth="1"/>
    <col min="1284" max="1284" width="12.21875" style="2" customWidth="1"/>
    <col min="1285" max="1285" width="13.77734375" style="2" customWidth="1"/>
    <col min="1286" max="1286" width="12.5546875" style="2" customWidth="1"/>
    <col min="1287" max="1287" width="13" style="2" customWidth="1"/>
    <col min="1288" max="1288" width="13.77734375" style="2" bestFit="1" customWidth="1"/>
    <col min="1289" max="1534" width="9.21875" style="2"/>
    <col min="1535" max="1535" width="5" style="2" customWidth="1"/>
    <col min="1536" max="1536" width="23.77734375" style="2" customWidth="1"/>
    <col min="1537" max="1537" width="46.77734375" style="2" customWidth="1"/>
    <col min="1538" max="1538" width="5.77734375" style="2" customWidth="1"/>
    <col min="1539" max="1539" width="10" style="2" customWidth="1"/>
    <col min="1540" max="1540" width="12.21875" style="2" customWidth="1"/>
    <col min="1541" max="1541" width="13.77734375" style="2" customWidth="1"/>
    <col min="1542" max="1542" width="12.5546875" style="2" customWidth="1"/>
    <col min="1543" max="1543" width="13" style="2" customWidth="1"/>
    <col min="1544" max="1544" width="13.77734375" style="2" bestFit="1" customWidth="1"/>
    <col min="1545" max="1790" width="9.21875" style="2"/>
    <col min="1791" max="1791" width="5" style="2" customWidth="1"/>
    <col min="1792" max="1792" width="23.77734375" style="2" customWidth="1"/>
    <col min="1793" max="1793" width="46.77734375" style="2" customWidth="1"/>
    <col min="1794" max="1794" width="5.77734375" style="2" customWidth="1"/>
    <col min="1795" max="1795" width="10" style="2" customWidth="1"/>
    <col min="1796" max="1796" width="12.21875" style="2" customWidth="1"/>
    <col min="1797" max="1797" width="13.77734375" style="2" customWidth="1"/>
    <col min="1798" max="1798" width="12.5546875" style="2" customWidth="1"/>
    <col min="1799" max="1799" width="13" style="2" customWidth="1"/>
    <col min="1800" max="1800" width="13.77734375" style="2" bestFit="1" customWidth="1"/>
    <col min="1801" max="2046" width="9.21875" style="2"/>
    <col min="2047" max="2047" width="5" style="2" customWidth="1"/>
    <col min="2048" max="2048" width="23.77734375" style="2" customWidth="1"/>
    <col min="2049" max="2049" width="46.77734375" style="2" customWidth="1"/>
    <col min="2050" max="2050" width="5.77734375" style="2" customWidth="1"/>
    <col min="2051" max="2051" width="10" style="2" customWidth="1"/>
    <col min="2052" max="2052" width="12.21875" style="2" customWidth="1"/>
    <col min="2053" max="2053" width="13.77734375" style="2" customWidth="1"/>
    <col min="2054" max="2054" width="12.5546875" style="2" customWidth="1"/>
    <col min="2055" max="2055" width="13" style="2" customWidth="1"/>
    <col min="2056" max="2056" width="13.77734375" style="2" bestFit="1" customWidth="1"/>
    <col min="2057" max="2302" width="9.21875" style="2"/>
    <col min="2303" max="2303" width="5" style="2" customWidth="1"/>
    <col min="2304" max="2304" width="23.77734375" style="2" customWidth="1"/>
    <col min="2305" max="2305" width="46.77734375" style="2" customWidth="1"/>
    <col min="2306" max="2306" width="5.77734375" style="2" customWidth="1"/>
    <col min="2307" max="2307" width="10" style="2" customWidth="1"/>
    <col min="2308" max="2308" width="12.21875" style="2" customWidth="1"/>
    <col min="2309" max="2309" width="13.77734375" style="2" customWidth="1"/>
    <col min="2310" max="2310" width="12.5546875" style="2" customWidth="1"/>
    <col min="2311" max="2311" width="13" style="2" customWidth="1"/>
    <col min="2312" max="2312" width="13.77734375" style="2" bestFit="1" customWidth="1"/>
    <col min="2313" max="2558" width="9.21875" style="2"/>
    <col min="2559" max="2559" width="5" style="2" customWidth="1"/>
    <col min="2560" max="2560" width="23.77734375" style="2" customWidth="1"/>
    <col min="2561" max="2561" width="46.77734375" style="2" customWidth="1"/>
    <col min="2562" max="2562" width="5.77734375" style="2" customWidth="1"/>
    <col min="2563" max="2563" width="10" style="2" customWidth="1"/>
    <col min="2564" max="2564" width="12.21875" style="2" customWidth="1"/>
    <col min="2565" max="2565" width="13.77734375" style="2" customWidth="1"/>
    <col min="2566" max="2566" width="12.5546875" style="2" customWidth="1"/>
    <col min="2567" max="2567" width="13" style="2" customWidth="1"/>
    <col min="2568" max="2568" width="13.77734375" style="2" bestFit="1" customWidth="1"/>
    <col min="2569" max="2814" width="9.21875" style="2"/>
    <col min="2815" max="2815" width="5" style="2" customWidth="1"/>
    <col min="2816" max="2816" width="23.77734375" style="2" customWidth="1"/>
    <col min="2817" max="2817" width="46.77734375" style="2" customWidth="1"/>
    <col min="2818" max="2818" width="5.77734375" style="2" customWidth="1"/>
    <col min="2819" max="2819" width="10" style="2" customWidth="1"/>
    <col min="2820" max="2820" width="12.21875" style="2" customWidth="1"/>
    <col min="2821" max="2821" width="13.77734375" style="2" customWidth="1"/>
    <col min="2822" max="2822" width="12.5546875" style="2" customWidth="1"/>
    <col min="2823" max="2823" width="13" style="2" customWidth="1"/>
    <col min="2824" max="2824" width="13.77734375" style="2" bestFit="1" customWidth="1"/>
    <col min="2825" max="3070" width="9.21875" style="2"/>
    <col min="3071" max="3071" width="5" style="2" customWidth="1"/>
    <col min="3072" max="3072" width="23.77734375" style="2" customWidth="1"/>
    <col min="3073" max="3073" width="46.77734375" style="2" customWidth="1"/>
    <col min="3074" max="3074" width="5.77734375" style="2" customWidth="1"/>
    <col min="3075" max="3075" width="10" style="2" customWidth="1"/>
    <col min="3076" max="3076" width="12.21875" style="2" customWidth="1"/>
    <col min="3077" max="3077" width="13.77734375" style="2" customWidth="1"/>
    <col min="3078" max="3078" width="12.5546875" style="2" customWidth="1"/>
    <col min="3079" max="3079" width="13" style="2" customWidth="1"/>
    <col min="3080" max="3080" width="13.77734375" style="2" bestFit="1" customWidth="1"/>
    <col min="3081" max="3326" width="9.21875" style="2"/>
    <col min="3327" max="3327" width="5" style="2" customWidth="1"/>
    <col min="3328" max="3328" width="23.77734375" style="2" customWidth="1"/>
    <col min="3329" max="3329" width="46.77734375" style="2" customWidth="1"/>
    <col min="3330" max="3330" width="5.77734375" style="2" customWidth="1"/>
    <col min="3331" max="3331" width="10" style="2" customWidth="1"/>
    <col min="3332" max="3332" width="12.21875" style="2" customWidth="1"/>
    <col min="3333" max="3333" width="13.77734375" style="2" customWidth="1"/>
    <col min="3334" max="3334" width="12.5546875" style="2" customWidth="1"/>
    <col min="3335" max="3335" width="13" style="2" customWidth="1"/>
    <col min="3336" max="3336" width="13.77734375" style="2" bestFit="1" customWidth="1"/>
    <col min="3337" max="3582" width="9.21875" style="2"/>
    <col min="3583" max="3583" width="5" style="2" customWidth="1"/>
    <col min="3584" max="3584" width="23.77734375" style="2" customWidth="1"/>
    <col min="3585" max="3585" width="46.77734375" style="2" customWidth="1"/>
    <col min="3586" max="3586" width="5.77734375" style="2" customWidth="1"/>
    <col min="3587" max="3587" width="10" style="2" customWidth="1"/>
    <col min="3588" max="3588" width="12.21875" style="2" customWidth="1"/>
    <col min="3589" max="3589" width="13.77734375" style="2" customWidth="1"/>
    <col min="3590" max="3590" width="12.5546875" style="2" customWidth="1"/>
    <col min="3591" max="3591" width="13" style="2" customWidth="1"/>
    <col min="3592" max="3592" width="13.77734375" style="2" bestFit="1" customWidth="1"/>
    <col min="3593" max="3838" width="9.21875" style="2"/>
    <col min="3839" max="3839" width="5" style="2" customWidth="1"/>
    <col min="3840" max="3840" width="23.77734375" style="2" customWidth="1"/>
    <col min="3841" max="3841" width="46.77734375" style="2" customWidth="1"/>
    <col min="3842" max="3842" width="5.77734375" style="2" customWidth="1"/>
    <col min="3843" max="3843" width="10" style="2" customWidth="1"/>
    <col min="3844" max="3844" width="12.21875" style="2" customWidth="1"/>
    <col min="3845" max="3845" width="13.77734375" style="2" customWidth="1"/>
    <col min="3846" max="3846" width="12.5546875" style="2" customWidth="1"/>
    <col min="3847" max="3847" width="13" style="2" customWidth="1"/>
    <col min="3848" max="3848" width="13.77734375" style="2" bestFit="1" customWidth="1"/>
    <col min="3849" max="4094" width="9.21875" style="2"/>
    <col min="4095" max="4095" width="5" style="2" customWidth="1"/>
    <col min="4096" max="4096" width="23.77734375" style="2" customWidth="1"/>
    <col min="4097" max="4097" width="46.77734375" style="2" customWidth="1"/>
    <col min="4098" max="4098" width="5.77734375" style="2" customWidth="1"/>
    <col min="4099" max="4099" width="10" style="2" customWidth="1"/>
    <col min="4100" max="4100" width="12.21875" style="2" customWidth="1"/>
    <col min="4101" max="4101" width="13.77734375" style="2" customWidth="1"/>
    <col min="4102" max="4102" width="12.5546875" style="2" customWidth="1"/>
    <col min="4103" max="4103" width="13" style="2" customWidth="1"/>
    <col min="4104" max="4104" width="13.77734375" style="2" bestFit="1" customWidth="1"/>
    <col min="4105" max="4350" width="9.21875" style="2"/>
    <col min="4351" max="4351" width="5" style="2" customWidth="1"/>
    <col min="4352" max="4352" width="23.77734375" style="2" customWidth="1"/>
    <col min="4353" max="4353" width="46.77734375" style="2" customWidth="1"/>
    <col min="4354" max="4354" width="5.77734375" style="2" customWidth="1"/>
    <col min="4355" max="4355" width="10" style="2" customWidth="1"/>
    <col min="4356" max="4356" width="12.21875" style="2" customWidth="1"/>
    <col min="4357" max="4357" width="13.77734375" style="2" customWidth="1"/>
    <col min="4358" max="4358" width="12.5546875" style="2" customWidth="1"/>
    <col min="4359" max="4359" width="13" style="2" customWidth="1"/>
    <col min="4360" max="4360" width="13.77734375" style="2" bestFit="1" customWidth="1"/>
    <col min="4361" max="4606" width="9.21875" style="2"/>
    <col min="4607" max="4607" width="5" style="2" customWidth="1"/>
    <col min="4608" max="4608" width="23.77734375" style="2" customWidth="1"/>
    <col min="4609" max="4609" width="46.77734375" style="2" customWidth="1"/>
    <col min="4610" max="4610" width="5.77734375" style="2" customWidth="1"/>
    <col min="4611" max="4611" width="10" style="2" customWidth="1"/>
    <col min="4612" max="4612" width="12.21875" style="2" customWidth="1"/>
    <col min="4613" max="4613" width="13.77734375" style="2" customWidth="1"/>
    <col min="4614" max="4614" width="12.5546875" style="2" customWidth="1"/>
    <col min="4615" max="4615" width="13" style="2" customWidth="1"/>
    <col min="4616" max="4616" width="13.77734375" style="2" bestFit="1" customWidth="1"/>
    <col min="4617" max="4862" width="9.21875" style="2"/>
    <col min="4863" max="4863" width="5" style="2" customWidth="1"/>
    <col min="4864" max="4864" width="23.77734375" style="2" customWidth="1"/>
    <col min="4865" max="4865" width="46.77734375" style="2" customWidth="1"/>
    <col min="4866" max="4866" width="5.77734375" style="2" customWidth="1"/>
    <col min="4867" max="4867" width="10" style="2" customWidth="1"/>
    <col min="4868" max="4868" width="12.21875" style="2" customWidth="1"/>
    <col min="4869" max="4869" width="13.77734375" style="2" customWidth="1"/>
    <col min="4870" max="4870" width="12.5546875" style="2" customWidth="1"/>
    <col min="4871" max="4871" width="13" style="2" customWidth="1"/>
    <col min="4872" max="4872" width="13.77734375" style="2" bestFit="1" customWidth="1"/>
    <col min="4873" max="5118" width="9.21875" style="2"/>
    <col min="5119" max="5119" width="5" style="2" customWidth="1"/>
    <col min="5120" max="5120" width="23.77734375" style="2" customWidth="1"/>
    <col min="5121" max="5121" width="46.77734375" style="2" customWidth="1"/>
    <col min="5122" max="5122" width="5.77734375" style="2" customWidth="1"/>
    <col min="5123" max="5123" width="10" style="2" customWidth="1"/>
    <col min="5124" max="5124" width="12.21875" style="2" customWidth="1"/>
    <col min="5125" max="5125" width="13.77734375" style="2" customWidth="1"/>
    <col min="5126" max="5126" width="12.5546875" style="2" customWidth="1"/>
    <col min="5127" max="5127" width="13" style="2" customWidth="1"/>
    <col min="5128" max="5128" width="13.77734375" style="2" bestFit="1" customWidth="1"/>
    <col min="5129" max="5374" width="9.21875" style="2"/>
    <col min="5375" max="5375" width="5" style="2" customWidth="1"/>
    <col min="5376" max="5376" width="23.77734375" style="2" customWidth="1"/>
    <col min="5377" max="5377" width="46.77734375" style="2" customWidth="1"/>
    <col min="5378" max="5378" width="5.77734375" style="2" customWidth="1"/>
    <col min="5379" max="5379" width="10" style="2" customWidth="1"/>
    <col min="5380" max="5380" width="12.21875" style="2" customWidth="1"/>
    <col min="5381" max="5381" width="13.77734375" style="2" customWidth="1"/>
    <col min="5382" max="5382" width="12.5546875" style="2" customWidth="1"/>
    <col min="5383" max="5383" width="13" style="2" customWidth="1"/>
    <col min="5384" max="5384" width="13.77734375" style="2" bestFit="1" customWidth="1"/>
    <col min="5385" max="5630" width="9.21875" style="2"/>
    <col min="5631" max="5631" width="5" style="2" customWidth="1"/>
    <col min="5632" max="5632" width="23.77734375" style="2" customWidth="1"/>
    <col min="5633" max="5633" width="46.77734375" style="2" customWidth="1"/>
    <col min="5634" max="5634" width="5.77734375" style="2" customWidth="1"/>
    <col min="5635" max="5635" width="10" style="2" customWidth="1"/>
    <col min="5636" max="5636" width="12.21875" style="2" customWidth="1"/>
    <col min="5637" max="5637" width="13.77734375" style="2" customWidth="1"/>
    <col min="5638" max="5638" width="12.5546875" style="2" customWidth="1"/>
    <col min="5639" max="5639" width="13" style="2" customWidth="1"/>
    <col min="5640" max="5640" width="13.77734375" style="2" bestFit="1" customWidth="1"/>
    <col min="5641" max="5886" width="9.21875" style="2"/>
    <col min="5887" max="5887" width="5" style="2" customWidth="1"/>
    <col min="5888" max="5888" width="23.77734375" style="2" customWidth="1"/>
    <col min="5889" max="5889" width="46.77734375" style="2" customWidth="1"/>
    <col min="5890" max="5890" width="5.77734375" style="2" customWidth="1"/>
    <col min="5891" max="5891" width="10" style="2" customWidth="1"/>
    <col min="5892" max="5892" width="12.21875" style="2" customWidth="1"/>
    <col min="5893" max="5893" width="13.77734375" style="2" customWidth="1"/>
    <col min="5894" max="5894" width="12.5546875" style="2" customWidth="1"/>
    <col min="5895" max="5895" width="13" style="2" customWidth="1"/>
    <col min="5896" max="5896" width="13.77734375" style="2" bestFit="1" customWidth="1"/>
    <col min="5897" max="6142" width="9.21875" style="2"/>
    <col min="6143" max="6143" width="5" style="2" customWidth="1"/>
    <col min="6144" max="6144" width="23.77734375" style="2" customWidth="1"/>
    <col min="6145" max="6145" width="46.77734375" style="2" customWidth="1"/>
    <col min="6146" max="6146" width="5.77734375" style="2" customWidth="1"/>
    <col min="6147" max="6147" width="10" style="2" customWidth="1"/>
    <col min="6148" max="6148" width="12.21875" style="2" customWidth="1"/>
    <col min="6149" max="6149" width="13.77734375" style="2" customWidth="1"/>
    <col min="6150" max="6150" width="12.5546875" style="2" customWidth="1"/>
    <col min="6151" max="6151" width="13" style="2" customWidth="1"/>
    <col min="6152" max="6152" width="13.77734375" style="2" bestFit="1" customWidth="1"/>
    <col min="6153" max="6398" width="9.21875" style="2"/>
    <col min="6399" max="6399" width="5" style="2" customWidth="1"/>
    <col min="6400" max="6400" width="23.77734375" style="2" customWidth="1"/>
    <col min="6401" max="6401" width="46.77734375" style="2" customWidth="1"/>
    <col min="6402" max="6402" width="5.77734375" style="2" customWidth="1"/>
    <col min="6403" max="6403" width="10" style="2" customWidth="1"/>
    <col min="6404" max="6404" width="12.21875" style="2" customWidth="1"/>
    <col min="6405" max="6405" width="13.77734375" style="2" customWidth="1"/>
    <col min="6406" max="6406" width="12.5546875" style="2" customWidth="1"/>
    <col min="6407" max="6407" width="13" style="2" customWidth="1"/>
    <col min="6408" max="6408" width="13.77734375" style="2" bestFit="1" customWidth="1"/>
    <col min="6409" max="6654" width="9.21875" style="2"/>
    <col min="6655" max="6655" width="5" style="2" customWidth="1"/>
    <col min="6656" max="6656" width="23.77734375" style="2" customWidth="1"/>
    <col min="6657" max="6657" width="46.77734375" style="2" customWidth="1"/>
    <col min="6658" max="6658" width="5.77734375" style="2" customWidth="1"/>
    <col min="6659" max="6659" width="10" style="2" customWidth="1"/>
    <col min="6660" max="6660" width="12.21875" style="2" customWidth="1"/>
    <col min="6661" max="6661" width="13.77734375" style="2" customWidth="1"/>
    <col min="6662" max="6662" width="12.5546875" style="2" customWidth="1"/>
    <col min="6663" max="6663" width="13" style="2" customWidth="1"/>
    <col min="6664" max="6664" width="13.77734375" style="2" bestFit="1" customWidth="1"/>
    <col min="6665" max="6910" width="9.21875" style="2"/>
    <col min="6911" max="6911" width="5" style="2" customWidth="1"/>
    <col min="6912" max="6912" width="23.77734375" style="2" customWidth="1"/>
    <col min="6913" max="6913" width="46.77734375" style="2" customWidth="1"/>
    <col min="6914" max="6914" width="5.77734375" style="2" customWidth="1"/>
    <col min="6915" max="6915" width="10" style="2" customWidth="1"/>
    <col min="6916" max="6916" width="12.21875" style="2" customWidth="1"/>
    <col min="6917" max="6917" width="13.77734375" style="2" customWidth="1"/>
    <col min="6918" max="6918" width="12.5546875" style="2" customWidth="1"/>
    <col min="6919" max="6919" width="13" style="2" customWidth="1"/>
    <col min="6920" max="6920" width="13.77734375" style="2" bestFit="1" customWidth="1"/>
    <col min="6921" max="7166" width="9.21875" style="2"/>
    <col min="7167" max="7167" width="5" style="2" customWidth="1"/>
    <col min="7168" max="7168" width="23.77734375" style="2" customWidth="1"/>
    <col min="7169" max="7169" width="46.77734375" style="2" customWidth="1"/>
    <col min="7170" max="7170" width="5.77734375" style="2" customWidth="1"/>
    <col min="7171" max="7171" width="10" style="2" customWidth="1"/>
    <col min="7172" max="7172" width="12.21875" style="2" customWidth="1"/>
    <col min="7173" max="7173" width="13.77734375" style="2" customWidth="1"/>
    <col min="7174" max="7174" width="12.5546875" style="2" customWidth="1"/>
    <col min="7175" max="7175" width="13" style="2" customWidth="1"/>
    <col min="7176" max="7176" width="13.77734375" style="2" bestFit="1" customWidth="1"/>
    <col min="7177" max="7422" width="9.21875" style="2"/>
    <col min="7423" max="7423" width="5" style="2" customWidth="1"/>
    <col min="7424" max="7424" width="23.77734375" style="2" customWidth="1"/>
    <col min="7425" max="7425" width="46.77734375" style="2" customWidth="1"/>
    <col min="7426" max="7426" width="5.77734375" style="2" customWidth="1"/>
    <col min="7427" max="7427" width="10" style="2" customWidth="1"/>
    <col min="7428" max="7428" width="12.21875" style="2" customWidth="1"/>
    <col min="7429" max="7429" width="13.77734375" style="2" customWidth="1"/>
    <col min="7430" max="7430" width="12.5546875" style="2" customWidth="1"/>
    <col min="7431" max="7431" width="13" style="2" customWidth="1"/>
    <col min="7432" max="7432" width="13.77734375" style="2" bestFit="1" customWidth="1"/>
    <col min="7433" max="7678" width="9.21875" style="2"/>
    <col min="7679" max="7679" width="5" style="2" customWidth="1"/>
    <col min="7680" max="7680" width="23.77734375" style="2" customWidth="1"/>
    <col min="7681" max="7681" width="46.77734375" style="2" customWidth="1"/>
    <col min="7682" max="7682" width="5.77734375" style="2" customWidth="1"/>
    <col min="7683" max="7683" width="10" style="2" customWidth="1"/>
    <col min="7684" max="7684" width="12.21875" style="2" customWidth="1"/>
    <col min="7685" max="7685" width="13.77734375" style="2" customWidth="1"/>
    <col min="7686" max="7686" width="12.5546875" style="2" customWidth="1"/>
    <col min="7687" max="7687" width="13" style="2" customWidth="1"/>
    <col min="7688" max="7688" width="13.77734375" style="2" bestFit="1" customWidth="1"/>
    <col min="7689" max="7934" width="9.21875" style="2"/>
    <col min="7935" max="7935" width="5" style="2" customWidth="1"/>
    <col min="7936" max="7936" width="23.77734375" style="2" customWidth="1"/>
    <col min="7937" max="7937" width="46.77734375" style="2" customWidth="1"/>
    <col min="7938" max="7938" width="5.77734375" style="2" customWidth="1"/>
    <col min="7939" max="7939" width="10" style="2" customWidth="1"/>
    <col min="7940" max="7940" width="12.21875" style="2" customWidth="1"/>
    <col min="7941" max="7941" width="13.77734375" style="2" customWidth="1"/>
    <col min="7942" max="7942" width="12.5546875" style="2" customWidth="1"/>
    <col min="7943" max="7943" width="13" style="2" customWidth="1"/>
    <col min="7944" max="7944" width="13.77734375" style="2" bestFit="1" customWidth="1"/>
    <col min="7945" max="8190" width="9.21875" style="2"/>
    <col min="8191" max="8191" width="5" style="2" customWidth="1"/>
    <col min="8192" max="8192" width="23.77734375" style="2" customWidth="1"/>
    <col min="8193" max="8193" width="46.77734375" style="2" customWidth="1"/>
    <col min="8194" max="8194" width="5.77734375" style="2" customWidth="1"/>
    <col min="8195" max="8195" width="10" style="2" customWidth="1"/>
    <col min="8196" max="8196" width="12.21875" style="2" customWidth="1"/>
    <col min="8197" max="8197" width="13.77734375" style="2" customWidth="1"/>
    <col min="8198" max="8198" width="12.5546875" style="2" customWidth="1"/>
    <col min="8199" max="8199" width="13" style="2" customWidth="1"/>
    <col min="8200" max="8200" width="13.77734375" style="2" bestFit="1" customWidth="1"/>
    <col min="8201" max="8446" width="9.21875" style="2"/>
    <col min="8447" max="8447" width="5" style="2" customWidth="1"/>
    <col min="8448" max="8448" width="23.77734375" style="2" customWidth="1"/>
    <col min="8449" max="8449" width="46.77734375" style="2" customWidth="1"/>
    <col min="8450" max="8450" width="5.77734375" style="2" customWidth="1"/>
    <col min="8451" max="8451" width="10" style="2" customWidth="1"/>
    <col min="8452" max="8452" width="12.21875" style="2" customWidth="1"/>
    <col min="8453" max="8453" width="13.77734375" style="2" customWidth="1"/>
    <col min="8454" max="8454" width="12.5546875" style="2" customWidth="1"/>
    <col min="8455" max="8455" width="13" style="2" customWidth="1"/>
    <col min="8456" max="8456" width="13.77734375" style="2" bestFit="1" customWidth="1"/>
    <col min="8457" max="8702" width="9.21875" style="2"/>
    <col min="8703" max="8703" width="5" style="2" customWidth="1"/>
    <col min="8704" max="8704" width="23.77734375" style="2" customWidth="1"/>
    <col min="8705" max="8705" width="46.77734375" style="2" customWidth="1"/>
    <col min="8706" max="8706" width="5.77734375" style="2" customWidth="1"/>
    <col min="8707" max="8707" width="10" style="2" customWidth="1"/>
    <col min="8708" max="8708" width="12.21875" style="2" customWidth="1"/>
    <col min="8709" max="8709" width="13.77734375" style="2" customWidth="1"/>
    <col min="8710" max="8710" width="12.5546875" style="2" customWidth="1"/>
    <col min="8711" max="8711" width="13" style="2" customWidth="1"/>
    <col min="8712" max="8712" width="13.77734375" style="2" bestFit="1" customWidth="1"/>
    <col min="8713" max="8958" width="9.21875" style="2"/>
    <col min="8959" max="8959" width="5" style="2" customWidth="1"/>
    <col min="8960" max="8960" width="23.77734375" style="2" customWidth="1"/>
    <col min="8961" max="8961" width="46.77734375" style="2" customWidth="1"/>
    <col min="8962" max="8962" width="5.77734375" style="2" customWidth="1"/>
    <col min="8963" max="8963" width="10" style="2" customWidth="1"/>
    <col min="8964" max="8964" width="12.21875" style="2" customWidth="1"/>
    <col min="8965" max="8965" width="13.77734375" style="2" customWidth="1"/>
    <col min="8966" max="8966" width="12.5546875" style="2" customWidth="1"/>
    <col min="8967" max="8967" width="13" style="2" customWidth="1"/>
    <col min="8968" max="8968" width="13.77734375" style="2" bestFit="1" customWidth="1"/>
    <col min="8969" max="9214" width="9.21875" style="2"/>
    <col min="9215" max="9215" width="5" style="2" customWidth="1"/>
    <col min="9216" max="9216" width="23.77734375" style="2" customWidth="1"/>
    <col min="9217" max="9217" width="46.77734375" style="2" customWidth="1"/>
    <col min="9218" max="9218" width="5.77734375" style="2" customWidth="1"/>
    <col min="9219" max="9219" width="10" style="2" customWidth="1"/>
    <col min="9220" max="9220" width="12.21875" style="2" customWidth="1"/>
    <col min="9221" max="9221" width="13.77734375" style="2" customWidth="1"/>
    <col min="9222" max="9222" width="12.5546875" style="2" customWidth="1"/>
    <col min="9223" max="9223" width="13" style="2" customWidth="1"/>
    <col min="9224" max="9224" width="13.77734375" style="2" bestFit="1" customWidth="1"/>
    <col min="9225" max="9470" width="9.21875" style="2"/>
    <col min="9471" max="9471" width="5" style="2" customWidth="1"/>
    <col min="9472" max="9472" width="23.77734375" style="2" customWidth="1"/>
    <col min="9473" max="9473" width="46.77734375" style="2" customWidth="1"/>
    <col min="9474" max="9474" width="5.77734375" style="2" customWidth="1"/>
    <col min="9475" max="9475" width="10" style="2" customWidth="1"/>
    <col min="9476" max="9476" width="12.21875" style="2" customWidth="1"/>
    <col min="9477" max="9477" width="13.77734375" style="2" customWidth="1"/>
    <col min="9478" max="9478" width="12.5546875" style="2" customWidth="1"/>
    <col min="9479" max="9479" width="13" style="2" customWidth="1"/>
    <col min="9480" max="9480" width="13.77734375" style="2" bestFit="1" customWidth="1"/>
    <col min="9481" max="9726" width="9.21875" style="2"/>
    <col min="9727" max="9727" width="5" style="2" customWidth="1"/>
    <col min="9728" max="9728" width="23.77734375" style="2" customWidth="1"/>
    <col min="9729" max="9729" width="46.77734375" style="2" customWidth="1"/>
    <col min="9730" max="9730" width="5.77734375" style="2" customWidth="1"/>
    <col min="9731" max="9731" width="10" style="2" customWidth="1"/>
    <col min="9732" max="9732" width="12.21875" style="2" customWidth="1"/>
    <col min="9733" max="9733" width="13.77734375" style="2" customWidth="1"/>
    <col min="9734" max="9734" width="12.5546875" style="2" customWidth="1"/>
    <col min="9735" max="9735" width="13" style="2" customWidth="1"/>
    <col min="9736" max="9736" width="13.77734375" style="2" bestFit="1" customWidth="1"/>
    <col min="9737" max="9982" width="9.21875" style="2"/>
    <col min="9983" max="9983" width="5" style="2" customWidth="1"/>
    <col min="9984" max="9984" width="23.77734375" style="2" customWidth="1"/>
    <col min="9985" max="9985" width="46.77734375" style="2" customWidth="1"/>
    <col min="9986" max="9986" width="5.77734375" style="2" customWidth="1"/>
    <col min="9987" max="9987" width="10" style="2" customWidth="1"/>
    <col min="9988" max="9988" width="12.21875" style="2" customWidth="1"/>
    <col min="9989" max="9989" width="13.77734375" style="2" customWidth="1"/>
    <col min="9990" max="9990" width="12.5546875" style="2" customWidth="1"/>
    <col min="9991" max="9991" width="13" style="2" customWidth="1"/>
    <col min="9992" max="9992" width="13.77734375" style="2" bestFit="1" customWidth="1"/>
    <col min="9993" max="10238" width="9.21875" style="2"/>
    <col min="10239" max="10239" width="5" style="2" customWidth="1"/>
    <col min="10240" max="10240" width="23.77734375" style="2" customWidth="1"/>
    <col min="10241" max="10241" width="46.77734375" style="2" customWidth="1"/>
    <col min="10242" max="10242" width="5.77734375" style="2" customWidth="1"/>
    <col min="10243" max="10243" width="10" style="2" customWidth="1"/>
    <col min="10244" max="10244" width="12.21875" style="2" customWidth="1"/>
    <col min="10245" max="10245" width="13.77734375" style="2" customWidth="1"/>
    <col min="10246" max="10246" width="12.5546875" style="2" customWidth="1"/>
    <col min="10247" max="10247" width="13" style="2" customWidth="1"/>
    <col min="10248" max="10248" width="13.77734375" style="2" bestFit="1" customWidth="1"/>
    <col min="10249" max="10494" width="9.21875" style="2"/>
    <col min="10495" max="10495" width="5" style="2" customWidth="1"/>
    <col min="10496" max="10496" width="23.77734375" style="2" customWidth="1"/>
    <col min="10497" max="10497" width="46.77734375" style="2" customWidth="1"/>
    <col min="10498" max="10498" width="5.77734375" style="2" customWidth="1"/>
    <col min="10499" max="10499" width="10" style="2" customWidth="1"/>
    <col min="10500" max="10500" width="12.21875" style="2" customWidth="1"/>
    <col min="10501" max="10501" width="13.77734375" style="2" customWidth="1"/>
    <col min="10502" max="10502" width="12.5546875" style="2" customWidth="1"/>
    <col min="10503" max="10503" width="13" style="2" customWidth="1"/>
    <col min="10504" max="10504" width="13.77734375" style="2" bestFit="1" customWidth="1"/>
    <col min="10505" max="10750" width="9.21875" style="2"/>
    <col min="10751" max="10751" width="5" style="2" customWidth="1"/>
    <col min="10752" max="10752" width="23.77734375" style="2" customWidth="1"/>
    <col min="10753" max="10753" width="46.77734375" style="2" customWidth="1"/>
    <col min="10754" max="10754" width="5.77734375" style="2" customWidth="1"/>
    <col min="10755" max="10755" width="10" style="2" customWidth="1"/>
    <col min="10756" max="10756" width="12.21875" style="2" customWidth="1"/>
    <col min="10757" max="10757" width="13.77734375" style="2" customWidth="1"/>
    <col min="10758" max="10758" width="12.5546875" style="2" customWidth="1"/>
    <col min="10759" max="10759" width="13" style="2" customWidth="1"/>
    <col min="10760" max="10760" width="13.77734375" style="2" bestFit="1" customWidth="1"/>
    <col min="10761" max="11006" width="9.21875" style="2"/>
    <col min="11007" max="11007" width="5" style="2" customWidth="1"/>
    <col min="11008" max="11008" width="23.77734375" style="2" customWidth="1"/>
    <col min="11009" max="11009" width="46.77734375" style="2" customWidth="1"/>
    <col min="11010" max="11010" width="5.77734375" style="2" customWidth="1"/>
    <col min="11011" max="11011" width="10" style="2" customWidth="1"/>
    <col min="11012" max="11012" width="12.21875" style="2" customWidth="1"/>
    <col min="11013" max="11013" width="13.77734375" style="2" customWidth="1"/>
    <col min="11014" max="11014" width="12.5546875" style="2" customWidth="1"/>
    <col min="11015" max="11015" width="13" style="2" customWidth="1"/>
    <col min="11016" max="11016" width="13.77734375" style="2" bestFit="1" customWidth="1"/>
    <col min="11017" max="11262" width="9.21875" style="2"/>
    <col min="11263" max="11263" width="5" style="2" customWidth="1"/>
    <col min="11264" max="11264" width="23.77734375" style="2" customWidth="1"/>
    <col min="11265" max="11265" width="46.77734375" style="2" customWidth="1"/>
    <col min="11266" max="11266" width="5.77734375" style="2" customWidth="1"/>
    <col min="11267" max="11267" width="10" style="2" customWidth="1"/>
    <col min="11268" max="11268" width="12.21875" style="2" customWidth="1"/>
    <col min="11269" max="11269" width="13.77734375" style="2" customWidth="1"/>
    <col min="11270" max="11270" width="12.5546875" style="2" customWidth="1"/>
    <col min="11271" max="11271" width="13" style="2" customWidth="1"/>
    <col min="11272" max="11272" width="13.77734375" style="2" bestFit="1" customWidth="1"/>
    <col min="11273" max="11518" width="9.21875" style="2"/>
    <col min="11519" max="11519" width="5" style="2" customWidth="1"/>
    <col min="11520" max="11520" width="23.77734375" style="2" customWidth="1"/>
    <col min="11521" max="11521" width="46.77734375" style="2" customWidth="1"/>
    <col min="11522" max="11522" width="5.77734375" style="2" customWidth="1"/>
    <col min="11523" max="11523" width="10" style="2" customWidth="1"/>
    <col min="11524" max="11524" width="12.21875" style="2" customWidth="1"/>
    <col min="11525" max="11525" width="13.77734375" style="2" customWidth="1"/>
    <col min="11526" max="11526" width="12.5546875" style="2" customWidth="1"/>
    <col min="11527" max="11527" width="13" style="2" customWidth="1"/>
    <col min="11528" max="11528" width="13.77734375" style="2" bestFit="1" customWidth="1"/>
    <col min="11529" max="11774" width="9.21875" style="2"/>
    <col min="11775" max="11775" width="5" style="2" customWidth="1"/>
    <col min="11776" max="11776" width="23.77734375" style="2" customWidth="1"/>
    <col min="11777" max="11777" width="46.77734375" style="2" customWidth="1"/>
    <col min="11778" max="11778" width="5.77734375" style="2" customWidth="1"/>
    <col min="11779" max="11779" width="10" style="2" customWidth="1"/>
    <col min="11780" max="11780" width="12.21875" style="2" customWidth="1"/>
    <col min="11781" max="11781" width="13.77734375" style="2" customWidth="1"/>
    <col min="11782" max="11782" width="12.5546875" style="2" customWidth="1"/>
    <col min="11783" max="11783" width="13" style="2" customWidth="1"/>
    <col min="11784" max="11784" width="13.77734375" style="2" bestFit="1" customWidth="1"/>
    <col min="11785" max="12030" width="9.21875" style="2"/>
    <col min="12031" max="12031" width="5" style="2" customWidth="1"/>
    <col min="12032" max="12032" width="23.77734375" style="2" customWidth="1"/>
    <col min="12033" max="12033" width="46.77734375" style="2" customWidth="1"/>
    <col min="12034" max="12034" width="5.77734375" style="2" customWidth="1"/>
    <col min="12035" max="12035" width="10" style="2" customWidth="1"/>
    <col min="12036" max="12036" width="12.21875" style="2" customWidth="1"/>
    <col min="12037" max="12037" width="13.77734375" style="2" customWidth="1"/>
    <col min="12038" max="12038" width="12.5546875" style="2" customWidth="1"/>
    <col min="12039" max="12039" width="13" style="2" customWidth="1"/>
    <col min="12040" max="12040" width="13.77734375" style="2" bestFit="1" customWidth="1"/>
    <col min="12041" max="12286" width="9.21875" style="2"/>
    <col min="12287" max="12287" width="5" style="2" customWidth="1"/>
    <col min="12288" max="12288" width="23.77734375" style="2" customWidth="1"/>
    <col min="12289" max="12289" width="46.77734375" style="2" customWidth="1"/>
    <col min="12290" max="12290" width="5.77734375" style="2" customWidth="1"/>
    <col min="12291" max="12291" width="10" style="2" customWidth="1"/>
    <col min="12292" max="12292" width="12.21875" style="2" customWidth="1"/>
    <col min="12293" max="12293" width="13.77734375" style="2" customWidth="1"/>
    <col min="12294" max="12294" width="12.5546875" style="2" customWidth="1"/>
    <col min="12295" max="12295" width="13" style="2" customWidth="1"/>
    <col min="12296" max="12296" width="13.77734375" style="2" bestFit="1" customWidth="1"/>
    <col min="12297" max="12542" width="9.21875" style="2"/>
    <col min="12543" max="12543" width="5" style="2" customWidth="1"/>
    <col min="12544" max="12544" width="23.77734375" style="2" customWidth="1"/>
    <col min="12545" max="12545" width="46.77734375" style="2" customWidth="1"/>
    <col min="12546" max="12546" width="5.77734375" style="2" customWidth="1"/>
    <col min="12547" max="12547" width="10" style="2" customWidth="1"/>
    <col min="12548" max="12548" width="12.21875" style="2" customWidth="1"/>
    <col min="12549" max="12549" width="13.77734375" style="2" customWidth="1"/>
    <col min="12550" max="12550" width="12.5546875" style="2" customWidth="1"/>
    <col min="12551" max="12551" width="13" style="2" customWidth="1"/>
    <col min="12552" max="12552" width="13.77734375" style="2" bestFit="1" customWidth="1"/>
    <col min="12553" max="12798" width="9.21875" style="2"/>
    <col min="12799" max="12799" width="5" style="2" customWidth="1"/>
    <col min="12800" max="12800" width="23.77734375" style="2" customWidth="1"/>
    <col min="12801" max="12801" width="46.77734375" style="2" customWidth="1"/>
    <col min="12802" max="12802" width="5.77734375" style="2" customWidth="1"/>
    <col min="12803" max="12803" width="10" style="2" customWidth="1"/>
    <col min="12804" max="12804" width="12.21875" style="2" customWidth="1"/>
    <col min="12805" max="12805" width="13.77734375" style="2" customWidth="1"/>
    <col min="12806" max="12806" width="12.5546875" style="2" customWidth="1"/>
    <col min="12807" max="12807" width="13" style="2" customWidth="1"/>
    <col min="12808" max="12808" width="13.77734375" style="2" bestFit="1" customWidth="1"/>
    <col min="12809" max="13054" width="9.21875" style="2"/>
    <col min="13055" max="13055" width="5" style="2" customWidth="1"/>
    <col min="13056" max="13056" width="23.77734375" style="2" customWidth="1"/>
    <col min="13057" max="13057" width="46.77734375" style="2" customWidth="1"/>
    <col min="13058" max="13058" width="5.77734375" style="2" customWidth="1"/>
    <col min="13059" max="13059" width="10" style="2" customWidth="1"/>
    <col min="13060" max="13060" width="12.21875" style="2" customWidth="1"/>
    <col min="13061" max="13061" width="13.77734375" style="2" customWidth="1"/>
    <col min="13062" max="13062" width="12.5546875" style="2" customWidth="1"/>
    <col min="13063" max="13063" width="13" style="2" customWidth="1"/>
    <col min="13064" max="13064" width="13.77734375" style="2" bestFit="1" customWidth="1"/>
    <col min="13065" max="13310" width="9.21875" style="2"/>
    <col min="13311" max="13311" width="5" style="2" customWidth="1"/>
    <col min="13312" max="13312" width="23.77734375" style="2" customWidth="1"/>
    <col min="13313" max="13313" width="46.77734375" style="2" customWidth="1"/>
    <col min="13314" max="13314" width="5.77734375" style="2" customWidth="1"/>
    <col min="13315" max="13315" width="10" style="2" customWidth="1"/>
    <col min="13316" max="13316" width="12.21875" style="2" customWidth="1"/>
    <col min="13317" max="13317" width="13.77734375" style="2" customWidth="1"/>
    <col min="13318" max="13318" width="12.5546875" style="2" customWidth="1"/>
    <col min="13319" max="13319" width="13" style="2" customWidth="1"/>
    <col min="13320" max="13320" width="13.77734375" style="2" bestFit="1" customWidth="1"/>
    <col min="13321" max="13566" width="9.21875" style="2"/>
    <col min="13567" max="13567" width="5" style="2" customWidth="1"/>
    <col min="13568" max="13568" width="23.77734375" style="2" customWidth="1"/>
    <col min="13569" max="13569" width="46.77734375" style="2" customWidth="1"/>
    <col min="13570" max="13570" width="5.77734375" style="2" customWidth="1"/>
    <col min="13571" max="13571" width="10" style="2" customWidth="1"/>
    <col min="13572" max="13572" width="12.21875" style="2" customWidth="1"/>
    <col min="13573" max="13573" width="13.77734375" style="2" customWidth="1"/>
    <col min="13574" max="13574" width="12.5546875" style="2" customWidth="1"/>
    <col min="13575" max="13575" width="13" style="2" customWidth="1"/>
    <col min="13576" max="13576" width="13.77734375" style="2" bestFit="1" customWidth="1"/>
    <col min="13577" max="13822" width="9.21875" style="2"/>
    <col min="13823" max="13823" width="5" style="2" customWidth="1"/>
    <col min="13824" max="13824" width="23.77734375" style="2" customWidth="1"/>
    <col min="13825" max="13825" width="46.77734375" style="2" customWidth="1"/>
    <col min="13826" max="13826" width="5.77734375" style="2" customWidth="1"/>
    <col min="13827" max="13827" width="10" style="2" customWidth="1"/>
    <col min="13828" max="13828" width="12.21875" style="2" customWidth="1"/>
    <col min="13829" max="13829" width="13.77734375" style="2" customWidth="1"/>
    <col min="13830" max="13830" width="12.5546875" style="2" customWidth="1"/>
    <col min="13831" max="13831" width="13" style="2" customWidth="1"/>
    <col min="13832" max="13832" width="13.77734375" style="2" bestFit="1" customWidth="1"/>
    <col min="13833" max="14078" width="9.21875" style="2"/>
    <col min="14079" max="14079" width="5" style="2" customWidth="1"/>
    <col min="14080" max="14080" width="23.77734375" style="2" customWidth="1"/>
    <col min="14081" max="14081" width="46.77734375" style="2" customWidth="1"/>
    <col min="14082" max="14082" width="5.77734375" style="2" customWidth="1"/>
    <col min="14083" max="14083" width="10" style="2" customWidth="1"/>
    <col min="14084" max="14084" width="12.21875" style="2" customWidth="1"/>
    <col min="14085" max="14085" width="13.77734375" style="2" customWidth="1"/>
    <col min="14086" max="14086" width="12.5546875" style="2" customWidth="1"/>
    <col min="14087" max="14087" width="13" style="2" customWidth="1"/>
    <col min="14088" max="14088" width="13.77734375" style="2" bestFit="1" customWidth="1"/>
    <col min="14089" max="14334" width="9.21875" style="2"/>
    <col min="14335" max="14335" width="5" style="2" customWidth="1"/>
    <col min="14336" max="14336" width="23.77734375" style="2" customWidth="1"/>
    <col min="14337" max="14337" width="46.77734375" style="2" customWidth="1"/>
    <col min="14338" max="14338" width="5.77734375" style="2" customWidth="1"/>
    <col min="14339" max="14339" width="10" style="2" customWidth="1"/>
    <col min="14340" max="14340" width="12.21875" style="2" customWidth="1"/>
    <col min="14341" max="14341" width="13.77734375" style="2" customWidth="1"/>
    <col min="14342" max="14342" width="12.5546875" style="2" customWidth="1"/>
    <col min="14343" max="14343" width="13" style="2" customWidth="1"/>
    <col min="14344" max="14344" width="13.77734375" style="2" bestFit="1" customWidth="1"/>
    <col min="14345" max="14590" width="9.21875" style="2"/>
    <col min="14591" max="14591" width="5" style="2" customWidth="1"/>
    <col min="14592" max="14592" width="23.77734375" style="2" customWidth="1"/>
    <col min="14593" max="14593" width="46.77734375" style="2" customWidth="1"/>
    <col min="14594" max="14594" width="5.77734375" style="2" customWidth="1"/>
    <col min="14595" max="14595" width="10" style="2" customWidth="1"/>
    <col min="14596" max="14596" width="12.21875" style="2" customWidth="1"/>
    <col min="14597" max="14597" width="13.77734375" style="2" customWidth="1"/>
    <col min="14598" max="14598" width="12.5546875" style="2" customWidth="1"/>
    <col min="14599" max="14599" width="13" style="2" customWidth="1"/>
    <col min="14600" max="14600" width="13.77734375" style="2" bestFit="1" customWidth="1"/>
    <col min="14601" max="14846" width="9.21875" style="2"/>
    <col min="14847" max="14847" width="5" style="2" customWidth="1"/>
    <col min="14848" max="14848" width="23.77734375" style="2" customWidth="1"/>
    <col min="14849" max="14849" width="46.77734375" style="2" customWidth="1"/>
    <col min="14850" max="14850" width="5.77734375" style="2" customWidth="1"/>
    <col min="14851" max="14851" width="10" style="2" customWidth="1"/>
    <col min="14852" max="14852" width="12.21875" style="2" customWidth="1"/>
    <col min="14853" max="14853" width="13.77734375" style="2" customWidth="1"/>
    <col min="14854" max="14854" width="12.5546875" style="2" customWidth="1"/>
    <col min="14855" max="14855" width="13" style="2" customWidth="1"/>
    <col min="14856" max="14856" width="13.77734375" style="2" bestFit="1" customWidth="1"/>
    <col min="14857" max="15102" width="9.21875" style="2"/>
    <col min="15103" max="15103" width="5" style="2" customWidth="1"/>
    <col min="15104" max="15104" width="23.77734375" style="2" customWidth="1"/>
    <col min="15105" max="15105" width="46.77734375" style="2" customWidth="1"/>
    <col min="15106" max="15106" width="5.77734375" style="2" customWidth="1"/>
    <col min="15107" max="15107" width="10" style="2" customWidth="1"/>
    <col min="15108" max="15108" width="12.21875" style="2" customWidth="1"/>
    <col min="15109" max="15109" width="13.77734375" style="2" customWidth="1"/>
    <col min="15110" max="15110" width="12.5546875" style="2" customWidth="1"/>
    <col min="15111" max="15111" width="13" style="2" customWidth="1"/>
    <col min="15112" max="15112" width="13.77734375" style="2" bestFit="1" customWidth="1"/>
    <col min="15113" max="15358" width="9.21875" style="2"/>
    <col min="15359" max="15359" width="5" style="2" customWidth="1"/>
    <col min="15360" max="15360" width="23.77734375" style="2" customWidth="1"/>
    <col min="15361" max="15361" width="46.77734375" style="2" customWidth="1"/>
    <col min="15362" max="15362" width="5.77734375" style="2" customWidth="1"/>
    <col min="15363" max="15363" width="10" style="2" customWidth="1"/>
    <col min="15364" max="15364" width="12.21875" style="2" customWidth="1"/>
    <col min="15365" max="15365" width="13.77734375" style="2" customWidth="1"/>
    <col min="15366" max="15366" width="12.5546875" style="2" customWidth="1"/>
    <col min="15367" max="15367" width="13" style="2" customWidth="1"/>
    <col min="15368" max="15368" width="13.77734375" style="2" bestFit="1" customWidth="1"/>
    <col min="15369" max="15614" width="9.21875" style="2"/>
    <col min="15615" max="15615" width="5" style="2" customWidth="1"/>
    <col min="15616" max="15616" width="23.77734375" style="2" customWidth="1"/>
    <col min="15617" max="15617" width="46.77734375" style="2" customWidth="1"/>
    <col min="15618" max="15618" width="5.77734375" style="2" customWidth="1"/>
    <col min="15619" max="15619" width="10" style="2" customWidth="1"/>
    <col min="15620" max="15620" width="12.21875" style="2" customWidth="1"/>
    <col min="15621" max="15621" width="13.77734375" style="2" customWidth="1"/>
    <col min="15622" max="15622" width="12.5546875" style="2" customWidth="1"/>
    <col min="15623" max="15623" width="13" style="2" customWidth="1"/>
    <col min="15624" max="15624" width="13.77734375" style="2" bestFit="1" customWidth="1"/>
    <col min="15625" max="15870" width="9.21875" style="2"/>
    <col min="15871" max="15871" width="5" style="2" customWidth="1"/>
    <col min="15872" max="15872" width="23.77734375" style="2" customWidth="1"/>
    <col min="15873" max="15873" width="46.77734375" style="2" customWidth="1"/>
    <col min="15874" max="15874" width="5.77734375" style="2" customWidth="1"/>
    <col min="15875" max="15875" width="10" style="2" customWidth="1"/>
    <col min="15876" max="15876" width="12.21875" style="2" customWidth="1"/>
    <col min="15877" max="15877" width="13.77734375" style="2" customWidth="1"/>
    <col min="15878" max="15878" width="12.5546875" style="2" customWidth="1"/>
    <col min="15879" max="15879" width="13" style="2" customWidth="1"/>
    <col min="15880" max="15880" width="13.77734375" style="2" bestFit="1" customWidth="1"/>
    <col min="15881" max="16126" width="9.21875" style="2"/>
    <col min="16127" max="16127" width="5" style="2" customWidth="1"/>
    <col min="16128" max="16128" width="23.77734375" style="2" customWidth="1"/>
    <col min="16129" max="16129" width="46.77734375" style="2" customWidth="1"/>
    <col min="16130" max="16130" width="5.77734375" style="2" customWidth="1"/>
    <col min="16131" max="16131" width="10" style="2" customWidth="1"/>
    <col min="16132" max="16132" width="12.21875" style="2" customWidth="1"/>
    <col min="16133" max="16133" width="13.77734375" style="2" customWidth="1"/>
    <col min="16134" max="16134" width="12.5546875" style="2" customWidth="1"/>
    <col min="16135" max="16135" width="13" style="2" customWidth="1"/>
    <col min="16136" max="16136" width="13.77734375" style="2" bestFit="1" customWidth="1"/>
    <col min="16137" max="16377" width="9.21875" style="2"/>
    <col min="16378" max="16384" width="9.21875" style="2" customWidth="1"/>
  </cols>
  <sheetData>
    <row r="1" spans="1:24" ht="12.75" customHeight="1" x14ac:dyDescent="0.25">
      <c r="B1" s="53"/>
      <c r="C1" s="26"/>
      <c r="D1" s="106" t="s">
        <v>5</v>
      </c>
      <c r="E1" s="107"/>
      <c r="F1" s="107"/>
      <c r="G1" s="107"/>
      <c r="H1" s="107"/>
      <c r="I1" s="107"/>
      <c r="J1" s="107"/>
      <c r="K1" s="107"/>
      <c r="L1" s="107"/>
      <c r="M1" s="92"/>
    </row>
    <row r="2" spans="1:24" ht="12.75" customHeight="1" x14ac:dyDescent="0.25">
      <c r="B2" s="54"/>
      <c r="C2" s="27"/>
      <c r="D2" s="108"/>
      <c r="E2" s="109"/>
      <c r="F2" s="109"/>
      <c r="G2" s="109"/>
      <c r="H2" s="109"/>
      <c r="I2" s="109"/>
      <c r="J2" s="109"/>
      <c r="K2" s="109"/>
      <c r="L2" s="109"/>
      <c r="M2" s="93"/>
    </row>
    <row r="3" spans="1:24" ht="12.75" customHeight="1" x14ac:dyDescent="0.25">
      <c r="B3" s="54"/>
      <c r="C3" s="27"/>
      <c r="D3" s="108"/>
      <c r="E3" s="109"/>
      <c r="F3" s="109"/>
      <c r="G3" s="109"/>
      <c r="H3" s="109"/>
      <c r="I3" s="109"/>
      <c r="J3" s="109"/>
      <c r="K3" s="109"/>
      <c r="L3" s="109"/>
      <c r="M3" s="93"/>
    </row>
    <row r="4" spans="1:24" ht="32.4" customHeight="1" x14ac:dyDescent="0.3">
      <c r="A4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95"/>
    </row>
    <row r="5" spans="1:24" ht="20.55" customHeight="1" x14ac:dyDescent="0.25">
      <c r="A5" s="115" t="s">
        <v>61</v>
      </c>
      <c r="B5" s="116"/>
      <c r="C5" s="116"/>
      <c r="D5" s="117"/>
      <c r="E5" s="112" t="s">
        <v>67</v>
      </c>
      <c r="F5" s="113"/>
      <c r="G5" s="113"/>
      <c r="H5" s="113"/>
      <c r="I5" s="113"/>
      <c r="J5" s="113"/>
      <c r="K5" s="113"/>
      <c r="L5" s="114"/>
      <c r="M5" s="96"/>
      <c r="N5" s="38"/>
      <c r="O5" s="38"/>
      <c r="P5" s="38"/>
    </row>
    <row r="6" spans="1:24" ht="17.55" customHeight="1" x14ac:dyDescent="0.25">
      <c r="A6" s="115" t="s">
        <v>99</v>
      </c>
      <c r="B6" s="116"/>
      <c r="C6" s="116"/>
      <c r="D6" s="117"/>
      <c r="E6" s="118" t="s">
        <v>111</v>
      </c>
      <c r="F6" s="119"/>
      <c r="G6" s="119"/>
      <c r="H6" s="119"/>
      <c r="I6" s="119"/>
      <c r="J6" s="119"/>
      <c r="K6" s="119"/>
      <c r="L6" s="120"/>
      <c r="M6" s="97"/>
    </row>
    <row r="7" spans="1:24" x14ac:dyDescent="0.25">
      <c r="A7" s="115" t="s">
        <v>103</v>
      </c>
      <c r="B7" s="116"/>
      <c r="C7" s="116"/>
      <c r="D7" s="117"/>
      <c r="E7" s="118" t="s">
        <v>112</v>
      </c>
      <c r="F7" s="119"/>
      <c r="G7" s="119"/>
      <c r="H7" s="119"/>
      <c r="I7" s="119"/>
      <c r="J7" s="119"/>
      <c r="K7" s="119"/>
      <c r="L7" s="120"/>
      <c r="M7" s="97"/>
    </row>
    <row r="8" spans="1:24" x14ac:dyDescent="0.25">
      <c r="A8" s="121" t="s">
        <v>62</v>
      </c>
      <c r="B8" s="122"/>
      <c r="C8" s="122"/>
      <c r="D8" s="123"/>
      <c r="E8" s="118" t="s">
        <v>10</v>
      </c>
      <c r="F8" s="119"/>
      <c r="G8" s="119"/>
      <c r="H8" s="119"/>
      <c r="I8" s="119"/>
      <c r="J8" s="119"/>
      <c r="K8" s="119"/>
      <c r="L8" s="120"/>
      <c r="M8" s="97"/>
    </row>
    <row r="9" spans="1:24" x14ac:dyDescent="0.25">
      <c r="A9" s="121" t="s">
        <v>100</v>
      </c>
      <c r="B9" s="122"/>
      <c r="C9" s="122"/>
      <c r="D9" s="123"/>
      <c r="E9" s="118" t="s">
        <v>11</v>
      </c>
      <c r="F9" s="119"/>
      <c r="G9" s="119"/>
      <c r="H9" s="119"/>
      <c r="I9" s="119"/>
      <c r="J9" s="119"/>
      <c r="K9" s="119"/>
      <c r="L9" s="120"/>
      <c r="M9" s="97"/>
    </row>
    <row r="10" spans="1:24" ht="18.45" customHeight="1" x14ac:dyDescent="0.25">
      <c r="A10" s="115" t="s">
        <v>105</v>
      </c>
      <c r="B10" s="116"/>
      <c r="C10" s="116"/>
      <c r="D10" s="117"/>
      <c r="E10" s="119" t="s">
        <v>113</v>
      </c>
      <c r="F10" s="119"/>
      <c r="G10" s="119"/>
      <c r="H10" s="119"/>
      <c r="I10" s="119"/>
      <c r="J10" s="119"/>
      <c r="K10" s="119"/>
      <c r="L10" s="120"/>
      <c r="M10" s="97"/>
    </row>
    <row r="11" spans="1:24" x14ac:dyDescent="0.25">
      <c r="A11" s="3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98"/>
    </row>
    <row r="12" spans="1:24" s="4" customFormat="1" ht="39.6" x14ac:dyDescent="0.3">
      <c r="A12" s="15" t="s">
        <v>0</v>
      </c>
      <c r="B12" s="15" t="s">
        <v>24</v>
      </c>
      <c r="C12" s="15" t="s">
        <v>6</v>
      </c>
      <c r="D12" s="15" t="s">
        <v>7</v>
      </c>
      <c r="E12" s="15" t="s">
        <v>8</v>
      </c>
      <c r="F12" s="15" t="s">
        <v>1</v>
      </c>
      <c r="G12" s="15" t="s">
        <v>2</v>
      </c>
      <c r="H12" s="15" t="s">
        <v>95</v>
      </c>
      <c r="I12" s="15" t="s">
        <v>96</v>
      </c>
      <c r="J12" s="15" t="s">
        <v>97</v>
      </c>
      <c r="K12" s="15" t="s">
        <v>3</v>
      </c>
      <c r="L12" s="15" t="s">
        <v>98</v>
      </c>
      <c r="M12" s="99"/>
      <c r="N12" s="39">
        <v>27000</v>
      </c>
      <c r="O12" s="75"/>
      <c r="P12" s="75"/>
      <c r="Q12" s="37" t="s">
        <v>20</v>
      </c>
      <c r="R12" s="78"/>
      <c r="S12" s="124" t="s">
        <v>64</v>
      </c>
      <c r="T12" s="125"/>
      <c r="U12" s="87">
        <v>26400</v>
      </c>
      <c r="V12" s="87"/>
      <c r="W12" s="87"/>
      <c r="X12" s="87"/>
    </row>
    <row r="13" spans="1:24" s="5" customFormat="1" ht="15" customHeight="1" x14ac:dyDescent="0.3">
      <c r="A13" s="74" t="s">
        <v>86</v>
      </c>
      <c r="B13" s="85" t="s">
        <v>87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100"/>
      <c r="N13" s="36" t="s">
        <v>88</v>
      </c>
      <c r="O13" s="36" t="s">
        <v>89</v>
      </c>
      <c r="P13" s="36" t="s">
        <v>90</v>
      </c>
      <c r="U13" s="87" t="s">
        <v>110</v>
      </c>
      <c r="V13" s="34"/>
      <c r="W13" s="34"/>
      <c r="X13" s="34"/>
    </row>
    <row r="14" spans="1:24" s="5" customFormat="1" ht="26.4" x14ac:dyDescent="0.3">
      <c r="A14" s="20">
        <v>1</v>
      </c>
      <c r="B14" s="126" t="s">
        <v>63</v>
      </c>
      <c r="C14" s="52" t="s">
        <v>75</v>
      </c>
      <c r="D14" s="35" t="s">
        <v>76</v>
      </c>
      <c r="E14" s="52">
        <v>9</v>
      </c>
      <c r="F14" s="23" t="s">
        <v>94</v>
      </c>
      <c r="G14" s="21">
        <f>T14</f>
        <v>8320000</v>
      </c>
      <c r="H14" s="21">
        <f>G14*E14</f>
        <v>74880000</v>
      </c>
      <c r="I14" s="31">
        <v>0.08</v>
      </c>
      <c r="J14" s="22">
        <f>H14*(1+I14)</f>
        <v>80870400</v>
      </c>
      <c r="K14" s="56"/>
      <c r="L14" s="128" t="s">
        <v>102</v>
      </c>
      <c r="M14" s="101">
        <f>H14*I14</f>
        <v>5990400</v>
      </c>
      <c r="N14" s="36">
        <f>4390000+2630000+90000</f>
        <v>7110000</v>
      </c>
      <c r="O14" s="36">
        <f>(230.72808+75+2.85)*N12</f>
        <v>8331608.1600000001</v>
      </c>
      <c r="P14" s="36">
        <v>9069000</v>
      </c>
      <c r="Q14" s="36">
        <f>(164.512+98.37+2.544)*N12</f>
        <v>7166502</v>
      </c>
      <c r="R14" s="36">
        <f>Q14*E14</f>
        <v>64498518</v>
      </c>
      <c r="S14" s="34">
        <f>Q14*1.16</f>
        <v>8313142.3199999994</v>
      </c>
      <c r="T14" s="34">
        <f>ROUNDUP(S14,-4)</f>
        <v>8320000</v>
      </c>
      <c r="U14" s="88">
        <f>286.7*U12</f>
        <v>7568880</v>
      </c>
      <c r="V14" s="36">
        <f>U14*E14</f>
        <v>68119920</v>
      </c>
      <c r="W14" s="34">
        <f>S14-U14</f>
        <v>744262.31999999937</v>
      </c>
      <c r="X14" s="34">
        <f>W14*E14</f>
        <v>6698360.8799999943</v>
      </c>
    </row>
    <row r="15" spans="1:24" s="5" customFormat="1" ht="26.4" x14ac:dyDescent="0.3">
      <c r="A15" s="20">
        <v>1.1000000000000001</v>
      </c>
      <c r="B15" s="126"/>
      <c r="C15" s="28" t="s">
        <v>77</v>
      </c>
      <c r="D15" s="32" t="s">
        <v>68</v>
      </c>
      <c r="E15" s="28">
        <v>9</v>
      </c>
      <c r="F15" s="23"/>
      <c r="G15" s="21"/>
      <c r="H15" s="21"/>
      <c r="I15" s="31"/>
      <c r="J15" s="22"/>
      <c r="K15" s="56"/>
      <c r="L15" s="128"/>
      <c r="M15" s="101"/>
      <c r="N15" s="36"/>
      <c r="O15" s="36"/>
      <c r="P15" s="36"/>
      <c r="Q15" s="36" t="s">
        <v>83</v>
      </c>
      <c r="R15" s="36"/>
      <c r="S15" s="34"/>
      <c r="T15" s="34"/>
      <c r="U15" s="88"/>
      <c r="V15" s="34"/>
      <c r="W15" s="34"/>
      <c r="X15" s="34"/>
    </row>
    <row r="16" spans="1:24" s="5" customFormat="1" ht="26.4" x14ac:dyDescent="0.3">
      <c r="A16" s="20">
        <v>1.2</v>
      </c>
      <c r="B16" s="126"/>
      <c r="C16" s="28" t="s">
        <v>106</v>
      </c>
      <c r="D16" s="32" t="s">
        <v>107</v>
      </c>
      <c r="E16" s="28">
        <v>9</v>
      </c>
      <c r="F16" s="23"/>
      <c r="G16" s="21"/>
      <c r="H16" s="21"/>
      <c r="I16" s="31"/>
      <c r="J16" s="22"/>
      <c r="K16" s="56" t="s">
        <v>85</v>
      </c>
      <c r="L16" s="128"/>
      <c r="M16" s="101"/>
      <c r="N16" s="36"/>
      <c r="O16" s="36"/>
      <c r="P16" s="36"/>
      <c r="Q16" s="36">
        <f>98.368*N1</f>
        <v>0</v>
      </c>
      <c r="R16" s="36"/>
      <c r="S16" s="34"/>
      <c r="T16" s="34"/>
      <c r="U16" s="88"/>
      <c r="V16" s="34"/>
      <c r="W16" s="34"/>
      <c r="X16" s="34"/>
    </row>
    <row r="17" spans="1:24" s="5" customFormat="1" ht="26.4" x14ac:dyDescent="0.3">
      <c r="A17" s="20">
        <v>1.3</v>
      </c>
      <c r="B17" s="126"/>
      <c r="C17" s="28" t="s">
        <v>78</v>
      </c>
      <c r="D17" s="32" t="s">
        <v>79</v>
      </c>
      <c r="E17" s="28">
        <v>9</v>
      </c>
      <c r="F17" s="23"/>
      <c r="G17" s="21"/>
      <c r="H17" s="21"/>
      <c r="I17" s="31"/>
      <c r="J17" s="22"/>
      <c r="K17" s="56"/>
      <c r="L17" s="128"/>
      <c r="M17" s="101"/>
      <c r="N17" s="36"/>
      <c r="O17" s="36"/>
      <c r="P17" s="36"/>
      <c r="Q17" s="36">
        <f>2.544*N1</f>
        <v>0</v>
      </c>
      <c r="R17" s="36"/>
      <c r="S17" s="34"/>
      <c r="T17" s="34"/>
      <c r="U17" s="88"/>
      <c r="V17" s="34"/>
      <c r="W17" s="34"/>
      <c r="X17" s="34"/>
    </row>
    <row r="18" spans="1:24" s="5" customFormat="1" ht="26.4" x14ac:dyDescent="0.25">
      <c r="A18" s="20">
        <v>2</v>
      </c>
      <c r="B18" s="52" t="s">
        <v>63</v>
      </c>
      <c r="C18" s="52" t="s">
        <v>80</v>
      </c>
      <c r="D18" s="35" t="s">
        <v>81</v>
      </c>
      <c r="E18" s="52">
        <v>9</v>
      </c>
      <c r="F18" s="23" t="s">
        <v>69</v>
      </c>
      <c r="G18" s="21">
        <f>T18</f>
        <v>31370000</v>
      </c>
      <c r="H18" s="21">
        <f>G18*E18</f>
        <v>282330000</v>
      </c>
      <c r="I18" s="31">
        <v>0.08</v>
      </c>
      <c r="J18" s="22">
        <f>H18*(1+I18)</f>
        <v>304916400</v>
      </c>
      <c r="K18" s="56" t="s">
        <v>84</v>
      </c>
      <c r="L18" s="128"/>
      <c r="M18" s="101">
        <f>H18*I18</f>
        <v>22586400</v>
      </c>
      <c r="N18" s="36">
        <v>31120000</v>
      </c>
      <c r="O18" s="36">
        <f>1114.036044*N12</f>
        <v>30078973.187999997</v>
      </c>
      <c r="P18" s="36">
        <v>32740000</v>
      </c>
      <c r="Q18" s="33">
        <f>992.902*N12</f>
        <v>26808354</v>
      </c>
      <c r="R18" s="36">
        <f>Q18*E18</f>
        <v>241275186</v>
      </c>
      <c r="S18" s="34">
        <f>Q18*1.17</f>
        <v>31365774.18</v>
      </c>
      <c r="T18" s="34">
        <f>ROUNDUP(S18,-4)</f>
        <v>31370000</v>
      </c>
      <c r="U18" s="88">
        <f>1004.98*U12</f>
        <v>26531472</v>
      </c>
      <c r="V18" s="36">
        <f>U18*E18</f>
        <v>238783248</v>
      </c>
      <c r="W18" s="34">
        <f>S18-U18</f>
        <v>4834302.18</v>
      </c>
      <c r="X18" s="34">
        <f>W18*E18</f>
        <v>43508719.619999997</v>
      </c>
    </row>
    <row r="19" spans="1:24" s="5" customFormat="1" ht="13.2" customHeight="1" x14ac:dyDescent="0.25">
      <c r="A19" s="74" t="s">
        <v>91</v>
      </c>
      <c r="B19" s="85" t="s">
        <v>92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100"/>
      <c r="N19" s="36"/>
      <c r="O19" s="36"/>
      <c r="P19" s="36"/>
      <c r="Q19" s="33"/>
      <c r="R19" s="33"/>
      <c r="S19" s="34"/>
      <c r="T19" s="34"/>
      <c r="U19" s="88"/>
      <c r="V19" s="34"/>
      <c r="W19" s="34"/>
      <c r="X19" s="34"/>
    </row>
    <row r="20" spans="1:24" s="5" customFormat="1" ht="26.4" x14ac:dyDescent="0.3">
      <c r="A20" s="20">
        <v>1</v>
      </c>
      <c r="B20" s="126" t="s">
        <v>63</v>
      </c>
      <c r="C20" s="52" t="s">
        <v>70</v>
      </c>
      <c r="D20" s="35" t="s">
        <v>71</v>
      </c>
      <c r="E20" s="52">
        <v>1</v>
      </c>
      <c r="F20" s="83" t="s">
        <v>94</v>
      </c>
      <c r="G20" s="21">
        <f>T20</f>
        <v>62950000</v>
      </c>
      <c r="H20" s="21">
        <f>G20*E20</f>
        <v>62950000</v>
      </c>
      <c r="I20" s="31">
        <v>0.08</v>
      </c>
      <c r="J20" s="22">
        <f>H20*(1+I20)</f>
        <v>67986000</v>
      </c>
      <c r="K20" s="56"/>
      <c r="L20" s="128" t="s">
        <v>102</v>
      </c>
      <c r="M20" s="101">
        <f>H20*I20</f>
        <v>5036000</v>
      </c>
      <c r="N20" s="36">
        <f>39310000+12520000+3340000</f>
        <v>55170000</v>
      </c>
      <c r="O20" s="36">
        <f>(1655.771304+386.291136+140.577624)*N12</f>
        <v>58931281.728000008</v>
      </c>
      <c r="P20" s="36">
        <v>64145000</v>
      </c>
      <c r="Q20" s="34">
        <f>(1475.732+469.792+125.292)*N12</f>
        <v>55912031.999999993</v>
      </c>
      <c r="R20" s="36">
        <f>Q20*E20</f>
        <v>55912031.999999993</v>
      </c>
      <c r="S20" s="34">
        <f>Q20*1.1257</f>
        <v>62940174.42239999</v>
      </c>
      <c r="T20" s="34">
        <f>ROUNDUP(S20,-4)</f>
        <v>62950000</v>
      </c>
      <c r="U20" s="89">
        <f>1659*U12</f>
        <v>43797600</v>
      </c>
      <c r="V20" s="36">
        <f>U20*E20</f>
        <v>43797600</v>
      </c>
      <c r="W20" s="34">
        <f>S20-U20</f>
        <v>19142574.42239999</v>
      </c>
      <c r="X20" s="34">
        <f>W20*E20</f>
        <v>19142574.42239999</v>
      </c>
    </row>
    <row r="21" spans="1:24" s="5" customFormat="1" ht="26.4" x14ac:dyDescent="0.3">
      <c r="A21" s="20">
        <v>1.1000000000000001</v>
      </c>
      <c r="B21" s="126"/>
      <c r="C21" s="28" t="s">
        <v>108</v>
      </c>
      <c r="D21" s="32" t="s">
        <v>109</v>
      </c>
      <c r="E21" s="28">
        <v>1</v>
      </c>
      <c r="F21" s="23"/>
      <c r="G21" s="21"/>
      <c r="H21" s="21"/>
      <c r="I21" s="31"/>
      <c r="J21" s="22"/>
      <c r="K21" s="56" t="s">
        <v>85</v>
      </c>
      <c r="L21" s="128"/>
      <c r="M21" s="101"/>
      <c r="N21" s="36"/>
      <c r="O21" s="36"/>
      <c r="P21" s="36"/>
      <c r="Q21" s="36">
        <f>469.792*N12</f>
        <v>12684384</v>
      </c>
      <c r="R21" s="36"/>
      <c r="S21" s="34"/>
      <c r="T21" s="34"/>
      <c r="U21" s="90"/>
      <c r="V21" s="34"/>
      <c r="W21" s="34"/>
      <c r="X21" s="34"/>
    </row>
    <row r="22" spans="1:24" s="5" customFormat="1" ht="26.4" x14ac:dyDescent="0.3">
      <c r="A22" s="20">
        <v>1.2</v>
      </c>
      <c r="B22" s="126"/>
      <c r="C22" s="28" t="s">
        <v>72</v>
      </c>
      <c r="D22" s="32" t="s">
        <v>73</v>
      </c>
      <c r="E22" s="28">
        <v>1</v>
      </c>
      <c r="F22" s="23"/>
      <c r="G22" s="21"/>
      <c r="H22" s="21"/>
      <c r="I22" s="31"/>
      <c r="J22" s="22"/>
      <c r="K22" s="56"/>
      <c r="L22" s="128"/>
      <c r="M22" s="101"/>
      <c r="N22" s="36"/>
      <c r="O22" s="36"/>
      <c r="P22" s="36"/>
      <c r="Q22" s="36">
        <f>125.292*N12</f>
        <v>3382884</v>
      </c>
      <c r="R22" s="36"/>
      <c r="S22" s="34"/>
      <c r="T22" s="34"/>
      <c r="U22" s="90"/>
      <c r="V22" s="34"/>
      <c r="W22" s="34"/>
      <c r="X22" s="34"/>
    </row>
    <row r="23" spans="1:24" s="5" customFormat="1" ht="26.4" x14ac:dyDescent="0.3">
      <c r="A23" s="20">
        <v>1.3</v>
      </c>
      <c r="B23" s="126"/>
      <c r="C23" s="28" t="s">
        <v>74</v>
      </c>
      <c r="D23" s="32" t="s">
        <v>68</v>
      </c>
      <c r="E23" s="28">
        <v>1</v>
      </c>
      <c r="F23" s="23"/>
      <c r="G23" s="21"/>
      <c r="H23" s="21"/>
      <c r="I23" s="31"/>
      <c r="J23" s="22"/>
      <c r="K23" s="56"/>
      <c r="L23" s="128"/>
      <c r="M23" s="101"/>
      <c r="N23" s="36"/>
      <c r="O23" s="36"/>
      <c r="P23" s="36"/>
      <c r="Q23" s="36" t="s">
        <v>82</v>
      </c>
      <c r="R23" s="36"/>
      <c r="S23" s="34"/>
      <c r="T23" s="34"/>
      <c r="U23" s="90"/>
      <c r="V23" s="34"/>
      <c r="W23" s="34"/>
      <c r="X23" s="34"/>
    </row>
    <row r="24" spans="1:24" s="5" customFormat="1" ht="26.4" x14ac:dyDescent="0.25">
      <c r="A24" s="20">
        <v>2</v>
      </c>
      <c r="B24" s="52" t="s">
        <v>63</v>
      </c>
      <c r="C24" s="52" t="s">
        <v>80</v>
      </c>
      <c r="D24" s="35" t="s">
        <v>81</v>
      </c>
      <c r="E24" s="52">
        <v>9</v>
      </c>
      <c r="F24" s="23" t="s">
        <v>69</v>
      </c>
      <c r="G24" s="21">
        <f>T24</f>
        <v>31370000</v>
      </c>
      <c r="H24" s="21">
        <f>G24*E24</f>
        <v>282330000</v>
      </c>
      <c r="I24" s="31">
        <v>0.08</v>
      </c>
      <c r="J24" s="22">
        <f>H24*(1+I24)</f>
        <v>304916400</v>
      </c>
      <c r="K24" s="56" t="s">
        <v>84</v>
      </c>
      <c r="L24" s="128"/>
      <c r="M24" s="101">
        <f>H24*I24</f>
        <v>22586400</v>
      </c>
      <c r="N24" s="36">
        <v>31120000</v>
      </c>
      <c r="O24" s="36">
        <f>1114.036044*N12</f>
        <v>30078973.187999997</v>
      </c>
      <c r="P24" s="36">
        <v>32740000</v>
      </c>
      <c r="Q24" s="33">
        <f>992.902*N12</f>
        <v>26808354</v>
      </c>
      <c r="R24" s="36">
        <f>Q24*E24</f>
        <v>241275186</v>
      </c>
      <c r="S24" s="34">
        <f>Q24*1.17</f>
        <v>31365774.18</v>
      </c>
      <c r="T24" s="34">
        <f>ROUNDUP(S24,-4)</f>
        <v>31370000</v>
      </c>
      <c r="U24" s="90">
        <f>1004.98*U12</f>
        <v>26531472</v>
      </c>
      <c r="V24" s="36">
        <f>U24*E24</f>
        <v>238783248</v>
      </c>
      <c r="W24" s="34">
        <f>S24-U24</f>
        <v>4834302.18</v>
      </c>
      <c r="X24" s="34">
        <f>W24*E24</f>
        <v>43508719.619999997</v>
      </c>
    </row>
    <row r="25" spans="1:24" s="5" customFormat="1" ht="13.2" customHeight="1" x14ac:dyDescent="0.3">
      <c r="A25" s="74" t="s">
        <v>93</v>
      </c>
      <c r="B25" s="85" t="s">
        <v>104</v>
      </c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100"/>
      <c r="N25" s="36"/>
      <c r="O25" s="36"/>
      <c r="P25" s="36"/>
      <c r="Q25" s="36"/>
      <c r="R25" s="36"/>
      <c r="S25" s="34"/>
      <c r="T25" s="34"/>
      <c r="U25" s="90"/>
      <c r="V25" s="34"/>
      <c r="W25" s="34"/>
      <c r="X25" s="34"/>
    </row>
    <row r="26" spans="1:24" s="5" customFormat="1" ht="26.4" x14ac:dyDescent="0.3">
      <c r="A26" s="20">
        <v>1</v>
      </c>
      <c r="B26" s="126" t="s">
        <v>63</v>
      </c>
      <c r="C26" s="52" t="s">
        <v>75</v>
      </c>
      <c r="D26" s="35" t="s">
        <v>76</v>
      </c>
      <c r="E26" s="52">
        <v>1</v>
      </c>
      <c r="F26" s="23" t="s">
        <v>94</v>
      </c>
      <c r="G26" s="21">
        <f>T26</f>
        <v>8320000</v>
      </c>
      <c r="H26" s="21">
        <f>G26*E26</f>
        <v>8320000</v>
      </c>
      <c r="I26" s="31">
        <v>0.08</v>
      </c>
      <c r="J26" s="22">
        <f>H26*(1+I26)</f>
        <v>8985600</v>
      </c>
      <c r="K26" s="56"/>
      <c r="L26" s="128" t="s">
        <v>102</v>
      </c>
      <c r="M26" s="101">
        <f>H26*I26</f>
        <v>665600</v>
      </c>
      <c r="N26" s="36"/>
      <c r="O26" s="36">
        <f>(230.72808+71.36+2.85)*N12</f>
        <v>8233328.1600000001</v>
      </c>
      <c r="P26" s="36">
        <v>9069000</v>
      </c>
      <c r="Q26" s="36">
        <f>(164.512+98.368+2.544)*N12</f>
        <v>7166447.9999999991</v>
      </c>
      <c r="R26" s="36">
        <f>Q26*E26</f>
        <v>7166447.9999999991</v>
      </c>
      <c r="S26" s="34">
        <f>Q26*1.16</f>
        <v>8313079.6799999988</v>
      </c>
      <c r="T26" s="34">
        <f>ROUNDUP(S26,-4)</f>
        <v>8320000</v>
      </c>
      <c r="U26" s="90">
        <f>286.7*U12</f>
        <v>7568880</v>
      </c>
      <c r="V26" s="36">
        <f>U26*E26</f>
        <v>7568880</v>
      </c>
      <c r="W26" s="34">
        <f>S26-U26</f>
        <v>744199.67999999877</v>
      </c>
      <c r="X26" s="34">
        <f>W26*E26</f>
        <v>744199.67999999877</v>
      </c>
    </row>
    <row r="27" spans="1:24" s="5" customFormat="1" ht="26.4" x14ac:dyDescent="0.3">
      <c r="A27" s="20">
        <v>1.1000000000000001</v>
      </c>
      <c r="B27" s="126"/>
      <c r="C27" s="28" t="s">
        <v>77</v>
      </c>
      <c r="D27" s="32" t="s">
        <v>68</v>
      </c>
      <c r="E27" s="28">
        <v>1</v>
      </c>
      <c r="F27" s="23"/>
      <c r="G27" s="21"/>
      <c r="H27" s="21"/>
      <c r="I27" s="31"/>
      <c r="J27" s="22"/>
      <c r="K27" s="56"/>
      <c r="L27" s="128"/>
      <c r="M27" s="101"/>
      <c r="N27" s="36"/>
      <c r="O27" s="36"/>
      <c r="P27" s="36"/>
      <c r="Q27" s="36" t="s">
        <v>83</v>
      </c>
      <c r="R27" s="36"/>
      <c r="S27" s="34"/>
      <c r="T27" s="34"/>
      <c r="U27" s="90"/>
      <c r="V27" s="34"/>
      <c r="W27" s="34"/>
      <c r="X27" s="34"/>
    </row>
    <row r="28" spans="1:24" s="5" customFormat="1" ht="26.4" x14ac:dyDescent="0.3">
      <c r="A28" s="20">
        <v>1.2</v>
      </c>
      <c r="B28" s="126"/>
      <c r="C28" s="28" t="s">
        <v>106</v>
      </c>
      <c r="D28" s="32" t="s">
        <v>107</v>
      </c>
      <c r="E28" s="28">
        <v>1</v>
      </c>
      <c r="F28" s="23"/>
      <c r="G28" s="21"/>
      <c r="H28" s="21"/>
      <c r="I28" s="31"/>
      <c r="J28" s="22"/>
      <c r="K28" s="56" t="s">
        <v>85</v>
      </c>
      <c r="L28" s="128"/>
      <c r="M28" s="101"/>
      <c r="N28" s="36"/>
      <c r="O28" s="36"/>
      <c r="P28" s="36"/>
      <c r="Q28" s="36">
        <f>98.368*N12</f>
        <v>2655936</v>
      </c>
      <c r="R28" s="36"/>
      <c r="S28" s="34"/>
      <c r="T28" s="34"/>
      <c r="U28" s="90"/>
      <c r="V28" s="34"/>
      <c r="W28" s="34"/>
      <c r="X28" s="34"/>
    </row>
    <row r="29" spans="1:24" s="5" customFormat="1" ht="26.4" x14ac:dyDescent="0.3">
      <c r="A29" s="20">
        <v>1.3</v>
      </c>
      <c r="B29" s="126"/>
      <c r="C29" s="28" t="s">
        <v>78</v>
      </c>
      <c r="D29" s="32" t="s">
        <v>79</v>
      </c>
      <c r="E29" s="28">
        <v>1</v>
      </c>
      <c r="F29" s="23"/>
      <c r="G29" s="21"/>
      <c r="H29" s="21"/>
      <c r="I29" s="31"/>
      <c r="J29" s="22"/>
      <c r="K29" s="56"/>
      <c r="L29" s="128"/>
      <c r="M29" s="101"/>
      <c r="N29" s="36"/>
      <c r="O29" s="36"/>
      <c r="P29" s="36"/>
      <c r="Q29" s="36">
        <f>2.544*N12</f>
        <v>68688</v>
      </c>
      <c r="R29" s="36"/>
      <c r="S29" s="34"/>
      <c r="T29" s="34"/>
      <c r="U29" s="90"/>
      <c r="V29" s="34"/>
      <c r="W29" s="34"/>
      <c r="X29" s="34"/>
    </row>
    <row r="30" spans="1:24" s="5" customFormat="1" ht="26.4" x14ac:dyDescent="0.25">
      <c r="A30" s="20">
        <v>2</v>
      </c>
      <c r="B30" s="52" t="s">
        <v>63</v>
      </c>
      <c r="C30" s="52" t="s">
        <v>80</v>
      </c>
      <c r="D30" s="35" t="s">
        <v>81</v>
      </c>
      <c r="E30" s="52">
        <v>2</v>
      </c>
      <c r="F30" s="23" t="s">
        <v>69</v>
      </c>
      <c r="G30" s="21">
        <f>T30</f>
        <v>31370000</v>
      </c>
      <c r="H30" s="21">
        <f>G30*E30</f>
        <v>62740000</v>
      </c>
      <c r="I30" s="31">
        <v>0.08</v>
      </c>
      <c r="J30" s="22">
        <f>H30*(1+I30)</f>
        <v>67759200</v>
      </c>
      <c r="K30" s="56" t="s">
        <v>84</v>
      </c>
      <c r="L30" s="128"/>
      <c r="M30" s="101">
        <f>H30*I30</f>
        <v>5019200</v>
      </c>
      <c r="N30" s="36"/>
      <c r="O30" s="36">
        <f>1114.036044*N12</f>
        <v>30078973.187999997</v>
      </c>
      <c r="P30" s="36">
        <v>32740000</v>
      </c>
      <c r="Q30" s="33">
        <f>992.902*N12</f>
        <v>26808354</v>
      </c>
      <c r="R30" s="36">
        <f>Q30*E30</f>
        <v>53616708</v>
      </c>
      <c r="S30" s="34">
        <f>Q30*1.17</f>
        <v>31365774.18</v>
      </c>
      <c r="T30" s="34">
        <f>ROUNDUP(S30,-4)</f>
        <v>31370000</v>
      </c>
      <c r="U30" s="91">
        <f>1004.98*U12</f>
        <v>26531472</v>
      </c>
      <c r="V30" s="36">
        <f>U30*E30</f>
        <v>53062944</v>
      </c>
      <c r="W30" s="34">
        <f>S30-U30</f>
        <v>4834302.18</v>
      </c>
      <c r="X30" s="34">
        <f>W30*E30</f>
        <v>9668604.3599999994</v>
      </c>
    </row>
    <row r="31" spans="1:24" s="5" customFormat="1" ht="16.5" customHeight="1" x14ac:dyDescent="0.3">
      <c r="A31" s="127" t="s">
        <v>101</v>
      </c>
      <c r="B31" s="127"/>
      <c r="C31" s="127"/>
      <c r="D31" s="127"/>
      <c r="E31" s="127"/>
      <c r="F31" s="127"/>
      <c r="G31" s="127"/>
      <c r="H31" s="77">
        <f>SUM(H14:H30)</f>
        <v>773550000</v>
      </c>
      <c r="I31" s="84"/>
      <c r="J31" s="24">
        <f>SUM(J14:J30)</f>
        <v>835434000</v>
      </c>
      <c r="K31" s="25"/>
      <c r="L31" s="25"/>
      <c r="M31" s="24">
        <f>SUM(M14:M30)</f>
        <v>61884000</v>
      </c>
      <c r="N31" s="34">
        <f>H31+M31</f>
        <v>835434000</v>
      </c>
      <c r="O31" s="34"/>
      <c r="P31" s="34"/>
      <c r="Q31" s="79"/>
      <c r="R31" s="79">
        <f>SUM(R14:R30)</f>
        <v>663744078</v>
      </c>
      <c r="S31" s="34"/>
      <c r="T31" s="34"/>
      <c r="U31" s="34"/>
      <c r="V31" s="79">
        <f>SUM(V14:V30)</f>
        <v>650115840</v>
      </c>
      <c r="W31" s="34"/>
      <c r="X31" s="34">
        <f>SUM(X14:X30)</f>
        <v>123271178.58239996</v>
      </c>
    </row>
    <row r="32" spans="1:24" ht="13.8" x14ac:dyDescent="0.25">
      <c r="A32" s="57"/>
      <c r="B32" s="58" t="s">
        <v>4</v>
      </c>
      <c r="C32" s="59"/>
      <c r="D32" s="59"/>
      <c r="E32" s="60"/>
      <c r="F32" s="60"/>
      <c r="G32" s="61"/>
      <c r="H32" s="61"/>
      <c r="I32" s="60"/>
      <c r="J32" s="60"/>
      <c r="K32" s="62"/>
      <c r="L32" s="63"/>
      <c r="M32" s="63"/>
      <c r="N32" s="63"/>
      <c r="P32" s="33">
        <f>J31*0.3</f>
        <v>250630200</v>
      </c>
      <c r="R32" s="80">
        <f>1-(R31/H31)</f>
        <v>0.14195064572425831</v>
      </c>
      <c r="T32" s="34"/>
      <c r="U32" s="34"/>
      <c r="V32" s="80">
        <f>1-(V31/H31)</f>
        <v>0.15956843125848363</v>
      </c>
      <c r="X32" s="80">
        <f>X31/V31</f>
        <v>0.18961417488674012</v>
      </c>
    </row>
    <row r="33" spans="1:24" ht="13.8" x14ac:dyDescent="0.25">
      <c r="A33" s="64"/>
      <c r="B33" s="2" t="s">
        <v>114</v>
      </c>
      <c r="E33" s="2"/>
      <c r="F33" s="2"/>
      <c r="G33" s="5"/>
      <c r="H33" s="5"/>
      <c r="I33" s="2"/>
      <c r="J33" s="2"/>
      <c r="K33" s="7"/>
      <c r="L33" s="65"/>
      <c r="M33" s="102">
        <v>776550000</v>
      </c>
      <c r="N33" s="94"/>
      <c r="Q33" s="33">
        <f>M33-3000000</f>
        <v>773550000</v>
      </c>
      <c r="X33" s="135"/>
    </row>
    <row r="34" spans="1:24" ht="31.2" customHeight="1" x14ac:dyDescent="0.25">
      <c r="A34" s="64"/>
      <c r="B34" s="103" t="s">
        <v>115</v>
      </c>
      <c r="C34" s="104"/>
      <c r="D34" s="104"/>
      <c r="E34" s="104"/>
      <c r="F34" s="104"/>
      <c r="G34" s="104"/>
      <c r="H34" s="104"/>
      <c r="I34" s="104"/>
      <c r="J34" s="104"/>
      <c r="K34" s="104"/>
      <c r="L34" s="105"/>
      <c r="M34" s="102">
        <v>838674000</v>
      </c>
      <c r="N34" s="94"/>
      <c r="R34" s="33">
        <f>829244000*0.965</f>
        <v>800220460</v>
      </c>
    </row>
    <row r="35" spans="1:24" ht="14.25" customHeight="1" x14ac:dyDescent="0.25">
      <c r="A35" s="64"/>
      <c r="B35" s="2" t="s">
        <v>66</v>
      </c>
      <c r="E35" s="2"/>
      <c r="F35" s="2"/>
      <c r="G35" s="5"/>
      <c r="H35" s="5"/>
      <c r="I35" s="2"/>
      <c r="J35" s="2"/>
      <c r="K35" s="7"/>
      <c r="L35" s="65"/>
      <c r="M35" s="94">
        <f>J31*0.3</f>
        <v>250630200</v>
      </c>
      <c r="N35" s="65"/>
    </row>
    <row r="36" spans="1:24" ht="14.25" customHeight="1" x14ac:dyDescent="0.25">
      <c r="A36" s="66"/>
      <c r="B36" s="67" t="s">
        <v>117</v>
      </c>
      <c r="C36" s="68"/>
      <c r="D36" s="68"/>
      <c r="E36" s="68"/>
      <c r="F36" s="68"/>
      <c r="G36" s="50"/>
      <c r="H36" s="50"/>
      <c r="I36" s="68"/>
      <c r="J36" s="68"/>
      <c r="K36" s="69"/>
      <c r="L36" s="70"/>
      <c r="M36" s="134">
        <f>J31*0.7</f>
        <v>584803800</v>
      </c>
      <c r="N36" s="71"/>
    </row>
    <row r="37" spans="1:24" ht="14.25" customHeight="1" x14ac:dyDescent="0.25">
      <c r="A37" s="66"/>
      <c r="B37" s="67" t="s">
        <v>116</v>
      </c>
      <c r="C37" s="68"/>
      <c r="D37" s="68"/>
      <c r="E37" s="68"/>
      <c r="F37" s="68"/>
      <c r="G37" s="50"/>
      <c r="H37" s="50"/>
      <c r="I37" s="68"/>
      <c r="J37" s="68"/>
      <c r="K37" s="69"/>
      <c r="L37" s="70"/>
      <c r="M37" s="70"/>
      <c r="N37" s="71"/>
    </row>
    <row r="38" spans="1:24" ht="13.2" customHeight="1" x14ac:dyDescent="0.25">
      <c r="A38" s="66"/>
      <c r="B38" s="81" t="s">
        <v>65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1"/>
      <c r="T38" s="34"/>
    </row>
    <row r="39" spans="1:24" x14ac:dyDescent="0.25">
      <c r="A39" s="72"/>
      <c r="B39" s="73"/>
      <c r="C39" s="73"/>
      <c r="D39" s="50"/>
      <c r="E39" s="50"/>
      <c r="F39" s="50"/>
      <c r="G39" s="50"/>
      <c r="H39" s="50"/>
      <c r="I39" s="50"/>
      <c r="J39" s="50"/>
      <c r="K39" s="50"/>
      <c r="L39" s="51"/>
      <c r="M39" s="51"/>
      <c r="T39" s="34"/>
    </row>
    <row r="40" spans="1:24" ht="13.8" x14ac:dyDescent="0.25">
      <c r="A40" s="72"/>
      <c r="B40" s="16"/>
      <c r="C40" s="16"/>
      <c r="E40" s="2"/>
      <c r="F40" s="5"/>
      <c r="G40" s="2"/>
      <c r="H40" s="2"/>
      <c r="I40" s="2"/>
      <c r="J40" s="7"/>
      <c r="K40" s="65"/>
      <c r="L40" s="65"/>
      <c r="M40" s="65"/>
    </row>
    <row r="41" spans="1:24" ht="13.8" x14ac:dyDescent="0.25">
      <c r="A41" s="72"/>
      <c r="B41" s="16"/>
      <c r="C41" s="16"/>
      <c r="E41" s="2"/>
      <c r="F41" s="5"/>
      <c r="G41" s="2"/>
      <c r="H41" s="2"/>
      <c r="I41" s="2"/>
      <c r="J41" s="7"/>
      <c r="K41" s="65"/>
      <c r="L41" s="65"/>
      <c r="M41" s="65"/>
    </row>
    <row r="42" spans="1:24" ht="13.8" x14ac:dyDescent="0.25">
      <c r="A42" s="72"/>
      <c r="B42" s="16"/>
      <c r="C42" s="16"/>
      <c r="E42" s="2"/>
      <c r="F42" s="5"/>
      <c r="G42" s="2"/>
      <c r="H42" s="2"/>
      <c r="I42" s="2"/>
      <c r="J42" s="7"/>
      <c r="K42" s="65"/>
      <c r="L42" s="65"/>
      <c r="M42" s="65"/>
    </row>
    <row r="43" spans="1:24" ht="13.8" x14ac:dyDescent="0.25">
      <c r="A43" s="29"/>
      <c r="B43" s="55"/>
      <c r="C43" s="16"/>
      <c r="J43" s="11"/>
      <c r="K43" s="13"/>
      <c r="L43" s="13"/>
      <c r="M43" s="13"/>
    </row>
    <row r="44" spans="1:24" ht="13.8" x14ac:dyDescent="0.25">
      <c r="A44" s="9"/>
      <c r="B44" s="76" t="s">
        <v>9</v>
      </c>
      <c r="C44" s="18"/>
      <c r="D44" s="17"/>
      <c r="E44" s="2"/>
      <c r="J44" s="11"/>
    </row>
    <row r="45" spans="1:24" ht="13.8" x14ac:dyDescent="0.25">
      <c r="A45" s="9"/>
      <c r="B45" s="18"/>
      <c r="C45" s="9"/>
      <c r="D45" s="10"/>
      <c r="E45" s="17"/>
      <c r="J45" s="11"/>
      <c r="K45" s="13"/>
      <c r="L45" s="13"/>
      <c r="M45" s="13"/>
    </row>
    <row r="46" spans="1:24" ht="13.8" x14ac:dyDescent="0.25">
      <c r="A46" s="9"/>
      <c r="C46" s="10"/>
      <c r="D46" s="17"/>
      <c r="E46" s="2"/>
      <c r="J46" s="11"/>
    </row>
    <row r="47" spans="1:24" ht="13.8" x14ac:dyDescent="0.25">
      <c r="A47" s="6"/>
      <c r="B47" s="6"/>
      <c r="C47" s="19"/>
      <c r="J47" s="11"/>
      <c r="K47" s="13"/>
      <c r="L47" s="13"/>
      <c r="M47" s="13"/>
    </row>
    <row r="48" spans="1:24" ht="13.8" x14ac:dyDescent="0.25">
      <c r="J48" s="11"/>
      <c r="K48" s="13"/>
      <c r="L48" s="13"/>
      <c r="M48" s="13"/>
    </row>
    <row r="49" spans="4:13" ht="13.8" x14ac:dyDescent="0.25">
      <c r="D49" s="7"/>
      <c r="E49" s="8"/>
      <c r="F49" s="13"/>
      <c r="G49" s="11"/>
      <c r="H49" s="11"/>
      <c r="I49" s="11"/>
      <c r="J49" s="11"/>
      <c r="K49" s="13"/>
      <c r="L49" s="13"/>
      <c r="M49" s="13"/>
    </row>
  </sheetData>
  <mergeCells count="24">
    <mergeCell ref="S12:T12"/>
    <mergeCell ref="B20:B23"/>
    <mergeCell ref="B14:B17"/>
    <mergeCell ref="A31:G31"/>
    <mergeCell ref="L14:L18"/>
    <mergeCell ref="L20:L24"/>
    <mergeCell ref="L26:L30"/>
    <mergeCell ref="B26:B29"/>
    <mergeCell ref="B34:L34"/>
    <mergeCell ref="D1:L3"/>
    <mergeCell ref="B4:L4"/>
    <mergeCell ref="B11:L11"/>
    <mergeCell ref="E5:L5"/>
    <mergeCell ref="A5:D5"/>
    <mergeCell ref="E6:L6"/>
    <mergeCell ref="A6:D6"/>
    <mergeCell ref="E7:L7"/>
    <mergeCell ref="A7:D7"/>
    <mergeCell ref="E8:L8"/>
    <mergeCell ref="A8:D8"/>
    <mergeCell ref="E9:L9"/>
    <mergeCell ref="A9:D9"/>
    <mergeCell ref="E10:L10"/>
    <mergeCell ref="A10:D10"/>
  </mergeCells>
  <phoneticPr fontId="14" type="noConversion"/>
  <printOptions horizontalCentered="1"/>
  <pageMargins left="0.2" right="0.2" top="0.25" bottom="0.1" header="0.3" footer="0.3"/>
  <pageSetup paperSize="9" scale="85" orientation="landscape" r:id="rId1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2A7F4-2073-4A57-B929-9A64FBD9C1B0}">
  <dimension ref="A1:H4"/>
  <sheetViews>
    <sheetView workbookViewId="0">
      <selection activeCell="C4" sqref="C4"/>
    </sheetView>
  </sheetViews>
  <sheetFormatPr defaultRowHeight="14.4" x14ac:dyDescent="0.3"/>
  <cols>
    <col min="1" max="1" width="11.5546875" customWidth="1"/>
    <col min="2" max="2" width="12.5546875" style="30" bestFit="1" customWidth="1"/>
    <col min="3" max="4" width="12.21875" style="30" customWidth="1"/>
    <col min="5" max="7" width="11.109375" style="30" customWidth="1"/>
    <col min="8" max="8" width="10.44140625" style="30" customWidth="1"/>
  </cols>
  <sheetData>
    <row r="1" spans="1:8" x14ac:dyDescent="0.3">
      <c r="B1" s="30" t="s">
        <v>12</v>
      </c>
      <c r="C1" s="129" t="s">
        <v>13</v>
      </c>
      <c r="D1" s="129"/>
      <c r="E1" s="30" t="s">
        <v>14</v>
      </c>
      <c r="F1" s="30" t="s">
        <v>18</v>
      </c>
      <c r="G1" s="30" t="s">
        <v>19</v>
      </c>
      <c r="H1" s="30" t="s">
        <v>15</v>
      </c>
    </row>
    <row r="2" spans="1:8" x14ac:dyDescent="0.3">
      <c r="A2" t="str">
        <f>'Báo Giá'!C20</f>
        <v>JL826A</v>
      </c>
      <c r="B2" s="30">
        <v>650000</v>
      </c>
      <c r="C2" s="30">
        <f>B2*1.15</f>
        <v>747500</v>
      </c>
      <c r="D2" s="30">
        <v>800000</v>
      </c>
      <c r="E2" s="30">
        <f>C2-B2</f>
        <v>97500</v>
      </c>
      <c r="F2" s="30">
        <v>1</v>
      </c>
      <c r="G2" s="30">
        <f>E2*F2</f>
        <v>97500</v>
      </c>
      <c r="H2" s="129" t="s">
        <v>16</v>
      </c>
    </row>
    <row r="3" spans="1:8" x14ac:dyDescent="0.3">
      <c r="A3" t="e">
        <f>'Báo Giá'!#REF!</f>
        <v>#REF!</v>
      </c>
      <c r="B3" s="30">
        <v>400000</v>
      </c>
      <c r="C3" s="30">
        <f>B3*1.15</f>
        <v>459999.99999999994</v>
      </c>
      <c r="D3" s="30">
        <v>500000</v>
      </c>
      <c r="E3" s="30">
        <f t="shared" ref="E3:E4" si="0">C3-B3</f>
        <v>59999.999999999942</v>
      </c>
      <c r="F3" s="30">
        <v>1</v>
      </c>
      <c r="G3" s="30">
        <f t="shared" ref="G3:G4" si="1">E3*F3</f>
        <v>59999.999999999942</v>
      </c>
      <c r="H3" s="129"/>
    </row>
    <row r="4" spans="1:8" x14ac:dyDescent="0.3">
      <c r="A4" t="e">
        <f>'Báo Giá'!#REF!</f>
        <v>#REF!</v>
      </c>
      <c r="B4" s="30">
        <v>2680000</v>
      </c>
      <c r="C4" s="30">
        <f>B4*1.12</f>
        <v>3001600.0000000005</v>
      </c>
      <c r="D4" s="30">
        <v>3000000</v>
      </c>
      <c r="E4" s="30">
        <f t="shared" si="0"/>
        <v>321600.00000000047</v>
      </c>
      <c r="F4" s="30">
        <v>2</v>
      </c>
      <c r="G4" s="30">
        <f t="shared" si="1"/>
        <v>643200.00000000093</v>
      </c>
      <c r="H4" s="30" t="s">
        <v>17</v>
      </c>
    </row>
  </sheetData>
  <mergeCells count="2">
    <mergeCell ref="H2:H3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CAB1-FF21-495E-A4C5-7BB65CE4A8C1}">
  <dimension ref="B3:K14"/>
  <sheetViews>
    <sheetView workbookViewId="0">
      <selection activeCell="I14" sqref="I14"/>
    </sheetView>
  </sheetViews>
  <sheetFormatPr defaultRowHeight="14.4" x14ac:dyDescent="0.3"/>
  <cols>
    <col min="3" max="3" width="44.6640625" customWidth="1"/>
  </cols>
  <sheetData>
    <row r="3" spans="2:11" ht="15" thickBot="1" x14ac:dyDescent="0.35"/>
    <row r="4" spans="2:11" x14ac:dyDescent="0.3">
      <c r="B4" s="130" t="s">
        <v>22</v>
      </c>
      <c r="C4" s="132" t="s">
        <v>23</v>
      </c>
      <c r="D4" s="132" t="s">
        <v>24</v>
      </c>
      <c r="E4" s="40" t="s">
        <v>25</v>
      </c>
      <c r="F4" s="40" t="s">
        <v>27</v>
      </c>
      <c r="G4" s="132" t="s">
        <v>1</v>
      </c>
      <c r="H4" s="132" t="s">
        <v>29</v>
      </c>
      <c r="I4" s="130" t="s">
        <v>30</v>
      </c>
      <c r="J4" s="130" t="s">
        <v>31</v>
      </c>
      <c r="K4" s="40" t="s">
        <v>32</v>
      </c>
    </row>
    <row r="5" spans="2:11" ht="15" thickBot="1" x14ac:dyDescent="0.35">
      <c r="B5" s="131"/>
      <c r="C5" s="133"/>
      <c r="D5" s="133"/>
      <c r="E5" s="41" t="s">
        <v>26</v>
      </c>
      <c r="F5" s="41" t="s">
        <v>28</v>
      </c>
      <c r="G5" s="133"/>
      <c r="H5" s="133"/>
      <c r="I5" s="131"/>
      <c r="J5" s="131"/>
      <c r="K5" s="41" t="s">
        <v>33</v>
      </c>
    </row>
    <row r="6" spans="2:11" ht="22.8" x14ac:dyDescent="0.3">
      <c r="B6" s="42">
        <v>1</v>
      </c>
      <c r="C6" s="43" t="s">
        <v>34</v>
      </c>
      <c r="D6" s="44" t="s">
        <v>21</v>
      </c>
      <c r="E6" s="44" t="s">
        <v>35</v>
      </c>
      <c r="F6" s="44" t="s">
        <v>36</v>
      </c>
      <c r="G6" s="44" t="s">
        <v>37</v>
      </c>
      <c r="H6" s="42" t="s">
        <v>38</v>
      </c>
      <c r="I6" s="42">
        <v>2500000</v>
      </c>
      <c r="J6" s="42" t="s">
        <v>39</v>
      </c>
      <c r="K6" s="45">
        <v>0.08</v>
      </c>
    </row>
    <row r="7" spans="2:11" ht="22.8" x14ac:dyDescent="0.3">
      <c r="B7" s="46">
        <v>2</v>
      </c>
      <c r="C7" s="47" t="s">
        <v>40</v>
      </c>
      <c r="D7" s="48" t="s">
        <v>21</v>
      </c>
      <c r="E7" s="48" t="s">
        <v>35</v>
      </c>
      <c r="F7" s="48" t="s">
        <v>41</v>
      </c>
      <c r="G7" s="48" t="s">
        <v>37</v>
      </c>
      <c r="H7" s="46" t="s">
        <v>38</v>
      </c>
      <c r="I7" s="46">
        <v>9500000</v>
      </c>
      <c r="J7" s="46" t="s">
        <v>42</v>
      </c>
      <c r="K7" s="49">
        <v>0.08</v>
      </c>
    </row>
    <row r="8" spans="2:11" ht="22.8" x14ac:dyDescent="0.3">
      <c r="B8" s="42">
        <v>3</v>
      </c>
      <c r="C8" s="43" t="s">
        <v>43</v>
      </c>
      <c r="D8" s="44" t="s">
        <v>21</v>
      </c>
      <c r="E8" s="44" t="s">
        <v>44</v>
      </c>
      <c r="F8" s="44" t="s">
        <v>36</v>
      </c>
      <c r="G8" s="44" t="s">
        <v>37</v>
      </c>
      <c r="H8" s="42" t="s">
        <v>45</v>
      </c>
      <c r="I8" s="42">
        <v>850000</v>
      </c>
      <c r="J8" s="42" t="s">
        <v>46</v>
      </c>
      <c r="K8" s="45">
        <v>0.08</v>
      </c>
    </row>
    <row r="9" spans="2:11" x14ac:dyDescent="0.3">
      <c r="B9" s="46">
        <v>4</v>
      </c>
      <c r="C9" s="47" t="s">
        <v>47</v>
      </c>
      <c r="D9" s="48" t="s">
        <v>48</v>
      </c>
      <c r="E9" s="48" t="s">
        <v>44</v>
      </c>
      <c r="F9" s="48" t="s">
        <v>36</v>
      </c>
      <c r="G9" s="48" t="s">
        <v>37</v>
      </c>
      <c r="H9" s="46" t="s">
        <v>45</v>
      </c>
      <c r="I9" s="46">
        <v>2000000</v>
      </c>
      <c r="J9" s="46" t="s">
        <v>49</v>
      </c>
      <c r="K9" s="49">
        <v>0.08</v>
      </c>
    </row>
    <row r="10" spans="2:11" x14ac:dyDescent="0.3">
      <c r="B10" s="42">
        <v>5</v>
      </c>
      <c r="C10" s="43" t="s">
        <v>50</v>
      </c>
      <c r="D10" s="44" t="s">
        <v>48</v>
      </c>
      <c r="E10" s="44" t="s">
        <v>44</v>
      </c>
      <c r="F10" s="44" t="s">
        <v>36</v>
      </c>
      <c r="G10" s="44" t="s">
        <v>37</v>
      </c>
      <c r="H10" s="42" t="s">
        <v>45</v>
      </c>
      <c r="I10" s="42">
        <v>80000</v>
      </c>
      <c r="J10" s="42">
        <v>320</v>
      </c>
      <c r="K10" s="45">
        <v>0.08</v>
      </c>
    </row>
    <row r="11" spans="2:11" x14ac:dyDescent="0.3">
      <c r="B11" s="46">
        <v>6</v>
      </c>
      <c r="C11" s="47" t="s">
        <v>51</v>
      </c>
      <c r="D11" s="48" t="s">
        <v>48</v>
      </c>
      <c r="E11" s="48" t="s">
        <v>44</v>
      </c>
      <c r="F11" s="48" t="s">
        <v>36</v>
      </c>
      <c r="G11" s="48" t="s">
        <v>37</v>
      </c>
      <c r="H11" s="46" t="s">
        <v>45</v>
      </c>
      <c r="I11" s="46">
        <v>30000</v>
      </c>
      <c r="J11" s="46">
        <v>120</v>
      </c>
      <c r="K11" s="49">
        <v>0.08</v>
      </c>
    </row>
    <row r="12" spans="2:11" ht="22.8" x14ac:dyDescent="0.3">
      <c r="B12" s="42">
        <v>7</v>
      </c>
      <c r="C12" s="43" t="s">
        <v>52</v>
      </c>
      <c r="D12" s="44" t="s">
        <v>48</v>
      </c>
      <c r="E12" s="44" t="s">
        <v>44</v>
      </c>
      <c r="F12" s="44" t="s">
        <v>36</v>
      </c>
      <c r="G12" s="44" t="s">
        <v>37</v>
      </c>
      <c r="H12" s="42" t="s">
        <v>45</v>
      </c>
      <c r="I12" s="42">
        <v>350000</v>
      </c>
      <c r="J12" s="42" t="s">
        <v>53</v>
      </c>
      <c r="K12" s="45">
        <v>0.08</v>
      </c>
    </row>
    <row r="13" spans="2:11" x14ac:dyDescent="0.3">
      <c r="B13" s="46">
        <v>8</v>
      </c>
      <c r="C13" s="47" t="s">
        <v>54</v>
      </c>
      <c r="D13" s="48" t="s">
        <v>48</v>
      </c>
      <c r="E13" s="48" t="s">
        <v>44</v>
      </c>
      <c r="F13" s="48" t="s">
        <v>36</v>
      </c>
      <c r="G13" s="48" t="s">
        <v>55</v>
      </c>
      <c r="H13" s="46" t="s">
        <v>56</v>
      </c>
      <c r="I13" s="46">
        <v>65000</v>
      </c>
      <c r="J13" s="46">
        <v>910</v>
      </c>
      <c r="K13" s="49">
        <v>0.1</v>
      </c>
    </row>
    <row r="14" spans="2:11" ht="22.8" x14ac:dyDescent="0.3">
      <c r="B14" s="42">
        <v>9</v>
      </c>
      <c r="C14" s="43" t="s">
        <v>57</v>
      </c>
      <c r="D14" s="44" t="s">
        <v>48</v>
      </c>
      <c r="E14" s="44" t="s">
        <v>44</v>
      </c>
      <c r="F14" s="44" t="s">
        <v>36</v>
      </c>
      <c r="G14" s="44" t="s">
        <v>58</v>
      </c>
      <c r="H14" s="42" t="s">
        <v>59</v>
      </c>
      <c r="I14" s="42">
        <v>11000</v>
      </c>
      <c r="J14" s="42" t="s">
        <v>60</v>
      </c>
      <c r="K14" s="45">
        <v>0.1</v>
      </c>
    </row>
  </sheetData>
  <mergeCells count="7">
    <mergeCell ref="J4:J5"/>
    <mergeCell ref="B4:B5"/>
    <mergeCell ref="C4:C5"/>
    <mergeCell ref="D4:D5"/>
    <mergeCell ref="G4:G5"/>
    <mergeCell ref="H4:H5"/>
    <mergeCell ref="I4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1</vt:i4>
      </vt:variant>
    </vt:vector>
  </HeadingPairs>
  <TitlesOfParts>
    <vt:vector size="4" baseType="lpstr">
      <vt:lpstr>Báo Giá</vt:lpstr>
      <vt:lpstr>Trang_tính1</vt:lpstr>
      <vt:lpstr>Trang_tính2</vt:lpstr>
      <vt:lpstr>'Báo Giá'!Vùng_In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Việt Nguyễn</cp:lastModifiedBy>
  <cp:lastPrinted>2026-01-07T02:57:54Z</cp:lastPrinted>
  <dcterms:created xsi:type="dcterms:W3CDTF">2022-12-12T03:18:33Z</dcterms:created>
  <dcterms:modified xsi:type="dcterms:W3CDTF">2026-01-08T11:29:32Z</dcterms:modified>
</cp:coreProperties>
</file>