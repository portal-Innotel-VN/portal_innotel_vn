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\OneDrive\000WORK\Alphanam\2022\SRV&amp;Workstation\Lic\"/>
    </mc:Choice>
  </mc:AlternateContent>
  <bookViews>
    <workbookView xWindow="-120" yWindow="-120" windowWidth="29040" windowHeight="15840" firstSheet="1" activeTab="1"/>
  </bookViews>
  <sheets>
    <sheet name="OP1" sheetId="1" state="hidden" r:id="rId1"/>
    <sheet name="BOQ" sheetId="2" r:id="rId2"/>
  </sheets>
  <definedNames>
    <definedName name="_xlnm.Print_Area" localSheetId="1">BOQ!$A$1:$H$85</definedName>
    <definedName name="_xlnm.Print_Area" localSheetId="0">'OP1'!$A$1:$J$111</definedName>
    <definedName name="_xlnm.Print_Titles" localSheetId="1">BOQ!$1:$1</definedName>
    <definedName name="_xlnm.Print_Titles" localSheetId="0">'OP1'!$1:$4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88" i="1" l="1"/>
  <c r="F46" i="1"/>
  <c r="F47" i="1"/>
  <c r="F72" i="1"/>
  <c r="F71" i="1"/>
  <c r="F51" i="1"/>
  <c r="F50" i="1"/>
  <c r="F49" i="1"/>
  <c r="F45" i="1"/>
  <c r="F44" i="1"/>
  <c r="F43" i="1"/>
  <c r="F42" i="1"/>
  <c r="F74" i="1"/>
  <c r="F83" i="1" l="1"/>
  <c r="F75" i="1"/>
  <c r="F52" i="1"/>
  <c r="F16" i="1"/>
  <c r="F17" i="1" l="1"/>
  <c r="F100" i="1" s="1"/>
  <c r="F101" i="1" s="1"/>
  <c r="F102" i="1" l="1"/>
</calcChain>
</file>

<file path=xl/sharedStrings.xml><?xml version="1.0" encoding="utf-8"?>
<sst xmlns="http://schemas.openxmlformats.org/spreadsheetml/2006/main" count="402" uniqueCount="186">
  <si>
    <r>
      <t xml:space="preserve">THUAN PHONG INNOVATIVE TELECOMMUNICATION CO., LTD.
</t>
    </r>
    <r>
      <rPr>
        <sz val="10"/>
        <rFont val="Arial"/>
        <family val="2"/>
      </rPr>
      <t>Website: http://www.innotel.com.vn            Email: sales@innotel.com.vn
Tel: (84 8) 38621119.                      Fax: (84 8) 38630366.
Duy Tan Plaza, Suite 92, 3/2 Street, Dist 10., HCMC, Vietnam</t>
    </r>
  </si>
  <si>
    <t>BẢNG CHÀO GIÁ</t>
  </si>
  <si>
    <t>Kính gửi:</t>
  </si>
  <si>
    <t>Alphanam</t>
  </si>
  <si>
    <t>Người nhận:</t>
  </si>
  <si>
    <t>Mr Thao</t>
  </si>
  <si>
    <t>TEL:</t>
  </si>
  <si>
    <t>FAX NUMBER:</t>
  </si>
  <si>
    <t>MOB:</t>
  </si>
  <si>
    <t>Người gửi:</t>
  </si>
  <si>
    <t>Hùynh Trọng Hiếu</t>
  </si>
  <si>
    <t>Ngày :</t>
  </si>
  <si>
    <t>Page:</t>
  </si>
  <si>
    <t>Chủ đề</t>
  </si>
  <si>
    <t>DỰ ÁN MARIOT ĐÀ NẴNG 2022</t>
  </si>
  <si>
    <t>Qno:</t>
  </si>
  <si>
    <t>Q03Y22</t>
  </si>
  <si>
    <t>No</t>
  </si>
  <si>
    <t>Tên Thiết bị.</t>
  </si>
  <si>
    <t>Mô tả thiết bị</t>
  </si>
  <si>
    <t>SL</t>
  </si>
  <si>
    <t>Đơn giá
(vnđ)</t>
  </si>
  <si>
    <t>Thành tiền
(vnđ)</t>
  </si>
  <si>
    <t>Nhãn hiệu</t>
  </si>
  <si>
    <t>Xuất xứ</t>
  </si>
  <si>
    <t>Bảo hành</t>
  </si>
  <si>
    <t>Thời gian đặt hàng</t>
  </si>
  <si>
    <t>Server OPO - Basic Medium</t>
  </si>
  <si>
    <t>HPE</t>
  </si>
  <si>
    <t>Asia</t>
  </si>
  <si>
    <t>5 năm</t>
  </si>
  <si>
    <t>12-14 tuần</t>
  </si>
  <si>
    <t>P05172-B21</t>
  </si>
  <si>
    <t>HPE ProLiant DL380 Gen10 Plus 8SFF NC Configure-to-order Server</t>
  </si>
  <si>
    <t>P36921-B21</t>
  </si>
  <si>
    <t>Intel Xeon-Silver 4310 2.1GHz 12-core 120W Processor for HPE</t>
  </si>
  <si>
    <t>P06033-B21</t>
  </si>
  <si>
    <t>HPE 32GB (1x32GB) Dual Rank x4 DDR4-3200 CAS-22-22-22 Registered Smart Memory Kit</t>
  </si>
  <si>
    <t>P27194-B21</t>
  </si>
  <si>
    <t>HPE ProLiant DL300 Gen10 Plus 2U 8SFF x1 Tri-Mode 24G U.3 BC Front Drive Cage Kit</t>
  </si>
  <si>
    <t>P28352-B21</t>
  </si>
  <si>
    <t>HPE 2.4TB SAS 12G Mission Critical 10K SFF BC 3-year Warranty 512e Multi Vendor HDD</t>
  </si>
  <si>
    <t>P40430-B21</t>
  </si>
  <si>
    <t>HPE 300GB SAS 12G Mission Critical 10K SFF BC 3-year Warranty Multi Vendor HDD</t>
  </si>
  <si>
    <t>P37038-B21</t>
  </si>
  <si>
    <t>HPE ProLiant DL380 Gen10 Plus x8/x16/x8 Primary FIO Riser Kit</t>
  </si>
  <si>
    <t>P51178-B21</t>
  </si>
  <si>
    <t>Broadcom BCM5719 Ethernet 1Gb 4-port BASE-T Adapter for HPE</t>
  </si>
  <si>
    <t>P02377-B21</t>
  </si>
  <si>
    <t>HPE Smart Storage Hybrid Capacitor with 145mm Cable Kit</t>
  </si>
  <si>
    <t>P26279-B21</t>
  </si>
  <si>
    <t>Broadcom MegaRAID MR416i-a x16 Lanes 4GB Cache NVMe/SAS 12G Controller for HPE Gen10 Plus</t>
  </si>
  <si>
    <t>P51181-B21</t>
  </si>
  <si>
    <t>Broadcom BCM5719 Ethernet 1Gb 4-port BASE-T OCP3 Adapter for HPE</t>
  </si>
  <si>
    <t>P14608-B21</t>
  </si>
  <si>
    <t>HPE DL38X Gen10 Plus Maximum Performance Fan Kit</t>
  </si>
  <si>
    <t>P38995-B21</t>
  </si>
  <si>
    <t>HPE 800W Flex Slot Platinum Hot Plug Low Halogen Power Supply Kit</t>
  </si>
  <si>
    <t>P55467-B21</t>
  </si>
  <si>
    <t>HPE ProLiant DL38x 8SFF SAS/SATA Tri-Mode Cable Kit</t>
  </si>
  <si>
    <t>867809-B21</t>
  </si>
  <si>
    <t>HPE Gen10 2U Bezel Kit</t>
  </si>
  <si>
    <t>P13771-B21</t>
  </si>
  <si>
    <t>HPE Trusted Platform Module 2.0 Gen10 Plus Black Rivets Kit</t>
  </si>
  <si>
    <t>P14604-B21</t>
  </si>
  <si>
    <t>HPE Gen10 Plus Chassis Intrusion Detection Kit</t>
  </si>
  <si>
    <t>P22018-B21</t>
  </si>
  <si>
    <t>HPE DL38X Gen10 Plus 2U SFF Easy Install Rail Kit</t>
  </si>
  <si>
    <t>P37034-B21</t>
  </si>
  <si>
    <t>HPE ProLiant DL380 Gen10 Plus Standard Heat Sink Kit</t>
  </si>
  <si>
    <t>P07818-B21</t>
  </si>
  <si>
    <t>HPE DDR4 DIMM Blank Kit</t>
  </si>
  <si>
    <t>P22020-B21</t>
  </si>
  <si>
    <t>HPE DL38X Gen10 Plus 2U Cable Management Arm for Rail Kit</t>
  </si>
  <si>
    <t>E6U64ABE</t>
  </si>
  <si>
    <t>HPE iLO Advanced Electronic License with 3yr Support on iLO Licensed Features</t>
  </si>
  <si>
    <t>HU4A6A5</t>
  </si>
  <si>
    <t>HPE 5Y Tech Care Essential Service</t>
  </si>
  <si>
    <t>HU4A6A5     R2M</t>
  </si>
  <si>
    <t>HPE iLO Advanced Non Blade Support</t>
  </si>
  <si>
    <t>HU4A6A5     ZSB</t>
  </si>
  <si>
    <t>HPE Proliant DL380 Gen10+ Support</t>
  </si>
  <si>
    <t>Software</t>
  </si>
  <si>
    <t>Windows Server</t>
  </si>
  <si>
    <t>Windows Server 2022 Standard - 2 Core License Pack</t>
  </si>
  <si>
    <t>Windows Server 2022 - 1 User CAL</t>
  </si>
  <si>
    <t>FILE &amp; PRINT RELATED</t>
  </si>
  <si>
    <t>Undelete Server Edition Software Subscription</t>
  </si>
  <si>
    <t>VMware ESXI Version</t>
  </si>
  <si>
    <t>VS8-ESSL-KIT-C</t>
  </si>
  <si>
    <t>VMware vSphere 8 Essentials Kit for 3 hosts (Max 2 processors per host)</t>
  </si>
  <si>
    <t>VS8-ESSL-3SUB-C</t>
  </si>
  <si>
    <r>
      <t xml:space="preserve">Subscription only for VMware vSphere 8 Essentials Kit for </t>
    </r>
    <r>
      <rPr>
        <sz val="10"/>
        <color rgb="FFFF0000"/>
        <rFont val="Times New Roman"/>
        <family val="1"/>
      </rPr>
      <t>3 years</t>
    </r>
  </si>
  <si>
    <t>VS8-ESSL-3PAK-C</t>
  </si>
  <si>
    <t>VMware vSphere 8 Essentials Per Incident Support - Email + Phone, 3 incident/year</t>
  </si>
  <si>
    <t>Server Physical Backup</t>
  </si>
  <si>
    <t xml:space="preserve"> Asia </t>
  </si>
  <si>
    <t>P44725-B21</t>
  </si>
  <si>
    <t>HPE ProLiant ML30 Gen10 Plus 8SFF Hot Plug Configure-to-order Server</t>
  </si>
  <si>
    <t>P45252-B21</t>
  </si>
  <si>
    <t>Intel Xeon E-2334 3.4GHz 4-core 65W FIO Processor for HPE</t>
  </si>
  <si>
    <t>P43019-B21</t>
  </si>
  <si>
    <t>HPE 16GB (1x16GB) Single Rank x8 DDR4-3200 CAS-22-22-22 Unbuffered Standard Memory Kit</t>
  </si>
  <si>
    <t>726537-B21</t>
  </si>
  <si>
    <t>HPE 9.5mm SATA DVD-RW Optical Drive</t>
  </si>
  <si>
    <t>830824-B21</t>
  </si>
  <si>
    <t>HPE Smart Array P408i-p SR Gen10 (8 Internal Lanes/2GB Cache) 12G SAS PCIe Plug-in Controller</t>
  </si>
  <si>
    <t>786710-B21</t>
  </si>
  <si>
    <t>HPE ML150 Gen9 Smart Storage Battery Holder Kit</t>
  </si>
  <si>
    <t>P01366-B21</t>
  </si>
  <si>
    <t>HPE 96W Smart Storage Lithium-ion Battery with 145mm Cable Kit</t>
  </si>
  <si>
    <t>865408-B21</t>
  </si>
  <si>
    <t>HPE 500W Flex Slot Platinum Hot Plug Low Halogen Power Supply Kit</t>
  </si>
  <si>
    <t>P06307-B21</t>
  </si>
  <si>
    <t>HPE ML30 Gen10 Mini SAS Cable Kit</t>
  </si>
  <si>
    <t>P45209-B21</t>
  </si>
  <si>
    <t>HPE ProLiant ML30 Gen10 Plus 4U RPS Enablement Kit</t>
  </si>
  <si>
    <t>P06303-B21</t>
  </si>
  <si>
    <t>HPE ML30 Gen10 Front PCI Fan and Baffle Kit</t>
  </si>
  <si>
    <t>P06309-B21</t>
  </si>
  <si>
    <t>HPE ML30 Gen10 Slimline Optical Disk Drive Enablement Kit</t>
  </si>
  <si>
    <t>HU4A6A5     ZNB</t>
  </si>
  <si>
    <t>HPE ML30 Gen10 Plus Support</t>
  </si>
  <si>
    <t>Veeam Backup</t>
  </si>
  <si>
    <t>V-VBRVUL-0I-SU5YP-00</t>
  </si>
  <si>
    <r>
      <t xml:space="preserve">Veeam Backup &amp; Replication Universal Subscription License. Includes Enterprise Plus Edition features. 10 instance pack. 5 Years Subscription Upfront Billing &amp; Production (24/7) Support.
</t>
    </r>
    <r>
      <rPr>
        <i/>
        <sz val="10"/>
        <rFont val="Arial"/>
        <family val="2"/>
      </rPr>
      <t>* Subscription Universal license, sold by packs of 10. Includes VM, Server or Workstation Agents (for Windows, Linux and Oracle Solaris), Cloud VM or App Plug-In SAP/Oracle and NAS. Cannot be merged with Perpetual Universal license. For centralized management, all VULs must be Subscription.
* 10 Instances
* Subscription Upfront Billing</t>
    </r>
  </si>
  <si>
    <t>BACKUP DEVICE Option #1 - 15TB compressed</t>
  </si>
  <si>
    <t>BB874A</t>
  </si>
  <si>
    <t>HPE StoreEver LTO-7 Ultrium 15000 External Tape Drive</t>
  </si>
  <si>
    <t>804398-B21</t>
  </si>
  <si>
    <t>HPE Smart Array E208e-p SR Gen10 (8 External Lanes/No Cache) 12G SAS PCIe Plug-in Controller</t>
  </si>
  <si>
    <t>716191-B21</t>
  </si>
  <si>
    <t>HPE 2.0m External Mini SAS High Density to Mini SAS Cable</t>
  </si>
  <si>
    <t>C7977AN</t>
  </si>
  <si>
    <t>HPE LTO-7 Ultrium Non Custom Labeled Data Cartridge 20 Pack</t>
  </si>
  <si>
    <t>C7978A</t>
  </si>
  <si>
    <t>HPE Ultrium Universal Cleaning Cartridge</t>
  </si>
  <si>
    <t>HU4A6A5     SQD</t>
  </si>
  <si>
    <t>HPE LTO-7 External Tape Drive Support</t>
  </si>
  <si>
    <t>KEYBOARD &amp; MONITOR; KVM CONSOLE SWITCH</t>
  </si>
  <si>
    <t xml:space="preserve"> HPE </t>
  </si>
  <si>
    <t xml:space="preserve">  Asia  </t>
  </si>
  <si>
    <t>3 năm</t>
  </si>
  <si>
    <t>AF644A</t>
  </si>
  <si>
    <t>HPE LCD8500 1U INTL Rackmount Console Kit</t>
  </si>
  <si>
    <t>AF651A</t>
  </si>
  <si>
    <t>HPE 0x1x8 G3 KVM Console Switch</t>
  </si>
  <si>
    <t>263474-B22</t>
  </si>
  <si>
    <t>HPE 6ft Qty 8 KVM CAT5 Cable</t>
  </si>
  <si>
    <t>AF628A</t>
  </si>
  <si>
    <t>HPE KVM Console USB Interface Adapter</t>
  </si>
  <si>
    <t>SERVER BMS (Bổ sung)</t>
  </si>
  <si>
    <t>P44111-B21</t>
  </si>
  <si>
    <t>HPE ProLiant DL20 Gen10 Plus 4SFF Configure-to-order Server</t>
  </si>
  <si>
    <t>P40498-B21</t>
  </si>
  <si>
    <t>HPE 960GB SATA 6G Read Intensive SFF BC Multi Vendor SSD</t>
  </si>
  <si>
    <t>BD505A</t>
  </si>
  <si>
    <t>HPE iLO Advanced 1-server License with 3yr Support on iLO Licensed Features</t>
  </si>
  <si>
    <t>P45948-B21</t>
  </si>
  <si>
    <t>HPE ProLiant DL20 Gen10 Plus RPS FIO Enablement Kit</t>
  </si>
  <si>
    <t>HU4B2A3</t>
  </si>
  <si>
    <t>HPE 3Y Tech Care Basic Service</t>
  </si>
  <si>
    <t>HU4B2A3     ZX1</t>
  </si>
  <si>
    <t>HPE DL20 Gen10 Plus Support</t>
  </si>
  <si>
    <t>P46005-B21</t>
  </si>
  <si>
    <t>Microsoft Windows Server 2022 16-core Standard FIO Not Pre-installed en/fr/it/de/es/nl/pt SW</t>
  </si>
  <si>
    <t xml:space="preserve">Cộng </t>
  </si>
  <si>
    <t>VAT 10%(phần mềm không VAT)</t>
  </si>
  <si>
    <t>TỔNG CỘNG BAO GỒM THUẾ 10%:</t>
  </si>
  <si>
    <t>CÁC ĐIỀU KHOẢN THƯƠNG MẠI</t>
  </si>
  <si>
    <t>1. Giao hàng tại dự án khách hàng tại Đà Nẵng</t>
  </si>
  <si>
    <t>2. Thời gian giao hàng  theo báo giá</t>
  </si>
  <si>
    <t>3. Thanh toán: thương thảo.</t>
  </si>
  <si>
    <t>4. Thanh toán bằng chuyển khoản.</t>
  </si>
  <si>
    <t>5. Chú ý,báo giá chỉ có giá trị 14 ngày.</t>
  </si>
  <si>
    <t>Beyond Compare 4 Multi Platform, Pro Edition, per user</t>
  </si>
  <si>
    <t>Undelete 1Y Subscription
Hàng đặt online nên không có part number</t>
  </si>
  <si>
    <t>SCOOTER SOFTWARE
Hàng đặt online nên không có part number</t>
  </si>
  <si>
    <t>Số lượng</t>
  </si>
  <si>
    <t>STT</t>
  </si>
  <si>
    <t>Tên thiết bị</t>
  </si>
  <si>
    <t>Thời gian bảo hành</t>
  </si>
  <si>
    <t>Ghi chú</t>
  </si>
  <si>
    <t>Miễn thuế</t>
  </si>
  <si>
    <t>Subscription only for VMware vSphere 8 Essentials Kit for 3 years</t>
  </si>
  <si>
    <r>
      <t xml:space="preserve">Veeam Backup &amp; Replication Universal Subscription License. Includes Enterprise Plus Edition features. 10 instance pack. 5 Years Subscription Upfront Billing &amp; Production (24/7) Support.
</t>
    </r>
    <r>
      <rPr>
        <i/>
        <sz val="13"/>
        <rFont val="Times New Roman"/>
        <family val="1"/>
      </rPr>
      <t>* Subscription Universal license, sold by packs of 10. Includes VM, Server or Workstation Agents (for Windows, Linux and Oracle Solaris), Cloud VM or App Plug-In SAP/Oracle and NAS. Cannot be merged with Perpetual Universal license. For centralized management, all VULs must be Subscription.
* 10 Instances
* Subscription Upfront Billing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</si>
</sst>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.00_);_(* \(#,##0.00\);_(* \-??_);_(@_)"/>
    <numFmt numFmtId="166" formatCode="_(\$* #,##0.00_);_(\$* \(#,##0.00\);_(\$* \-??_);_(@_)"/>
    <numFmt numFmtId="167" formatCode="_-* #,##0_-;\-* #,##0_-;_-* &quot;-&quot;??_-;_-@_-"/>
  </numFmts>
  <fonts count="19">
    <font>
      <sz val="10"/>
      <name val="Arial"/>
    </font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Helv"/>
      <family val="2"/>
    </font>
    <font>
      <sz val="11"/>
      <name val="ＭＳ Ｐゴシック"/>
      <family val="3"/>
      <charset val="128"/>
    </font>
    <font>
      <sz val="12"/>
      <name val="新細明體"/>
      <family val="1"/>
      <charset val="136"/>
    </font>
    <font>
      <b/>
      <sz val="10"/>
      <color rgb="FFFF0000"/>
      <name val="Arial"/>
      <family val="2"/>
    </font>
    <font>
      <sz val="10"/>
      <color rgb="FFFF0000"/>
      <name val="Times New Roman"/>
      <family val="1"/>
    </font>
    <font>
      <i/>
      <sz val="10"/>
      <name val="Arial"/>
      <family val="2"/>
    </font>
    <font>
      <b/>
      <sz val="13"/>
      <name val="Times New Roman"/>
      <family val="1"/>
    </font>
    <font>
      <sz val="13"/>
      <name val="Times New Roman"/>
      <family val="1"/>
    </font>
    <font>
      <i/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/>
      <bottom style="double">
        <color indexed="64"/>
      </bottom>
      <diagonal/>
    </border>
    <border>
      <left style="thin">
        <color indexed="9"/>
      </left>
      <right style="thin">
        <color indexed="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</borders>
  <cellStyleXfs count="32">
    <xf numFmtId="0" fontId="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44" fontId="8" fillId="0" borderId="0" applyFont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0" fontId="10" fillId="0" borderId="0"/>
    <xf numFmtId="0" fontId="10" fillId="0" borderId="0"/>
    <xf numFmtId="0" fontId="12" fillId="0" borderId="0" applyNumberFormat="0" applyFont="0" applyFill="0" applyBorder="0" applyProtection="0"/>
    <xf numFmtId="0" fontId="11" fillId="0" borderId="0">
      <alignment vertical="center"/>
    </xf>
  </cellStyleXfs>
  <cellXfs count="11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/>
    <xf numFmtId="0" fontId="2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 wrapText="1"/>
    </xf>
    <xf numFmtId="0" fontId="4" fillId="0" borderId="1" xfId="0" applyFont="1" applyBorder="1"/>
    <xf numFmtId="0" fontId="5" fillId="0" borderId="4" xfId="0" applyFont="1" applyBorder="1"/>
    <xf numFmtId="0" fontId="4" fillId="0" borderId="4" xfId="0" applyFont="1" applyBorder="1"/>
    <xf numFmtId="0" fontId="3" fillId="0" borderId="1" xfId="0" applyFont="1" applyBorder="1"/>
    <xf numFmtId="0" fontId="3" fillId="2" borderId="3" xfId="0" applyFont="1" applyFill="1" applyBorder="1" applyAlignment="1">
      <alignment horizontal="center" vertical="center" wrapText="1"/>
    </xf>
    <xf numFmtId="164" fontId="7" fillId="0" borderId="3" xfId="6" applyNumberFormat="1" applyFont="1" applyFill="1" applyBorder="1" applyAlignment="1">
      <alignment vertical="center"/>
    </xf>
    <xf numFmtId="0" fontId="7" fillId="0" borderId="1" xfId="0" applyFont="1" applyBorder="1"/>
    <xf numFmtId="0" fontId="7" fillId="0" borderId="2" xfId="0" applyFont="1" applyBorder="1"/>
    <xf numFmtId="0" fontId="7" fillId="0" borderId="5" xfId="0" applyFont="1" applyBorder="1"/>
    <xf numFmtId="0" fontId="7" fillId="0" borderId="3" xfId="0" applyFont="1" applyBorder="1"/>
    <xf numFmtId="0" fontId="7" fillId="0" borderId="6" xfId="0" applyFont="1" applyBorder="1"/>
    <xf numFmtId="0" fontId="7" fillId="0" borderId="4" xfId="0" applyFont="1" applyBorder="1"/>
    <xf numFmtId="0" fontId="3" fillId="0" borderId="4" xfId="0" applyFont="1" applyBorder="1"/>
    <xf numFmtId="0" fontId="7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164" fontId="13" fillId="0" borderId="3" xfId="6" applyNumberFormat="1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64" fontId="13" fillId="0" borderId="0" xfId="6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8" xfId="6" applyNumberFormat="1" applyFont="1" applyFill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64" fontId="13" fillId="0" borderId="0" xfId="6" applyNumberFormat="1" applyFont="1" applyFill="1" applyBorder="1" applyAlignment="1">
      <alignment vertical="center"/>
    </xf>
    <xf numFmtId="0" fontId="4" fillId="0" borderId="3" xfId="0" applyFont="1" applyBorder="1" applyAlignment="1">
      <alignment horizontal="left" vertical="center" wrapText="1"/>
    </xf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167" fontId="2" fillId="0" borderId="8" xfId="6" applyNumberFormat="1" applyFont="1" applyFill="1" applyBorder="1" applyAlignment="1">
      <alignment vertical="center"/>
    </xf>
    <xf numFmtId="167" fontId="7" fillId="0" borderId="3" xfId="6" applyNumberFormat="1" applyFont="1" applyFill="1" applyBorder="1" applyAlignment="1">
      <alignment vertical="center"/>
    </xf>
    <xf numFmtId="0" fontId="4" fillId="0" borderId="11" xfId="0" applyFont="1" applyBorder="1" applyAlignment="1">
      <alignment horizontal="left" wrapText="1"/>
    </xf>
    <xf numFmtId="0" fontId="6" fillId="0" borderId="11" xfId="0" applyFont="1" applyBorder="1" applyAlignment="1">
      <alignment horizontal="center"/>
    </xf>
    <xf numFmtId="0" fontId="4" fillId="0" borderId="13" xfId="0" applyFont="1" applyBorder="1"/>
    <xf numFmtId="0" fontId="3" fillId="0" borderId="3" xfId="0" applyFont="1" applyBorder="1" applyAlignment="1">
      <alignment vertical="center" wrapText="1"/>
    </xf>
    <xf numFmtId="15" fontId="4" fillId="0" borderId="7" xfId="0" quotePrefix="1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top" wrapText="1"/>
    </xf>
    <xf numFmtId="167" fontId="7" fillId="3" borderId="3" xfId="6" applyNumberFormat="1" applyFont="1" applyFill="1" applyBorder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top" wrapText="1"/>
    </xf>
    <xf numFmtId="0" fontId="7" fillId="3" borderId="3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167" fontId="2" fillId="0" borderId="3" xfId="6" applyNumberFormat="1" applyFont="1" applyFill="1" applyBorder="1" applyAlignment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167" fontId="7" fillId="3" borderId="8" xfId="6" applyNumberFormat="1" applyFont="1" applyFill="1" applyBorder="1" applyAlignment="1">
      <alignment vertical="center"/>
    </xf>
    <xf numFmtId="3" fontId="2" fillId="0" borderId="8" xfId="6" applyNumberFormat="1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vertical="center"/>
    </xf>
    <xf numFmtId="0" fontId="13" fillId="3" borderId="7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horizontal="center" vertical="center" wrapText="1"/>
    </xf>
    <xf numFmtId="167" fontId="13" fillId="3" borderId="8" xfId="6" applyNumberFormat="1" applyFont="1" applyFill="1" applyBorder="1" applyAlignment="1">
      <alignment vertical="center"/>
    </xf>
    <xf numFmtId="167" fontId="13" fillId="3" borderId="3" xfId="6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 vertical="top" wrapText="1"/>
    </xf>
    <xf numFmtId="0" fontId="13" fillId="3" borderId="3" xfId="0" applyFont="1" applyFill="1" applyBorder="1" applyAlignment="1">
      <alignment vertical="center" wrapText="1"/>
    </xf>
    <xf numFmtId="0" fontId="17" fillId="0" borderId="1" xfId="0" applyFont="1" applyFill="1" applyBorder="1"/>
    <xf numFmtId="0" fontId="16" fillId="0" borderId="3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top" wrapText="1"/>
    </xf>
    <xf numFmtId="0" fontId="16" fillId="0" borderId="7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vertical="center" wrapText="1"/>
    </xf>
    <xf numFmtId="167" fontId="16" fillId="0" borderId="3" xfId="6" applyNumberFormat="1" applyFont="1" applyFill="1" applyBorder="1" applyAlignment="1">
      <alignment horizontal="center" vertical="center"/>
    </xf>
    <xf numFmtId="167" fontId="16" fillId="0" borderId="3" xfId="6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top" wrapText="1"/>
    </xf>
    <xf numFmtId="0" fontId="17" fillId="0" borderId="7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vertical="center" wrapText="1"/>
    </xf>
    <xf numFmtId="0" fontId="17" fillId="0" borderId="7" xfId="0" applyFont="1" applyFill="1" applyBorder="1" applyAlignment="1">
      <alignment vertical="center" wrapText="1"/>
    </xf>
    <xf numFmtId="0" fontId="17" fillId="0" borderId="3" xfId="0" applyFont="1" applyFill="1" applyBorder="1" applyAlignment="1">
      <alignment horizontal="center" vertical="center" wrapText="1"/>
    </xf>
    <xf numFmtId="167" fontId="17" fillId="0" borderId="3" xfId="6" applyNumberFormat="1" applyFont="1" applyFill="1" applyBorder="1" applyAlignment="1">
      <alignment horizontal="center" vertical="center"/>
    </xf>
    <xf numFmtId="167" fontId="17" fillId="0" borderId="3" xfId="6" applyNumberFormat="1" applyFont="1" applyFill="1" applyBorder="1" applyAlignment="1">
      <alignment horizontal="center" vertical="center" wrapText="1"/>
    </xf>
    <xf numFmtId="164" fontId="16" fillId="0" borderId="3" xfId="6" applyNumberFormat="1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vertical="center" wrapText="1"/>
    </xf>
    <xf numFmtId="0" fontId="16" fillId="0" borderId="1" xfId="0" applyFont="1" applyFill="1" applyBorder="1"/>
    <xf numFmtId="0" fontId="17" fillId="0" borderId="1" xfId="0" applyFont="1" applyFill="1" applyBorder="1" applyAlignment="1">
      <alignment wrapText="1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wrapText="1"/>
    </xf>
    <xf numFmtId="0" fontId="17" fillId="0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18" xfId="0" applyFont="1" applyBorder="1"/>
    <xf numFmtId="0" fontId="4" fillId="0" borderId="10" xfId="0" applyFont="1" applyBorder="1"/>
    <xf numFmtId="0" fontId="4" fillId="0" borderId="6" xfId="0" applyFont="1" applyBorder="1"/>
    <xf numFmtId="0" fontId="4" fillId="0" borderId="0" xfId="0" applyFont="1"/>
    <xf numFmtId="0" fontId="4" fillId="0" borderId="11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12" xfId="0" applyFont="1" applyBorder="1"/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right" vertical="center" wrapText="1"/>
    </xf>
    <xf numFmtId="0" fontId="3" fillId="0" borderId="7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13" fillId="0" borderId="7" xfId="0" applyFont="1" applyBorder="1" applyAlignment="1">
      <alignment horizontal="right" vertical="center" wrapText="1"/>
    </xf>
    <xf numFmtId="0" fontId="13" fillId="0" borderId="14" xfId="0" applyFont="1" applyBorder="1" applyAlignment="1">
      <alignment horizontal="right" vertical="center" wrapText="1"/>
    </xf>
    <xf numFmtId="0" fontId="13" fillId="0" borderId="8" xfId="0" applyFont="1" applyBorder="1" applyAlignment="1">
      <alignment horizontal="right" vertical="center" wrapText="1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</cellXfs>
  <cellStyles count="32">
    <cellStyle name="_6A OEM Switch Catalog" xfId="1"/>
    <cellStyle name="_6B OEM Switch Catalog" xfId="2"/>
    <cellStyle name="_Master" xfId="3"/>
    <cellStyle name="_OEM-Master-list" xfId="4"/>
    <cellStyle name="_Server-Adapter" xfId="5"/>
    <cellStyle name="Comma" xfId="6" builtinId="3"/>
    <cellStyle name="Comma 2" xfId="7"/>
    <cellStyle name="Comma 2 2" xfId="8"/>
    <cellStyle name="Comma 3" xfId="9"/>
    <cellStyle name="Comma 4" xfId="10"/>
    <cellStyle name="Currency 2" xfId="11"/>
    <cellStyle name="Currency 2 2" xfId="12"/>
    <cellStyle name="Normal" xfId="0" builtinId="0"/>
    <cellStyle name="Normal 2" xfId="13"/>
    <cellStyle name="Normal 2 2" xfId="14"/>
    <cellStyle name="Normal 2 3" xfId="15"/>
    <cellStyle name="Normal 2 4" xfId="16"/>
    <cellStyle name="Normal 2_20110919 - TCB AML - HW SW quotation" xfId="17"/>
    <cellStyle name="Normal 3" xfId="18"/>
    <cellStyle name="Normal 4" xfId="19"/>
    <cellStyle name="Normal 5" xfId="20"/>
    <cellStyle name="Normal 6" xfId="21"/>
    <cellStyle name="Percent 2" xfId="22"/>
    <cellStyle name="Percent 2 2" xfId="23"/>
    <cellStyle name="Percent 2 3" xfId="24"/>
    <cellStyle name="Percent 2 4" xfId="25"/>
    <cellStyle name="Percent 3" xfId="26"/>
    <cellStyle name="Percent 4" xfId="27"/>
    <cellStyle name="Style 1" xfId="28"/>
    <cellStyle name="표준_Sheet1" xfId="29"/>
    <cellStyle name="一般_Change Log" xfId="30"/>
    <cellStyle name="標準_ServicePac" xfId="3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image001.png@01D4EA1D.1309D67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1304925</xdr:colOff>
      <xdr:row>3</xdr:row>
      <xdr:rowOff>219075</xdr:rowOff>
    </xdr:to>
    <xdr:pic>
      <xdr:nvPicPr>
        <xdr:cNvPr id="9246" name="Picture 28">
          <a:extLst>
            <a:ext uri="{FF2B5EF4-FFF2-40B4-BE49-F238E27FC236}">
              <a16:creationId xmlns:a16="http://schemas.microsoft.com/office/drawing/2014/main" id="{00000000-0008-0000-0000-00001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002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504825</xdr:colOff>
      <xdr:row>4</xdr:row>
      <xdr:rowOff>0</xdr:rowOff>
    </xdr:to>
    <xdr:pic>
      <xdr:nvPicPr>
        <xdr:cNvPr id="9247" name="Picture 2" descr="IBM partner mail.jpg">
          <a:extLst>
            <a:ext uri="{FF2B5EF4-FFF2-40B4-BE49-F238E27FC236}">
              <a16:creationId xmlns:a16="http://schemas.microsoft.com/office/drawing/2014/main" id="{00000000-0008-0000-0000-00001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0" y="723900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95250</xdr:colOff>
      <xdr:row>4</xdr:row>
      <xdr:rowOff>171450</xdr:rowOff>
    </xdr:from>
    <xdr:to>
      <xdr:col>6</xdr:col>
      <xdr:colOff>447675</xdr:colOff>
      <xdr:row>4</xdr:row>
      <xdr:rowOff>600075</xdr:rowOff>
    </xdr:to>
    <xdr:pic>
      <xdr:nvPicPr>
        <xdr:cNvPr id="9248" name="Picture 107">
          <a:extLst>
            <a:ext uri="{FF2B5EF4-FFF2-40B4-BE49-F238E27FC236}">
              <a16:creationId xmlns:a16="http://schemas.microsoft.com/office/drawing/2014/main" id="{00000000-0008-0000-00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895350"/>
          <a:ext cx="3524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381000</xdr:colOff>
      <xdr:row>4</xdr:row>
      <xdr:rowOff>180975</xdr:rowOff>
    </xdr:from>
    <xdr:to>
      <xdr:col>6</xdr:col>
      <xdr:colOff>0</xdr:colOff>
      <xdr:row>4</xdr:row>
      <xdr:rowOff>600075</xdr:rowOff>
    </xdr:to>
    <xdr:pic>
      <xdr:nvPicPr>
        <xdr:cNvPr id="9249" name="Picture 3" descr="bp_member.gif">
          <a:extLst>
            <a:ext uri="{FF2B5EF4-FFF2-40B4-BE49-F238E27FC236}">
              <a16:creationId xmlns:a16="http://schemas.microsoft.com/office/drawing/2014/main" id="{00000000-0008-0000-0000-00002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904875"/>
          <a:ext cx="7334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4</xdr:row>
      <xdr:rowOff>123825</xdr:rowOff>
    </xdr:from>
    <xdr:to>
      <xdr:col>1</xdr:col>
      <xdr:colOff>2236470</xdr:colOff>
      <xdr:row>4</xdr:row>
      <xdr:rowOff>619125</xdr:rowOff>
    </xdr:to>
    <xdr:pic>
      <xdr:nvPicPr>
        <xdr:cNvPr id="9250" name="Picture 2">
          <a:extLst>
            <a:ext uri="{FF2B5EF4-FFF2-40B4-BE49-F238E27FC236}">
              <a16:creationId xmlns:a16="http://schemas.microsoft.com/office/drawing/2014/main" id="{00000000-0008-0000-0000-00002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847725"/>
          <a:ext cx="24574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685800</xdr:colOff>
      <xdr:row>4</xdr:row>
      <xdr:rowOff>161925</xdr:rowOff>
    </xdr:from>
    <xdr:to>
      <xdr:col>9</xdr:col>
      <xdr:colOff>476250</xdr:colOff>
      <xdr:row>4</xdr:row>
      <xdr:rowOff>571500</xdr:rowOff>
    </xdr:to>
    <xdr:pic>
      <xdr:nvPicPr>
        <xdr:cNvPr id="9251" name="Picture 1" descr="Related image">
          <a:extLst>
            <a:ext uri="{FF2B5EF4-FFF2-40B4-BE49-F238E27FC236}">
              <a16:creationId xmlns:a16="http://schemas.microsoft.com/office/drawing/2014/main" id="{00000000-0008-0000-00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885825"/>
          <a:ext cx="10953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6</xdr:col>
      <xdr:colOff>228600</xdr:colOff>
      <xdr:row>0</xdr:row>
      <xdr:rowOff>0</xdr:rowOff>
    </xdr:to>
    <xdr:pic>
      <xdr:nvPicPr>
        <xdr:cNvPr id="3" name="Picture 2" descr="IBM partner mail.jpg">
          <a:extLst>
            <a:ext uri="{FF2B5EF4-FFF2-40B4-BE49-F238E27FC236}">
              <a16:creationId xmlns:a16="http://schemas.microsoft.com/office/drawing/2014/main" id="{00000000-0008-0000-0000-00001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0" y="723900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8"/>
  <sheetViews>
    <sheetView view="pageBreakPreview" zoomScaleNormal="100" zoomScaleSheetLayoutView="100" workbookViewId="0">
      <selection activeCell="F23" sqref="F23"/>
    </sheetView>
  </sheetViews>
  <sheetFormatPr defaultColWidth="9.140625" defaultRowHeight="12.75"/>
  <cols>
    <col min="1" max="1" width="4.42578125" style="14" customWidth="1"/>
    <col min="2" max="2" width="36.5703125" style="1" customWidth="1"/>
    <col min="3" max="3" width="70.85546875" style="1" customWidth="1"/>
    <col min="4" max="4" width="6" style="27" customWidth="1"/>
    <col min="5" max="5" width="15" style="1" bestFit="1" customWidth="1"/>
    <col min="6" max="6" width="16.7109375" style="1" bestFit="1" customWidth="1"/>
    <col min="7" max="8" width="10.42578125" style="1" customWidth="1"/>
    <col min="9" max="9" width="9.140625" style="1" customWidth="1"/>
    <col min="10" max="10" width="11.140625" style="1" customWidth="1"/>
    <col min="11" max="16384" width="9.140625" style="1"/>
  </cols>
  <sheetData>
    <row r="1" spans="1:10" ht="12.75" customHeight="1">
      <c r="C1" s="95" t="s">
        <v>0</v>
      </c>
      <c r="D1" s="96"/>
      <c r="E1" s="96"/>
      <c r="F1" s="97"/>
      <c r="G1" s="36"/>
      <c r="H1" s="36"/>
      <c r="I1" s="36"/>
      <c r="J1" s="36"/>
    </row>
    <row r="2" spans="1:10" ht="12.75" customHeight="1">
      <c r="C2" s="98"/>
      <c r="D2" s="99"/>
      <c r="E2" s="99"/>
      <c r="F2" s="100"/>
      <c r="G2" s="37"/>
      <c r="H2" s="37"/>
      <c r="I2" s="37"/>
      <c r="J2" s="37"/>
    </row>
    <row r="3" spans="1:10" ht="12.75" customHeight="1">
      <c r="C3" s="98"/>
      <c r="D3" s="99"/>
      <c r="E3" s="99"/>
      <c r="F3" s="100"/>
      <c r="G3" s="37"/>
      <c r="H3" s="37"/>
      <c r="I3" s="37"/>
      <c r="J3" s="37"/>
    </row>
    <row r="4" spans="1:10" ht="18.75" customHeight="1">
      <c r="A4" s="15"/>
      <c r="B4" s="3"/>
      <c r="C4" s="101"/>
      <c r="D4" s="102"/>
      <c r="E4" s="102"/>
      <c r="F4" s="103"/>
      <c r="G4" s="43"/>
      <c r="H4" s="38"/>
      <c r="I4" s="38"/>
      <c r="J4" s="38"/>
    </row>
    <row r="5" spans="1:10" ht="56.25" customHeight="1">
      <c r="A5" s="16"/>
      <c r="B5" s="109" t="s">
        <v>1</v>
      </c>
      <c r="C5" s="110"/>
      <c r="D5" s="110"/>
      <c r="E5" s="110"/>
      <c r="F5" s="111"/>
      <c r="G5" s="42"/>
      <c r="H5" s="42"/>
      <c r="I5" s="42"/>
      <c r="J5" s="42"/>
    </row>
    <row r="6" spans="1:10" ht="22.5" customHeight="1">
      <c r="A6" s="17"/>
      <c r="B6" s="5" t="s">
        <v>2</v>
      </c>
      <c r="C6" s="106" t="s">
        <v>3</v>
      </c>
      <c r="D6" s="107"/>
      <c r="E6" s="107"/>
      <c r="F6" s="108"/>
      <c r="G6" s="44"/>
      <c r="H6" s="44"/>
      <c r="I6" s="44"/>
      <c r="J6" s="44"/>
    </row>
    <row r="7" spans="1:10" ht="14.25">
      <c r="A7" s="17"/>
      <c r="B7" s="5" t="s">
        <v>4</v>
      </c>
      <c r="C7" s="104" t="s">
        <v>5</v>
      </c>
      <c r="D7" s="104"/>
      <c r="E7" s="104"/>
      <c r="F7" s="104"/>
      <c r="G7" s="35"/>
      <c r="H7" s="35"/>
      <c r="I7" s="35"/>
      <c r="J7" s="35"/>
    </row>
    <row r="8" spans="1:10" ht="14.25">
      <c r="A8" s="17"/>
      <c r="B8" s="5" t="s">
        <v>6</v>
      </c>
      <c r="C8" s="104"/>
      <c r="D8" s="104"/>
      <c r="E8" s="104"/>
      <c r="F8" s="104"/>
      <c r="G8" s="35"/>
      <c r="H8" s="35"/>
      <c r="I8" s="35"/>
      <c r="J8" s="35"/>
    </row>
    <row r="9" spans="1:10" ht="14.25" customHeight="1">
      <c r="A9" s="17"/>
      <c r="B9" s="5" t="s">
        <v>7</v>
      </c>
      <c r="C9" s="104"/>
      <c r="D9" s="104"/>
      <c r="E9" s="104"/>
      <c r="F9" s="104"/>
      <c r="G9" s="35"/>
      <c r="H9" s="35"/>
      <c r="I9" s="35"/>
      <c r="J9" s="35"/>
    </row>
    <row r="10" spans="1:10" ht="14.25">
      <c r="A10" s="17"/>
      <c r="B10" s="5" t="s">
        <v>8</v>
      </c>
      <c r="C10" s="104"/>
      <c r="D10" s="104"/>
      <c r="E10" s="104"/>
      <c r="F10" s="104"/>
      <c r="G10" s="35"/>
      <c r="H10" s="35"/>
      <c r="I10" s="35"/>
      <c r="J10" s="35"/>
    </row>
    <row r="11" spans="1:10" ht="16.5" customHeight="1">
      <c r="A11" s="17"/>
      <c r="B11" s="5" t="s">
        <v>9</v>
      </c>
      <c r="C11" s="104" t="s">
        <v>10</v>
      </c>
      <c r="D11" s="104"/>
      <c r="E11" s="104"/>
      <c r="F11" s="104"/>
      <c r="G11" s="35"/>
      <c r="H11" s="35"/>
      <c r="I11" s="35"/>
      <c r="J11" s="35"/>
    </row>
    <row r="12" spans="1:10" ht="15" customHeight="1">
      <c r="A12" s="17"/>
      <c r="B12" s="5" t="s">
        <v>11</v>
      </c>
      <c r="C12" s="45">
        <v>44911</v>
      </c>
      <c r="D12" s="46"/>
      <c r="E12" s="47"/>
      <c r="F12" s="105" t="s">
        <v>12</v>
      </c>
      <c r="G12" s="105"/>
      <c r="H12" s="7"/>
      <c r="I12" s="6"/>
      <c r="J12" s="6">
        <v>6</v>
      </c>
    </row>
    <row r="13" spans="1:10" ht="16.7" customHeight="1">
      <c r="A13" s="17"/>
      <c r="B13" s="5" t="s">
        <v>13</v>
      </c>
      <c r="C13" s="21" t="s">
        <v>14</v>
      </c>
      <c r="D13" s="46"/>
      <c r="E13" s="47"/>
      <c r="F13" s="105" t="s">
        <v>15</v>
      </c>
      <c r="G13" s="105"/>
      <c r="H13" s="7"/>
      <c r="I13" s="7"/>
      <c r="J13" s="7" t="s">
        <v>16</v>
      </c>
    </row>
    <row r="14" spans="1:10" ht="15" customHeight="1">
      <c r="A14" s="18"/>
      <c r="B14" s="115"/>
      <c r="C14" s="116"/>
      <c r="D14" s="116"/>
      <c r="E14" s="116"/>
      <c r="F14" s="117"/>
      <c r="G14" s="41"/>
      <c r="H14" s="41"/>
      <c r="I14" s="41"/>
      <c r="J14" s="41"/>
    </row>
    <row r="15" spans="1:10" s="2" customFormat="1" ht="31.5" customHeight="1">
      <c r="A15" s="12" t="s">
        <v>17</v>
      </c>
      <c r="B15" s="31" t="s">
        <v>18</v>
      </c>
      <c r="C15" s="31" t="s">
        <v>19</v>
      </c>
      <c r="D15" s="32" t="s">
        <v>20</v>
      </c>
      <c r="E15" s="12" t="s">
        <v>21</v>
      </c>
      <c r="F15" s="12" t="s">
        <v>22</v>
      </c>
      <c r="G15" s="12" t="s">
        <v>23</v>
      </c>
      <c r="H15" s="12" t="s">
        <v>24</v>
      </c>
      <c r="I15" s="12" t="s">
        <v>25</v>
      </c>
      <c r="J15" s="12" t="s">
        <v>26</v>
      </c>
    </row>
    <row r="16" spans="1:10" s="70" customFormat="1" ht="21" customHeight="1">
      <c r="A16" s="64">
        <v>1</v>
      </c>
      <c r="B16" s="65" t="s">
        <v>27</v>
      </c>
      <c r="C16" s="66"/>
      <c r="D16" s="67">
        <v>2</v>
      </c>
      <c r="E16" s="68">
        <v>488918720</v>
      </c>
      <c r="F16" s="69">
        <f>E16*D16</f>
        <v>977837440</v>
      </c>
      <c r="G16" s="69" t="s">
        <v>28</v>
      </c>
      <c r="H16" s="69" t="s">
        <v>29</v>
      </c>
      <c r="I16" s="69" t="s">
        <v>30</v>
      </c>
      <c r="J16" s="69" t="s">
        <v>31</v>
      </c>
    </row>
    <row r="17" spans="1:10" s="56" customFormat="1" ht="20.100000000000001" customHeight="1">
      <c r="A17" s="58"/>
      <c r="B17" s="50" t="s">
        <v>32</v>
      </c>
      <c r="C17" s="49" t="s">
        <v>33</v>
      </c>
      <c r="D17" s="48">
        <v>1</v>
      </c>
      <c r="E17" s="39"/>
      <c r="F17" s="59">
        <f>E17*D17</f>
        <v>0</v>
      </c>
      <c r="G17" s="59"/>
      <c r="H17" s="59"/>
      <c r="I17" s="59"/>
      <c r="J17" s="59"/>
    </row>
    <row r="18" spans="1:10" s="2" customFormat="1" ht="21.75" customHeight="1">
      <c r="A18" s="30"/>
      <c r="B18" s="50" t="s">
        <v>34</v>
      </c>
      <c r="C18" s="49" t="s">
        <v>35</v>
      </c>
      <c r="D18" s="48">
        <v>2</v>
      </c>
      <c r="E18" s="39"/>
      <c r="F18" s="40"/>
      <c r="G18" s="40"/>
      <c r="H18" s="40"/>
      <c r="I18" s="40"/>
      <c r="J18" s="40"/>
    </row>
    <row r="19" spans="1:10" s="2" customFormat="1" ht="20.100000000000001" customHeight="1">
      <c r="A19" s="30"/>
      <c r="B19" s="50" t="s">
        <v>36</v>
      </c>
      <c r="C19" s="49" t="s">
        <v>37</v>
      </c>
      <c r="D19" s="48">
        <v>8</v>
      </c>
      <c r="E19" s="39"/>
      <c r="F19" s="40"/>
      <c r="G19" s="40"/>
      <c r="H19" s="40"/>
      <c r="I19" s="40"/>
      <c r="J19" s="40"/>
    </row>
    <row r="20" spans="1:10" s="2" customFormat="1" ht="20.100000000000001" customHeight="1">
      <c r="A20" s="30"/>
      <c r="B20" s="50" t="s">
        <v>38</v>
      </c>
      <c r="C20" s="49" t="s">
        <v>39</v>
      </c>
      <c r="D20" s="48">
        <v>1</v>
      </c>
      <c r="E20" s="39"/>
      <c r="F20" s="40"/>
      <c r="G20" s="40"/>
      <c r="H20" s="40"/>
      <c r="I20" s="40"/>
      <c r="J20" s="40"/>
    </row>
    <row r="21" spans="1:10" s="2" customFormat="1" ht="20.100000000000001" customHeight="1">
      <c r="A21" s="30"/>
      <c r="B21" s="50" t="s">
        <v>40</v>
      </c>
      <c r="C21" s="49" t="s">
        <v>41</v>
      </c>
      <c r="D21" s="48">
        <v>8</v>
      </c>
      <c r="E21" s="39"/>
      <c r="F21" s="40"/>
      <c r="G21" s="40"/>
      <c r="H21" s="40"/>
      <c r="I21" s="40"/>
      <c r="J21" s="40"/>
    </row>
    <row r="22" spans="1:10" s="2" customFormat="1" ht="20.100000000000001" customHeight="1">
      <c r="A22" s="30"/>
      <c r="B22" s="50" t="s">
        <v>42</v>
      </c>
      <c r="C22" s="49" t="s">
        <v>43</v>
      </c>
      <c r="D22" s="48">
        <v>2</v>
      </c>
      <c r="E22" s="39"/>
      <c r="F22" s="40"/>
      <c r="G22" s="40"/>
      <c r="H22" s="40"/>
      <c r="I22" s="40"/>
      <c r="J22" s="40"/>
    </row>
    <row r="23" spans="1:10" s="2" customFormat="1" ht="20.100000000000001" customHeight="1">
      <c r="A23" s="30"/>
      <c r="B23" s="50" t="s">
        <v>44</v>
      </c>
      <c r="C23" s="49" t="s">
        <v>45</v>
      </c>
      <c r="D23" s="48">
        <v>1</v>
      </c>
      <c r="E23" s="39"/>
      <c r="F23" s="40"/>
      <c r="G23" s="40"/>
      <c r="H23" s="40"/>
      <c r="I23" s="40"/>
      <c r="J23" s="40"/>
    </row>
    <row r="24" spans="1:10" s="2" customFormat="1" ht="20.100000000000001" customHeight="1">
      <c r="A24" s="30"/>
      <c r="B24" s="50" t="s">
        <v>46</v>
      </c>
      <c r="C24" s="49" t="s">
        <v>47</v>
      </c>
      <c r="D24" s="48">
        <v>1</v>
      </c>
      <c r="E24" s="39"/>
      <c r="F24" s="40"/>
      <c r="G24" s="40"/>
      <c r="H24" s="40"/>
      <c r="I24" s="40"/>
      <c r="J24" s="40"/>
    </row>
    <row r="25" spans="1:10" s="2" customFormat="1" ht="20.100000000000001" customHeight="1">
      <c r="A25" s="30"/>
      <c r="B25" s="50" t="s">
        <v>48</v>
      </c>
      <c r="C25" s="49" t="s">
        <v>49</v>
      </c>
      <c r="D25" s="48">
        <v>1</v>
      </c>
      <c r="E25" s="39"/>
      <c r="F25" s="40"/>
      <c r="G25" s="40"/>
      <c r="H25" s="40"/>
      <c r="I25" s="40"/>
      <c r="J25" s="40"/>
    </row>
    <row r="26" spans="1:10" s="2" customFormat="1" ht="25.5">
      <c r="A26" s="30"/>
      <c r="B26" s="50" t="s">
        <v>50</v>
      </c>
      <c r="C26" s="49" t="s">
        <v>51</v>
      </c>
      <c r="D26" s="48">
        <v>1</v>
      </c>
      <c r="E26" s="39"/>
      <c r="F26" s="40"/>
      <c r="G26" s="40"/>
      <c r="H26" s="40"/>
      <c r="I26" s="40"/>
      <c r="J26" s="40"/>
    </row>
    <row r="27" spans="1:10" s="2" customFormat="1" ht="20.100000000000001" customHeight="1">
      <c r="A27" s="30"/>
      <c r="B27" s="50" t="s">
        <v>52</v>
      </c>
      <c r="C27" s="49" t="s">
        <v>53</v>
      </c>
      <c r="D27" s="48">
        <v>1</v>
      </c>
      <c r="E27" s="39"/>
      <c r="F27" s="40"/>
      <c r="G27" s="40"/>
      <c r="H27" s="40"/>
      <c r="I27" s="40"/>
      <c r="J27" s="40"/>
    </row>
    <row r="28" spans="1:10" s="2" customFormat="1" ht="20.100000000000001" customHeight="1">
      <c r="A28" s="30"/>
      <c r="B28" s="50" t="s">
        <v>54</v>
      </c>
      <c r="C28" s="49" t="s">
        <v>55</v>
      </c>
      <c r="D28" s="48">
        <v>1</v>
      </c>
      <c r="E28" s="39"/>
      <c r="F28" s="40"/>
      <c r="G28" s="40"/>
      <c r="H28" s="40"/>
      <c r="I28" s="40"/>
      <c r="J28" s="40"/>
    </row>
    <row r="29" spans="1:10" s="2" customFormat="1" ht="20.100000000000001" customHeight="1">
      <c r="A29" s="30"/>
      <c r="B29" s="50" t="s">
        <v>56</v>
      </c>
      <c r="C29" s="49" t="s">
        <v>57</v>
      </c>
      <c r="D29" s="48">
        <v>2</v>
      </c>
      <c r="E29" s="39"/>
      <c r="F29" s="40"/>
      <c r="G29" s="40"/>
      <c r="H29" s="40"/>
      <c r="I29" s="40"/>
      <c r="J29" s="40"/>
    </row>
    <row r="30" spans="1:10" s="2" customFormat="1" ht="20.100000000000001" customHeight="1">
      <c r="A30" s="30"/>
      <c r="B30" s="50" t="s">
        <v>58</v>
      </c>
      <c r="C30" s="49" t="s">
        <v>59</v>
      </c>
      <c r="D30" s="48">
        <v>1</v>
      </c>
      <c r="E30" s="39"/>
      <c r="F30" s="40"/>
      <c r="G30" s="40"/>
      <c r="H30" s="40"/>
      <c r="I30" s="40"/>
      <c r="J30" s="40"/>
    </row>
    <row r="31" spans="1:10" s="2" customFormat="1" ht="20.100000000000001" customHeight="1">
      <c r="A31" s="30"/>
      <c r="B31" s="50" t="s">
        <v>60</v>
      </c>
      <c r="C31" s="49" t="s">
        <v>61</v>
      </c>
      <c r="D31" s="48">
        <v>1</v>
      </c>
      <c r="E31" s="39"/>
      <c r="F31" s="40"/>
      <c r="G31" s="40"/>
      <c r="H31" s="40"/>
      <c r="I31" s="40"/>
      <c r="J31" s="40"/>
    </row>
    <row r="32" spans="1:10" s="2" customFormat="1" ht="20.100000000000001" customHeight="1">
      <c r="A32" s="30"/>
      <c r="B32" s="50" t="s">
        <v>62</v>
      </c>
      <c r="C32" s="49" t="s">
        <v>63</v>
      </c>
      <c r="D32" s="48">
        <v>1</v>
      </c>
      <c r="E32" s="39"/>
      <c r="F32" s="40"/>
      <c r="G32" s="40"/>
      <c r="H32" s="40"/>
      <c r="I32" s="40"/>
      <c r="J32" s="40"/>
    </row>
    <row r="33" spans="1:10" s="2" customFormat="1" ht="20.100000000000001" customHeight="1">
      <c r="A33" s="30"/>
      <c r="B33" s="50" t="s">
        <v>64</v>
      </c>
      <c r="C33" s="49" t="s">
        <v>65</v>
      </c>
      <c r="D33" s="48">
        <v>1</v>
      </c>
      <c r="E33" s="39"/>
      <c r="F33" s="40"/>
      <c r="G33" s="40"/>
      <c r="H33" s="40"/>
      <c r="I33" s="40"/>
      <c r="J33" s="40"/>
    </row>
    <row r="34" spans="1:10" s="2" customFormat="1" ht="20.100000000000001" customHeight="1">
      <c r="A34" s="30"/>
      <c r="B34" s="50" t="s">
        <v>66</v>
      </c>
      <c r="C34" s="49" t="s">
        <v>67</v>
      </c>
      <c r="D34" s="48">
        <v>1</v>
      </c>
      <c r="E34" s="39"/>
      <c r="F34" s="40"/>
      <c r="G34" s="40"/>
      <c r="H34" s="40"/>
      <c r="I34" s="40"/>
      <c r="J34" s="40"/>
    </row>
    <row r="35" spans="1:10" s="2" customFormat="1" ht="20.100000000000001" customHeight="1">
      <c r="A35" s="30"/>
      <c r="B35" s="50" t="s">
        <v>68</v>
      </c>
      <c r="C35" s="49" t="s">
        <v>69</v>
      </c>
      <c r="D35" s="48">
        <v>2</v>
      </c>
      <c r="E35" s="39"/>
      <c r="F35" s="40"/>
      <c r="G35" s="40"/>
      <c r="H35" s="40"/>
      <c r="I35" s="40"/>
      <c r="J35" s="40"/>
    </row>
    <row r="36" spans="1:10" s="2" customFormat="1" ht="20.100000000000001" customHeight="1">
      <c r="A36" s="30"/>
      <c r="B36" s="50" t="s">
        <v>70</v>
      </c>
      <c r="C36" s="49" t="s">
        <v>71</v>
      </c>
      <c r="D36" s="48">
        <v>1</v>
      </c>
      <c r="E36" s="39"/>
      <c r="F36" s="40"/>
      <c r="G36" s="40"/>
      <c r="H36" s="40"/>
      <c r="I36" s="40"/>
      <c r="J36" s="40"/>
    </row>
    <row r="37" spans="1:10" s="2" customFormat="1" ht="27.75" customHeight="1">
      <c r="A37" s="30"/>
      <c r="B37" s="50" t="s">
        <v>72</v>
      </c>
      <c r="C37" s="49" t="s">
        <v>73</v>
      </c>
      <c r="D37" s="48">
        <v>1</v>
      </c>
      <c r="E37" s="39"/>
      <c r="F37" s="40"/>
      <c r="G37" s="40"/>
      <c r="H37" s="40"/>
      <c r="I37" s="40"/>
      <c r="J37" s="40"/>
    </row>
    <row r="38" spans="1:10" s="2" customFormat="1" ht="20.100000000000001" customHeight="1">
      <c r="A38" s="30"/>
      <c r="B38" s="50" t="s">
        <v>74</v>
      </c>
      <c r="C38" s="49" t="s">
        <v>75</v>
      </c>
      <c r="D38" s="48">
        <v>1</v>
      </c>
      <c r="E38" s="39"/>
      <c r="F38" s="40"/>
      <c r="G38" s="40"/>
      <c r="H38" s="40"/>
      <c r="I38" s="40"/>
      <c r="J38" s="40"/>
    </row>
    <row r="39" spans="1:10" s="2" customFormat="1" ht="20.100000000000001" customHeight="1">
      <c r="A39" s="30"/>
      <c r="B39" s="50" t="s">
        <v>76</v>
      </c>
      <c r="C39" s="49" t="s">
        <v>77</v>
      </c>
      <c r="D39" s="48">
        <v>1</v>
      </c>
      <c r="E39" s="39"/>
      <c r="F39" s="40"/>
      <c r="G39" s="40"/>
      <c r="H39" s="40"/>
      <c r="I39" s="40"/>
      <c r="J39" s="40"/>
    </row>
    <row r="40" spans="1:10" s="2" customFormat="1" ht="20.100000000000001" customHeight="1">
      <c r="A40" s="30"/>
      <c r="B40" s="50" t="s">
        <v>78</v>
      </c>
      <c r="C40" s="49" t="s">
        <v>79</v>
      </c>
      <c r="D40" s="48">
        <v>1</v>
      </c>
      <c r="E40" s="39"/>
      <c r="F40" s="40"/>
      <c r="G40" s="40"/>
      <c r="H40" s="40"/>
      <c r="I40" s="40"/>
      <c r="J40" s="40"/>
    </row>
    <row r="41" spans="1:10" s="2" customFormat="1" ht="20.100000000000001" customHeight="1">
      <c r="A41" s="30"/>
      <c r="B41" s="50" t="s">
        <v>80</v>
      </c>
      <c r="C41" s="49" t="s">
        <v>81</v>
      </c>
      <c r="D41" s="48">
        <v>1</v>
      </c>
      <c r="E41" s="39"/>
      <c r="F41" s="40"/>
      <c r="G41" s="40"/>
      <c r="H41" s="40"/>
      <c r="I41" s="40"/>
      <c r="J41" s="40"/>
    </row>
    <row r="42" spans="1:10" s="56" customFormat="1" ht="21" customHeight="1">
      <c r="A42" s="54"/>
      <c r="B42" s="57" t="s">
        <v>82</v>
      </c>
      <c r="C42" s="55" t="s">
        <v>83</v>
      </c>
      <c r="D42" s="60"/>
      <c r="E42" s="61"/>
      <c r="F42" s="53">
        <f t="shared" ref="F42:F47" si="0">E42*D42</f>
        <v>0</v>
      </c>
      <c r="G42" s="53"/>
      <c r="H42" s="53"/>
      <c r="I42" s="53"/>
      <c r="J42" s="53"/>
    </row>
    <row r="43" spans="1:10" s="2" customFormat="1" ht="20.100000000000001" customHeight="1">
      <c r="A43" s="30"/>
      <c r="B43" s="50"/>
      <c r="C43" s="51" t="s">
        <v>84</v>
      </c>
      <c r="D43" s="48">
        <v>144</v>
      </c>
      <c r="E43" s="62">
        <v>3136000</v>
      </c>
      <c r="F43" s="40">
        <f t="shared" si="0"/>
        <v>451584000</v>
      </c>
      <c r="G43" s="13"/>
      <c r="H43" s="13"/>
      <c r="I43" s="52"/>
      <c r="J43" s="13"/>
    </row>
    <row r="44" spans="1:10" s="2" customFormat="1" ht="20.100000000000001" customHeight="1">
      <c r="A44" s="30"/>
      <c r="B44" s="50"/>
      <c r="C44" s="51" t="s">
        <v>85</v>
      </c>
      <c r="D44" s="48">
        <v>5</v>
      </c>
      <c r="E44" s="62">
        <v>1078000</v>
      </c>
      <c r="F44" s="40">
        <f t="shared" si="0"/>
        <v>5390000</v>
      </c>
      <c r="G44" s="13"/>
      <c r="H44" s="13"/>
      <c r="I44" s="52"/>
      <c r="J44" s="13"/>
    </row>
    <row r="45" spans="1:10" s="56" customFormat="1" ht="21" customHeight="1">
      <c r="A45" s="54"/>
      <c r="B45" s="57"/>
      <c r="C45" s="55" t="s">
        <v>86</v>
      </c>
      <c r="D45" s="60"/>
      <c r="E45" s="61"/>
      <c r="F45" s="53">
        <f t="shared" si="0"/>
        <v>0</v>
      </c>
      <c r="G45" s="53"/>
      <c r="H45" s="53"/>
      <c r="I45" s="53"/>
      <c r="J45" s="53"/>
    </row>
    <row r="46" spans="1:10" s="2" customFormat="1" ht="25.5" customHeight="1">
      <c r="A46" s="30"/>
      <c r="B46" s="50" t="s">
        <v>176</v>
      </c>
      <c r="C46" s="51" t="s">
        <v>87</v>
      </c>
      <c r="D46" s="48">
        <v>1</v>
      </c>
      <c r="E46" s="62">
        <v>8428000</v>
      </c>
      <c r="F46" s="40">
        <f t="shared" si="0"/>
        <v>8428000</v>
      </c>
      <c r="G46" s="13"/>
      <c r="H46" s="13"/>
      <c r="I46" s="52"/>
      <c r="J46" s="13"/>
    </row>
    <row r="47" spans="1:10" s="2" customFormat="1" ht="38.25">
      <c r="A47" s="30"/>
      <c r="B47" s="50" t="s">
        <v>177</v>
      </c>
      <c r="C47" s="50" t="s">
        <v>175</v>
      </c>
      <c r="D47" s="48">
        <v>1</v>
      </c>
      <c r="E47" s="62">
        <v>3234000</v>
      </c>
      <c r="F47" s="40">
        <f t="shared" si="0"/>
        <v>3234000</v>
      </c>
      <c r="G47" s="13"/>
      <c r="H47" s="13"/>
      <c r="I47" s="52"/>
      <c r="J47" s="13"/>
    </row>
    <row r="48" spans="1:10" s="56" customFormat="1" ht="21" customHeight="1">
      <c r="A48" s="54"/>
      <c r="B48" s="57"/>
      <c r="C48" s="55" t="s">
        <v>88</v>
      </c>
      <c r="D48" s="60"/>
      <c r="E48" s="61"/>
      <c r="F48" s="53"/>
      <c r="G48" s="53"/>
      <c r="H48" s="53"/>
      <c r="I48" s="53"/>
      <c r="J48" s="53"/>
    </row>
    <row r="49" spans="1:10" s="2" customFormat="1" ht="20.100000000000001" customHeight="1">
      <c r="A49" s="30"/>
      <c r="B49" s="50" t="s">
        <v>89</v>
      </c>
      <c r="C49" s="50" t="s">
        <v>90</v>
      </c>
      <c r="D49" s="48">
        <v>1</v>
      </c>
      <c r="E49" s="62">
        <v>12544000</v>
      </c>
      <c r="F49" s="40">
        <f t="shared" ref="F49:F51" si="1">E49*D49</f>
        <v>12544000</v>
      </c>
      <c r="G49" s="13"/>
      <c r="H49" s="13"/>
      <c r="I49" s="52"/>
      <c r="J49" s="13"/>
    </row>
    <row r="50" spans="1:10" s="2" customFormat="1" ht="20.100000000000001" customHeight="1">
      <c r="A50" s="30"/>
      <c r="B50" s="50" t="s">
        <v>91</v>
      </c>
      <c r="C50" s="50" t="s">
        <v>92</v>
      </c>
      <c r="D50" s="48">
        <v>1</v>
      </c>
      <c r="E50" s="62">
        <v>4606000</v>
      </c>
      <c r="F50" s="40">
        <f t="shared" si="1"/>
        <v>4606000</v>
      </c>
      <c r="G50" s="13"/>
      <c r="H50" s="13"/>
      <c r="I50" s="52"/>
      <c r="J50" s="13"/>
    </row>
    <row r="51" spans="1:10" s="2" customFormat="1" ht="20.100000000000001" customHeight="1">
      <c r="A51" s="30"/>
      <c r="B51" s="50" t="s">
        <v>93</v>
      </c>
      <c r="C51" s="50" t="s">
        <v>94</v>
      </c>
      <c r="D51" s="48">
        <v>1</v>
      </c>
      <c r="E51" s="62">
        <v>20139000</v>
      </c>
      <c r="F51" s="40">
        <f t="shared" si="1"/>
        <v>20139000</v>
      </c>
      <c r="G51" s="13"/>
      <c r="H51" s="13"/>
      <c r="I51" s="52"/>
      <c r="J51" s="13"/>
    </row>
    <row r="52" spans="1:10" s="70" customFormat="1" ht="21" customHeight="1">
      <c r="A52" s="64">
        <v>2</v>
      </c>
      <c r="B52" s="65" t="s">
        <v>95</v>
      </c>
      <c r="C52" s="66"/>
      <c r="D52" s="67">
        <v>1</v>
      </c>
      <c r="E52" s="68">
        <v>289351710</v>
      </c>
      <c r="F52" s="69">
        <f>E52*D52</f>
        <v>289351710</v>
      </c>
      <c r="G52" s="69" t="s">
        <v>28</v>
      </c>
      <c r="H52" s="69" t="s">
        <v>96</v>
      </c>
      <c r="I52" s="69" t="s">
        <v>30</v>
      </c>
      <c r="J52" s="69" t="s">
        <v>31</v>
      </c>
    </row>
    <row r="53" spans="1:10" s="2" customFormat="1" ht="20.100000000000001" customHeight="1">
      <c r="A53" s="30"/>
      <c r="B53" s="50" t="s">
        <v>97</v>
      </c>
      <c r="C53" s="49" t="s">
        <v>98</v>
      </c>
      <c r="D53" s="48">
        <v>1</v>
      </c>
      <c r="E53" s="39"/>
      <c r="F53" s="40"/>
      <c r="G53" s="40"/>
      <c r="H53" s="40"/>
      <c r="I53" s="40"/>
      <c r="J53" s="40"/>
    </row>
    <row r="54" spans="1:10" s="2" customFormat="1" ht="20.100000000000001" customHeight="1">
      <c r="A54" s="30"/>
      <c r="B54" s="50" t="s">
        <v>99</v>
      </c>
      <c r="C54" s="49" t="s">
        <v>100</v>
      </c>
      <c r="D54" s="48">
        <v>1</v>
      </c>
      <c r="E54" s="39"/>
      <c r="F54" s="40"/>
      <c r="G54" s="40"/>
      <c r="H54" s="40"/>
      <c r="I54" s="40"/>
      <c r="J54" s="40"/>
    </row>
    <row r="55" spans="1:10" s="2" customFormat="1" ht="25.5">
      <c r="A55" s="30"/>
      <c r="B55" s="50" t="s">
        <v>101</v>
      </c>
      <c r="C55" s="49" t="s">
        <v>102</v>
      </c>
      <c r="D55" s="48">
        <v>2</v>
      </c>
      <c r="E55" s="39"/>
      <c r="F55" s="40"/>
      <c r="G55" s="40"/>
      <c r="H55" s="40"/>
      <c r="I55" s="40"/>
      <c r="J55" s="40"/>
    </row>
    <row r="56" spans="1:10" s="2" customFormat="1" ht="25.5">
      <c r="A56" s="30"/>
      <c r="B56" s="50" t="s">
        <v>40</v>
      </c>
      <c r="C56" s="49" t="s">
        <v>41</v>
      </c>
      <c r="D56" s="48">
        <v>6</v>
      </c>
      <c r="E56" s="39"/>
      <c r="F56" s="40"/>
      <c r="G56" s="40"/>
      <c r="H56" s="40"/>
      <c r="I56" s="40"/>
      <c r="J56" s="40"/>
    </row>
    <row r="57" spans="1:10" s="2" customFormat="1" ht="20.100000000000001" customHeight="1">
      <c r="A57" s="30"/>
      <c r="B57" s="50" t="s">
        <v>42</v>
      </c>
      <c r="C57" s="49" t="s">
        <v>43</v>
      </c>
      <c r="D57" s="48">
        <v>2</v>
      </c>
      <c r="E57" s="39"/>
      <c r="F57" s="40"/>
      <c r="G57" s="40"/>
      <c r="H57" s="40"/>
      <c r="I57" s="40"/>
      <c r="J57" s="40"/>
    </row>
    <row r="58" spans="1:10" s="2" customFormat="1" ht="20.100000000000001" customHeight="1">
      <c r="A58" s="30"/>
      <c r="B58" s="50" t="s">
        <v>103</v>
      </c>
      <c r="C58" s="49" t="s">
        <v>104</v>
      </c>
      <c r="D58" s="48">
        <v>1</v>
      </c>
      <c r="E58" s="39"/>
      <c r="F58" s="40"/>
      <c r="G58" s="40"/>
      <c r="H58" s="40"/>
      <c r="I58" s="40"/>
      <c r="J58" s="40"/>
    </row>
    <row r="59" spans="1:10" s="2" customFormat="1" ht="25.5">
      <c r="A59" s="30"/>
      <c r="B59" s="50" t="s">
        <v>105</v>
      </c>
      <c r="C59" s="49" t="s">
        <v>106</v>
      </c>
      <c r="D59" s="48">
        <v>1</v>
      </c>
      <c r="E59" s="39"/>
      <c r="F59" s="40"/>
      <c r="G59" s="40"/>
      <c r="H59" s="40"/>
      <c r="I59" s="40"/>
      <c r="J59" s="40"/>
    </row>
    <row r="60" spans="1:10" s="2" customFormat="1" ht="20.100000000000001" customHeight="1">
      <c r="A60" s="30"/>
      <c r="B60" s="50" t="s">
        <v>107</v>
      </c>
      <c r="C60" s="49" t="s">
        <v>108</v>
      </c>
      <c r="D60" s="48">
        <v>1</v>
      </c>
      <c r="E60" s="39"/>
      <c r="F60" s="40"/>
      <c r="G60" s="40"/>
      <c r="H60" s="40"/>
      <c r="I60" s="40"/>
      <c r="J60" s="40"/>
    </row>
    <row r="61" spans="1:10" s="2" customFormat="1" ht="20.100000000000001" customHeight="1">
      <c r="A61" s="30"/>
      <c r="B61" s="50" t="s">
        <v>109</v>
      </c>
      <c r="C61" s="49" t="s">
        <v>110</v>
      </c>
      <c r="D61" s="48">
        <v>1</v>
      </c>
      <c r="E61" s="39"/>
      <c r="F61" s="40"/>
      <c r="G61" s="40"/>
      <c r="H61" s="40"/>
      <c r="I61" s="40"/>
      <c r="J61" s="40"/>
    </row>
    <row r="62" spans="1:10" s="2" customFormat="1" ht="20.100000000000001" customHeight="1">
      <c r="A62" s="30"/>
      <c r="B62" s="50" t="s">
        <v>111</v>
      </c>
      <c r="C62" s="49" t="s">
        <v>112</v>
      </c>
      <c r="D62" s="48">
        <v>2</v>
      </c>
      <c r="E62" s="39"/>
      <c r="F62" s="40"/>
      <c r="G62" s="40"/>
      <c r="H62" s="40"/>
      <c r="I62" s="40"/>
      <c r="J62" s="40"/>
    </row>
    <row r="63" spans="1:10" s="2" customFormat="1" ht="20.100000000000001" customHeight="1">
      <c r="A63" s="30"/>
      <c r="B63" s="50" t="s">
        <v>113</v>
      </c>
      <c r="C63" s="49" t="s">
        <v>114</v>
      </c>
      <c r="D63" s="48">
        <v>2</v>
      </c>
      <c r="E63" s="39"/>
      <c r="F63" s="40"/>
      <c r="G63" s="40"/>
      <c r="H63" s="40"/>
      <c r="I63" s="40"/>
      <c r="J63" s="40"/>
    </row>
    <row r="64" spans="1:10" s="2" customFormat="1" ht="20.100000000000001" customHeight="1">
      <c r="A64" s="30"/>
      <c r="B64" s="50" t="s">
        <v>115</v>
      </c>
      <c r="C64" s="49" t="s">
        <v>116</v>
      </c>
      <c r="D64" s="48">
        <v>1</v>
      </c>
      <c r="E64" s="39"/>
      <c r="F64" s="40"/>
      <c r="G64" s="40"/>
      <c r="H64" s="40"/>
      <c r="I64" s="40"/>
      <c r="J64" s="40"/>
    </row>
    <row r="65" spans="1:10" s="2" customFormat="1" ht="20.100000000000001" customHeight="1">
      <c r="A65" s="30"/>
      <c r="B65" s="50" t="s">
        <v>117</v>
      </c>
      <c r="C65" s="49" t="s">
        <v>118</v>
      </c>
      <c r="D65" s="48">
        <v>1</v>
      </c>
      <c r="E65" s="39"/>
      <c r="F65" s="40"/>
      <c r="G65" s="40"/>
      <c r="H65" s="40"/>
      <c r="I65" s="40"/>
      <c r="J65" s="40"/>
    </row>
    <row r="66" spans="1:10" s="2" customFormat="1" ht="20.100000000000001" customHeight="1">
      <c r="A66" s="30"/>
      <c r="B66" s="50" t="s">
        <v>119</v>
      </c>
      <c r="C66" s="49" t="s">
        <v>120</v>
      </c>
      <c r="D66" s="48">
        <v>1</v>
      </c>
      <c r="E66" s="39"/>
      <c r="F66" s="40"/>
      <c r="G66" s="40"/>
      <c r="H66" s="40"/>
      <c r="I66" s="40"/>
      <c r="J66" s="40"/>
    </row>
    <row r="67" spans="1:10" s="2" customFormat="1" ht="20.100000000000001" customHeight="1">
      <c r="A67" s="30"/>
      <c r="B67" s="50" t="s">
        <v>74</v>
      </c>
      <c r="C67" s="49" t="s">
        <v>75</v>
      </c>
      <c r="D67" s="48">
        <v>1</v>
      </c>
      <c r="E67" s="39"/>
      <c r="F67" s="40"/>
      <c r="G67" s="40"/>
      <c r="H67" s="40"/>
      <c r="I67" s="40"/>
      <c r="J67" s="40"/>
    </row>
    <row r="68" spans="1:10" s="2" customFormat="1" ht="20.100000000000001" customHeight="1">
      <c r="A68" s="30"/>
      <c r="B68" s="50" t="s">
        <v>76</v>
      </c>
      <c r="C68" s="49" t="s">
        <v>77</v>
      </c>
      <c r="D68" s="48">
        <v>1</v>
      </c>
      <c r="E68" s="39"/>
      <c r="F68" s="40"/>
      <c r="G68" s="40"/>
      <c r="H68" s="40"/>
      <c r="I68" s="40"/>
      <c r="J68" s="40"/>
    </row>
    <row r="69" spans="1:10" s="2" customFormat="1" ht="20.100000000000001" customHeight="1">
      <c r="A69" s="30"/>
      <c r="B69" s="50" t="s">
        <v>78</v>
      </c>
      <c r="C69" s="49" t="s">
        <v>79</v>
      </c>
      <c r="D69" s="48">
        <v>1</v>
      </c>
      <c r="E69" s="39"/>
      <c r="F69" s="40"/>
      <c r="G69" s="40"/>
      <c r="H69" s="40"/>
      <c r="I69" s="40"/>
      <c r="J69" s="40"/>
    </row>
    <row r="70" spans="1:10" s="2" customFormat="1" ht="20.100000000000001" customHeight="1">
      <c r="A70" s="30"/>
      <c r="B70" s="50" t="s">
        <v>121</v>
      </c>
      <c r="C70" s="49" t="s">
        <v>122</v>
      </c>
      <c r="D70" s="48">
        <v>1</v>
      </c>
      <c r="E70" s="39"/>
      <c r="F70" s="40"/>
      <c r="G70" s="40"/>
      <c r="H70" s="40"/>
      <c r="I70" s="40"/>
      <c r="J70" s="40"/>
    </row>
    <row r="71" spans="1:10" s="56" customFormat="1" ht="21" customHeight="1">
      <c r="A71" s="54"/>
      <c r="B71" s="57" t="s">
        <v>82</v>
      </c>
      <c r="C71" s="55" t="s">
        <v>83</v>
      </c>
      <c r="D71" s="60"/>
      <c r="E71" s="61"/>
      <c r="F71" s="53">
        <f>E71*D71</f>
        <v>0</v>
      </c>
      <c r="G71" s="53"/>
      <c r="H71" s="53"/>
      <c r="I71" s="53"/>
      <c r="J71" s="53"/>
    </row>
    <row r="72" spans="1:10" s="2" customFormat="1" ht="20.100000000000001" customHeight="1">
      <c r="A72" s="30"/>
      <c r="B72" s="50"/>
      <c r="C72" s="51" t="s">
        <v>84</v>
      </c>
      <c r="D72" s="48">
        <v>8</v>
      </c>
      <c r="E72" s="62">
        <v>3136000</v>
      </c>
      <c r="F72" s="40">
        <f>E72*D72</f>
        <v>25088000</v>
      </c>
      <c r="G72" s="13"/>
      <c r="H72" s="13"/>
      <c r="I72" s="52"/>
      <c r="J72" s="13"/>
    </row>
    <row r="73" spans="1:10" s="56" customFormat="1" ht="21" customHeight="1">
      <c r="A73" s="54"/>
      <c r="B73" s="57" t="s">
        <v>123</v>
      </c>
      <c r="C73" s="55"/>
      <c r="D73" s="60"/>
      <c r="E73" s="61"/>
      <c r="F73" s="53"/>
      <c r="G73" s="53"/>
      <c r="H73" s="53"/>
      <c r="I73" s="53"/>
      <c r="J73" s="53"/>
    </row>
    <row r="74" spans="1:10" s="2" customFormat="1" ht="135.75" customHeight="1">
      <c r="A74" s="30"/>
      <c r="B74" s="50" t="s">
        <v>124</v>
      </c>
      <c r="C74" s="50" t="s">
        <v>125</v>
      </c>
      <c r="D74" s="48">
        <v>2</v>
      </c>
      <c r="E74" s="62">
        <v>143600000</v>
      </c>
      <c r="F74" s="40">
        <f t="shared" ref="F74" si="2">E74*D74</f>
        <v>287200000</v>
      </c>
      <c r="G74" s="13"/>
      <c r="H74" s="13"/>
      <c r="I74" s="52"/>
      <c r="J74" s="13"/>
    </row>
    <row r="75" spans="1:10" s="70" customFormat="1" ht="21" customHeight="1">
      <c r="A75" s="64">
        <v>3</v>
      </c>
      <c r="B75" s="65" t="s">
        <v>126</v>
      </c>
      <c r="C75" s="66"/>
      <c r="D75" s="67">
        <v>1</v>
      </c>
      <c r="E75" s="68">
        <v>195507010</v>
      </c>
      <c r="F75" s="69">
        <f>E75*D75</f>
        <v>195507010</v>
      </c>
      <c r="G75" s="69" t="s">
        <v>28</v>
      </c>
      <c r="H75" s="69" t="s">
        <v>96</v>
      </c>
      <c r="I75" s="69" t="s">
        <v>30</v>
      </c>
      <c r="J75" s="69" t="s">
        <v>31</v>
      </c>
    </row>
    <row r="76" spans="1:10" s="2" customFormat="1" ht="20.100000000000001" customHeight="1">
      <c r="A76" s="30"/>
      <c r="B76" s="50" t="s">
        <v>127</v>
      </c>
      <c r="C76" s="49" t="s">
        <v>128</v>
      </c>
      <c r="D76" s="48">
        <v>1</v>
      </c>
      <c r="E76" s="39"/>
      <c r="F76" s="40"/>
      <c r="G76" s="40"/>
      <c r="H76" s="40"/>
      <c r="I76" s="40"/>
      <c r="J76" s="40"/>
    </row>
    <row r="77" spans="1:10" s="2" customFormat="1" ht="25.5">
      <c r="A77" s="30"/>
      <c r="B77" s="50" t="s">
        <v>129</v>
      </c>
      <c r="C77" s="49" t="s">
        <v>130</v>
      </c>
      <c r="D77" s="48">
        <v>1</v>
      </c>
      <c r="E77" s="39"/>
      <c r="F77" s="40"/>
      <c r="G77" s="40"/>
      <c r="H77" s="40"/>
      <c r="I77" s="40"/>
      <c r="J77" s="40"/>
    </row>
    <row r="78" spans="1:10" s="2" customFormat="1" ht="20.100000000000001" customHeight="1">
      <c r="A78" s="30"/>
      <c r="B78" s="50" t="s">
        <v>131</v>
      </c>
      <c r="C78" s="49" t="s">
        <v>132</v>
      </c>
      <c r="D78" s="48">
        <v>1</v>
      </c>
      <c r="E78" s="39"/>
      <c r="F78" s="40"/>
      <c r="G78" s="40"/>
      <c r="H78" s="40"/>
      <c r="I78" s="40"/>
      <c r="J78" s="40"/>
    </row>
    <row r="79" spans="1:10" s="2" customFormat="1" ht="20.100000000000001" customHeight="1">
      <c r="A79" s="30"/>
      <c r="B79" s="50" t="s">
        <v>133</v>
      </c>
      <c r="C79" s="49" t="s">
        <v>134</v>
      </c>
      <c r="D79" s="48">
        <v>1</v>
      </c>
      <c r="E79" s="39"/>
      <c r="F79" s="40"/>
      <c r="G79" s="40"/>
      <c r="H79" s="40"/>
      <c r="I79" s="40"/>
      <c r="J79" s="40"/>
    </row>
    <row r="80" spans="1:10" s="2" customFormat="1" ht="20.100000000000001" customHeight="1">
      <c r="A80" s="30"/>
      <c r="B80" s="50" t="s">
        <v>135</v>
      </c>
      <c r="C80" s="49" t="s">
        <v>136</v>
      </c>
      <c r="D80" s="48">
        <v>1</v>
      </c>
      <c r="E80" s="39"/>
      <c r="F80" s="40"/>
      <c r="G80" s="40"/>
      <c r="H80" s="40"/>
      <c r="I80" s="40"/>
      <c r="J80" s="40"/>
    </row>
    <row r="81" spans="1:10" s="2" customFormat="1" ht="20.100000000000001" customHeight="1">
      <c r="A81" s="30"/>
      <c r="B81" s="50" t="s">
        <v>76</v>
      </c>
      <c r="C81" s="49" t="s">
        <v>77</v>
      </c>
      <c r="D81" s="48">
        <v>1</v>
      </c>
      <c r="E81" s="39"/>
      <c r="F81" s="40"/>
      <c r="G81" s="40"/>
      <c r="H81" s="40"/>
      <c r="I81" s="40"/>
      <c r="J81" s="40"/>
    </row>
    <row r="82" spans="1:10" s="2" customFormat="1" ht="20.100000000000001" customHeight="1">
      <c r="A82" s="30"/>
      <c r="B82" s="50" t="s">
        <v>137</v>
      </c>
      <c r="C82" s="49" t="s">
        <v>138</v>
      </c>
      <c r="D82" s="48">
        <v>1</v>
      </c>
      <c r="E82" s="39"/>
      <c r="F82" s="40"/>
      <c r="G82" s="40"/>
      <c r="H82" s="40"/>
      <c r="I82" s="40"/>
      <c r="J82" s="40"/>
    </row>
    <row r="83" spans="1:10" s="70" customFormat="1" ht="21" customHeight="1">
      <c r="A83" s="64">
        <v>4</v>
      </c>
      <c r="B83" s="65" t="s">
        <v>139</v>
      </c>
      <c r="C83" s="66"/>
      <c r="D83" s="67">
        <v>1</v>
      </c>
      <c r="E83" s="68">
        <v>88087850</v>
      </c>
      <c r="F83" s="69">
        <f>E83*D83</f>
        <v>88087850</v>
      </c>
      <c r="G83" s="69" t="s">
        <v>140</v>
      </c>
      <c r="H83" s="69" t="s">
        <v>141</v>
      </c>
      <c r="I83" s="69" t="s">
        <v>142</v>
      </c>
      <c r="J83" s="69" t="s">
        <v>31</v>
      </c>
    </row>
    <row r="84" spans="1:10" s="2" customFormat="1" ht="20.100000000000001" customHeight="1">
      <c r="A84" s="30"/>
      <c r="B84" s="50" t="s">
        <v>143</v>
      </c>
      <c r="C84" s="49" t="s">
        <v>144</v>
      </c>
      <c r="D84" s="48">
        <v>1</v>
      </c>
      <c r="E84" s="39"/>
      <c r="F84" s="40"/>
      <c r="G84" s="40"/>
      <c r="H84" s="40"/>
      <c r="I84" s="40"/>
      <c r="J84" s="40"/>
    </row>
    <row r="85" spans="1:10" s="2" customFormat="1" ht="20.100000000000001" customHeight="1">
      <c r="A85" s="30"/>
      <c r="B85" s="50" t="s">
        <v>145</v>
      </c>
      <c r="C85" s="49" t="s">
        <v>146</v>
      </c>
      <c r="D85" s="48">
        <v>1</v>
      </c>
      <c r="E85" s="39"/>
      <c r="F85" s="40"/>
      <c r="G85" s="40"/>
      <c r="H85" s="40"/>
      <c r="I85" s="40"/>
      <c r="J85" s="40"/>
    </row>
    <row r="86" spans="1:10" s="2" customFormat="1" ht="20.100000000000001" customHeight="1">
      <c r="A86" s="30"/>
      <c r="B86" s="50" t="s">
        <v>147</v>
      </c>
      <c r="C86" s="49" t="s">
        <v>148</v>
      </c>
      <c r="D86" s="48">
        <v>1</v>
      </c>
      <c r="E86" s="39"/>
      <c r="F86" s="40"/>
      <c r="G86" s="40"/>
      <c r="H86" s="40"/>
      <c r="I86" s="40"/>
      <c r="J86" s="40"/>
    </row>
    <row r="87" spans="1:10" s="2" customFormat="1" ht="20.100000000000001" customHeight="1">
      <c r="A87" s="30"/>
      <c r="B87" s="50" t="s">
        <v>149</v>
      </c>
      <c r="C87" s="49" t="s">
        <v>150</v>
      </c>
      <c r="D87" s="48">
        <v>3</v>
      </c>
      <c r="E87" s="39"/>
      <c r="F87" s="40"/>
      <c r="G87" s="40"/>
      <c r="H87" s="40"/>
      <c r="I87" s="40"/>
      <c r="J87" s="40"/>
    </row>
    <row r="88" spans="1:10" s="70" customFormat="1" ht="21" customHeight="1">
      <c r="A88" s="64">
        <v>5</v>
      </c>
      <c r="B88" s="71" t="s">
        <v>151</v>
      </c>
      <c r="C88" s="66"/>
      <c r="D88" s="67">
        <v>1</v>
      </c>
      <c r="E88" s="68">
        <v>59045000</v>
      </c>
      <c r="F88" s="69">
        <f>E88*D88</f>
        <v>59045000</v>
      </c>
      <c r="G88" s="69" t="s">
        <v>140</v>
      </c>
      <c r="H88" s="69" t="s">
        <v>141</v>
      </c>
      <c r="I88" s="69" t="s">
        <v>142</v>
      </c>
      <c r="J88" s="69" t="s">
        <v>31</v>
      </c>
    </row>
    <row r="89" spans="1:10" s="2" customFormat="1" ht="20.100000000000001" customHeight="1">
      <c r="A89" s="30"/>
      <c r="B89" s="50" t="s">
        <v>152</v>
      </c>
      <c r="C89" s="63" t="s">
        <v>153</v>
      </c>
      <c r="D89" s="48">
        <v>1</v>
      </c>
      <c r="E89" s="29"/>
      <c r="F89" s="40"/>
      <c r="G89" s="13"/>
      <c r="H89" s="13"/>
      <c r="I89" s="52"/>
      <c r="J89" s="13"/>
    </row>
    <row r="90" spans="1:10" s="2" customFormat="1" ht="20.100000000000001" customHeight="1">
      <c r="A90" s="30"/>
      <c r="B90" s="50" t="s">
        <v>99</v>
      </c>
      <c r="C90" s="51" t="s">
        <v>100</v>
      </c>
      <c r="D90" s="48">
        <v>1</v>
      </c>
      <c r="E90" s="29"/>
      <c r="F90" s="40"/>
      <c r="G90" s="13"/>
      <c r="H90" s="13"/>
      <c r="I90" s="52"/>
      <c r="J90" s="13"/>
    </row>
    <row r="91" spans="1:10" s="2" customFormat="1" ht="25.5">
      <c r="A91" s="30"/>
      <c r="B91" s="50" t="s">
        <v>101</v>
      </c>
      <c r="C91" s="50" t="s">
        <v>102</v>
      </c>
      <c r="D91" s="48">
        <v>1</v>
      </c>
      <c r="E91" s="29"/>
      <c r="F91" s="40"/>
      <c r="G91" s="13"/>
      <c r="H91" s="13"/>
      <c r="I91" s="52"/>
      <c r="J91" s="13"/>
    </row>
    <row r="92" spans="1:10" s="2" customFormat="1" ht="20.100000000000001" customHeight="1">
      <c r="A92" s="30"/>
      <c r="B92" s="50" t="s">
        <v>154</v>
      </c>
      <c r="C92" s="51" t="s">
        <v>155</v>
      </c>
      <c r="D92" s="48">
        <v>2</v>
      </c>
      <c r="E92" s="29"/>
      <c r="F92" s="40"/>
      <c r="G92" s="13"/>
      <c r="H92" s="13"/>
      <c r="I92" s="52"/>
      <c r="J92" s="13"/>
    </row>
    <row r="93" spans="1:10" s="2" customFormat="1" ht="20.100000000000001" customHeight="1">
      <c r="A93" s="30"/>
      <c r="B93" s="50" t="s">
        <v>103</v>
      </c>
      <c r="C93" s="51" t="s">
        <v>104</v>
      </c>
      <c r="D93" s="48">
        <v>1</v>
      </c>
      <c r="E93" s="29"/>
      <c r="F93" s="40"/>
      <c r="G93" s="13"/>
      <c r="H93" s="13"/>
      <c r="I93" s="52"/>
      <c r="J93" s="13"/>
    </row>
    <row r="94" spans="1:10" s="2" customFormat="1" ht="20.100000000000001" customHeight="1">
      <c r="A94" s="30"/>
      <c r="B94" s="50" t="s">
        <v>111</v>
      </c>
      <c r="C94" s="51" t="s">
        <v>112</v>
      </c>
      <c r="D94" s="48">
        <v>1</v>
      </c>
      <c r="E94" s="29"/>
      <c r="F94" s="40"/>
      <c r="G94" s="13"/>
      <c r="H94" s="13"/>
      <c r="I94" s="52"/>
      <c r="J94" s="13"/>
    </row>
    <row r="95" spans="1:10" s="2" customFormat="1" ht="20.100000000000001" customHeight="1">
      <c r="A95" s="30"/>
      <c r="B95" s="50" t="s">
        <v>156</v>
      </c>
      <c r="C95" s="51" t="s">
        <v>157</v>
      </c>
      <c r="D95" s="48">
        <v>1</v>
      </c>
      <c r="E95" s="29"/>
      <c r="F95" s="40"/>
      <c r="G95" s="13"/>
      <c r="H95" s="13"/>
      <c r="I95" s="52"/>
      <c r="J95" s="13"/>
    </row>
    <row r="96" spans="1:10" s="2" customFormat="1" ht="20.100000000000001" customHeight="1">
      <c r="A96" s="30"/>
      <c r="B96" s="50" t="s">
        <v>158</v>
      </c>
      <c r="C96" s="51" t="s">
        <v>159</v>
      </c>
      <c r="D96" s="48">
        <v>1</v>
      </c>
      <c r="E96" s="29"/>
      <c r="F96" s="40"/>
      <c r="G96" s="13"/>
      <c r="H96" s="13"/>
      <c r="I96" s="52"/>
      <c r="J96" s="13"/>
    </row>
    <row r="97" spans="1:10" s="2" customFormat="1" ht="20.100000000000001" customHeight="1">
      <c r="A97" s="30"/>
      <c r="B97" s="50" t="s">
        <v>160</v>
      </c>
      <c r="C97" s="51" t="s">
        <v>161</v>
      </c>
      <c r="D97" s="48">
        <v>1</v>
      </c>
      <c r="E97" s="29"/>
      <c r="F97" s="40"/>
      <c r="G97" s="13"/>
      <c r="H97" s="13"/>
      <c r="I97" s="52"/>
      <c r="J97" s="13"/>
    </row>
    <row r="98" spans="1:10" s="2" customFormat="1" ht="20.100000000000001" customHeight="1">
      <c r="A98" s="30"/>
      <c r="B98" s="50" t="s">
        <v>162</v>
      </c>
      <c r="C98" s="51" t="s">
        <v>163</v>
      </c>
      <c r="D98" s="48">
        <v>1</v>
      </c>
      <c r="E98" s="29"/>
      <c r="F98" s="40"/>
      <c r="G98" s="13"/>
      <c r="H98" s="13"/>
      <c r="I98" s="52"/>
      <c r="J98" s="13"/>
    </row>
    <row r="99" spans="1:10" s="2" customFormat="1" ht="25.5">
      <c r="A99" s="30"/>
      <c r="B99" s="50" t="s">
        <v>164</v>
      </c>
      <c r="C99" s="50" t="s">
        <v>165</v>
      </c>
      <c r="D99" s="48">
        <v>1</v>
      </c>
      <c r="E99" s="29"/>
      <c r="F99" s="40"/>
      <c r="G99" s="13"/>
      <c r="H99" s="13"/>
      <c r="I99" s="52"/>
      <c r="J99" s="13"/>
    </row>
    <row r="100" spans="1:10" s="4" customFormat="1" ht="21.75" customHeight="1">
      <c r="A100" s="22"/>
      <c r="B100" s="112" t="s">
        <v>166</v>
      </c>
      <c r="C100" s="113"/>
      <c r="D100" s="113"/>
      <c r="E100" s="114"/>
      <c r="F100" s="23">
        <f>SUM(F16:F99)</f>
        <v>2428042010</v>
      </c>
      <c r="G100" s="23"/>
      <c r="H100" s="23"/>
      <c r="I100" s="23"/>
      <c r="J100" s="23"/>
    </row>
    <row r="101" spans="1:10" s="4" customFormat="1" ht="21.75" customHeight="1">
      <c r="A101" s="22"/>
      <c r="B101" s="112" t="s">
        <v>167</v>
      </c>
      <c r="C101" s="113"/>
      <c r="D101" s="113"/>
      <c r="E101" s="114"/>
      <c r="F101" s="23">
        <f>(F100-F43-F44-F46-F47-F49-F50-F51-F72-F74)*0.1</f>
        <v>160982901</v>
      </c>
      <c r="G101" s="23"/>
      <c r="H101" s="23"/>
      <c r="I101" s="23"/>
      <c r="J101" s="23"/>
    </row>
    <row r="102" spans="1:10" s="4" customFormat="1" ht="21.75" customHeight="1">
      <c r="A102" s="22"/>
      <c r="B102" s="112" t="s">
        <v>168</v>
      </c>
      <c r="C102" s="113"/>
      <c r="D102" s="113"/>
      <c r="E102" s="114"/>
      <c r="F102" s="23">
        <f>SUM(F100:F101)</f>
        <v>2589024911</v>
      </c>
      <c r="G102" s="23"/>
      <c r="H102" s="23"/>
      <c r="I102" s="23"/>
      <c r="J102" s="23"/>
    </row>
    <row r="103" spans="1:10" s="4" customFormat="1" ht="21.75" customHeight="1">
      <c r="A103" s="24"/>
      <c r="B103" s="33"/>
      <c r="C103" s="33"/>
      <c r="D103" s="33"/>
      <c r="E103" s="33"/>
      <c r="F103" s="34"/>
      <c r="G103" s="34"/>
      <c r="H103" s="34"/>
      <c r="I103" s="34"/>
      <c r="J103" s="34"/>
    </row>
    <row r="104" spans="1:10" s="4" customFormat="1" ht="10.35" customHeight="1">
      <c r="A104" s="24"/>
      <c r="B104" s="25"/>
      <c r="C104" s="25"/>
      <c r="D104" s="24"/>
      <c r="E104" s="25"/>
      <c r="F104" s="26"/>
      <c r="G104" s="26"/>
      <c r="H104" s="26"/>
      <c r="I104" s="26"/>
      <c r="J104" s="26"/>
    </row>
    <row r="105" spans="1:10" ht="17.25" customHeight="1">
      <c r="A105" s="19"/>
      <c r="B105" s="9" t="s">
        <v>169</v>
      </c>
      <c r="C105" s="20"/>
      <c r="D105" s="28"/>
      <c r="E105" s="10"/>
      <c r="F105" s="10"/>
      <c r="G105" s="10"/>
      <c r="H105" s="10"/>
      <c r="I105" s="10"/>
      <c r="J105" s="10"/>
    </row>
    <row r="106" spans="1:10" ht="16.5" customHeight="1">
      <c r="B106" s="8" t="s">
        <v>170</v>
      </c>
      <c r="C106" s="8"/>
      <c r="E106" s="8"/>
      <c r="F106" s="8"/>
      <c r="G106" s="8"/>
      <c r="H106" s="8"/>
      <c r="I106" s="8"/>
      <c r="J106" s="8"/>
    </row>
    <row r="107" spans="1:10" ht="14.25">
      <c r="B107" s="8" t="s">
        <v>171</v>
      </c>
      <c r="C107" s="8"/>
      <c r="E107" s="8"/>
      <c r="F107" s="8"/>
      <c r="G107" s="8"/>
      <c r="H107" s="8"/>
      <c r="I107" s="8"/>
      <c r="J107" s="8"/>
    </row>
    <row r="108" spans="1:10" ht="14.25" customHeight="1">
      <c r="B108" s="11" t="s">
        <v>172</v>
      </c>
      <c r="C108" s="8"/>
      <c r="E108" s="8"/>
      <c r="F108" s="8"/>
      <c r="G108" s="8"/>
      <c r="H108" s="8"/>
      <c r="I108" s="8"/>
      <c r="J108" s="8"/>
    </row>
    <row r="109" spans="1:10" ht="15.6" customHeight="1">
      <c r="B109" s="8" t="s">
        <v>173</v>
      </c>
      <c r="C109" s="8"/>
      <c r="E109" s="8"/>
      <c r="F109" s="8"/>
      <c r="G109" s="8"/>
      <c r="H109" s="8"/>
      <c r="I109" s="8"/>
      <c r="J109" s="8"/>
    </row>
    <row r="110" spans="1:10" ht="13.5" customHeight="1">
      <c r="B110" s="8" t="s">
        <v>174</v>
      </c>
      <c r="C110" s="8"/>
    </row>
    <row r="111" spans="1:10" ht="13.5" customHeight="1">
      <c r="B111" s="8"/>
      <c r="C111" s="8"/>
      <c r="F111" s="8"/>
      <c r="G111" s="8"/>
      <c r="H111" s="8"/>
      <c r="I111" s="8"/>
      <c r="J111" s="8"/>
    </row>
    <row r="112" spans="1:10" ht="13.5" customHeight="1">
      <c r="B112" s="8"/>
      <c r="C112" s="8"/>
      <c r="F112" s="8"/>
      <c r="G112" s="8"/>
      <c r="H112" s="8"/>
      <c r="I112" s="8"/>
      <c r="J112" s="8"/>
    </row>
    <row r="113" spans="2:10" ht="13.5" customHeight="1">
      <c r="B113" s="8"/>
      <c r="C113" s="8"/>
      <c r="F113" s="8"/>
      <c r="G113" s="8"/>
      <c r="H113" s="8"/>
      <c r="I113" s="8"/>
      <c r="J113" s="8"/>
    </row>
    <row r="114" spans="2:10" ht="15">
      <c r="C114" s="11"/>
      <c r="E114" s="8"/>
      <c r="F114" s="8"/>
      <c r="G114" s="8"/>
      <c r="H114" s="8"/>
      <c r="I114" s="8"/>
      <c r="J114" s="8"/>
    </row>
    <row r="115" spans="2:10" ht="13.5" customHeight="1">
      <c r="B115" s="11"/>
      <c r="C115" s="11"/>
      <c r="E115" s="8"/>
      <c r="F115" s="8"/>
      <c r="G115" s="8"/>
      <c r="H115" s="8"/>
      <c r="I115" s="8"/>
      <c r="J115" s="8"/>
    </row>
    <row r="116" spans="2:10" ht="15">
      <c r="B116" s="11"/>
      <c r="C116" s="11"/>
      <c r="E116" s="8"/>
      <c r="F116" s="8"/>
      <c r="G116" s="8"/>
      <c r="H116" s="8"/>
      <c r="I116" s="8"/>
      <c r="J116" s="8"/>
    </row>
    <row r="117" spans="2:10" ht="15">
      <c r="B117" s="11"/>
      <c r="C117" s="8"/>
      <c r="E117" s="8"/>
      <c r="F117" s="8"/>
      <c r="G117" s="8"/>
      <c r="H117" s="8"/>
      <c r="I117" s="8"/>
      <c r="J117" s="8"/>
    </row>
    <row r="118" spans="2:10" ht="14.25">
      <c r="B118" s="8"/>
      <c r="C118" s="8"/>
      <c r="E118" s="8"/>
      <c r="F118" s="8"/>
      <c r="G118" s="8"/>
      <c r="H118" s="8"/>
      <c r="I118" s="8"/>
      <c r="J118" s="8"/>
    </row>
  </sheetData>
  <mergeCells count="14">
    <mergeCell ref="B102:E102"/>
    <mergeCell ref="F13:G13"/>
    <mergeCell ref="B101:E101"/>
    <mergeCell ref="B100:E100"/>
    <mergeCell ref="B14:F14"/>
    <mergeCell ref="C1:F4"/>
    <mergeCell ref="C11:F11"/>
    <mergeCell ref="F12:G12"/>
    <mergeCell ref="C10:F10"/>
    <mergeCell ref="C6:F6"/>
    <mergeCell ref="C7:F7"/>
    <mergeCell ref="C8:F8"/>
    <mergeCell ref="C9:F9"/>
    <mergeCell ref="B5:F5"/>
  </mergeCells>
  <phoneticPr fontId="0" type="noConversion"/>
  <printOptions horizontalCentered="1"/>
  <pageMargins left="0.39370078740157483" right="0.19685039370078741" top="0.39370078740157483" bottom="0.19685039370078741" header="0" footer="0"/>
  <pageSetup paperSize="9" scale="52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0"/>
  <sheetViews>
    <sheetView tabSelected="1" view="pageBreakPreview" topLeftCell="A76" zoomScaleNormal="100" zoomScaleSheetLayoutView="100" workbookViewId="0">
      <selection activeCell="C89" sqref="C89"/>
    </sheetView>
  </sheetViews>
  <sheetFormatPr defaultColWidth="9.140625" defaultRowHeight="16.5"/>
  <cols>
    <col min="1" max="1" width="6" style="89" customWidth="1"/>
    <col min="2" max="2" width="30.42578125" style="90" customWidth="1"/>
    <col min="3" max="3" width="47.42578125" style="90" customWidth="1"/>
    <col min="4" max="4" width="8.28515625" style="91" customWidth="1"/>
    <col min="5" max="6" width="10.42578125" style="92" customWidth="1"/>
    <col min="7" max="7" width="12" style="91" customWidth="1"/>
    <col min="8" max="8" width="15.5703125" style="94" customWidth="1"/>
    <col min="9" max="16384" width="9.140625" style="72"/>
  </cols>
  <sheetData>
    <row r="1" spans="1:8" s="75" customFormat="1" ht="35.25" customHeight="1">
      <c r="A1" s="73" t="s">
        <v>179</v>
      </c>
      <c r="B1" s="74" t="s">
        <v>180</v>
      </c>
      <c r="C1" s="74" t="s">
        <v>19</v>
      </c>
      <c r="D1" s="74" t="s">
        <v>178</v>
      </c>
      <c r="E1" s="73" t="s">
        <v>23</v>
      </c>
      <c r="F1" s="73" t="s">
        <v>24</v>
      </c>
      <c r="G1" s="73" t="s">
        <v>181</v>
      </c>
      <c r="H1" s="73" t="s">
        <v>182</v>
      </c>
    </row>
    <row r="2" spans="1:8" s="80" customFormat="1" ht="33" customHeight="1">
      <c r="A2" s="76">
        <v>1</v>
      </c>
      <c r="B2" s="88" t="s">
        <v>27</v>
      </c>
      <c r="C2" s="77"/>
      <c r="D2" s="73">
        <v>2</v>
      </c>
      <c r="E2" s="78" t="s">
        <v>28</v>
      </c>
      <c r="F2" s="78" t="s">
        <v>29</v>
      </c>
      <c r="G2" s="78" t="s">
        <v>30</v>
      </c>
      <c r="H2" s="79"/>
    </row>
    <row r="3" spans="1:8" s="80" customFormat="1" ht="33">
      <c r="A3" s="81"/>
      <c r="B3" s="82" t="s">
        <v>32</v>
      </c>
      <c r="C3" s="83" t="s">
        <v>33</v>
      </c>
      <c r="D3" s="84">
        <v>1</v>
      </c>
      <c r="E3" s="85"/>
      <c r="F3" s="85"/>
      <c r="G3" s="85"/>
      <c r="H3" s="86"/>
    </row>
    <row r="4" spans="1:8" s="75" customFormat="1" ht="33">
      <c r="A4" s="76"/>
      <c r="B4" s="82" t="s">
        <v>34</v>
      </c>
      <c r="C4" s="83" t="s">
        <v>35</v>
      </c>
      <c r="D4" s="84">
        <v>2</v>
      </c>
      <c r="E4" s="78"/>
      <c r="F4" s="78"/>
      <c r="G4" s="78"/>
      <c r="H4" s="79"/>
    </row>
    <row r="5" spans="1:8" s="75" customFormat="1" ht="49.5">
      <c r="A5" s="76"/>
      <c r="B5" s="82" t="s">
        <v>36</v>
      </c>
      <c r="C5" s="83" t="s">
        <v>37</v>
      </c>
      <c r="D5" s="84">
        <v>8</v>
      </c>
      <c r="E5" s="78"/>
      <c r="F5" s="78"/>
      <c r="G5" s="78"/>
      <c r="H5" s="79"/>
    </row>
    <row r="6" spans="1:8" s="75" customFormat="1" ht="49.5">
      <c r="A6" s="76"/>
      <c r="B6" s="82" t="s">
        <v>38</v>
      </c>
      <c r="C6" s="83" t="s">
        <v>39</v>
      </c>
      <c r="D6" s="84">
        <v>1</v>
      </c>
      <c r="E6" s="78"/>
      <c r="F6" s="78"/>
      <c r="G6" s="78"/>
      <c r="H6" s="79"/>
    </row>
    <row r="7" spans="1:8" s="75" customFormat="1" ht="49.5">
      <c r="A7" s="76"/>
      <c r="B7" s="82" t="s">
        <v>40</v>
      </c>
      <c r="C7" s="83" t="s">
        <v>41</v>
      </c>
      <c r="D7" s="84">
        <v>8</v>
      </c>
      <c r="E7" s="78"/>
      <c r="F7" s="78"/>
      <c r="G7" s="78"/>
      <c r="H7" s="79"/>
    </row>
    <row r="8" spans="1:8" s="75" customFormat="1" ht="33">
      <c r="A8" s="76"/>
      <c r="B8" s="82" t="s">
        <v>42</v>
      </c>
      <c r="C8" s="83" t="s">
        <v>43</v>
      </c>
      <c r="D8" s="84">
        <v>2</v>
      </c>
      <c r="E8" s="78"/>
      <c r="F8" s="78"/>
      <c r="G8" s="78"/>
      <c r="H8" s="79"/>
    </row>
    <row r="9" spans="1:8" s="75" customFormat="1" ht="33">
      <c r="A9" s="76"/>
      <c r="B9" s="82" t="s">
        <v>44</v>
      </c>
      <c r="C9" s="83" t="s">
        <v>45</v>
      </c>
      <c r="D9" s="84">
        <v>1</v>
      </c>
      <c r="E9" s="78"/>
      <c r="F9" s="78"/>
      <c r="G9" s="78"/>
      <c r="H9" s="79"/>
    </row>
    <row r="10" spans="1:8" s="75" customFormat="1" ht="33">
      <c r="A10" s="76"/>
      <c r="B10" s="82" t="s">
        <v>46</v>
      </c>
      <c r="C10" s="83" t="s">
        <v>47</v>
      </c>
      <c r="D10" s="84">
        <v>1</v>
      </c>
      <c r="E10" s="78"/>
      <c r="F10" s="78"/>
      <c r="G10" s="78"/>
      <c r="H10" s="79"/>
    </row>
    <row r="11" spans="1:8" s="75" customFormat="1" ht="33">
      <c r="A11" s="76"/>
      <c r="B11" s="82" t="s">
        <v>48</v>
      </c>
      <c r="C11" s="83" t="s">
        <v>49</v>
      </c>
      <c r="D11" s="84">
        <v>1</v>
      </c>
      <c r="E11" s="78"/>
      <c r="F11" s="78"/>
      <c r="G11" s="78"/>
      <c r="H11" s="79"/>
    </row>
    <row r="12" spans="1:8" s="75" customFormat="1" ht="49.5">
      <c r="A12" s="76"/>
      <c r="B12" s="82" t="s">
        <v>50</v>
      </c>
      <c r="C12" s="83" t="s">
        <v>51</v>
      </c>
      <c r="D12" s="84">
        <v>1</v>
      </c>
      <c r="E12" s="78"/>
      <c r="F12" s="78"/>
      <c r="G12" s="78"/>
      <c r="H12" s="79"/>
    </row>
    <row r="13" spans="1:8" s="75" customFormat="1" ht="33">
      <c r="A13" s="76"/>
      <c r="B13" s="82" t="s">
        <v>52</v>
      </c>
      <c r="C13" s="83" t="s">
        <v>53</v>
      </c>
      <c r="D13" s="84">
        <v>1</v>
      </c>
      <c r="E13" s="78"/>
      <c r="F13" s="78"/>
      <c r="G13" s="78"/>
      <c r="H13" s="79"/>
    </row>
    <row r="14" spans="1:8" s="75" customFormat="1" ht="33">
      <c r="A14" s="76"/>
      <c r="B14" s="82" t="s">
        <v>54</v>
      </c>
      <c r="C14" s="83" t="s">
        <v>55</v>
      </c>
      <c r="D14" s="84">
        <v>1</v>
      </c>
      <c r="E14" s="78"/>
      <c r="F14" s="78"/>
      <c r="G14" s="78"/>
      <c r="H14" s="79"/>
    </row>
    <row r="15" spans="1:8" s="75" customFormat="1" ht="33">
      <c r="A15" s="76"/>
      <c r="B15" s="82" t="s">
        <v>56</v>
      </c>
      <c r="C15" s="83" t="s">
        <v>57</v>
      </c>
      <c r="D15" s="84">
        <v>2</v>
      </c>
      <c r="E15" s="78"/>
      <c r="F15" s="78"/>
      <c r="G15" s="78"/>
      <c r="H15" s="79"/>
    </row>
    <row r="16" spans="1:8" s="75" customFormat="1" ht="33">
      <c r="A16" s="76"/>
      <c r="B16" s="82" t="s">
        <v>58</v>
      </c>
      <c r="C16" s="83" t="s">
        <v>59</v>
      </c>
      <c r="D16" s="84">
        <v>1</v>
      </c>
      <c r="E16" s="78"/>
      <c r="F16" s="78"/>
      <c r="G16" s="78"/>
      <c r="H16" s="79"/>
    </row>
    <row r="17" spans="1:8" s="75" customFormat="1">
      <c r="A17" s="76"/>
      <c r="B17" s="82" t="s">
        <v>60</v>
      </c>
      <c r="C17" s="83" t="s">
        <v>61</v>
      </c>
      <c r="D17" s="84">
        <v>1</v>
      </c>
      <c r="E17" s="78"/>
      <c r="F17" s="78"/>
      <c r="G17" s="78"/>
      <c r="H17" s="79"/>
    </row>
    <row r="18" spans="1:8" s="75" customFormat="1" ht="33">
      <c r="A18" s="76"/>
      <c r="B18" s="82" t="s">
        <v>62</v>
      </c>
      <c r="C18" s="83" t="s">
        <v>63</v>
      </c>
      <c r="D18" s="84">
        <v>1</v>
      </c>
      <c r="E18" s="78"/>
      <c r="F18" s="78"/>
      <c r="G18" s="78"/>
      <c r="H18" s="79"/>
    </row>
    <row r="19" spans="1:8" s="75" customFormat="1" ht="33">
      <c r="A19" s="76"/>
      <c r="B19" s="82" t="s">
        <v>64</v>
      </c>
      <c r="C19" s="83" t="s">
        <v>65</v>
      </c>
      <c r="D19" s="84">
        <v>1</v>
      </c>
      <c r="E19" s="78"/>
      <c r="F19" s="78"/>
      <c r="G19" s="78"/>
      <c r="H19" s="79"/>
    </row>
    <row r="20" spans="1:8" s="75" customFormat="1" ht="33">
      <c r="A20" s="76"/>
      <c r="B20" s="82" t="s">
        <v>66</v>
      </c>
      <c r="C20" s="83" t="s">
        <v>67</v>
      </c>
      <c r="D20" s="84">
        <v>1</v>
      </c>
      <c r="E20" s="78"/>
      <c r="F20" s="78"/>
      <c r="G20" s="78"/>
      <c r="H20" s="79"/>
    </row>
    <row r="21" spans="1:8" s="75" customFormat="1" ht="33">
      <c r="A21" s="76"/>
      <c r="B21" s="82" t="s">
        <v>68</v>
      </c>
      <c r="C21" s="83" t="s">
        <v>69</v>
      </c>
      <c r="D21" s="84">
        <v>2</v>
      </c>
      <c r="E21" s="78"/>
      <c r="F21" s="78"/>
      <c r="G21" s="78"/>
      <c r="H21" s="79"/>
    </row>
    <row r="22" spans="1:8" s="75" customFormat="1">
      <c r="A22" s="76"/>
      <c r="B22" s="82" t="s">
        <v>70</v>
      </c>
      <c r="C22" s="83" t="s">
        <v>71</v>
      </c>
      <c r="D22" s="84">
        <v>1</v>
      </c>
      <c r="E22" s="78"/>
      <c r="F22" s="78"/>
      <c r="G22" s="78"/>
      <c r="H22" s="79"/>
    </row>
    <row r="23" spans="1:8" s="75" customFormat="1" ht="33">
      <c r="A23" s="76"/>
      <c r="B23" s="82" t="s">
        <v>72</v>
      </c>
      <c r="C23" s="83" t="s">
        <v>73</v>
      </c>
      <c r="D23" s="84">
        <v>1</v>
      </c>
      <c r="E23" s="78"/>
      <c r="F23" s="78"/>
      <c r="G23" s="78"/>
      <c r="H23" s="79"/>
    </row>
    <row r="24" spans="1:8" s="75" customFormat="1" ht="33">
      <c r="A24" s="76"/>
      <c r="B24" s="82" t="s">
        <v>74</v>
      </c>
      <c r="C24" s="83" t="s">
        <v>75</v>
      </c>
      <c r="D24" s="84">
        <v>1</v>
      </c>
      <c r="E24" s="78"/>
      <c r="F24" s="78"/>
      <c r="G24" s="78"/>
      <c r="H24" s="79"/>
    </row>
    <row r="25" spans="1:8" s="75" customFormat="1">
      <c r="A25" s="76"/>
      <c r="B25" s="82" t="s">
        <v>76</v>
      </c>
      <c r="C25" s="83" t="s">
        <v>77</v>
      </c>
      <c r="D25" s="84">
        <v>1</v>
      </c>
      <c r="E25" s="78"/>
      <c r="F25" s="78"/>
      <c r="G25" s="78"/>
      <c r="H25" s="79"/>
    </row>
    <row r="26" spans="1:8" s="75" customFormat="1">
      <c r="A26" s="76"/>
      <c r="B26" s="82" t="s">
        <v>78</v>
      </c>
      <c r="C26" s="83" t="s">
        <v>79</v>
      </c>
      <c r="D26" s="84">
        <v>1</v>
      </c>
      <c r="E26" s="78"/>
      <c r="F26" s="78"/>
      <c r="G26" s="78"/>
      <c r="H26" s="79"/>
    </row>
    <row r="27" spans="1:8" s="75" customFormat="1">
      <c r="A27" s="76"/>
      <c r="B27" s="82" t="s">
        <v>80</v>
      </c>
      <c r="C27" s="83" t="s">
        <v>81</v>
      </c>
      <c r="D27" s="84">
        <v>1</v>
      </c>
      <c r="E27" s="78"/>
      <c r="F27" s="78"/>
      <c r="G27" s="78"/>
      <c r="H27" s="79"/>
    </row>
    <row r="28" spans="1:8" s="80" customFormat="1">
      <c r="A28" s="76"/>
      <c r="B28" s="88" t="s">
        <v>82</v>
      </c>
      <c r="C28" s="77" t="s">
        <v>83</v>
      </c>
      <c r="D28" s="73"/>
      <c r="E28" s="78"/>
      <c r="F28" s="78"/>
      <c r="G28" s="78"/>
      <c r="H28" s="79"/>
    </row>
    <row r="29" spans="1:8" s="75" customFormat="1" ht="33">
      <c r="A29" s="76"/>
      <c r="B29" s="82"/>
      <c r="C29" s="82" t="s">
        <v>84</v>
      </c>
      <c r="D29" s="84">
        <v>144</v>
      </c>
      <c r="E29" s="87"/>
      <c r="F29" s="87"/>
      <c r="G29" s="84"/>
      <c r="H29" s="84" t="s">
        <v>183</v>
      </c>
    </row>
    <row r="30" spans="1:8" s="75" customFormat="1">
      <c r="A30" s="76"/>
      <c r="B30" s="82"/>
      <c r="C30" s="82" t="s">
        <v>85</v>
      </c>
      <c r="D30" s="84">
        <v>5</v>
      </c>
      <c r="E30" s="87"/>
      <c r="F30" s="87"/>
      <c r="G30" s="84"/>
      <c r="H30" s="84" t="s">
        <v>183</v>
      </c>
    </row>
    <row r="31" spans="1:8" s="80" customFormat="1">
      <c r="A31" s="76"/>
      <c r="B31" s="88"/>
      <c r="C31" s="77" t="s">
        <v>86</v>
      </c>
      <c r="D31" s="73"/>
      <c r="E31" s="78"/>
      <c r="F31" s="78"/>
      <c r="G31" s="78"/>
      <c r="H31" s="79"/>
    </row>
    <row r="32" spans="1:8" s="75" customFormat="1" ht="49.5">
      <c r="A32" s="76"/>
      <c r="B32" s="82" t="s">
        <v>176</v>
      </c>
      <c r="C32" s="82" t="s">
        <v>87</v>
      </c>
      <c r="D32" s="84">
        <v>1</v>
      </c>
      <c r="E32" s="87"/>
      <c r="F32" s="87"/>
      <c r="G32" s="84"/>
      <c r="H32" s="84" t="s">
        <v>183</v>
      </c>
    </row>
    <row r="33" spans="1:8" s="75" customFormat="1" ht="49.5">
      <c r="A33" s="76"/>
      <c r="B33" s="82" t="s">
        <v>177</v>
      </c>
      <c r="C33" s="82" t="s">
        <v>175</v>
      </c>
      <c r="D33" s="84">
        <v>1</v>
      </c>
      <c r="E33" s="87"/>
      <c r="F33" s="87"/>
      <c r="G33" s="84"/>
      <c r="H33" s="84" t="s">
        <v>183</v>
      </c>
    </row>
    <row r="34" spans="1:8" s="80" customFormat="1">
      <c r="A34" s="76"/>
      <c r="B34" s="88"/>
      <c r="C34" s="77" t="s">
        <v>88</v>
      </c>
      <c r="D34" s="73"/>
      <c r="E34" s="78"/>
      <c r="F34" s="78"/>
      <c r="G34" s="78"/>
      <c r="H34" s="79"/>
    </row>
    <row r="35" spans="1:8" s="75" customFormat="1" ht="33">
      <c r="A35" s="76"/>
      <c r="B35" s="82" t="s">
        <v>89</v>
      </c>
      <c r="C35" s="82" t="s">
        <v>90</v>
      </c>
      <c r="D35" s="84">
        <v>1</v>
      </c>
      <c r="E35" s="87"/>
      <c r="F35" s="87"/>
      <c r="G35" s="84"/>
      <c r="H35" s="84" t="s">
        <v>183</v>
      </c>
    </row>
    <row r="36" spans="1:8" s="75" customFormat="1" ht="33">
      <c r="A36" s="76"/>
      <c r="B36" s="82" t="s">
        <v>91</v>
      </c>
      <c r="C36" s="82" t="s">
        <v>184</v>
      </c>
      <c r="D36" s="84">
        <v>1</v>
      </c>
      <c r="E36" s="87"/>
      <c r="F36" s="87"/>
      <c r="G36" s="84"/>
      <c r="H36" s="84" t="s">
        <v>183</v>
      </c>
    </row>
    <row r="37" spans="1:8" s="75" customFormat="1" ht="33">
      <c r="A37" s="76"/>
      <c r="B37" s="82" t="s">
        <v>93</v>
      </c>
      <c r="C37" s="82" t="s">
        <v>94</v>
      </c>
      <c r="D37" s="84">
        <v>1</v>
      </c>
      <c r="E37" s="87"/>
      <c r="F37" s="87"/>
      <c r="G37" s="84"/>
      <c r="H37" s="84" t="s">
        <v>183</v>
      </c>
    </row>
    <row r="38" spans="1:8" s="80" customFormat="1">
      <c r="A38" s="76">
        <v>2</v>
      </c>
      <c r="B38" s="88" t="s">
        <v>95</v>
      </c>
      <c r="C38" s="77"/>
      <c r="D38" s="73">
        <v>1</v>
      </c>
      <c r="E38" s="78" t="s">
        <v>28</v>
      </c>
      <c r="F38" s="78" t="s">
        <v>96</v>
      </c>
      <c r="G38" s="78" t="s">
        <v>30</v>
      </c>
      <c r="H38" s="79"/>
    </row>
    <row r="39" spans="1:8" s="75" customFormat="1" ht="33">
      <c r="A39" s="76"/>
      <c r="B39" s="82" t="s">
        <v>97</v>
      </c>
      <c r="C39" s="83" t="s">
        <v>98</v>
      </c>
      <c r="D39" s="84">
        <v>1</v>
      </c>
      <c r="E39" s="78"/>
      <c r="F39" s="78"/>
      <c r="G39" s="78"/>
      <c r="H39" s="79"/>
    </row>
    <row r="40" spans="1:8" s="75" customFormat="1" ht="33">
      <c r="A40" s="76"/>
      <c r="B40" s="82" t="s">
        <v>99</v>
      </c>
      <c r="C40" s="83" t="s">
        <v>100</v>
      </c>
      <c r="D40" s="84">
        <v>1</v>
      </c>
      <c r="E40" s="78"/>
      <c r="F40" s="78"/>
      <c r="G40" s="78"/>
      <c r="H40" s="79"/>
    </row>
    <row r="41" spans="1:8" s="75" customFormat="1" ht="49.5">
      <c r="A41" s="76"/>
      <c r="B41" s="82" t="s">
        <v>101</v>
      </c>
      <c r="C41" s="83" t="s">
        <v>102</v>
      </c>
      <c r="D41" s="84">
        <v>2</v>
      </c>
      <c r="E41" s="78"/>
      <c r="F41" s="78"/>
      <c r="G41" s="78"/>
      <c r="H41" s="79"/>
    </row>
    <row r="42" spans="1:8" s="75" customFormat="1" ht="49.5">
      <c r="A42" s="76"/>
      <c r="B42" s="82" t="s">
        <v>40</v>
      </c>
      <c r="C42" s="83" t="s">
        <v>41</v>
      </c>
      <c r="D42" s="84">
        <v>6</v>
      </c>
      <c r="E42" s="78"/>
      <c r="F42" s="78"/>
      <c r="G42" s="78"/>
      <c r="H42" s="79"/>
    </row>
    <row r="43" spans="1:8" s="75" customFormat="1" ht="33">
      <c r="A43" s="76"/>
      <c r="B43" s="82" t="s">
        <v>42</v>
      </c>
      <c r="C43" s="83" t="s">
        <v>43</v>
      </c>
      <c r="D43" s="84">
        <v>2</v>
      </c>
      <c r="E43" s="78"/>
      <c r="F43" s="78"/>
      <c r="G43" s="78"/>
      <c r="H43" s="79"/>
    </row>
    <row r="44" spans="1:8" s="75" customFormat="1">
      <c r="A44" s="76"/>
      <c r="B44" s="82" t="s">
        <v>103</v>
      </c>
      <c r="C44" s="83" t="s">
        <v>104</v>
      </c>
      <c r="D44" s="84">
        <v>1</v>
      </c>
      <c r="E44" s="78"/>
      <c r="F44" s="78"/>
      <c r="G44" s="78"/>
      <c r="H44" s="79"/>
    </row>
    <row r="45" spans="1:8" s="75" customFormat="1" ht="49.5">
      <c r="A45" s="76"/>
      <c r="B45" s="82" t="s">
        <v>105</v>
      </c>
      <c r="C45" s="83" t="s">
        <v>106</v>
      </c>
      <c r="D45" s="84">
        <v>1</v>
      </c>
      <c r="E45" s="78"/>
      <c r="F45" s="78"/>
      <c r="G45" s="78"/>
      <c r="H45" s="79"/>
    </row>
    <row r="46" spans="1:8" s="75" customFormat="1" ht="33">
      <c r="A46" s="76"/>
      <c r="B46" s="82" t="s">
        <v>107</v>
      </c>
      <c r="C46" s="83" t="s">
        <v>108</v>
      </c>
      <c r="D46" s="84">
        <v>1</v>
      </c>
      <c r="E46" s="78"/>
      <c r="F46" s="78"/>
      <c r="G46" s="78"/>
      <c r="H46" s="79"/>
    </row>
    <row r="47" spans="1:8" s="75" customFormat="1" ht="33">
      <c r="A47" s="76"/>
      <c r="B47" s="82" t="s">
        <v>109</v>
      </c>
      <c r="C47" s="83" t="s">
        <v>110</v>
      </c>
      <c r="D47" s="84">
        <v>1</v>
      </c>
      <c r="E47" s="78"/>
      <c r="F47" s="78"/>
      <c r="G47" s="78"/>
      <c r="H47" s="79"/>
    </row>
    <row r="48" spans="1:8" s="75" customFormat="1" ht="33">
      <c r="A48" s="76"/>
      <c r="B48" s="82" t="s">
        <v>111</v>
      </c>
      <c r="C48" s="83" t="s">
        <v>112</v>
      </c>
      <c r="D48" s="84">
        <v>2</v>
      </c>
      <c r="E48" s="78"/>
      <c r="F48" s="78"/>
      <c r="G48" s="78"/>
      <c r="H48" s="79"/>
    </row>
    <row r="49" spans="1:8" s="75" customFormat="1">
      <c r="A49" s="76"/>
      <c r="B49" s="82" t="s">
        <v>113</v>
      </c>
      <c r="C49" s="83" t="s">
        <v>114</v>
      </c>
      <c r="D49" s="84">
        <v>2</v>
      </c>
      <c r="E49" s="78"/>
      <c r="F49" s="78"/>
      <c r="G49" s="78"/>
      <c r="H49" s="79"/>
    </row>
    <row r="50" spans="1:8" s="75" customFormat="1" ht="33">
      <c r="A50" s="76"/>
      <c r="B50" s="82" t="s">
        <v>115</v>
      </c>
      <c r="C50" s="83" t="s">
        <v>116</v>
      </c>
      <c r="D50" s="84">
        <v>1</v>
      </c>
      <c r="E50" s="78"/>
      <c r="F50" s="78"/>
      <c r="G50" s="78"/>
      <c r="H50" s="79"/>
    </row>
    <row r="51" spans="1:8" s="75" customFormat="1" ht="33">
      <c r="A51" s="76"/>
      <c r="B51" s="82" t="s">
        <v>117</v>
      </c>
      <c r="C51" s="83" t="s">
        <v>118</v>
      </c>
      <c r="D51" s="84">
        <v>1</v>
      </c>
      <c r="E51" s="78"/>
      <c r="F51" s="78"/>
      <c r="G51" s="78"/>
      <c r="H51" s="79"/>
    </row>
    <row r="52" spans="1:8" s="75" customFormat="1" ht="33">
      <c r="A52" s="76"/>
      <c r="B52" s="82" t="s">
        <v>119</v>
      </c>
      <c r="C52" s="83" t="s">
        <v>120</v>
      </c>
      <c r="D52" s="84">
        <v>1</v>
      </c>
      <c r="E52" s="78"/>
      <c r="F52" s="78"/>
      <c r="G52" s="78"/>
      <c r="H52" s="79"/>
    </row>
    <row r="53" spans="1:8" s="75" customFormat="1" ht="33">
      <c r="A53" s="76"/>
      <c r="B53" s="82" t="s">
        <v>74</v>
      </c>
      <c r="C53" s="83" t="s">
        <v>75</v>
      </c>
      <c r="D53" s="84">
        <v>1</v>
      </c>
      <c r="E53" s="78"/>
      <c r="F53" s="78"/>
      <c r="G53" s="78"/>
      <c r="H53" s="79"/>
    </row>
    <row r="54" spans="1:8" s="75" customFormat="1">
      <c r="A54" s="76"/>
      <c r="B54" s="82" t="s">
        <v>76</v>
      </c>
      <c r="C54" s="83" t="s">
        <v>77</v>
      </c>
      <c r="D54" s="84">
        <v>1</v>
      </c>
      <c r="E54" s="78"/>
      <c r="F54" s="78"/>
      <c r="G54" s="78"/>
      <c r="H54" s="79"/>
    </row>
    <row r="55" spans="1:8" s="75" customFormat="1">
      <c r="A55" s="76"/>
      <c r="B55" s="82" t="s">
        <v>78</v>
      </c>
      <c r="C55" s="83" t="s">
        <v>79</v>
      </c>
      <c r="D55" s="84">
        <v>1</v>
      </c>
      <c r="E55" s="78"/>
      <c r="F55" s="78"/>
      <c r="G55" s="78"/>
      <c r="H55" s="79"/>
    </row>
    <row r="56" spans="1:8" s="75" customFormat="1">
      <c r="A56" s="76"/>
      <c r="B56" s="82" t="s">
        <v>121</v>
      </c>
      <c r="C56" s="83" t="s">
        <v>122</v>
      </c>
      <c r="D56" s="84">
        <v>1</v>
      </c>
      <c r="E56" s="78"/>
      <c r="F56" s="78"/>
      <c r="G56" s="78"/>
      <c r="H56" s="79"/>
    </row>
    <row r="57" spans="1:8" s="80" customFormat="1">
      <c r="A57" s="76"/>
      <c r="B57" s="88" t="s">
        <v>82</v>
      </c>
      <c r="C57" s="77" t="s">
        <v>83</v>
      </c>
      <c r="D57" s="73"/>
      <c r="E57" s="78"/>
      <c r="F57" s="78"/>
      <c r="G57" s="78"/>
      <c r="H57" s="79"/>
    </row>
    <row r="58" spans="1:8" s="75" customFormat="1" ht="33">
      <c r="A58" s="76"/>
      <c r="B58" s="82"/>
      <c r="C58" s="82" t="s">
        <v>84</v>
      </c>
      <c r="D58" s="84">
        <v>8</v>
      </c>
      <c r="E58" s="87"/>
      <c r="F58" s="87"/>
      <c r="G58" s="84"/>
      <c r="H58" s="84" t="s">
        <v>183</v>
      </c>
    </row>
    <row r="59" spans="1:8" s="80" customFormat="1">
      <c r="A59" s="76"/>
      <c r="B59" s="88" t="s">
        <v>123</v>
      </c>
      <c r="C59" s="77"/>
      <c r="D59" s="73"/>
      <c r="E59" s="78"/>
      <c r="F59" s="78"/>
      <c r="G59" s="78"/>
      <c r="H59" s="79"/>
    </row>
    <row r="60" spans="1:8" s="75" customFormat="1" ht="247.5">
      <c r="A60" s="76"/>
      <c r="B60" s="82" t="s">
        <v>124</v>
      </c>
      <c r="C60" s="82" t="s">
        <v>185</v>
      </c>
      <c r="D60" s="84">
        <v>2</v>
      </c>
      <c r="E60" s="87"/>
      <c r="F60" s="87"/>
      <c r="G60" s="84"/>
      <c r="H60" s="84" t="s">
        <v>183</v>
      </c>
    </row>
    <row r="61" spans="1:8" s="80" customFormat="1" ht="33">
      <c r="A61" s="76">
        <v>3</v>
      </c>
      <c r="B61" s="88" t="s">
        <v>126</v>
      </c>
      <c r="C61" s="77"/>
      <c r="D61" s="73">
        <v>1</v>
      </c>
      <c r="E61" s="78" t="s">
        <v>28</v>
      </c>
      <c r="F61" s="78" t="s">
        <v>96</v>
      </c>
      <c r="G61" s="78" t="s">
        <v>30</v>
      </c>
      <c r="H61" s="79"/>
    </row>
    <row r="62" spans="1:8" s="75" customFormat="1" ht="33">
      <c r="A62" s="76"/>
      <c r="B62" s="82" t="s">
        <v>127</v>
      </c>
      <c r="C62" s="83" t="s">
        <v>128</v>
      </c>
      <c r="D62" s="84">
        <v>1</v>
      </c>
      <c r="E62" s="78"/>
      <c r="F62" s="78"/>
      <c r="G62" s="78"/>
      <c r="H62" s="79"/>
    </row>
    <row r="63" spans="1:8" s="75" customFormat="1" ht="49.5">
      <c r="A63" s="76"/>
      <c r="B63" s="82" t="s">
        <v>129</v>
      </c>
      <c r="C63" s="83" t="s">
        <v>130</v>
      </c>
      <c r="D63" s="84">
        <v>1</v>
      </c>
      <c r="E63" s="78"/>
      <c r="F63" s="78"/>
      <c r="G63" s="78"/>
      <c r="H63" s="79"/>
    </row>
    <row r="64" spans="1:8" s="75" customFormat="1" ht="33">
      <c r="A64" s="76"/>
      <c r="B64" s="82" t="s">
        <v>131</v>
      </c>
      <c r="C64" s="83" t="s">
        <v>132</v>
      </c>
      <c r="D64" s="84">
        <v>1</v>
      </c>
      <c r="E64" s="78"/>
      <c r="F64" s="78"/>
      <c r="G64" s="78"/>
      <c r="H64" s="79"/>
    </row>
    <row r="65" spans="1:8" s="75" customFormat="1" ht="33">
      <c r="A65" s="76"/>
      <c r="B65" s="82" t="s">
        <v>133</v>
      </c>
      <c r="C65" s="83" t="s">
        <v>134</v>
      </c>
      <c r="D65" s="84">
        <v>1</v>
      </c>
      <c r="E65" s="78"/>
      <c r="F65" s="78"/>
      <c r="G65" s="78"/>
      <c r="H65" s="79"/>
    </row>
    <row r="66" spans="1:8" s="75" customFormat="1">
      <c r="A66" s="76"/>
      <c r="B66" s="82" t="s">
        <v>135</v>
      </c>
      <c r="C66" s="83" t="s">
        <v>136</v>
      </c>
      <c r="D66" s="84">
        <v>1</v>
      </c>
      <c r="E66" s="78"/>
      <c r="F66" s="78"/>
      <c r="G66" s="78"/>
      <c r="H66" s="79"/>
    </row>
    <row r="67" spans="1:8" s="75" customFormat="1">
      <c r="A67" s="76"/>
      <c r="B67" s="82" t="s">
        <v>76</v>
      </c>
      <c r="C67" s="83" t="s">
        <v>77</v>
      </c>
      <c r="D67" s="84">
        <v>1</v>
      </c>
      <c r="E67" s="78"/>
      <c r="F67" s="78"/>
      <c r="G67" s="78"/>
      <c r="H67" s="79"/>
    </row>
    <row r="68" spans="1:8" s="75" customFormat="1">
      <c r="A68" s="76"/>
      <c r="B68" s="82" t="s">
        <v>137</v>
      </c>
      <c r="C68" s="83" t="s">
        <v>138</v>
      </c>
      <c r="D68" s="84">
        <v>1</v>
      </c>
      <c r="E68" s="78"/>
      <c r="F68" s="78"/>
      <c r="G68" s="78"/>
      <c r="H68" s="79"/>
    </row>
    <row r="69" spans="1:8" s="80" customFormat="1" ht="49.5">
      <c r="A69" s="76">
        <v>4</v>
      </c>
      <c r="B69" s="88" t="s">
        <v>139</v>
      </c>
      <c r="C69" s="77"/>
      <c r="D69" s="73">
        <v>1</v>
      </c>
      <c r="E69" s="78" t="s">
        <v>140</v>
      </c>
      <c r="F69" s="78" t="s">
        <v>141</v>
      </c>
      <c r="G69" s="78" t="s">
        <v>142</v>
      </c>
      <c r="H69" s="79"/>
    </row>
    <row r="70" spans="1:8" s="75" customFormat="1" ht="33">
      <c r="A70" s="76"/>
      <c r="B70" s="82" t="s">
        <v>143</v>
      </c>
      <c r="C70" s="83" t="s">
        <v>144</v>
      </c>
      <c r="D70" s="84">
        <v>1</v>
      </c>
      <c r="E70" s="78"/>
      <c r="F70" s="78"/>
      <c r="G70" s="78"/>
      <c r="H70" s="79"/>
    </row>
    <row r="71" spans="1:8" s="75" customFormat="1">
      <c r="A71" s="76"/>
      <c r="B71" s="82" t="s">
        <v>145</v>
      </c>
      <c r="C71" s="83" t="s">
        <v>146</v>
      </c>
      <c r="D71" s="84">
        <v>1</v>
      </c>
      <c r="E71" s="78"/>
      <c r="F71" s="78"/>
      <c r="G71" s="78"/>
      <c r="H71" s="79"/>
    </row>
    <row r="72" spans="1:8" s="75" customFormat="1">
      <c r="A72" s="76"/>
      <c r="B72" s="82" t="s">
        <v>147</v>
      </c>
      <c r="C72" s="83" t="s">
        <v>148</v>
      </c>
      <c r="D72" s="84">
        <v>1</v>
      </c>
      <c r="E72" s="78"/>
      <c r="F72" s="78"/>
      <c r="G72" s="78"/>
      <c r="H72" s="79"/>
    </row>
    <row r="73" spans="1:8" s="75" customFormat="1">
      <c r="A73" s="76"/>
      <c r="B73" s="82" t="s">
        <v>149</v>
      </c>
      <c r="C73" s="83" t="s">
        <v>150</v>
      </c>
      <c r="D73" s="84">
        <v>3</v>
      </c>
      <c r="E73" s="78"/>
      <c r="F73" s="78"/>
      <c r="G73" s="78"/>
      <c r="H73" s="79"/>
    </row>
    <row r="74" spans="1:8" s="80" customFormat="1">
      <c r="A74" s="76">
        <v>5</v>
      </c>
      <c r="B74" s="88" t="s">
        <v>151</v>
      </c>
      <c r="C74" s="77"/>
      <c r="D74" s="73">
        <v>1</v>
      </c>
      <c r="E74" s="78" t="s">
        <v>140</v>
      </c>
      <c r="F74" s="78" t="s">
        <v>141</v>
      </c>
      <c r="G74" s="78" t="s">
        <v>142</v>
      </c>
      <c r="H74" s="79"/>
    </row>
    <row r="75" spans="1:8" s="75" customFormat="1" ht="33">
      <c r="A75" s="76"/>
      <c r="B75" s="82" t="s">
        <v>152</v>
      </c>
      <c r="C75" s="88" t="s">
        <v>153</v>
      </c>
      <c r="D75" s="84">
        <v>1</v>
      </c>
      <c r="E75" s="87"/>
      <c r="F75" s="87"/>
      <c r="G75" s="84"/>
      <c r="H75" s="84"/>
    </row>
    <row r="76" spans="1:8" s="75" customFormat="1" ht="33">
      <c r="A76" s="76"/>
      <c r="B76" s="82" t="s">
        <v>99</v>
      </c>
      <c r="C76" s="82" t="s">
        <v>100</v>
      </c>
      <c r="D76" s="84">
        <v>1</v>
      </c>
      <c r="E76" s="87"/>
      <c r="F76" s="87"/>
      <c r="G76" s="84"/>
      <c r="H76" s="84"/>
    </row>
    <row r="77" spans="1:8" s="75" customFormat="1" ht="49.5">
      <c r="A77" s="76"/>
      <c r="B77" s="82" t="s">
        <v>101</v>
      </c>
      <c r="C77" s="82" t="s">
        <v>102</v>
      </c>
      <c r="D77" s="84">
        <v>1</v>
      </c>
      <c r="E77" s="87"/>
      <c r="F77" s="87"/>
      <c r="G77" s="84"/>
      <c r="H77" s="84"/>
    </row>
    <row r="78" spans="1:8" s="75" customFormat="1" ht="33">
      <c r="A78" s="76"/>
      <c r="B78" s="82" t="s">
        <v>154</v>
      </c>
      <c r="C78" s="82" t="s">
        <v>155</v>
      </c>
      <c r="D78" s="84">
        <v>2</v>
      </c>
      <c r="E78" s="87"/>
      <c r="F78" s="87"/>
      <c r="G78" s="84"/>
      <c r="H78" s="84"/>
    </row>
    <row r="79" spans="1:8" s="75" customFormat="1">
      <c r="A79" s="76"/>
      <c r="B79" s="82" t="s">
        <v>103</v>
      </c>
      <c r="C79" s="82" t="s">
        <v>104</v>
      </c>
      <c r="D79" s="84">
        <v>1</v>
      </c>
      <c r="E79" s="87"/>
      <c r="F79" s="87"/>
      <c r="G79" s="84"/>
      <c r="H79" s="84"/>
    </row>
    <row r="80" spans="1:8" s="75" customFormat="1" ht="33">
      <c r="A80" s="76"/>
      <c r="B80" s="82" t="s">
        <v>111</v>
      </c>
      <c r="C80" s="82" t="s">
        <v>112</v>
      </c>
      <c r="D80" s="84">
        <v>1</v>
      </c>
      <c r="E80" s="87"/>
      <c r="F80" s="87"/>
      <c r="G80" s="84"/>
      <c r="H80" s="84"/>
    </row>
    <row r="81" spans="1:8" s="75" customFormat="1" ht="33">
      <c r="A81" s="76"/>
      <c r="B81" s="82" t="s">
        <v>156</v>
      </c>
      <c r="C81" s="82" t="s">
        <v>157</v>
      </c>
      <c r="D81" s="84">
        <v>1</v>
      </c>
      <c r="E81" s="87"/>
      <c r="F81" s="87"/>
      <c r="G81" s="84"/>
      <c r="H81" s="84"/>
    </row>
    <row r="82" spans="1:8" s="75" customFormat="1" ht="33">
      <c r="A82" s="76"/>
      <c r="B82" s="82" t="s">
        <v>158</v>
      </c>
      <c r="C82" s="82" t="s">
        <v>159</v>
      </c>
      <c r="D82" s="84">
        <v>1</v>
      </c>
      <c r="E82" s="87"/>
      <c r="F82" s="87"/>
      <c r="G82" s="84"/>
      <c r="H82" s="84"/>
    </row>
    <row r="83" spans="1:8" s="75" customFormat="1">
      <c r="A83" s="76"/>
      <c r="B83" s="82" t="s">
        <v>160</v>
      </c>
      <c r="C83" s="82" t="s">
        <v>161</v>
      </c>
      <c r="D83" s="84">
        <v>1</v>
      </c>
      <c r="E83" s="87"/>
      <c r="F83" s="87"/>
      <c r="G83" s="84"/>
      <c r="H83" s="84"/>
    </row>
    <row r="84" spans="1:8" s="75" customFormat="1">
      <c r="A84" s="76"/>
      <c r="B84" s="82" t="s">
        <v>162</v>
      </c>
      <c r="C84" s="82" t="s">
        <v>163</v>
      </c>
      <c r="D84" s="84">
        <v>1</v>
      </c>
      <c r="E84" s="87"/>
      <c r="F84" s="87"/>
      <c r="G84" s="84"/>
      <c r="H84" s="84"/>
    </row>
    <row r="85" spans="1:8" s="75" customFormat="1" ht="49.5">
      <c r="A85" s="76"/>
      <c r="B85" s="82" t="s">
        <v>164</v>
      </c>
      <c r="C85" s="82" t="s">
        <v>165</v>
      </c>
      <c r="D85" s="84">
        <v>1</v>
      </c>
      <c r="E85" s="87"/>
      <c r="F85" s="87"/>
      <c r="G85" s="84"/>
      <c r="H85" s="84"/>
    </row>
    <row r="86" spans="1:8" ht="13.5" customHeight="1"/>
    <row r="87" spans="1:8">
      <c r="C87" s="93"/>
    </row>
    <row r="88" spans="1:8" ht="13.5" customHeight="1">
      <c r="B88" s="93"/>
      <c r="C88" s="93"/>
    </row>
    <row r="89" spans="1:8">
      <c r="B89" s="93"/>
      <c r="C89" s="93"/>
    </row>
    <row r="90" spans="1:8">
      <c r="B90" s="93"/>
    </row>
  </sheetData>
  <printOptions horizontalCentered="1"/>
  <pageMargins left="0.39370078740157483" right="0.39370078740157483" top="0.59055118110236227" bottom="0.19685039370078741" header="0" footer="0"/>
  <pageSetup paperSize="9" scale="67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OP1</vt:lpstr>
      <vt:lpstr>BOQ</vt:lpstr>
      <vt:lpstr>BOQ!Print_Area</vt:lpstr>
      <vt:lpstr>'OP1'!Print_Area</vt:lpstr>
      <vt:lpstr>BOQ!Print_Titles</vt:lpstr>
      <vt:lpstr>'OP1'!Print_Titles</vt:lpstr>
    </vt:vector>
  </TitlesOfParts>
  <Manager/>
  <Company>innotel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thanh hai</dc:creator>
  <cp:keywords/>
  <dc:description/>
  <cp:lastModifiedBy>Huynh Trong Hieu</cp:lastModifiedBy>
  <cp:revision/>
  <cp:lastPrinted>2022-12-30T06:29:05Z</cp:lastPrinted>
  <dcterms:created xsi:type="dcterms:W3CDTF">2001-06-27T18:38:16Z</dcterms:created>
  <dcterms:modified xsi:type="dcterms:W3CDTF">2023-11-08T09:31:26Z</dcterms:modified>
  <cp:category/>
  <cp:contentStatus/>
</cp:coreProperties>
</file>