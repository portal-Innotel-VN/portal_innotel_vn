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uan\Hop Dong\Gene Solution\2026\Tháng 8\RAM SK Hynix 64GB LRDIMM 280826\"/>
    </mc:Choice>
  </mc:AlternateContent>
  <xr:revisionPtr revIDLastSave="0" documentId="8_{915E8D16-C2CF-4313-B714-5C291B7D9F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áo Giá" sheetId="2" r:id="rId1"/>
  </sheets>
  <definedNames>
    <definedName name="_xlnm.Print_Area" localSheetId="0">'Báo Giá'!$A$1:$L$27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2" l="1"/>
  <c r="N14" i="2"/>
  <c r="O14" i="2" l="1"/>
  <c r="H14" i="2" l="1"/>
  <c r="J14" i="2" s="1"/>
  <c r="Q14" i="2"/>
  <c r="R14" i="2" s="1"/>
  <c r="J15" i="2"/>
</calcChain>
</file>

<file path=xl/sharedStrings.xml><?xml version="1.0" encoding="utf-8"?>
<sst xmlns="http://schemas.openxmlformats.org/spreadsheetml/2006/main" count="50" uniqueCount="50">
  <si>
    <t>BẢNG CHÀO GIÁ</t>
  </si>
  <si>
    <t>STT</t>
  </si>
  <si>
    <t>ĐVT</t>
  </si>
  <si>
    <t>ĐƠN GIÁ
(VNĐ)</t>
  </si>
  <si>
    <t>CÁC ĐIỀU KHOẢN THƯƠNG MẠI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</si>
  <si>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</si>
  <si>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</si>
  <si>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</si>
  <si>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TỔNG CỘNG</t>
  </si>
  <si>
    <t>SL</t>
  </si>
  <si>
    <t xml:space="preserve">Võ Nguyễn Thanh Xuân </t>
  </si>
  <si>
    <t>Người báo giá: VÕ TNGUYỄN THANH XUÂN</t>
  </si>
  <si>
    <t>Email: xuan@innotel.com.vn</t>
  </si>
  <si>
    <t>Ghi chú</t>
  </si>
  <si>
    <t>THÀNH TIỀN 
(Đã VAT)</t>
  </si>
  <si>
    <t xml:space="preserve">4. Bảo hành theo tiêu chuẩn nhà sản xuất. </t>
  </si>
  <si>
    <t>Nhà Phân phối: CÔNG TY TNHH VIỄN THÔNG SÁNG TẠO THUẬN PHONG (Innotel)</t>
  </si>
  <si>
    <t>1-1</t>
  </si>
  <si>
    <t>LOẠI HÀNG</t>
  </si>
  <si>
    <t>Thuế
(8%)</t>
  </si>
  <si>
    <t>Hardware</t>
  </si>
  <si>
    <t>Giá nhập</t>
  </si>
  <si>
    <t>Giá bán</t>
  </si>
  <si>
    <t>NCC</t>
  </si>
  <si>
    <t>LN</t>
  </si>
  <si>
    <t>Tổng LN</t>
  </si>
  <si>
    <t>5. Thông tin tài khoản nhận thanh toán:</t>
  </si>
  <si>
    <r>
      <t xml:space="preserve">  - Đơn vị thủ hưởng: </t>
    </r>
    <r>
      <rPr>
        <b/>
        <sz val="10"/>
        <rFont val="Arial"/>
        <family val="2"/>
      </rPr>
      <t xml:space="preserve">CÔNG TY TNHH VIỄN THÔNG SÁNG TẠO THUẬN PHONG </t>
    </r>
  </si>
  <si>
    <r>
      <t xml:space="preserve">  - STK: </t>
    </r>
    <r>
      <rPr>
        <b/>
        <sz val="10"/>
        <rFont val="Arial"/>
        <family val="2"/>
      </rPr>
      <t xml:space="preserve">77838686 </t>
    </r>
    <r>
      <rPr>
        <sz val="10"/>
        <rFont val="Arial"/>
        <family val="2"/>
      </rPr>
      <t>tại</t>
    </r>
    <r>
      <rPr>
        <b/>
        <sz val="10"/>
        <rFont val="Arial"/>
        <family val="2"/>
      </rPr>
      <t xml:space="preserve"> Ngân hàng TMCP Kỹ Thương Việt Nam - Chi Nhánh Chợ Lớn</t>
    </r>
  </si>
  <si>
    <t>Khách hàng: CÔNG TY CỔ PHẦN GIẢI PHÁP GENE</t>
  </si>
  <si>
    <t>Người dùng cuối: CÔNG TY CỔ PHẦN GIẢI PHÁP GENE</t>
  </si>
  <si>
    <t xml:space="preserve">THƯƠNG HIỆU </t>
  </si>
  <si>
    <t>BẢO HÀNH</t>
  </si>
  <si>
    <t>Người nhận: Ms. Hoàng</t>
  </si>
  <si>
    <t>Email: hoangdang@genesolutions.vn</t>
  </si>
  <si>
    <t>Có sẵn</t>
  </si>
  <si>
    <t>cái</t>
  </si>
  <si>
    <t>Ngày báo giá: 18-08-26</t>
  </si>
  <si>
    <t>Ngày hết hạn báo giá: 21-08-26</t>
  </si>
  <si>
    <t>BOM: Thiết bị</t>
  </si>
  <si>
    <t>64GB DDR4</t>
  </si>
  <si>
    <t>Dell</t>
  </si>
  <si>
    <t>12 tháng</t>
  </si>
  <si>
    <t>Serverhub</t>
  </si>
  <si>
    <t>1. Hiệu lực báo giá: 3 ngày kể từ ngày chào giá</t>
  </si>
  <si>
    <t>2. Thời gian giao hàng: 2 - 4 ngày làm việc tại HCM kể từ ngày ký hợp đồng</t>
  </si>
  <si>
    <t>3. Thanh toán: hanh toán 100% tổng giá trị hợp đồng ngay khi nhận hàng</t>
  </si>
  <si>
    <t>Mobi: 0938 157 596</t>
  </si>
  <si>
    <r>
      <t xml:space="preserve">RAM 64GB DDR4 2666 ECC (RDIMM </t>
    </r>
    <r>
      <rPr>
        <sz val="10"/>
        <color rgb="FF000000"/>
        <rFont val="Arial"/>
        <family val="2"/>
      </rPr>
      <t>hoặc</t>
    </r>
    <r>
      <rPr>
        <b/>
        <sz val="10"/>
        <color rgb="FF000000"/>
        <rFont val="Arial"/>
        <family val="2"/>
      </rPr>
      <t xml:space="preserve"> LRDIMM)
</t>
    </r>
    <r>
      <rPr>
        <i/>
        <sz val="10"/>
        <color rgb="FF000000"/>
        <rFont val="Arial"/>
        <family val="2"/>
      </rPr>
      <t>- DDR4 chỉ có hàng tháo máy, không có hàng mới</t>
    </r>
  </si>
  <si>
    <t>Qno: 180826-2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</si>
</sst>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2" xfId="0" applyFont="1" applyBorder="1"/>
    <xf numFmtId="0" fontId="3" fillId="0" borderId="1" xfId="0" applyFont="1" applyBorder="1" applyAlignment="1">
      <alignment horizontal="center"/>
    </xf>
    <xf numFmtId="3" fontId="5" fillId="0" borderId="14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3" fontId="5" fillId="0" borderId="1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2" fillId="0" borderId="16" xfId="0" applyFont="1" applyBorder="1" applyAlignment="1">
      <alignment horizontal="center"/>
    </xf>
    <xf numFmtId="3" fontId="9" fillId="0" borderId="7" xfId="1" quotePrefix="1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49" fontId="8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/>
    </xf>
    <xf numFmtId="164" fontId="8" fillId="0" borderId="7" xfId="1" applyNumberFormat="1" applyFont="1" applyFill="1" applyBorder="1" applyAlignment="1">
      <alignment vertical="center"/>
    </xf>
    <xf numFmtId="9" fontId="8" fillId="0" borderId="7" xfId="2" applyFont="1" applyFill="1" applyBorder="1" applyAlignment="1">
      <alignment vertical="center"/>
    </xf>
    <xf numFmtId="3" fontId="9" fillId="0" borderId="7" xfId="1" applyNumberFormat="1" applyFont="1" applyBorder="1" applyAlignment="1">
      <alignment vertical="center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horizontal="center" vertical="top" wrapText="1"/>
    </xf>
    <xf numFmtId="164" fontId="3" fillId="0" borderId="1" xfId="1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/>
    <xf numFmtId="3" fontId="8" fillId="0" borderId="7" xfId="1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9" fillId="3" borderId="9" xfId="0" applyNumberFormat="1" applyFont="1" applyFill="1" applyBorder="1" applyAlignment="1">
      <alignment vertical="center"/>
    </xf>
    <xf numFmtId="164" fontId="3" fillId="0" borderId="19" xfId="1" applyNumberFormat="1" applyFont="1" applyBorder="1" applyAlignment="1">
      <alignment vertical="center"/>
    </xf>
    <xf numFmtId="164" fontId="3" fillId="0" borderId="14" xfId="1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4" fillId="0" borderId="7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9" fillId="3" borderId="9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2</xdr:col>
      <xdr:colOff>476046</xdr:colOff>
      <xdr:row>2</xdr:row>
      <xdr:rowOff>81643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351668</xdr:colOff>
      <xdr:row>2</xdr:row>
      <xdr:rowOff>226067</xdr:rowOff>
    </xdr:from>
    <xdr:to>
      <xdr:col>10</xdr:col>
      <xdr:colOff>586798</xdr:colOff>
      <xdr:row>4</xdr:row>
      <xdr:rowOff>0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8568" y="734067"/>
          <a:ext cx="1219380" cy="459733"/>
        </a:xfrm>
        <a:prstGeom prst="rect">
          <a:avLst/>
        </a:prstGeom>
      </xdr:spPr>
    </xdr:pic>
    <xdr:clientData/>
  </xdr:twoCellAnchor>
  <xdr:twoCellAnchor editAs="oneCell">
    <xdr:from>
      <xdr:col>1</xdr:col>
      <xdr:colOff>193039</xdr:colOff>
      <xdr:row>23</xdr:row>
      <xdr:rowOff>48261</xdr:rowOff>
    </xdr:from>
    <xdr:to>
      <xdr:col>1</xdr:col>
      <xdr:colOff>1054100</xdr:colOff>
      <xdr:row>25</xdr:row>
      <xdr:rowOff>150253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5DCD6-D38B-5AA3-B372-609EED2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289" y="10932161"/>
          <a:ext cx="861061" cy="457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tabSelected="1" topLeftCell="A5" zoomScaleNormal="100" zoomScaleSheetLayoutView="85" workbookViewId="0">
      <selection activeCell="J15" sqref="J15"/>
    </sheetView>
  </sheetViews>
  <sheetFormatPr defaultRowHeight="13" x14ac:dyDescent="0.3"/>
  <cols>
    <col min="1" max="1" width="5" style="1" customWidth="1"/>
    <col min="2" max="2" width="15.54296875" style="2" customWidth="1"/>
    <col min="3" max="3" width="11.6328125" style="2" customWidth="1"/>
    <col min="4" max="4" width="13.08984375" style="2" customWidth="1"/>
    <col min="5" max="5" width="44.453125" style="2" customWidth="1"/>
    <col min="6" max="6" width="6.36328125" style="11" customWidth="1"/>
    <col min="7" max="7" width="6.6328125" style="16" customWidth="1"/>
    <col min="8" max="8" width="14.08984375" style="14" customWidth="1"/>
    <col min="9" max="9" width="5.90625" style="14" customWidth="1"/>
    <col min="10" max="10" width="14.08984375" style="14" customWidth="1"/>
    <col min="11" max="11" width="13" style="16" customWidth="1"/>
    <col min="12" max="12" width="13.453125" style="16" customWidth="1"/>
    <col min="13" max="14" width="14.81640625" style="44" bestFit="1" customWidth="1"/>
    <col min="15" max="15" width="14.81640625" style="44" customWidth="1"/>
    <col min="16" max="16" width="9.1796875" style="2"/>
    <col min="17" max="18" width="13.08984375" style="2" customWidth="1"/>
    <col min="19" max="241" width="9.1796875" style="2"/>
    <col min="242" max="242" width="5" style="2" customWidth="1"/>
    <col min="243" max="243" width="23.81640625" style="2" customWidth="1"/>
    <col min="244" max="244" width="46.81640625" style="2" customWidth="1"/>
    <col min="245" max="245" width="5.81640625" style="2" customWidth="1"/>
    <col min="246" max="246" width="10" style="2" customWidth="1"/>
    <col min="247" max="247" width="12.1796875" style="2" customWidth="1"/>
    <col min="248" max="248" width="13.81640625" style="2" customWidth="1"/>
    <col min="249" max="249" width="12.54296875" style="2" customWidth="1"/>
    <col min="250" max="250" width="13" style="2" customWidth="1"/>
    <col min="251" max="251" width="13.81640625" style="2" bestFit="1" customWidth="1"/>
    <col min="252" max="497" width="9.1796875" style="2"/>
    <col min="498" max="498" width="5" style="2" customWidth="1"/>
    <col min="499" max="499" width="23.81640625" style="2" customWidth="1"/>
    <col min="500" max="500" width="46.81640625" style="2" customWidth="1"/>
    <col min="501" max="501" width="5.81640625" style="2" customWidth="1"/>
    <col min="502" max="502" width="10" style="2" customWidth="1"/>
    <col min="503" max="503" width="12.1796875" style="2" customWidth="1"/>
    <col min="504" max="504" width="13.81640625" style="2" customWidth="1"/>
    <col min="505" max="505" width="12.54296875" style="2" customWidth="1"/>
    <col min="506" max="506" width="13" style="2" customWidth="1"/>
    <col min="507" max="507" width="13.81640625" style="2" bestFit="1" customWidth="1"/>
    <col min="508" max="753" width="9.1796875" style="2"/>
    <col min="754" max="754" width="5" style="2" customWidth="1"/>
    <col min="755" max="755" width="23.81640625" style="2" customWidth="1"/>
    <col min="756" max="756" width="46.81640625" style="2" customWidth="1"/>
    <col min="757" max="757" width="5.81640625" style="2" customWidth="1"/>
    <col min="758" max="758" width="10" style="2" customWidth="1"/>
    <col min="759" max="759" width="12.1796875" style="2" customWidth="1"/>
    <col min="760" max="760" width="13.81640625" style="2" customWidth="1"/>
    <col min="761" max="761" width="12.54296875" style="2" customWidth="1"/>
    <col min="762" max="762" width="13" style="2" customWidth="1"/>
    <col min="763" max="763" width="13.81640625" style="2" bestFit="1" customWidth="1"/>
    <col min="764" max="1009" width="9.1796875" style="2"/>
    <col min="1010" max="1010" width="5" style="2" customWidth="1"/>
    <col min="1011" max="1011" width="23.81640625" style="2" customWidth="1"/>
    <col min="1012" max="1012" width="46.81640625" style="2" customWidth="1"/>
    <col min="1013" max="1013" width="5.81640625" style="2" customWidth="1"/>
    <col min="1014" max="1014" width="10" style="2" customWidth="1"/>
    <col min="1015" max="1015" width="12.1796875" style="2" customWidth="1"/>
    <col min="1016" max="1016" width="13.81640625" style="2" customWidth="1"/>
    <col min="1017" max="1017" width="12.54296875" style="2" customWidth="1"/>
    <col min="1018" max="1018" width="13" style="2" customWidth="1"/>
    <col min="1019" max="1019" width="13.81640625" style="2" bestFit="1" customWidth="1"/>
    <col min="1020" max="1265" width="9.1796875" style="2"/>
    <col min="1266" max="1266" width="5" style="2" customWidth="1"/>
    <col min="1267" max="1267" width="23.81640625" style="2" customWidth="1"/>
    <col min="1268" max="1268" width="46.81640625" style="2" customWidth="1"/>
    <col min="1269" max="1269" width="5.81640625" style="2" customWidth="1"/>
    <col min="1270" max="1270" width="10" style="2" customWidth="1"/>
    <col min="1271" max="1271" width="12.1796875" style="2" customWidth="1"/>
    <col min="1272" max="1272" width="13.81640625" style="2" customWidth="1"/>
    <col min="1273" max="1273" width="12.54296875" style="2" customWidth="1"/>
    <col min="1274" max="1274" width="13" style="2" customWidth="1"/>
    <col min="1275" max="1275" width="13.81640625" style="2" bestFit="1" customWidth="1"/>
    <col min="1276" max="1521" width="9.1796875" style="2"/>
    <col min="1522" max="1522" width="5" style="2" customWidth="1"/>
    <col min="1523" max="1523" width="23.81640625" style="2" customWidth="1"/>
    <col min="1524" max="1524" width="46.81640625" style="2" customWidth="1"/>
    <col min="1525" max="1525" width="5.81640625" style="2" customWidth="1"/>
    <col min="1526" max="1526" width="10" style="2" customWidth="1"/>
    <col min="1527" max="1527" width="12.1796875" style="2" customWidth="1"/>
    <col min="1528" max="1528" width="13.81640625" style="2" customWidth="1"/>
    <col min="1529" max="1529" width="12.54296875" style="2" customWidth="1"/>
    <col min="1530" max="1530" width="13" style="2" customWidth="1"/>
    <col min="1531" max="1531" width="13.81640625" style="2" bestFit="1" customWidth="1"/>
    <col min="1532" max="1777" width="9.1796875" style="2"/>
    <col min="1778" max="1778" width="5" style="2" customWidth="1"/>
    <col min="1779" max="1779" width="23.81640625" style="2" customWidth="1"/>
    <col min="1780" max="1780" width="46.81640625" style="2" customWidth="1"/>
    <col min="1781" max="1781" width="5.81640625" style="2" customWidth="1"/>
    <col min="1782" max="1782" width="10" style="2" customWidth="1"/>
    <col min="1783" max="1783" width="12.1796875" style="2" customWidth="1"/>
    <col min="1784" max="1784" width="13.81640625" style="2" customWidth="1"/>
    <col min="1785" max="1785" width="12.54296875" style="2" customWidth="1"/>
    <col min="1786" max="1786" width="13" style="2" customWidth="1"/>
    <col min="1787" max="1787" width="13.81640625" style="2" bestFit="1" customWidth="1"/>
    <col min="1788" max="2033" width="9.1796875" style="2"/>
    <col min="2034" max="2034" width="5" style="2" customWidth="1"/>
    <col min="2035" max="2035" width="23.81640625" style="2" customWidth="1"/>
    <col min="2036" max="2036" width="46.81640625" style="2" customWidth="1"/>
    <col min="2037" max="2037" width="5.81640625" style="2" customWidth="1"/>
    <col min="2038" max="2038" width="10" style="2" customWidth="1"/>
    <col min="2039" max="2039" width="12.1796875" style="2" customWidth="1"/>
    <col min="2040" max="2040" width="13.81640625" style="2" customWidth="1"/>
    <col min="2041" max="2041" width="12.54296875" style="2" customWidth="1"/>
    <col min="2042" max="2042" width="13" style="2" customWidth="1"/>
    <col min="2043" max="2043" width="13.81640625" style="2" bestFit="1" customWidth="1"/>
    <col min="2044" max="2289" width="9.1796875" style="2"/>
    <col min="2290" max="2290" width="5" style="2" customWidth="1"/>
    <col min="2291" max="2291" width="23.81640625" style="2" customWidth="1"/>
    <col min="2292" max="2292" width="46.81640625" style="2" customWidth="1"/>
    <col min="2293" max="2293" width="5.81640625" style="2" customWidth="1"/>
    <col min="2294" max="2294" width="10" style="2" customWidth="1"/>
    <col min="2295" max="2295" width="12.1796875" style="2" customWidth="1"/>
    <col min="2296" max="2296" width="13.81640625" style="2" customWidth="1"/>
    <col min="2297" max="2297" width="12.54296875" style="2" customWidth="1"/>
    <col min="2298" max="2298" width="13" style="2" customWidth="1"/>
    <col min="2299" max="2299" width="13.81640625" style="2" bestFit="1" customWidth="1"/>
    <col min="2300" max="2545" width="9.1796875" style="2"/>
    <col min="2546" max="2546" width="5" style="2" customWidth="1"/>
    <col min="2547" max="2547" width="23.81640625" style="2" customWidth="1"/>
    <col min="2548" max="2548" width="46.81640625" style="2" customWidth="1"/>
    <col min="2549" max="2549" width="5.81640625" style="2" customWidth="1"/>
    <col min="2550" max="2550" width="10" style="2" customWidth="1"/>
    <col min="2551" max="2551" width="12.1796875" style="2" customWidth="1"/>
    <col min="2552" max="2552" width="13.81640625" style="2" customWidth="1"/>
    <col min="2553" max="2553" width="12.54296875" style="2" customWidth="1"/>
    <col min="2554" max="2554" width="13" style="2" customWidth="1"/>
    <col min="2555" max="2555" width="13.81640625" style="2" bestFit="1" customWidth="1"/>
    <col min="2556" max="2801" width="9.1796875" style="2"/>
    <col min="2802" max="2802" width="5" style="2" customWidth="1"/>
    <col min="2803" max="2803" width="23.81640625" style="2" customWidth="1"/>
    <col min="2804" max="2804" width="46.81640625" style="2" customWidth="1"/>
    <col min="2805" max="2805" width="5.81640625" style="2" customWidth="1"/>
    <col min="2806" max="2806" width="10" style="2" customWidth="1"/>
    <col min="2807" max="2807" width="12.1796875" style="2" customWidth="1"/>
    <col min="2808" max="2808" width="13.81640625" style="2" customWidth="1"/>
    <col min="2809" max="2809" width="12.54296875" style="2" customWidth="1"/>
    <col min="2810" max="2810" width="13" style="2" customWidth="1"/>
    <col min="2811" max="2811" width="13.81640625" style="2" bestFit="1" customWidth="1"/>
    <col min="2812" max="3057" width="9.1796875" style="2"/>
    <col min="3058" max="3058" width="5" style="2" customWidth="1"/>
    <col min="3059" max="3059" width="23.81640625" style="2" customWidth="1"/>
    <col min="3060" max="3060" width="46.81640625" style="2" customWidth="1"/>
    <col min="3061" max="3061" width="5.81640625" style="2" customWidth="1"/>
    <col min="3062" max="3062" width="10" style="2" customWidth="1"/>
    <col min="3063" max="3063" width="12.1796875" style="2" customWidth="1"/>
    <col min="3064" max="3064" width="13.81640625" style="2" customWidth="1"/>
    <col min="3065" max="3065" width="12.54296875" style="2" customWidth="1"/>
    <col min="3066" max="3066" width="13" style="2" customWidth="1"/>
    <col min="3067" max="3067" width="13.81640625" style="2" bestFit="1" customWidth="1"/>
    <col min="3068" max="3313" width="9.1796875" style="2"/>
    <col min="3314" max="3314" width="5" style="2" customWidth="1"/>
    <col min="3315" max="3315" width="23.81640625" style="2" customWidth="1"/>
    <col min="3316" max="3316" width="46.81640625" style="2" customWidth="1"/>
    <col min="3317" max="3317" width="5.81640625" style="2" customWidth="1"/>
    <col min="3318" max="3318" width="10" style="2" customWidth="1"/>
    <col min="3319" max="3319" width="12.1796875" style="2" customWidth="1"/>
    <col min="3320" max="3320" width="13.81640625" style="2" customWidth="1"/>
    <col min="3321" max="3321" width="12.54296875" style="2" customWidth="1"/>
    <col min="3322" max="3322" width="13" style="2" customWidth="1"/>
    <col min="3323" max="3323" width="13.81640625" style="2" bestFit="1" customWidth="1"/>
    <col min="3324" max="3569" width="9.1796875" style="2"/>
    <col min="3570" max="3570" width="5" style="2" customWidth="1"/>
    <col min="3571" max="3571" width="23.81640625" style="2" customWidth="1"/>
    <col min="3572" max="3572" width="46.81640625" style="2" customWidth="1"/>
    <col min="3573" max="3573" width="5.81640625" style="2" customWidth="1"/>
    <col min="3574" max="3574" width="10" style="2" customWidth="1"/>
    <col min="3575" max="3575" width="12.1796875" style="2" customWidth="1"/>
    <col min="3576" max="3576" width="13.81640625" style="2" customWidth="1"/>
    <col min="3577" max="3577" width="12.54296875" style="2" customWidth="1"/>
    <col min="3578" max="3578" width="13" style="2" customWidth="1"/>
    <col min="3579" max="3579" width="13.81640625" style="2" bestFit="1" customWidth="1"/>
    <col min="3580" max="3825" width="9.1796875" style="2"/>
    <col min="3826" max="3826" width="5" style="2" customWidth="1"/>
    <col min="3827" max="3827" width="23.81640625" style="2" customWidth="1"/>
    <col min="3828" max="3828" width="46.81640625" style="2" customWidth="1"/>
    <col min="3829" max="3829" width="5.81640625" style="2" customWidth="1"/>
    <col min="3830" max="3830" width="10" style="2" customWidth="1"/>
    <col min="3831" max="3831" width="12.1796875" style="2" customWidth="1"/>
    <col min="3832" max="3832" width="13.81640625" style="2" customWidth="1"/>
    <col min="3833" max="3833" width="12.54296875" style="2" customWidth="1"/>
    <col min="3834" max="3834" width="13" style="2" customWidth="1"/>
    <col min="3835" max="3835" width="13.81640625" style="2" bestFit="1" customWidth="1"/>
    <col min="3836" max="4081" width="9.1796875" style="2"/>
    <col min="4082" max="4082" width="5" style="2" customWidth="1"/>
    <col min="4083" max="4083" width="23.81640625" style="2" customWidth="1"/>
    <col min="4084" max="4084" width="46.81640625" style="2" customWidth="1"/>
    <col min="4085" max="4085" width="5.81640625" style="2" customWidth="1"/>
    <col min="4086" max="4086" width="10" style="2" customWidth="1"/>
    <col min="4087" max="4087" width="12.1796875" style="2" customWidth="1"/>
    <col min="4088" max="4088" width="13.81640625" style="2" customWidth="1"/>
    <col min="4089" max="4089" width="12.54296875" style="2" customWidth="1"/>
    <col min="4090" max="4090" width="13" style="2" customWidth="1"/>
    <col min="4091" max="4091" width="13.81640625" style="2" bestFit="1" customWidth="1"/>
    <col min="4092" max="4337" width="9.1796875" style="2"/>
    <col min="4338" max="4338" width="5" style="2" customWidth="1"/>
    <col min="4339" max="4339" width="23.81640625" style="2" customWidth="1"/>
    <col min="4340" max="4340" width="46.81640625" style="2" customWidth="1"/>
    <col min="4341" max="4341" width="5.81640625" style="2" customWidth="1"/>
    <col min="4342" max="4342" width="10" style="2" customWidth="1"/>
    <col min="4343" max="4343" width="12.1796875" style="2" customWidth="1"/>
    <col min="4344" max="4344" width="13.81640625" style="2" customWidth="1"/>
    <col min="4345" max="4345" width="12.54296875" style="2" customWidth="1"/>
    <col min="4346" max="4346" width="13" style="2" customWidth="1"/>
    <col min="4347" max="4347" width="13.81640625" style="2" bestFit="1" customWidth="1"/>
    <col min="4348" max="4593" width="9.1796875" style="2"/>
    <col min="4594" max="4594" width="5" style="2" customWidth="1"/>
    <col min="4595" max="4595" width="23.81640625" style="2" customWidth="1"/>
    <col min="4596" max="4596" width="46.81640625" style="2" customWidth="1"/>
    <col min="4597" max="4597" width="5.81640625" style="2" customWidth="1"/>
    <col min="4598" max="4598" width="10" style="2" customWidth="1"/>
    <col min="4599" max="4599" width="12.1796875" style="2" customWidth="1"/>
    <col min="4600" max="4600" width="13.81640625" style="2" customWidth="1"/>
    <col min="4601" max="4601" width="12.54296875" style="2" customWidth="1"/>
    <col min="4602" max="4602" width="13" style="2" customWidth="1"/>
    <col min="4603" max="4603" width="13.81640625" style="2" bestFit="1" customWidth="1"/>
    <col min="4604" max="4849" width="9.1796875" style="2"/>
    <col min="4850" max="4850" width="5" style="2" customWidth="1"/>
    <col min="4851" max="4851" width="23.81640625" style="2" customWidth="1"/>
    <col min="4852" max="4852" width="46.81640625" style="2" customWidth="1"/>
    <col min="4853" max="4853" width="5.81640625" style="2" customWidth="1"/>
    <col min="4854" max="4854" width="10" style="2" customWidth="1"/>
    <col min="4855" max="4855" width="12.1796875" style="2" customWidth="1"/>
    <col min="4856" max="4856" width="13.81640625" style="2" customWidth="1"/>
    <col min="4857" max="4857" width="12.54296875" style="2" customWidth="1"/>
    <col min="4858" max="4858" width="13" style="2" customWidth="1"/>
    <col min="4859" max="4859" width="13.81640625" style="2" bestFit="1" customWidth="1"/>
    <col min="4860" max="5105" width="9.1796875" style="2"/>
    <col min="5106" max="5106" width="5" style="2" customWidth="1"/>
    <col min="5107" max="5107" width="23.81640625" style="2" customWidth="1"/>
    <col min="5108" max="5108" width="46.81640625" style="2" customWidth="1"/>
    <col min="5109" max="5109" width="5.81640625" style="2" customWidth="1"/>
    <col min="5110" max="5110" width="10" style="2" customWidth="1"/>
    <col min="5111" max="5111" width="12.1796875" style="2" customWidth="1"/>
    <col min="5112" max="5112" width="13.81640625" style="2" customWidth="1"/>
    <col min="5113" max="5113" width="12.54296875" style="2" customWidth="1"/>
    <col min="5114" max="5114" width="13" style="2" customWidth="1"/>
    <col min="5115" max="5115" width="13.81640625" style="2" bestFit="1" customWidth="1"/>
    <col min="5116" max="5361" width="9.1796875" style="2"/>
    <col min="5362" max="5362" width="5" style="2" customWidth="1"/>
    <col min="5363" max="5363" width="23.81640625" style="2" customWidth="1"/>
    <col min="5364" max="5364" width="46.81640625" style="2" customWidth="1"/>
    <col min="5365" max="5365" width="5.81640625" style="2" customWidth="1"/>
    <col min="5366" max="5366" width="10" style="2" customWidth="1"/>
    <col min="5367" max="5367" width="12.1796875" style="2" customWidth="1"/>
    <col min="5368" max="5368" width="13.81640625" style="2" customWidth="1"/>
    <col min="5369" max="5369" width="12.54296875" style="2" customWidth="1"/>
    <col min="5370" max="5370" width="13" style="2" customWidth="1"/>
    <col min="5371" max="5371" width="13.81640625" style="2" bestFit="1" customWidth="1"/>
    <col min="5372" max="5617" width="9.1796875" style="2"/>
    <col min="5618" max="5618" width="5" style="2" customWidth="1"/>
    <col min="5619" max="5619" width="23.81640625" style="2" customWidth="1"/>
    <col min="5620" max="5620" width="46.81640625" style="2" customWidth="1"/>
    <col min="5621" max="5621" width="5.81640625" style="2" customWidth="1"/>
    <col min="5622" max="5622" width="10" style="2" customWidth="1"/>
    <col min="5623" max="5623" width="12.1796875" style="2" customWidth="1"/>
    <col min="5624" max="5624" width="13.81640625" style="2" customWidth="1"/>
    <col min="5625" max="5625" width="12.54296875" style="2" customWidth="1"/>
    <col min="5626" max="5626" width="13" style="2" customWidth="1"/>
    <col min="5627" max="5627" width="13.81640625" style="2" bestFit="1" customWidth="1"/>
    <col min="5628" max="5873" width="9.1796875" style="2"/>
    <col min="5874" max="5874" width="5" style="2" customWidth="1"/>
    <col min="5875" max="5875" width="23.81640625" style="2" customWidth="1"/>
    <col min="5876" max="5876" width="46.81640625" style="2" customWidth="1"/>
    <col min="5877" max="5877" width="5.81640625" style="2" customWidth="1"/>
    <col min="5878" max="5878" width="10" style="2" customWidth="1"/>
    <col min="5879" max="5879" width="12.1796875" style="2" customWidth="1"/>
    <col min="5880" max="5880" width="13.81640625" style="2" customWidth="1"/>
    <col min="5881" max="5881" width="12.54296875" style="2" customWidth="1"/>
    <col min="5882" max="5882" width="13" style="2" customWidth="1"/>
    <col min="5883" max="5883" width="13.81640625" style="2" bestFit="1" customWidth="1"/>
    <col min="5884" max="6129" width="9.1796875" style="2"/>
    <col min="6130" max="6130" width="5" style="2" customWidth="1"/>
    <col min="6131" max="6131" width="23.81640625" style="2" customWidth="1"/>
    <col min="6132" max="6132" width="46.81640625" style="2" customWidth="1"/>
    <col min="6133" max="6133" width="5.81640625" style="2" customWidth="1"/>
    <col min="6134" max="6134" width="10" style="2" customWidth="1"/>
    <col min="6135" max="6135" width="12.1796875" style="2" customWidth="1"/>
    <col min="6136" max="6136" width="13.81640625" style="2" customWidth="1"/>
    <col min="6137" max="6137" width="12.54296875" style="2" customWidth="1"/>
    <col min="6138" max="6138" width="13" style="2" customWidth="1"/>
    <col min="6139" max="6139" width="13.81640625" style="2" bestFit="1" customWidth="1"/>
    <col min="6140" max="6385" width="9.1796875" style="2"/>
    <col min="6386" max="6386" width="5" style="2" customWidth="1"/>
    <col min="6387" max="6387" width="23.81640625" style="2" customWidth="1"/>
    <col min="6388" max="6388" width="46.81640625" style="2" customWidth="1"/>
    <col min="6389" max="6389" width="5.81640625" style="2" customWidth="1"/>
    <col min="6390" max="6390" width="10" style="2" customWidth="1"/>
    <col min="6391" max="6391" width="12.1796875" style="2" customWidth="1"/>
    <col min="6392" max="6392" width="13.81640625" style="2" customWidth="1"/>
    <col min="6393" max="6393" width="12.54296875" style="2" customWidth="1"/>
    <col min="6394" max="6394" width="13" style="2" customWidth="1"/>
    <col min="6395" max="6395" width="13.81640625" style="2" bestFit="1" customWidth="1"/>
    <col min="6396" max="6641" width="9.1796875" style="2"/>
    <col min="6642" max="6642" width="5" style="2" customWidth="1"/>
    <col min="6643" max="6643" width="23.81640625" style="2" customWidth="1"/>
    <col min="6644" max="6644" width="46.81640625" style="2" customWidth="1"/>
    <col min="6645" max="6645" width="5.81640625" style="2" customWidth="1"/>
    <col min="6646" max="6646" width="10" style="2" customWidth="1"/>
    <col min="6647" max="6647" width="12.1796875" style="2" customWidth="1"/>
    <col min="6648" max="6648" width="13.81640625" style="2" customWidth="1"/>
    <col min="6649" max="6649" width="12.54296875" style="2" customWidth="1"/>
    <col min="6650" max="6650" width="13" style="2" customWidth="1"/>
    <col min="6651" max="6651" width="13.81640625" style="2" bestFit="1" customWidth="1"/>
    <col min="6652" max="6897" width="9.1796875" style="2"/>
    <col min="6898" max="6898" width="5" style="2" customWidth="1"/>
    <col min="6899" max="6899" width="23.81640625" style="2" customWidth="1"/>
    <col min="6900" max="6900" width="46.81640625" style="2" customWidth="1"/>
    <col min="6901" max="6901" width="5.81640625" style="2" customWidth="1"/>
    <col min="6902" max="6902" width="10" style="2" customWidth="1"/>
    <col min="6903" max="6903" width="12.1796875" style="2" customWidth="1"/>
    <col min="6904" max="6904" width="13.81640625" style="2" customWidth="1"/>
    <col min="6905" max="6905" width="12.54296875" style="2" customWidth="1"/>
    <col min="6906" max="6906" width="13" style="2" customWidth="1"/>
    <col min="6907" max="6907" width="13.81640625" style="2" bestFit="1" customWidth="1"/>
    <col min="6908" max="7153" width="9.1796875" style="2"/>
    <col min="7154" max="7154" width="5" style="2" customWidth="1"/>
    <col min="7155" max="7155" width="23.81640625" style="2" customWidth="1"/>
    <col min="7156" max="7156" width="46.81640625" style="2" customWidth="1"/>
    <col min="7157" max="7157" width="5.81640625" style="2" customWidth="1"/>
    <col min="7158" max="7158" width="10" style="2" customWidth="1"/>
    <col min="7159" max="7159" width="12.1796875" style="2" customWidth="1"/>
    <col min="7160" max="7160" width="13.81640625" style="2" customWidth="1"/>
    <col min="7161" max="7161" width="12.54296875" style="2" customWidth="1"/>
    <col min="7162" max="7162" width="13" style="2" customWidth="1"/>
    <col min="7163" max="7163" width="13.81640625" style="2" bestFit="1" customWidth="1"/>
    <col min="7164" max="7409" width="9.1796875" style="2"/>
    <col min="7410" max="7410" width="5" style="2" customWidth="1"/>
    <col min="7411" max="7411" width="23.81640625" style="2" customWidth="1"/>
    <col min="7412" max="7412" width="46.81640625" style="2" customWidth="1"/>
    <col min="7413" max="7413" width="5.81640625" style="2" customWidth="1"/>
    <col min="7414" max="7414" width="10" style="2" customWidth="1"/>
    <col min="7415" max="7415" width="12.1796875" style="2" customWidth="1"/>
    <col min="7416" max="7416" width="13.81640625" style="2" customWidth="1"/>
    <col min="7417" max="7417" width="12.54296875" style="2" customWidth="1"/>
    <col min="7418" max="7418" width="13" style="2" customWidth="1"/>
    <col min="7419" max="7419" width="13.81640625" style="2" bestFit="1" customWidth="1"/>
    <col min="7420" max="7665" width="9.1796875" style="2"/>
    <col min="7666" max="7666" width="5" style="2" customWidth="1"/>
    <col min="7667" max="7667" width="23.81640625" style="2" customWidth="1"/>
    <col min="7668" max="7668" width="46.81640625" style="2" customWidth="1"/>
    <col min="7669" max="7669" width="5.81640625" style="2" customWidth="1"/>
    <col min="7670" max="7670" width="10" style="2" customWidth="1"/>
    <col min="7671" max="7671" width="12.1796875" style="2" customWidth="1"/>
    <col min="7672" max="7672" width="13.81640625" style="2" customWidth="1"/>
    <col min="7673" max="7673" width="12.54296875" style="2" customWidth="1"/>
    <col min="7674" max="7674" width="13" style="2" customWidth="1"/>
    <col min="7675" max="7675" width="13.81640625" style="2" bestFit="1" customWidth="1"/>
    <col min="7676" max="7921" width="9.1796875" style="2"/>
    <col min="7922" max="7922" width="5" style="2" customWidth="1"/>
    <col min="7923" max="7923" width="23.81640625" style="2" customWidth="1"/>
    <col min="7924" max="7924" width="46.81640625" style="2" customWidth="1"/>
    <col min="7925" max="7925" width="5.81640625" style="2" customWidth="1"/>
    <col min="7926" max="7926" width="10" style="2" customWidth="1"/>
    <col min="7927" max="7927" width="12.1796875" style="2" customWidth="1"/>
    <col min="7928" max="7928" width="13.81640625" style="2" customWidth="1"/>
    <col min="7929" max="7929" width="12.54296875" style="2" customWidth="1"/>
    <col min="7930" max="7930" width="13" style="2" customWidth="1"/>
    <col min="7931" max="7931" width="13.81640625" style="2" bestFit="1" customWidth="1"/>
    <col min="7932" max="8177" width="9.1796875" style="2"/>
    <col min="8178" max="8178" width="5" style="2" customWidth="1"/>
    <col min="8179" max="8179" width="23.81640625" style="2" customWidth="1"/>
    <col min="8180" max="8180" width="46.81640625" style="2" customWidth="1"/>
    <col min="8181" max="8181" width="5.81640625" style="2" customWidth="1"/>
    <col min="8182" max="8182" width="10" style="2" customWidth="1"/>
    <col min="8183" max="8183" width="12.1796875" style="2" customWidth="1"/>
    <col min="8184" max="8184" width="13.81640625" style="2" customWidth="1"/>
    <col min="8185" max="8185" width="12.54296875" style="2" customWidth="1"/>
    <col min="8186" max="8186" width="13" style="2" customWidth="1"/>
    <col min="8187" max="8187" width="13.81640625" style="2" bestFit="1" customWidth="1"/>
    <col min="8188" max="8433" width="9.1796875" style="2"/>
    <col min="8434" max="8434" width="5" style="2" customWidth="1"/>
    <col min="8435" max="8435" width="23.81640625" style="2" customWidth="1"/>
    <col min="8436" max="8436" width="46.81640625" style="2" customWidth="1"/>
    <col min="8437" max="8437" width="5.81640625" style="2" customWidth="1"/>
    <col min="8438" max="8438" width="10" style="2" customWidth="1"/>
    <col min="8439" max="8439" width="12.1796875" style="2" customWidth="1"/>
    <col min="8440" max="8440" width="13.81640625" style="2" customWidth="1"/>
    <col min="8441" max="8441" width="12.54296875" style="2" customWidth="1"/>
    <col min="8442" max="8442" width="13" style="2" customWidth="1"/>
    <col min="8443" max="8443" width="13.81640625" style="2" bestFit="1" customWidth="1"/>
    <col min="8444" max="8689" width="9.1796875" style="2"/>
    <col min="8690" max="8690" width="5" style="2" customWidth="1"/>
    <col min="8691" max="8691" width="23.81640625" style="2" customWidth="1"/>
    <col min="8692" max="8692" width="46.81640625" style="2" customWidth="1"/>
    <col min="8693" max="8693" width="5.81640625" style="2" customWidth="1"/>
    <col min="8694" max="8694" width="10" style="2" customWidth="1"/>
    <col min="8695" max="8695" width="12.1796875" style="2" customWidth="1"/>
    <col min="8696" max="8696" width="13.81640625" style="2" customWidth="1"/>
    <col min="8697" max="8697" width="12.54296875" style="2" customWidth="1"/>
    <col min="8698" max="8698" width="13" style="2" customWidth="1"/>
    <col min="8699" max="8699" width="13.81640625" style="2" bestFit="1" customWidth="1"/>
    <col min="8700" max="8945" width="9.1796875" style="2"/>
    <col min="8946" max="8946" width="5" style="2" customWidth="1"/>
    <col min="8947" max="8947" width="23.81640625" style="2" customWidth="1"/>
    <col min="8948" max="8948" width="46.81640625" style="2" customWidth="1"/>
    <col min="8949" max="8949" width="5.81640625" style="2" customWidth="1"/>
    <col min="8950" max="8950" width="10" style="2" customWidth="1"/>
    <col min="8951" max="8951" width="12.1796875" style="2" customWidth="1"/>
    <col min="8952" max="8952" width="13.81640625" style="2" customWidth="1"/>
    <col min="8953" max="8953" width="12.54296875" style="2" customWidth="1"/>
    <col min="8954" max="8954" width="13" style="2" customWidth="1"/>
    <col min="8955" max="8955" width="13.81640625" style="2" bestFit="1" customWidth="1"/>
    <col min="8956" max="9201" width="9.1796875" style="2"/>
    <col min="9202" max="9202" width="5" style="2" customWidth="1"/>
    <col min="9203" max="9203" width="23.81640625" style="2" customWidth="1"/>
    <col min="9204" max="9204" width="46.81640625" style="2" customWidth="1"/>
    <col min="9205" max="9205" width="5.81640625" style="2" customWidth="1"/>
    <col min="9206" max="9206" width="10" style="2" customWidth="1"/>
    <col min="9207" max="9207" width="12.1796875" style="2" customWidth="1"/>
    <col min="9208" max="9208" width="13.81640625" style="2" customWidth="1"/>
    <col min="9209" max="9209" width="12.54296875" style="2" customWidth="1"/>
    <col min="9210" max="9210" width="13" style="2" customWidth="1"/>
    <col min="9211" max="9211" width="13.81640625" style="2" bestFit="1" customWidth="1"/>
    <col min="9212" max="9457" width="9.1796875" style="2"/>
    <col min="9458" max="9458" width="5" style="2" customWidth="1"/>
    <col min="9459" max="9459" width="23.81640625" style="2" customWidth="1"/>
    <col min="9460" max="9460" width="46.81640625" style="2" customWidth="1"/>
    <col min="9461" max="9461" width="5.81640625" style="2" customWidth="1"/>
    <col min="9462" max="9462" width="10" style="2" customWidth="1"/>
    <col min="9463" max="9463" width="12.1796875" style="2" customWidth="1"/>
    <col min="9464" max="9464" width="13.81640625" style="2" customWidth="1"/>
    <col min="9465" max="9465" width="12.54296875" style="2" customWidth="1"/>
    <col min="9466" max="9466" width="13" style="2" customWidth="1"/>
    <col min="9467" max="9467" width="13.81640625" style="2" bestFit="1" customWidth="1"/>
    <col min="9468" max="9713" width="9.1796875" style="2"/>
    <col min="9714" max="9714" width="5" style="2" customWidth="1"/>
    <col min="9715" max="9715" width="23.81640625" style="2" customWidth="1"/>
    <col min="9716" max="9716" width="46.81640625" style="2" customWidth="1"/>
    <col min="9717" max="9717" width="5.81640625" style="2" customWidth="1"/>
    <col min="9718" max="9718" width="10" style="2" customWidth="1"/>
    <col min="9719" max="9719" width="12.1796875" style="2" customWidth="1"/>
    <col min="9720" max="9720" width="13.81640625" style="2" customWidth="1"/>
    <col min="9721" max="9721" width="12.54296875" style="2" customWidth="1"/>
    <col min="9722" max="9722" width="13" style="2" customWidth="1"/>
    <col min="9723" max="9723" width="13.81640625" style="2" bestFit="1" customWidth="1"/>
    <col min="9724" max="9969" width="9.1796875" style="2"/>
    <col min="9970" max="9970" width="5" style="2" customWidth="1"/>
    <col min="9971" max="9971" width="23.81640625" style="2" customWidth="1"/>
    <col min="9972" max="9972" width="46.81640625" style="2" customWidth="1"/>
    <col min="9973" max="9973" width="5.81640625" style="2" customWidth="1"/>
    <col min="9974" max="9974" width="10" style="2" customWidth="1"/>
    <col min="9975" max="9975" width="12.1796875" style="2" customWidth="1"/>
    <col min="9976" max="9976" width="13.81640625" style="2" customWidth="1"/>
    <col min="9977" max="9977" width="12.54296875" style="2" customWidth="1"/>
    <col min="9978" max="9978" width="13" style="2" customWidth="1"/>
    <col min="9979" max="9979" width="13.81640625" style="2" bestFit="1" customWidth="1"/>
    <col min="9980" max="10225" width="9.1796875" style="2"/>
    <col min="10226" max="10226" width="5" style="2" customWidth="1"/>
    <col min="10227" max="10227" width="23.81640625" style="2" customWidth="1"/>
    <col min="10228" max="10228" width="46.81640625" style="2" customWidth="1"/>
    <col min="10229" max="10229" width="5.81640625" style="2" customWidth="1"/>
    <col min="10230" max="10230" width="10" style="2" customWidth="1"/>
    <col min="10231" max="10231" width="12.1796875" style="2" customWidth="1"/>
    <col min="10232" max="10232" width="13.81640625" style="2" customWidth="1"/>
    <col min="10233" max="10233" width="12.54296875" style="2" customWidth="1"/>
    <col min="10234" max="10234" width="13" style="2" customWidth="1"/>
    <col min="10235" max="10235" width="13.81640625" style="2" bestFit="1" customWidth="1"/>
    <col min="10236" max="10481" width="9.1796875" style="2"/>
    <col min="10482" max="10482" width="5" style="2" customWidth="1"/>
    <col min="10483" max="10483" width="23.81640625" style="2" customWidth="1"/>
    <col min="10484" max="10484" width="46.81640625" style="2" customWidth="1"/>
    <col min="10485" max="10485" width="5.81640625" style="2" customWidth="1"/>
    <col min="10486" max="10486" width="10" style="2" customWidth="1"/>
    <col min="10487" max="10487" width="12.1796875" style="2" customWidth="1"/>
    <col min="10488" max="10488" width="13.81640625" style="2" customWidth="1"/>
    <col min="10489" max="10489" width="12.54296875" style="2" customWidth="1"/>
    <col min="10490" max="10490" width="13" style="2" customWidth="1"/>
    <col min="10491" max="10491" width="13.81640625" style="2" bestFit="1" customWidth="1"/>
    <col min="10492" max="10737" width="9.1796875" style="2"/>
    <col min="10738" max="10738" width="5" style="2" customWidth="1"/>
    <col min="10739" max="10739" width="23.81640625" style="2" customWidth="1"/>
    <col min="10740" max="10740" width="46.81640625" style="2" customWidth="1"/>
    <col min="10741" max="10741" width="5.81640625" style="2" customWidth="1"/>
    <col min="10742" max="10742" width="10" style="2" customWidth="1"/>
    <col min="10743" max="10743" width="12.1796875" style="2" customWidth="1"/>
    <col min="10744" max="10744" width="13.81640625" style="2" customWidth="1"/>
    <col min="10745" max="10745" width="12.54296875" style="2" customWidth="1"/>
    <col min="10746" max="10746" width="13" style="2" customWidth="1"/>
    <col min="10747" max="10747" width="13.81640625" style="2" bestFit="1" customWidth="1"/>
    <col min="10748" max="10993" width="9.1796875" style="2"/>
    <col min="10994" max="10994" width="5" style="2" customWidth="1"/>
    <col min="10995" max="10995" width="23.81640625" style="2" customWidth="1"/>
    <col min="10996" max="10996" width="46.81640625" style="2" customWidth="1"/>
    <col min="10997" max="10997" width="5.81640625" style="2" customWidth="1"/>
    <col min="10998" max="10998" width="10" style="2" customWidth="1"/>
    <col min="10999" max="10999" width="12.1796875" style="2" customWidth="1"/>
    <col min="11000" max="11000" width="13.81640625" style="2" customWidth="1"/>
    <col min="11001" max="11001" width="12.54296875" style="2" customWidth="1"/>
    <col min="11002" max="11002" width="13" style="2" customWidth="1"/>
    <col min="11003" max="11003" width="13.81640625" style="2" bestFit="1" customWidth="1"/>
    <col min="11004" max="11249" width="9.1796875" style="2"/>
    <col min="11250" max="11250" width="5" style="2" customWidth="1"/>
    <col min="11251" max="11251" width="23.81640625" style="2" customWidth="1"/>
    <col min="11252" max="11252" width="46.81640625" style="2" customWidth="1"/>
    <col min="11253" max="11253" width="5.81640625" style="2" customWidth="1"/>
    <col min="11254" max="11254" width="10" style="2" customWidth="1"/>
    <col min="11255" max="11255" width="12.1796875" style="2" customWidth="1"/>
    <col min="11256" max="11256" width="13.81640625" style="2" customWidth="1"/>
    <col min="11257" max="11257" width="12.54296875" style="2" customWidth="1"/>
    <col min="11258" max="11258" width="13" style="2" customWidth="1"/>
    <col min="11259" max="11259" width="13.81640625" style="2" bestFit="1" customWidth="1"/>
    <col min="11260" max="11505" width="9.1796875" style="2"/>
    <col min="11506" max="11506" width="5" style="2" customWidth="1"/>
    <col min="11507" max="11507" width="23.81640625" style="2" customWidth="1"/>
    <col min="11508" max="11508" width="46.81640625" style="2" customWidth="1"/>
    <col min="11509" max="11509" width="5.81640625" style="2" customWidth="1"/>
    <col min="11510" max="11510" width="10" style="2" customWidth="1"/>
    <col min="11511" max="11511" width="12.1796875" style="2" customWidth="1"/>
    <col min="11512" max="11512" width="13.81640625" style="2" customWidth="1"/>
    <col min="11513" max="11513" width="12.54296875" style="2" customWidth="1"/>
    <col min="11514" max="11514" width="13" style="2" customWidth="1"/>
    <col min="11515" max="11515" width="13.81640625" style="2" bestFit="1" customWidth="1"/>
    <col min="11516" max="11761" width="9.1796875" style="2"/>
    <col min="11762" max="11762" width="5" style="2" customWidth="1"/>
    <col min="11763" max="11763" width="23.81640625" style="2" customWidth="1"/>
    <col min="11764" max="11764" width="46.81640625" style="2" customWidth="1"/>
    <col min="11765" max="11765" width="5.81640625" style="2" customWidth="1"/>
    <col min="11766" max="11766" width="10" style="2" customWidth="1"/>
    <col min="11767" max="11767" width="12.1796875" style="2" customWidth="1"/>
    <col min="11768" max="11768" width="13.81640625" style="2" customWidth="1"/>
    <col min="11769" max="11769" width="12.54296875" style="2" customWidth="1"/>
    <col min="11770" max="11770" width="13" style="2" customWidth="1"/>
    <col min="11771" max="11771" width="13.81640625" style="2" bestFit="1" customWidth="1"/>
    <col min="11772" max="12017" width="9.1796875" style="2"/>
    <col min="12018" max="12018" width="5" style="2" customWidth="1"/>
    <col min="12019" max="12019" width="23.81640625" style="2" customWidth="1"/>
    <col min="12020" max="12020" width="46.81640625" style="2" customWidth="1"/>
    <col min="12021" max="12021" width="5.81640625" style="2" customWidth="1"/>
    <col min="12022" max="12022" width="10" style="2" customWidth="1"/>
    <col min="12023" max="12023" width="12.1796875" style="2" customWidth="1"/>
    <col min="12024" max="12024" width="13.81640625" style="2" customWidth="1"/>
    <col min="12025" max="12025" width="12.54296875" style="2" customWidth="1"/>
    <col min="12026" max="12026" width="13" style="2" customWidth="1"/>
    <col min="12027" max="12027" width="13.81640625" style="2" bestFit="1" customWidth="1"/>
    <col min="12028" max="12273" width="9.1796875" style="2"/>
    <col min="12274" max="12274" width="5" style="2" customWidth="1"/>
    <col min="12275" max="12275" width="23.81640625" style="2" customWidth="1"/>
    <col min="12276" max="12276" width="46.81640625" style="2" customWidth="1"/>
    <col min="12277" max="12277" width="5.81640625" style="2" customWidth="1"/>
    <col min="12278" max="12278" width="10" style="2" customWidth="1"/>
    <col min="12279" max="12279" width="12.1796875" style="2" customWidth="1"/>
    <col min="12280" max="12280" width="13.81640625" style="2" customWidth="1"/>
    <col min="12281" max="12281" width="12.54296875" style="2" customWidth="1"/>
    <col min="12282" max="12282" width="13" style="2" customWidth="1"/>
    <col min="12283" max="12283" width="13.81640625" style="2" bestFit="1" customWidth="1"/>
    <col min="12284" max="12529" width="9.1796875" style="2"/>
    <col min="12530" max="12530" width="5" style="2" customWidth="1"/>
    <col min="12531" max="12531" width="23.81640625" style="2" customWidth="1"/>
    <col min="12532" max="12532" width="46.81640625" style="2" customWidth="1"/>
    <col min="12533" max="12533" width="5.81640625" style="2" customWidth="1"/>
    <col min="12534" max="12534" width="10" style="2" customWidth="1"/>
    <col min="12535" max="12535" width="12.1796875" style="2" customWidth="1"/>
    <col min="12536" max="12536" width="13.81640625" style="2" customWidth="1"/>
    <col min="12537" max="12537" width="12.54296875" style="2" customWidth="1"/>
    <col min="12538" max="12538" width="13" style="2" customWidth="1"/>
    <col min="12539" max="12539" width="13.81640625" style="2" bestFit="1" customWidth="1"/>
    <col min="12540" max="12785" width="9.1796875" style="2"/>
    <col min="12786" max="12786" width="5" style="2" customWidth="1"/>
    <col min="12787" max="12787" width="23.81640625" style="2" customWidth="1"/>
    <col min="12788" max="12788" width="46.81640625" style="2" customWidth="1"/>
    <col min="12789" max="12789" width="5.81640625" style="2" customWidth="1"/>
    <col min="12790" max="12790" width="10" style="2" customWidth="1"/>
    <col min="12791" max="12791" width="12.1796875" style="2" customWidth="1"/>
    <col min="12792" max="12792" width="13.81640625" style="2" customWidth="1"/>
    <col min="12793" max="12793" width="12.54296875" style="2" customWidth="1"/>
    <col min="12794" max="12794" width="13" style="2" customWidth="1"/>
    <col min="12795" max="12795" width="13.81640625" style="2" bestFit="1" customWidth="1"/>
    <col min="12796" max="13041" width="9.1796875" style="2"/>
    <col min="13042" max="13042" width="5" style="2" customWidth="1"/>
    <col min="13043" max="13043" width="23.81640625" style="2" customWidth="1"/>
    <col min="13044" max="13044" width="46.81640625" style="2" customWidth="1"/>
    <col min="13045" max="13045" width="5.81640625" style="2" customWidth="1"/>
    <col min="13046" max="13046" width="10" style="2" customWidth="1"/>
    <col min="13047" max="13047" width="12.1796875" style="2" customWidth="1"/>
    <col min="13048" max="13048" width="13.81640625" style="2" customWidth="1"/>
    <col min="13049" max="13049" width="12.54296875" style="2" customWidth="1"/>
    <col min="13050" max="13050" width="13" style="2" customWidth="1"/>
    <col min="13051" max="13051" width="13.81640625" style="2" bestFit="1" customWidth="1"/>
    <col min="13052" max="13297" width="9.1796875" style="2"/>
    <col min="13298" max="13298" width="5" style="2" customWidth="1"/>
    <col min="13299" max="13299" width="23.81640625" style="2" customWidth="1"/>
    <col min="13300" max="13300" width="46.81640625" style="2" customWidth="1"/>
    <col min="13301" max="13301" width="5.81640625" style="2" customWidth="1"/>
    <col min="13302" max="13302" width="10" style="2" customWidth="1"/>
    <col min="13303" max="13303" width="12.1796875" style="2" customWidth="1"/>
    <col min="13304" max="13304" width="13.81640625" style="2" customWidth="1"/>
    <col min="13305" max="13305" width="12.54296875" style="2" customWidth="1"/>
    <col min="13306" max="13306" width="13" style="2" customWidth="1"/>
    <col min="13307" max="13307" width="13.81640625" style="2" bestFit="1" customWidth="1"/>
    <col min="13308" max="13553" width="9.1796875" style="2"/>
    <col min="13554" max="13554" width="5" style="2" customWidth="1"/>
    <col min="13555" max="13555" width="23.81640625" style="2" customWidth="1"/>
    <col min="13556" max="13556" width="46.81640625" style="2" customWidth="1"/>
    <col min="13557" max="13557" width="5.81640625" style="2" customWidth="1"/>
    <col min="13558" max="13558" width="10" style="2" customWidth="1"/>
    <col min="13559" max="13559" width="12.1796875" style="2" customWidth="1"/>
    <col min="13560" max="13560" width="13.81640625" style="2" customWidth="1"/>
    <col min="13561" max="13561" width="12.54296875" style="2" customWidth="1"/>
    <col min="13562" max="13562" width="13" style="2" customWidth="1"/>
    <col min="13563" max="13563" width="13.81640625" style="2" bestFit="1" customWidth="1"/>
    <col min="13564" max="13809" width="9.1796875" style="2"/>
    <col min="13810" max="13810" width="5" style="2" customWidth="1"/>
    <col min="13811" max="13811" width="23.81640625" style="2" customWidth="1"/>
    <col min="13812" max="13812" width="46.81640625" style="2" customWidth="1"/>
    <col min="13813" max="13813" width="5.81640625" style="2" customWidth="1"/>
    <col min="13814" max="13814" width="10" style="2" customWidth="1"/>
    <col min="13815" max="13815" width="12.1796875" style="2" customWidth="1"/>
    <col min="13816" max="13816" width="13.81640625" style="2" customWidth="1"/>
    <col min="13817" max="13817" width="12.54296875" style="2" customWidth="1"/>
    <col min="13818" max="13818" width="13" style="2" customWidth="1"/>
    <col min="13819" max="13819" width="13.81640625" style="2" bestFit="1" customWidth="1"/>
    <col min="13820" max="14065" width="9.1796875" style="2"/>
    <col min="14066" max="14066" width="5" style="2" customWidth="1"/>
    <col min="14067" max="14067" width="23.81640625" style="2" customWidth="1"/>
    <col min="14068" max="14068" width="46.81640625" style="2" customWidth="1"/>
    <col min="14069" max="14069" width="5.81640625" style="2" customWidth="1"/>
    <col min="14070" max="14070" width="10" style="2" customWidth="1"/>
    <col min="14071" max="14071" width="12.1796875" style="2" customWidth="1"/>
    <col min="14072" max="14072" width="13.81640625" style="2" customWidth="1"/>
    <col min="14073" max="14073" width="12.54296875" style="2" customWidth="1"/>
    <col min="14074" max="14074" width="13" style="2" customWidth="1"/>
    <col min="14075" max="14075" width="13.81640625" style="2" bestFit="1" customWidth="1"/>
    <col min="14076" max="14321" width="9.1796875" style="2"/>
    <col min="14322" max="14322" width="5" style="2" customWidth="1"/>
    <col min="14323" max="14323" width="23.81640625" style="2" customWidth="1"/>
    <col min="14324" max="14324" width="46.81640625" style="2" customWidth="1"/>
    <col min="14325" max="14325" width="5.81640625" style="2" customWidth="1"/>
    <col min="14326" max="14326" width="10" style="2" customWidth="1"/>
    <col min="14327" max="14327" width="12.1796875" style="2" customWidth="1"/>
    <col min="14328" max="14328" width="13.81640625" style="2" customWidth="1"/>
    <col min="14329" max="14329" width="12.54296875" style="2" customWidth="1"/>
    <col min="14330" max="14330" width="13" style="2" customWidth="1"/>
    <col min="14331" max="14331" width="13.81640625" style="2" bestFit="1" customWidth="1"/>
    <col min="14332" max="14577" width="9.1796875" style="2"/>
    <col min="14578" max="14578" width="5" style="2" customWidth="1"/>
    <col min="14579" max="14579" width="23.81640625" style="2" customWidth="1"/>
    <col min="14580" max="14580" width="46.81640625" style="2" customWidth="1"/>
    <col min="14581" max="14581" width="5.81640625" style="2" customWidth="1"/>
    <col min="14582" max="14582" width="10" style="2" customWidth="1"/>
    <col min="14583" max="14583" width="12.1796875" style="2" customWidth="1"/>
    <col min="14584" max="14584" width="13.81640625" style="2" customWidth="1"/>
    <col min="14585" max="14585" width="12.54296875" style="2" customWidth="1"/>
    <col min="14586" max="14586" width="13" style="2" customWidth="1"/>
    <col min="14587" max="14587" width="13.81640625" style="2" bestFit="1" customWidth="1"/>
    <col min="14588" max="14833" width="9.1796875" style="2"/>
    <col min="14834" max="14834" width="5" style="2" customWidth="1"/>
    <col min="14835" max="14835" width="23.81640625" style="2" customWidth="1"/>
    <col min="14836" max="14836" width="46.81640625" style="2" customWidth="1"/>
    <col min="14837" max="14837" width="5.81640625" style="2" customWidth="1"/>
    <col min="14838" max="14838" width="10" style="2" customWidth="1"/>
    <col min="14839" max="14839" width="12.1796875" style="2" customWidth="1"/>
    <col min="14840" max="14840" width="13.81640625" style="2" customWidth="1"/>
    <col min="14841" max="14841" width="12.54296875" style="2" customWidth="1"/>
    <col min="14842" max="14842" width="13" style="2" customWidth="1"/>
    <col min="14843" max="14843" width="13.81640625" style="2" bestFit="1" customWidth="1"/>
    <col min="14844" max="15089" width="9.1796875" style="2"/>
    <col min="15090" max="15090" width="5" style="2" customWidth="1"/>
    <col min="15091" max="15091" width="23.81640625" style="2" customWidth="1"/>
    <col min="15092" max="15092" width="46.81640625" style="2" customWidth="1"/>
    <col min="15093" max="15093" width="5.81640625" style="2" customWidth="1"/>
    <col min="15094" max="15094" width="10" style="2" customWidth="1"/>
    <col min="15095" max="15095" width="12.1796875" style="2" customWidth="1"/>
    <col min="15096" max="15096" width="13.81640625" style="2" customWidth="1"/>
    <col min="15097" max="15097" width="12.54296875" style="2" customWidth="1"/>
    <col min="15098" max="15098" width="13" style="2" customWidth="1"/>
    <col min="15099" max="15099" width="13.81640625" style="2" bestFit="1" customWidth="1"/>
    <col min="15100" max="15345" width="9.1796875" style="2"/>
    <col min="15346" max="15346" width="5" style="2" customWidth="1"/>
    <col min="15347" max="15347" width="23.81640625" style="2" customWidth="1"/>
    <col min="15348" max="15348" width="46.81640625" style="2" customWidth="1"/>
    <col min="15349" max="15349" width="5.81640625" style="2" customWidth="1"/>
    <col min="15350" max="15350" width="10" style="2" customWidth="1"/>
    <col min="15351" max="15351" width="12.1796875" style="2" customWidth="1"/>
    <col min="15352" max="15352" width="13.81640625" style="2" customWidth="1"/>
    <col min="15353" max="15353" width="12.54296875" style="2" customWidth="1"/>
    <col min="15354" max="15354" width="13" style="2" customWidth="1"/>
    <col min="15355" max="15355" width="13.81640625" style="2" bestFit="1" customWidth="1"/>
    <col min="15356" max="15601" width="9.1796875" style="2"/>
    <col min="15602" max="15602" width="5" style="2" customWidth="1"/>
    <col min="15603" max="15603" width="23.81640625" style="2" customWidth="1"/>
    <col min="15604" max="15604" width="46.81640625" style="2" customWidth="1"/>
    <col min="15605" max="15605" width="5.81640625" style="2" customWidth="1"/>
    <col min="15606" max="15606" width="10" style="2" customWidth="1"/>
    <col min="15607" max="15607" width="12.1796875" style="2" customWidth="1"/>
    <col min="15608" max="15608" width="13.81640625" style="2" customWidth="1"/>
    <col min="15609" max="15609" width="12.54296875" style="2" customWidth="1"/>
    <col min="15610" max="15610" width="13" style="2" customWidth="1"/>
    <col min="15611" max="15611" width="13.81640625" style="2" bestFit="1" customWidth="1"/>
    <col min="15612" max="15857" width="9.1796875" style="2"/>
    <col min="15858" max="15858" width="5" style="2" customWidth="1"/>
    <col min="15859" max="15859" width="23.81640625" style="2" customWidth="1"/>
    <col min="15860" max="15860" width="46.81640625" style="2" customWidth="1"/>
    <col min="15861" max="15861" width="5.81640625" style="2" customWidth="1"/>
    <col min="15862" max="15862" width="10" style="2" customWidth="1"/>
    <col min="15863" max="15863" width="12.1796875" style="2" customWidth="1"/>
    <col min="15864" max="15864" width="13.81640625" style="2" customWidth="1"/>
    <col min="15865" max="15865" width="12.54296875" style="2" customWidth="1"/>
    <col min="15866" max="15866" width="13" style="2" customWidth="1"/>
    <col min="15867" max="15867" width="13.81640625" style="2" bestFit="1" customWidth="1"/>
    <col min="15868" max="16113" width="9.1796875" style="2"/>
    <col min="16114" max="16114" width="5" style="2" customWidth="1"/>
    <col min="16115" max="16115" width="23.81640625" style="2" customWidth="1"/>
    <col min="16116" max="16116" width="46.81640625" style="2" customWidth="1"/>
    <col min="16117" max="16117" width="5.81640625" style="2" customWidth="1"/>
    <col min="16118" max="16118" width="10" style="2" customWidth="1"/>
    <col min="16119" max="16119" width="12.1796875" style="2" customWidth="1"/>
    <col min="16120" max="16120" width="13.81640625" style="2" customWidth="1"/>
    <col min="16121" max="16121" width="12.54296875" style="2" customWidth="1"/>
    <col min="16122" max="16122" width="13" style="2" customWidth="1"/>
    <col min="16123" max="16123" width="13.81640625" style="2" bestFit="1" customWidth="1"/>
    <col min="16124" max="16364" width="9.1796875" style="2"/>
    <col min="16365" max="16384" width="9.1796875" style="2" customWidth="1"/>
  </cols>
  <sheetData>
    <row r="1" spans="1:18" ht="20" customHeight="1" x14ac:dyDescent="0.3">
      <c r="C1" s="31"/>
      <c r="D1" s="31"/>
      <c r="E1" s="71" t="s">
        <v>5</v>
      </c>
      <c r="F1" s="72"/>
      <c r="G1" s="72"/>
      <c r="H1" s="72"/>
      <c r="I1" s="72"/>
      <c r="J1" s="72"/>
      <c r="K1" s="72"/>
      <c r="L1" s="72"/>
    </row>
    <row r="2" spans="1:18" ht="20" customHeight="1" x14ac:dyDescent="0.3">
      <c r="C2" s="32"/>
      <c r="D2" s="32"/>
      <c r="E2" s="73"/>
      <c r="F2" s="74"/>
      <c r="G2" s="74"/>
      <c r="H2" s="74"/>
      <c r="I2" s="74"/>
      <c r="J2" s="74"/>
      <c r="K2" s="74"/>
      <c r="L2" s="74"/>
    </row>
    <row r="3" spans="1:18" ht="20" customHeight="1" x14ac:dyDescent="0.3">
      <c r="C3" s="32"/>
      <c r="D3" s="32"/>
      <c r="E3" s="73"/>
      <c r="F3" s="74"/>
      <c r="G3" s="74"/>
      <c r="H3" s="74"/>
      <c r="I3" s="74"/>
      <c r="J3" s="74"/>
      <c r="K3" s="74"/>
      <c r="L3" s="74"/>
    </row>
    <row r="4" spans="1:18" ht="34" customHeight="1" x14ac:dyDescent="0.35">
      <c r="A4"/>
      <c r="B4" s="75" t="s">
        <v>0</v>
      </c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8" ht="16.25" customHeight="1" x14ac:dyDescent="0.25">
      <c r="A5" s="65" t="s">
        <v>29</v>
      </c>
      <c r="B5" s="66"/>
      <c r="C5" s="66"/>
      <c r="D5" s="66"/>
      <c r="E5" s="67"/>
      <c r="F5" s="79" t="s">
        <v>16</v>
      </c>
      <c r="G5" s="80"/>
      <c r="H5" s="80"/>
      <c r="I5" s="80"/>
      <c r="J5" s="80"/>
      <c r="K5" s="80"/>
      <c r="L5" s="81"/>
      <c r="M5" s="44">
        <f>147636000*0.5</f>
        <v>73818000</v>
      </c>
    </row>
    <row r="6" spans="1:18" ht="16.25" customHeight="1" x14ac:dyDescent="0.25">
      <c r="A6" s="65" t="s">
        <v>33</v>
      </c>
      <c r="B6" s="66"/>
      <c r="C6" s="66"/>
      <c r="D6" s="66"/>
      <c r="E6" s="67"/>
      <c r="F6" s="82" t="s">
        <v>37</v>
      </c>
      <c r="G6" s="63"/>
      <c r="H6" s="63"/>
      <c r="I6" s="63"/>
      <c r="J6" s="63"/>
      <c r="K6" s="63"/>
      <c r="L6" s="64"/>
    </row>
    <row r="7" spans="1:18" ht="16.25" customHeight="1" x14ac:dyDescent="0.25">
      <c r="A7" s="65" t="s">
        <v>30</v>
      </c>
      <c r="B7" s="66"/>
      <c r="C7" s="66"/>
      <c r="D7" s="66"/>
      <c r="E7" s="67"/>
      <c r="F7" s="82" t="s">
        <v>38</v>
      </c>
      <c r="G7" s="63"/>
      <c r="H7" s="63"/>
      <c r="I7" s="63"/>
      <c r="J7" s="63"/>
      <c r="K7" s="63"/>
      <c r="L7" s="64"/>
    </row>
    <row r="8" spans="1:18" ht="16.25" customHeight="1" x14ac:dyDescent="0.25">
      <c r="A8" s="83" t="s">
        <v>34</v>
      </c>
      <c r="B8" s="84"/>
      <c r="C8" s="84"/>
      <c r="D8" s="84"/>
      <c r="E8" s="85"/>
      <c r="F8" s="82" t="s">
        <v>11</v>
      </c>
      <c r="G8" s="63"/>
      <c r="H8" s="63"/>
      <c r="I8" s="63"/>
      <c r="J8" s="63"/>
      <c r="K8" s="63"/>
      <c r="L8" s="64"/>
    </row>
    <row r="9" spans="1:18" ht="16.25" customHeight="1" x14ac:dyDescent="0.25">
      <c r="A9" s="83" t="s">
        <v>47</v>
      </c>
      <c r="B9" s="84"/>
      <c r="C9" s="84"/>
      <c r="D9" s="84"/>
      <c r="E9" s="85"/>
      <c r="F9" s="82" t="s">
        <v>12</v>
      </c>
      <c r="G9" s="63"/>
      <c r="H9" s="63"/>
      <c r="I9" s="63"/>
      <c r="J9" s="63"/>
      <c r="K9" s="63"/>
      <c r="L9" s="64"/>
    </row>
    <row r="10" spans="1:18" ht="16.25" customHeight="1" x14ac:dyDescent="0.25">
      <c r="A10" s="65" t="s">
        <v>39</v>
      </c>
      <c r="B10" s="66"/>
      <c r="C10" s="66"/>
      <c r="D10" s="66"/>
      <c r="E10" s="67"/>
      <c r="F10" s="63" t="s">
        <v>49</v>
      </c>
      <c r="G10" s="63"/>
      <c r="H10" s="63"/>
      <c r="I10" s="63"/>
      <c r="J10" s="63"/>
      <c r="K10" s="63"/>
      <c r="L10" s="64"/>
      <c r="M10" s="44">
        <v>27000</v>
      </c>
    </row>
    <row r="11" spans="1:18" x14ac:dyDescent="0.3">
      <c r="A11" s="3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 spans="1:18" s="4" customFormat="1" ht="26" x14ac:dyDescent="0.35">
      <c r="A12" s="17" t="s">
        <v>1</v>
      </c>
      <c r="B12" s="17" t="s">
        <v>6</v>
      </c>
      <c r="C12" s="17" t="s">
        <v>18</v>
      </c>
      <c r="D12" s="17" t="s">
        <v>31</v>
      </c>
      <c r="E12" s="17" t="s">
        <v>7</v>
      </c>
      <c r="F12" s="38" t="s">
        <v>9</v>
      </c>
      <c r="G12" s="17" t="s">
        <v>2</v>
      </c>
      <c r="H12" s="17" t="s">
        <v>3</v>
      </c>
      <c r="I12" s="17" t="s">
        <v>19</v>
      </c>
      <c r="J12" s="17" t="s">
        <v>14</v>
      </c>
      <c r="K12" s="17" t="s">
        <v>32</v>
      </c>
      <c r="L12" s="17" t="s">
        <v>13</v>
      </c>
      <c r="M12" s="45" t="s">
        <v>21</v>
      </c>
      <c r="N12" s="45" t="s">
        <v>22</v>
      </c>
      <c r="O12" s="45"/>
      <c r="P12" s="4" t="s">
        <v>23</v>
      </c>
      <c r="Q12" s="4" t="s">
        <v>24</v>
      </c>
      <c r="R12" s="4" t="s">
        <v>25</v>
      </c>
    </row>
    <row r="13" spans="1:18" s="5" customFormat="1" ht="15" customHeight="1" x14ac:dyDescent="0.35">
      <c r="A13" s="52"/>
      <c r="B13" s="70"/>
      <c r="C13" s="70"/>
      <c r="D13" s="70"/>
      <c r="E13" s="70"/>
      <c r="F13" s="40"/>
      <c r="G13" s="40"/>
      <c r="H13" s="40"/>
      <c r="I13" s="40"/>
      <c r="J13" s="54"/>
      <c r="K13" s="40"/>
      <c r="L13" s="51"/>
      <c r="M13" s="46"/>
      <c r="N13" s="46"/>
      <c r="O13" s="46"/>
    </row>
    <row r="14" spans="1:18" s="5" customFormat="1" ht="34" customHeight="1" x14ac:dyDescent="0.35">
      <c r="A14" s="36" t="s">
        <v>17</v>
      </c>
      <c r="B14" s="39" t="s">
        <v>40</v>
      </c>
      <c r="C14" s="39" t="s">
        <v>20</v>
      </c>
      <c r="D14" s="39" t="s">
        <v>41</v>
      </c>
      <c r="E14" s="59" t="s">
        <v>48</v>
      </c>
      <c r="F14" s="39">
        <v>2</v>
      </c>
      <c r="G14" s="50" t="s">
        <v>36</v>
      </c>
      <c r="H14" s="41">
        <f>O14</f>
        <v>12650000</v>
      </c>
      <c r="I14" s="42">
        <v>0.08</v>
      </c>
      <c r="J14" s="43">
        <f>+F14*H14*(1+I14)</f>
        <v>27324000</v>
      </c>
      <c r="K14" s="34" t="s">
        <v>42</v>
      </c>
      <c r="L14" s="34" t="s">
        <v>35</v>
      </c>
      <c r="M14" s="46">
        <v>11500000</v>
      </c>
      <c r="N14" s="46">
        <f>M14*1.1</f>
        <v>12650000.000000002</v>
      </c>
      <c r="O14" s="55">
        <f>ROUNDUP(N14,-4)</f>
        <v>12650000</v>
      </c>
      <c r="P14" s="57" t="s">
        <v>43</v>
      </c>
      <c r="Q14" s="47">
        <f>O14-M14</f>
        <v>1150000</v>
      </c>
      <c r="R14" s="47">
        <f>Q14*F14</f>
        <v>2300000</v>
      </c>
    </row>
    <row r="15" spans="1:18" s="5" customFormat="1" ht="21.65" customHeight="1" x14ac:dyDescent="0.35">
      <c r="A15" s="28"/>
      <c r="B15" s="68" t="s">
        <v>8</v>
      </c>
      <c r="C15" s="69"/>
      <c r="D15" s="69"/>
      <c r="E15" s="69"/>
      <c r="F15" s="69"/>
      <c r="G15" s="69"/>
      <c r="H15" s="69"/>
      <c r="I15" s="69"/>
      <c r="J15" s="29">
        <f>SUBTOTAL(9, J14:J14)</f>
        <v>27324000</v>
      </c>
      <c r="K15" s="30"/>
      <c r="L15" s="30"/>
      <c r="M15" s="46"/>
      <c r="N15" s="46"/>
      <c r="O15" s="56"/>
      <c r="P15" s="58"/>
    </row>
    <row r="16" spans="1:18" ht="16.5" customHeight="1" x14ac:dyDescent="0.3">
      <c r="A16" s="6"/>
      <c r="B16" s="18" t="s">
        <v>4</v>
      </c>
      <c r="C16" s="18"/>
      <c r="D16" s="18"/>
      <c r="E16" s="19"/>
      <c r="F16" s="20"/>
      <c r="G16" s="21"/>
      <c r="H16" s="22"/>
      <c r="I16" s="22"/>
      <c r="J16" s="12"/>
      <c r="K16" s="27"/>
      <c r="L16" s="27"/>
    </row>
    <row r="17" spans="1:12" ht="16.5" customHeight="1" x14ac:dyDescent="0.3">
      <c r="B17" s="2" t="s">
        <v>44</v>
      </c>
      <c r="J17" s="13"/>
      <c r="K17" s="15"/>
      <c r="L17" s="15"/>
    </row>
    <row r="18" spans="1:12" ht="16.5" customHeight="1" x14ac:dyDescent="0.3">
      <c r="B18" s="2" t="s">
        <v>45</v>
      </c>
      <c r="J18" s="13"/>
      <c r="K18" s="15"/>
      <c r="L18" s="15"/>
    </row>
    <row r="19" spans="1:12" ht="16.5" customHeight="1" x14ac:dyDescent="0.3">
      <c r="B19" s="2" t="s">
        <v>46</v>
      </c>
      <c r="J19" s="13"/>
      <c r="K19" s="15"/>
      <c r="L19" s="15"/>
    </row>
    <row r="20" spans="1:12" ht="16.5" customHeight="1" x14ac:dyDescent="0.3">
      <c r="A20" s="9"/>
      <c r="B20" s="60" t="s">
        <v>15</v>
      </c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ht="16.5" customHeight="1" x14ac:dyDescent="0.3">
      <c r="A21" s="33"/>
      <c r="B21" s="49" t="s">
        <v>26</v>
      </c>
      <c r="C21" s="48"/>
      <c r="D21" s="48"/>
      <c r="E21" s="37"/>
      <c r="F21" s="37"/>
      <c r="G21" s="37"/>
      <c r="H21" s="37"/>
      <c r="I21" s="37"/>
      <c r="J21" s="37"/>
      <c r="K21" s="37"/>
      <c r="L21" s="53"/>
    </row>
    <row r="22" spans="1:12" ht="16.5" customHeight="1" x14ac:dyDescent="0.3">
      <c r="A22" s="33"/>
      <c r="B22" s="49" t="s">
        <v>27</v>
      </c>
      <c r="C22" s="48"/>
      <c r="D22" s="48"/>
      <c r="E22" s="37"/>
      <c r="F22" s="37"/>
      <c r="G22" s="37"/>
      <c r="H22" s="37"/>
      <c r="I22" s="37"/>
      <c r="J22" s="37"/>
      <c r="K22" s="37"/>
      <c r="L22" s="53"/>
    </row>
    <row r="23" spans="1:12" ht="16.5" customHeight="1" x14ac:dyDescent="0.3">
      <c r="A23" s="33"/>
      <c r="B23" s="49" t="s">
        <v>28</v>
      </c>
      <c r="C23" s="48"/>
      <c r="D23" s="48"/>
      <c r="E23" s="37"/>
      <c r="F23" s="37"/>
      <c r="G23" s="37"/>
      <c r="H23" s="37"/>
      <c r="I23" s="37"/>
      <c r="J23" s="37"/>
      <c r="K23" s="37"/>
      <c r="L23" s="53"/>
    </row>
    <row r="24" spans="1:12" ht="14" x14ac:dyDescent="0.3">
      <c r="A24" s="33"/>
      <c r="B24" s="23"/>
      <c r="C24" s="23"/>
      <c r="D24" s="23"/>
      <c r="J24" s="13"/>
      <c r="K24" s="15"/>
      <c r="L24" s="15"/>
    </row>
    <row r="25" spans="1:12" ht="14" x14ac:dyDescent="0.3">
      <c r="A25" s="33"/>
      <c r="B25" s="23"/>
      <c r="C25" s="23"/>
      <c r="D25" s="23"/>
      <c r="J25" s="13"/>
      <c r="K25" s="15"/>
      <c r="L25" s="15"/>
    </row>
    <row r="26" spans="1:12" ht="14" x14ac:dyDescent="0.3">
      <c r="A26" s="33"/>
      <c r="B26" s="23"/>
      <c r="C26" s="23"/>
      <c r="D26" s="23"/>
      <c r="J26" s="13"/>
      <c r="K26" s="15"/>
      <c r="L26" s="15"/>
    </row>
    <row r="27" spans="1:12" ht="14" x14ac:dyDescent="0.3">
      <c r="A27" s="10"/>
      <c r="B27" s="35" t="s">
        <v>10</v>
      </c>
      <c r="C27" s="25"/>
      <c r="D27" s="25"/>
      <c r="E27" s="24"/>
      <c r="F27" s="2"/>
      <c r="J27" s="13"/>
    </row>
    <row r="28" spans="1:12" ht="14" x14ac:dyDescent="0.3">
      <c r="A28" s="10"/>
      <c r="B28" s="10"/>
      <c r="C28" s="10"/>
      <c r="D28" s="10"/>
      <c r="E28" s="11"/>
      <c r="F28" s="24"/>
      <c r="J28" s="13"/>
      <c r="K28" s="15"/>
      <c r="L28" s="15"/>
    </row>
    <row r="29" spans="1:12" ht="14" x14ac:dyDescent="0.3">
      <c r="A29" s="10"/>
      <c r="C29" s="11"/>
      <c r="D29" s="11"/>
      <c r="E29" s="24"/>
      <c r="F29" s="2"/>
      <c r="J29" s="13"/>
    </row>
    <row r="30" spans="1:12" ht="14" x14ac:dyDescent="0.3">
      <c r="A30" s="6"/>
      <c r="C30" s="26"/>
      <c r="D30" s="26"/>
      <c r="J30" s="13"/>
      <c r="K30" s="15"/>
      <c r="L30" s="15"/>
    </row>
    <row r="31" spans="1:12" ht="14" x14ac:dyDescent="0.3">
      <c r="J31" s="13"/>
      <c r="K31" s="15"/>
      <c r="L31" s="15"/>
    </row>
    <row r="32" spans="1:12" ht="14" x14ac:dyDescent="0.3">
      <c r="E32" s="7"/>
      <c r="F32" s="8"/>
      <c r="G32" s="15"/>
      <c r="H32" s="13"/>
      <c r="I32" s="13"/>
      <c r="J32" s="13"/>
      <c r="K32" s="15"/>
      <c r="L32" s="15"/>
    </row>
  </sheetData>
  <mergeCells count="18">
    <mergeCell ref="E1:L3"/>
    <mergeCell ref="B4:L4"/>
    <mergeCell ref="B11:L11"/>
    <mergeCell ref="F5:L5"/>
    <mergeCell ref="A5:E5"/>
    <mergeCell ref="F6:L6"/>
    <mergeCell ref="A6:E6"/>
    <mergeCell ref="F7:L7"/>
    <mergeCell ref="A7:E7"/>
    <mergeCell ref="F8:L8"/>
    <mergeCell ref="A8:E8"/>
    <mergeCell ref="F9:L9"/>
    <mergeCell ref="A9:E9"/>
    <mergeCell ref="B20:L20"/>
    <mergeCell ref="F10:L10"/>
    <mergeCell ref="A10:E10"/>
    <mergeCell ref="B15:I15"/>
    <mergeCell ref="B13:E13"/>
  </mergeCells>
  <phoneticPr fontId="11" type="noConversion"/>
  <printOptions horizontalCentered="1"/>
  <pageMargins left="0.2" right="0.2" top="0.25" bottom="0.1" header="0.3" footer="0.3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Báo Giá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Việt Nguyễn</cp:lastModifiedBy>
  <cp:lastPrinted>2026-08-18T10:21:00Z</cp:lastPrinted>
  <dcterms:created xsi:type="dcterms:W3CDTF">2022-12-12T03:18:33Z</dcterms:created>
  <dcterms:modified xsi:type="dcterms:W3CDTF">2026-09-03T03:43:31Z</dcterms:modified>
</cp:coreProperties>
</file>