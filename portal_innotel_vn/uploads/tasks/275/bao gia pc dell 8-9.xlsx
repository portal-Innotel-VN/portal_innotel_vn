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hach hang\End user\HO CHI MINH\coop mart\2020\"/>
    </mc:Choice>
  </mc:AlternateContent>
  <bookViews>
    <workbookView xWindow="0" yWindow="0" windowWidth="19200" windowHeight="6620"/>
  </bookViews>
  <sheets>
    <sheet name="HP" sheetId="2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C12" i="2" l="1"/>
  <c r="F16" i="2"/>
  <c r="F17" i="2" s="1"/>
  <c r="F18" i="2" s="1"/>
  <c r="F19" i="2" s="1"/>
</calcChain>
</file>

<file path=xl/sharedStrings.xml><?xml version="1.0" encoding="utf-8"?>
<sst xmlns="http://schemas.openxmlformats.org/spreadsheetml/2006/main" count="39" uniqueCount="39">
  <si>
    <t>TEL:</t>
  </si>
  <si>
    <t>FAX NUMBER:</t>
  </si>
  <si>
    <t>MOB:</t>
  </si>
  <si>
    <t>Người gửi:</t>
  </si>
  <si>
    <t>Ngày :</t>
  </si>
  <si>
    <t>Tên Thiết bị.</t>
  </si>
  <si>
    <t>Mô tả thiết bị</t>
  </si>
  <si>
    <t>SL</t>
  </si>
  <si>
    <t>Kính gửi:</t>
  </si>
  <si>
    <t>Người nhận:</t>
  </si>
  <si>
    <t>BẢNG CHÀO GIÁ</t>
  </si>
  <si>
    <t>Chủ đề</t>
  </si>
  <si>
    <t>CÁC ĐIỀU KHOẢN THƯƠNG MẠI</t>
  </si>
  <si>
    <t>Hùynh Thanh Hải</t>
  </si>
  <si>
    <t>Huỳnh  Thanh Hải</t>
  </si>
  <si>
    <t>Giám đốc</t>
  </si>
  <si>
    <t>Web: http://www.innotel.com.vn</t>
  </si>
  <si>
    <t>No</t>
  </si>
  <si>
    <t>Qno:</t>
  </si>
  <si>
    <t>Page:</t>
  </si>
  <si>
    <t>Mob:0982 88 7089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</si>
  <si>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</si>
  <si>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Xác nhận đặt hàng</t>
  </si>
  <si>
    <t>Email: hai.ht@innotel.com.vn</t>
  </si>
  <si>
    <t>Đơn giá
(vnđ)</t>
  </si>
  <si>
    <t>Thành tiền
(vnđ)</t>
  </si>
  <si>
    <t>CỘNG:</t>
  </si>
  <si>
    <t>TỔNG CỘNG BAO GỒM VAT 10%</t>
  </si>
  <si>
    <t>Vat 10%</t>
  </si>
  <si>
    <t>2. Thanh toán 100% sau khi giao hàng và nhận chứng từ tài chính 15 ngày</t>
  </si>
  <si>
    <t>4. Thanh toán bằng chuyển khoản hoặc tiền mặt</t>
  </si>
  <si>
    <t>1. Thời gian giao hàng trong vòng 3 ngày  kể từ ngày có đơn đặt hàng</t>
  </si>
  <si>
    <t xml:space="preserve"> SÀI GÒN CO.OP</t>
  </si>
  <si>
    <t>mr Minh</t>
  </si>
  <si>
    <t>pc dell</t>
  </si>
  <si>
    <t>Q1Y20</t>
  </si>
  <si>
    <t>MÁY TÍNH ĐỂ BÀN DELL OPTIPLEX 5070 TOWER,INTEL CORE I5-9500 (3.00 GHZ,9 MB)/ 8(4x2)GB RAM/ 1TB HDD/ SSD - 128GB (M2.Sata) / DVDRW/ HDMI PORT/  UBUNTU – 70209660 - WARRANTY 03 YEAR</t>
  </si>
  <si>
    <t>DELL OPTIPLEX 5070</t>
  </si>
  <si>
    <t>3. Bảo hành:  3 năm theo tiểu chuẩn của hãng.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</si>
</sst>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  <xf numFmtId="0" fontId="2" fillId="0" borderId="0"/>
  </cellStyleXfs>
  <cellXfs count="5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/>
    <xf numFmtId="15" fontId="4" fillId="0" borderId="3" xfId="0" quotePrefix="1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4" fillId="0" borderId="5" xfId="0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0" fontId="8" fillId="0" borderId="0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5" xfId="0" applyFont="1" applyBorder="1"/>
    <xf numFmtId="164" fontId="3" fillId="2" borderId="3" xfId="1" applyNumberFormat="1" applyFont="1" applyFill="1" applyBorder="1" applyAlignment="1">
      <alignment horizontal="center" vertical="center" wrapText="1"/>
    </xf>
    <xf numFmtId="164" fontId="4" fillId="0" borderId="5" xfId="1" applyNumberFormat="1" applyFont="1" applyBorder="1"/>
    <xf numFmtId="164" fontId="4" fillId="0" borderId="1" xfId="1" applyNumberFormat="1" applyFont="1" applyBorder="1"/>
    <xf numFmtId="164" fontId="6" fillId="0" borderId="1" xfId="1" applyNumberFormat="1" applyFont="1" applyBorder="1"/>
    <xf numFmtId="164" fontId="2" fillId="0" borderId="1" xfId="1" applyNumberFormat="1" applyFont="1" applyBorder="1"/>
    <xf numFmtId="164" fontId="4" fillId="0" borderId="3" xfId="1" applyNumberFormat="1" applyFont="1" applyBorder="1" applyAlignment="1">
      <alignment horizontal="right" vertical="center"/>
    </xf>
    <xf numFmtId="164" fontId="4" fillId="0" borderId="3" xfId="1" applyNumberFormat="1" applyFont="1" applyBorder="1" applyAlignment="1">
      <alignment horizontal="right" vertical="center" wrapText="1"/>
    </xf>
    <xf numFmtId="164" fontId="8" fillId="0" borderId="3" xfId="1" applyNumberFormat="1" applyFont="1" applyFill="1" applyBorder="1" applyAlignment="1">
      <alignment vertical="center"/>
    </xf>
    <xf numFmtId="0" fontId="8" fillId="3" borderId="3" xfId="2" quotePrefix="1" applyFont="1" applyFill="1" applyBorder="1" applyAlignment="1">
      <alignment vertical="center" wrapText="1"/>
    </xf>
    <xf numFmtId="0" fontId="9" fillId="3" borderId="3" xfId="4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0" fontId="1" fillId="3" borderId="3" xfId="2" quotePrefix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1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0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</cellXfs>
  <cellStyles count="5">
    <cellStyle name="Comma" xfId="1" builtinId="3"/>
    <cellStyle name="Normal" xfId="0" builtinId="0"/>
    <cellStyle name="Normal - Style1 2" xfId="4"/>
    <cellStyle name="Normal 2" xfId="2"/>
    <cellStyle name="Normal 4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2</xdr:col>
      <xdr:colOff>60960</xdr:colOff>
      <xdr:row>3</xdr:row>
      <xdr:rowOff>167640</xdr:rowOff>
    </xdr:to>
    <xdr:pic>
      <xdr:nvPicPr>
        <xdr:cNvPr id="2533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8100"/>
          <a:ext cx="1447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4</xdr:row>
      <xdr:rowOff>121920</xdr:rowOff>
    </xdr:from>
    <xdr:to>
      <xdr:col>1</xdr:col>
      <xdr:colOff>480060</xdr:colOff>
      <xdr:row>4</xdr:row>
      <xdr:rowOff>472440</xdr:rowOff>
    </xdr:to>
    <xdr:pic>
      <xdr:nvPicPr>
        <xdr:cNvPr id="2534" name="Picture 2" descr="IBM partner mail.jp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38200"/>
          <a:ext cx="70104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754380</xdr:colOff>
      <xdr:row>4</xdr:row>
      <xdr:rowOff>53340</xdr:rowOff>
    </xdr:from>
    <xdr:to>
      <xdr:col>2</xdr:col>
      <xdr:colOff>571500</xdr:colOff>
      <xdr:row>4</xdr:row>
      <xdr:rowOff>563880</xdr:rowOff>
    </xdr:to>
    <xdr:pic>
      <xdr:nvPicPr>
        <xdr:cNvPr id="253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" y="769620"/>
          <a:ext cx="100584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213360</xdr:colOff>
      <xdr:row>4</xdr:row>
      <xdr:rowOff>45720</xdr:rowOff>
    </xdr:from>
    <xdr:to>
      <xdr:col>5</xdr:col>
      <xdr:colOff>800100</xdr:colOff>
      <xdr:row>4</xdr:row>
      <xdr:rowOff>571500</xdr:rowOff>
    </xdr:to>
    <xdr:pic>
      <xdr:nvPicPr>
        <xdr:cNvPr id="2536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4060" y="762000"/>
          <a:ext cx="58674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8" workbookViewId="0">
      <selection activeCell="B17" sqref="B17:E17"/>
    </sheetView>
  </sheetViews>
  <sheetFormatPr defaultColWidth="9.08984375" defaultRowHeight="13" x14ac:dyDescent="0.3"/>
  <cols>
    <col min="1" max="1" width="4.36328125" style="18" customWidth="1"/>
    <col min="2" max="2" width="17.36328125" style="1" customWidth="1"/>
    <col min="3" max="3" width="49.1796875" style="1" customWidth="1"/>
    <col min="4" max="4" width="4" style="1" customWidth="1"/>
    <col min="5" max="5" width="12.36328125" style="29" customWidth="1"/>
    <col min="6" max="6" width="13.453125" style="29" customWidth="1"/>
    <col min="7" max="7" width="11" style="1" bestFit="1" customWidth="1"/>
    <col min="8" max="16384" width="9.08984375" style="1"/>
  </cols>
  <sheetData>
    <row r="1" spans="1:7" ht="12.75" customHeight="1" x14ac:dyDescent="0.3">
      <c r="C1" s="44" t="s">
        <v>21</v>
      </c>
      <c r="D1" s="45"/>
      <c r="E1" s="45"/>
      <c r="F1" s="46"/>
    </row>
    <row r="2" spans="1:7" ht="12.75" customHeight="1" x14ac:dyDescent="0.3">
      <c r="C2" s="47"/>
      <c r="D2" s="48"/>
      <c r="E2" s="48"/>
      <c r="F2" s="49"/>
    </row>
    <row r="3" spans="1:7" ht="12.75" customHeight="1" x14ac:dyDescent="0.3">
      <c r="C3" s="47"/>
      <c r="D3" s="48"/>
      <c r="E3" s="48"/>
      <c r="F3" s="49"/>
    </row>
    <row r="4" spans="1:7" ht="18.75" customHeight="1" thickBot="1" x14ac:dyDescent="0.35">
      <c r="A4" s="19"/>
      <c r="B4" s="3"/>
      <c r="C4" s="50"/>
      <c r="D4" s="51"/>
      <c r="E4" s="51"/>
      <c r="F4" s="52"/>
    </row>
    <row r="5" spans="1:7" ht="47.4" customHeight="1" thickTop="1" x14ac:dyDescent="0.5">
      <c r="A5" s="21"/>
      <c r="B5" s="53" t="s">
        <v>10</v>
      </c>
      <c r="C5" s="54"/>
      <c r="D5" s="54"/>
      <c r="E5" s="54"/>
      <c r="F5" s="55"/>
    </row>
    <row r="6" spans="1:7" ht="19.5" customHeight="1" x14ac:dyDescent="0.3">
      <c r="A6" s="22"/>
      <c r="B6" s="5" t="s">
        <v>8</v>
      </c>
      <c r="C6" s="56" t="s">
        <v>32</v>
      </c>
      <c r="D6" s="57"/>
      <c r="E6" s="57"/>
      <c r="F6" s="58"/>
      <c r="G6" s="6"/>
    </row>
    <row r="7" spans="1:7" ht="14" x14ac:dyDescent="0.3">
      <c r="A7" s="22"/>
      <c r="B7" s="5" t="s">
        <v>9</v>
      </c>
      <c r="C7" s="37" t="s">
        <v>33</v>
      </c>
      <c r="D7" s="37"/>
      <c r="E7" s="37"/>
      <c r="F7" s="37"/>
      <c r="G7" s="6"/>
    </row>
    <row r="8" spans="1:7" ht="14" x14ac:dyDescent="0.3">
      <c r="A8" s="22"/>
      <c r="B8" s="5" t="s">
        <v>0</v>
      </c>
      <c r="C8" s="37"/>
      <c r="D8" s="37"/>
      <c r="E8" s="37"/>
      <c r="F8" s="37"/>
      <c r="G8" s="6"/>
    </row>
    <row r="9" spans="1:7" ht="14.25" customHeight="1" x14ac:dyDescent="0.3">
      <c r="A9" s="22"/>
      <c r="B9" s="5" t="s">
        <v>1</v>
      </c>
      <c r="C9" s="37"/>
      <c r="D9" s="37"/>
      <c r="E9" s="37"/>
      <c r="F9" s="37"/>
      <c r="G9" s="6"/>
    </row>
    <row r="10" spans="1:7" ht="14" x14ac:dyDescent="0.3">
      <c r="A10" s="22"/>
      <c r="B10" s="5" t="s">
        <v>2</v>
      </c>
      <c r="C10" s="37"/>
      <c r="D10" s="37"/>
      <c r="E10" s="37"/>
      <c r="F10" s="37"/>
      <c r="G10" s="6"/>
    </row>
    <row r="11" spans="1:7" ht="16.5" customHeight="1" x14ac:dyDescent="0.3">
      <c r="A11" s="22"/>
      <c r="B11" s="5" t="s">
        <v>3</v>
      </c>
      <c r="C11" s="37" t="s">
        <v>13</v>
      </c>
      <c r="D11" s="37"/>
      <c r="E11" s="37"/>
      <c r="F11" s="37"/>
      <c r="G11" s="6"/>
    </row>
    <row r="12" spans="1:7" ht="15" customHeight="1" x14ac:dyDescent="0.3">
      <c r="A12" s="22"/>
      <c r="B12" s="5" t="s">
        <v>4</v>
      </c>
      <c r="C12" s="7">
        <f ca="1">TODAY()</f>
        <v>44083</v>
      </c>
      <c r="D12" s="37" t="s">
        <v>19</v>
      </c>
      <c r="E12" s="37"/>
      <c r="F12" s="30">
        <v>1</v>
      </c>
      <c r="G12" s="6"/>
    </row>
    <row r="13" spans="1:7" ht="15.75" customHeight="1" x14ac:dyDescent="0.3">
      <c r="A13" s="22"/>
      <c r="B13" s="5" t="s">
        <v>11</v>
      </c>
      <c r="C13" s="8" t="s">
        <v>34</v>
      </c>
      <c r="D13" s="37" t="s">
        <v>18</v>
      </c>
      <c r="E13" s="37"/>
      <c r="F13" s="31" t="s">
        <v>35</v>
      </c>
      <c r="G13" s="6"/>
    </row>
    <row r="14" spans="1:7" ht="15" customHeight="1" x14ac:dyDescent="0.3">
      <c r="A14" s="23"/>
      <c r="B14" s="38"/>
      <c r="C14" s="39"/>
      <c r="D14" s="39"/>
      <c r="E14" s="39"/>
      <c r="F14" s="40"/>
      <c r="G14" s="9"/>
    </row>
    <row r="15" spans="1:7" s="2" customFormat="1" ht="31.5" customHeight="1" x14ac:dyDescent="0.25">
      <c r="A15" s="16" t="s">
        <v>17</v>
      </c>
      <c r="B15" s="16" t="s">
        <v>5</v>
      </c>
      <c r="C15" s="16" t="s">
        <v>6</v>
      </c>
      <c r="D15" s="16" t="s">
        <v>7</v>
      </c>
      <c r="E15" s="25" t="s">
        <v>24</v>
      </c>
      <c r="F15" s="25" t="s">
        <v>25</v>
      </c>
      <c r="G15" s="10"/>
    </row>
    <row r="16" spans="1:7" s="4" customFormat="1" ht="96" customHeight="1" x14ac:dyDescent="0.25">
      <c r="A16" s="17">
        <v>1</v>
      </c>
      <c r="B16" s="33" t="s">
        <v>37</v>
      </c>
      <c r="C16" s="36" t="s">
        <v>36</v>
      </c>
      <c r="D16" s="34">
        <v>5</v>
      </c>
      <c r="E16" s="35">
        <v>13400000</v>
      </c>
      <c r="F16" s="32">
        <f>E16*D16</f>
        <v>67000000</v>
      </c>
      <c r="G16" s="11"/>
    </row>
    <row r="17" spans="1:7" s="4" customFormat="1" ht="22.5" customHeight="1" x14ac:dyDescent="0.25">
      <c r="A17" s="17"/>
      <c r="B17" s="41" t="s">
        <v>26</v>
      </c>
      <c r="C17" s="42"/>
      <c r="D17" s="42"/>
      <c r="E17" s="42"/>
      <c r="F17" s="32">
        <f>SUM(F16:F16)</f>
        <v>67000000</v>
      </c>
      <c r="G17" s="11"/>
    </row>
    <row r="18" spans="1:7" s="4" customFormat="1" ht="22.5" customHeight="1" x14ac:dyDescent="0.25">
      <c r="A18" s="17"/>
      <c r="B18" s="41" t="s">
        <v>28</v>
      </c>
      <c r="C18" s="42"/>
      <c r="D18" s="42"/>
      <c r="E18" s="43"/>
      <c r="F18" s="32">
        <f>F17*0.1</f>
        <v>6700000</v>
      </c>
      <c r="G18" s="11"/>
    </row>
    <row r="19" spans="1:7" s="4" customFormat="1" ht="22.5" customHeight="1" x14ac:dyDescent="0.25">
      <c r="A19" s="17"/>
      <c r="B19" s="41" t="s">
        <v>27</v>
      </c>
      <c r="C19" s="42"/>
      <c r="D19" s="42"/>
      <c r="E19" s="43"/>
      <c r="F19" s="32">
        <f>SUM(F17:F18)</f>
        <v>73700000</v>
      </c>
      <c r="G19" s="11"/>
    </row>
    <row r="20" spans="1:7" ht="24" customHeight="1" x14ac:dyDescent="0.3">
      <c r="A20" s="24"/>
      <c r="B20" s="12" t="s">
        <v>12</v>
      </c>
      <c r="C20" s="13"/>
      <c r="D20" s="13"/>
      <c r="E20" s="26"/>
      <c r="F20" s="26"/>
      <c r="G20" s="9"/>
    </row>
    <row r="21" spans="1:7" ht="16.5" customHeight="1" x14ac:dyDescent="0.3">
      <c r="B21" s="9"/>
      <c r="C21" s="9"/>
      <c r="D21" s="9"/>
      <c r="E21" s="27"/>
      <c r="F21" s="27"/>
      <c r="G21" s="9"/>
    </row>
    <row r="22" spans="1:7" ht="14" x14ac:dyDescent="0.3">
      <c r="B22" s="9" t="s">
        <v>31</v>
      </c>
      <c r="C22" s="9"/>
      <c r="D22" s="9"/>
      <c r="E22" s="27"/>
      <c r="F22" s="27"/>
      <c r="G22" s="9"/>
    </row>
    <row r="23" spans="1:7" ht="14.25" customHeight="1" x14ac:dyDescent="0.3">
      <c r="B23" s="9" t="s">
        <v>29</v>
      </c>
      <c r="C23" s="9"/>
      <c r="D23" s="9"/>
      <c r="E23" s="27"/>
      <c r="F23" s="27"/>
      <c r="G23" s="9"/>
    </row>
    <row r="24" spans="1:7" ht="14" x14ac:dyDescent="0.3">
      <c r="B24" s="9" t="s">
        <v>38</v>
      </c>
      <c r="C24" s="9"/>
      <c r="D24" s="9"/>
      <c r="E24" s="27"/>
      <c r="F24" s="27"/>
      <c r="G24" s="9"/>
    </row>
    <row r="25" spans="1:7" ht="13.5" customHeight="1" x14ac:dyDescent="0.3">
      <c r="B25" s="9" t="s">
        <v>30</v>
      </c>
      <c r="C25" s="9"/>
      <c r="D25" s="9"/>
      <c r="E25" s="27"/>
      <c r="F25" s="27"/>
      <c r="G25" s="9"/>
    </row>
    <row r="26" spans="1:7" ht="13.5" customHeight="1" x14ac:dyDescent="0.3">
      <c r="A26" s="20"/>
      <c r="B26" s="14"/>
      <c r="C26" s="9"/>
      <c r="D26" s="9"/>
      <c r="E26" s="27"/>
      <c r="F26" s="27"/>
      <c r="G26" s="9"/>
    </row>
    <row r="27" spans="1:7" ht="13.5" customHeight="1" x14ac:dyDescent="0.3">
      <c r="B27" s="9"/>
      <c r="C27" s="9"/>
      <c r="D27" s="9"/>
      <c r="E27" s="27"/>
      <c r="F27" s="27"/>
      <c r="G27" s="9"/>
    </row>
    <row r="28" spans="1:7" ht="13.5" customHeight="1" x14ac:dyDescent="0.3">
      <c r="B28" s="15" t="s">
        <v>14</v>
      </c>
      <c r="C28" s="9"/>
      <c r="D28" s="9"/>
      <c r="E28" s="28" t="s">
        <v>22</v>
      </c>
      <c r="F28" s="27"/>
      <c r="G28" s="9"/>
    </row>
    <row r="29" spans="1:7" ht="13.5" customHeight="1" x14ac:dyDescent="0.3">
      <c r="B29" s="15" t="s">
        <v>15</v>
      </c>
      <c r="C29" s="9"/>
      <c r="D29" s="9"/>
      <c r="E29" s="27"/>
      <c r="F29" s="27"/>
      <c r="G29" s="9"/>
    </row>
    <row r="30" spans="1:7" ht="13.5" customHeight="1" x14ac:dyDescent="0.3">
      <c r="B30" s="9"/>
      <c r="C30" s="9"/>
      <c r="D30" s="9"/>
      <c r="E30" s="27"/>
      <c r="F30" s="27"/>
      <c r="G30" s="9"/>
    </row>
    <row r="31" spans="1:7" ht="13.5" customHeight="1" x14ac:dyDescent="0.3">
      <c r="C31" s="15"/>
      <c r="D31" s="9"/>
      <c r="E31" s="27"/>
      <c r="F31" s="27"/>
      <c r="G31" s="9"/>
    </row>
    <row r="32" spans="1:7" ht="14" x14ac:dyDescent="0.3">
      <c r="C32" s="15"/>
      <c r="D32" s="9"/>
      <c r="E32" s="27"/>
      <c r="F32" s="27"/>
      <c r="G32" s="9"/>
    </row>
    <row r="33" spans="2:7" ht="13.5" customHeight="1" x14ac:dyDescent="0.3">
      <c r="B33" s="15" t="s">
        <v>20</v>
      </c>
      <c r="C33" s="15"/>
      <c r="D33" s="9"/>
      <c r="E33" s="27"/>
      <c r="F33" s="27"/>
      <c r="G33" s="9"/>
    </row>
    <row r="34" spans="2:7" ht="14" x14ac:dyDescent="0.3">
      <c r="B34" s="15" t="s">
        <v>23</v>
      </c>
      <c r="C34" s="15"/>
      <c r="D34" s="9"/>
      <c r="E34" s="27"/>
      <c r="F34" s="27"/>
      <c r="G34" s="9"/>
    </row>
    <row r="35" spans="2:7" ht="14" x14ac:dyDescent="0.3">
      <c r="B35" s="15" t="s">
        <v>16</v>
      </c>
      <c r="C35" s="9"/>
      <c r="D35" s="9"/>
      <c r="E35" s="27"/>
      <c r="F35" s="27"/>
      <c r="G35" s="9"/>
    </row>
    <row r="36" spans="2:7" ht="14" x14ac:dyDescent="0.3">
      <c r="B36" s="9"/>
      <c r="C36" s="9"/>
      <c r="D36" s="9"/>
      <c r="E36" s="27"/>
      <c r="F36" s="27"/>
      <c r="G36" s="9"/>
    </row>
  </sheetData>
  <mergeCells count="14">
    <mergeCell ref="C9:F9"/>
    <mergeCell ref="C10:F10"/>
    <mergeCell ref="C1:F4"/>
    <mergeCell ref="B5:F5"/>
    <mergeCell ref="C6:F6"/>
    <mergeCell ref="C7:F7"/>
    <mergeCell ref="C8:F8"/>
    <mergeCell ref="C11:F11"/>
    <mergeCell ref="D12:E12"/>
    <mergeCell ref="D13:E13"/>
    <mergeCell ref="B14:F14"/>
    <mergeCell ref="B19:E19"/>
    <mergeCell ref="B18:E18"/>
    <mergeCell ref="B17:E17"/>
  </mergeCells>
  <phoneticPr fontId="0" type="noConversion"/>
  <pageMargins left="0.5" right="0" top="0" bottom="0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</vt:lpstr>
      <vt:lpstr>Sheet3</vt:lpstr>
    </vt:vector>
  </TitlesOfParts>
  <Company>innotel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</dc:creator>
  <cp:lastModifiedBy>T470s</cp:lastModifiedBy>
  <cp:lastPrinted>2019-03-06T06:32:24Z</cp:lastPrinted>
  <dcterms:created xsi:type="dcterms:W3CDTF">2001-06-27T18:38:16Z</dcterms:created>
  <dcterms:modified xsi:type="dcterms:W3CDTF">2020-09-09T03:55:41Z</dcterms:modified>
</cp:coreProperties>
</file>