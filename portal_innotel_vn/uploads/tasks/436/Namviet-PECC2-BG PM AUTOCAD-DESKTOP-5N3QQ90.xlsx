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9"/>
  <workbookPr/>
  <mc:AlternateContent xmlns:mc="http://schemas.openxmlformats.org/markup-compatibility/2006">
    <mc:Choice Requires="x15">
      <x15ac:absPath xmlns:x15ac="http://schemas.microsoft.com/office/spreadsheetml/2010/11/ac" url="C:\Users\STE\OneDrive - hps.edu.vn\01-Workspace\A Hai\PECC2\DC2021\Thau PM AutoCAD\"/>
    </mc:Choice>
  </mc:AlternateContent>
  <xr:revisionPtr revIDLastSave="31" documentId="11_305325C1173D858590B01937FE52AE6C190B4436" xr6:coauthVersionLast="47" xr6:coauthVersionMax="47" xr10:uidLastSave="{983AC283-A287-4DAA-A205-14A76137B33A}"/>
  <bookViews>
    <workbookView xWindow="-60" yWindow="-60" windowWidth="15480" windowHeight="11640" xr2:uid="{00000000-000D-0000-FFFF-FFFF00000000}"/>
  </bookViews>
  <sheets>
    <sheet name="PECC2" sheetId="1" r:id="rId1"/>
  </sheets>
  <definedNames>
    <definedName name="_xlnm.Print_Area" localSheetId="0">PECC2!$A$1:$G$32</definedName>
    <definedName name="_xlnm.Print_Titles" localSheetId="0">PECC2!$1:$4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22" i="1" s="1"/>
</calcChain>
</file>

<file path=xl/sharedStrings.xml><?xml version="1.0" encoding="utf-8"?>
<sst xmlns="http://schemas.openxmlformats.org/spreadsheetml/2006/main" count="53" uniqueCount="48">
  <si>
    <t>D19 Lý Thường Kiệt</t>
  </si>
  <si>
    <t>Tel: 028-38635021</t>
  </si>
  <si>
    <t>Phường 9, Quận Tân Bình, HCM</t>
  </si>
  <si>
    <t>Fax: 028-38635021</t>
  </si>
  <si>
    <t>BẢNG CHÀO GIÁ</t>
  </si>
  <si>
    <t>Kính gửi:</t>
  </si>
  <si>
    <t>CÔNG TY CP TƯ VẤN XÂY DỰNG ĐIỆN 2</t>
  </si>
  <si>
    <t>Người nhận:</t>
  </si>
  <si>
    <t xml:space="preserve">PHÒNG CÔNG NGHỆ THÔNG TIN </t>
  </si>
  <si>
    <t>Tel:</t>
  </si>
  <si>
    <t>84-(028)22.216.468 – Ext. 1600</t>
  </si>
  <si>
    <t xml:space="preserve">Fax: </t>
  </si>
  <si>
    <t>Mob:</t>
  </si>
  <si>
    <t>Người gửi:</t>
  </si>
  <si>
    <t>Nguyễn Thị Tuyết Phương</t>
  </si>
  <si>
    <t>Ngày :</t>
  </si>
  <si>
    <t xml:space="preserve">Số trang: </t>
  </si>
  <si>
    <t>Dự án:</t>
  </si>
  <si>
    <t>Chào giá gói thầu cung cấp phần mềm cho các đơn vị đợt 01.11</t>
  </si>
  <si>
    <t xml:space="preserve">Số báo giá:  </t>
  </si>
  <si>
    <t>No5</t>
  </si>
  <si>
    <t>No</t>
  </si>
  <si>
    <t>Tên/Mã Thiết bị.</t>
  </si>
  <si>
    <t>Mô tả thiết bị</t>
  </si>
  <si>
    <t>SL</t>
  </si>
  <si>
    <t>Đơn giá
(vnđ)</t>
  </si>
  <si>
    <t>Thuế VAT</t>
  </si>
  <si>
    <t>Thành tiền
(vnđ)</t>
  </si>
  <si>
    <t>Autodesk BIM Collaborate Pro
C1GJ1-NS5025-V662</t>
  </si>
  <si>
    <t>BIM Collaborate Pro - Single User CLOUD Commercial New Annual Subscription</t>
  </si>
  <si>
    <t>-</t>
  </si>
  <si>
    <t>Autodesk AEC
02HI1- WW8500-L937</t>
  </si>
  <si>
    <t>Architecture Engineering &amp; Construction Collection IC Commercial New Single-user ELD Annual Subscription</t>
  </si>
  <si>
    <t>Autodesk Inventor
02HI1-WW8500-L937</t>
  </si>
  <si>
    <t>Inventor Professional 2022 Commercial New Single-user ELD Annual Subscription</t>
  </si>
  <si>
    <t xml:space="preserve">Enscape </t>
  </si>
  <si>
    <t>Enscape Floating license yearly subscription</t>
  </si>
  <si>
    <t>Autodesk AutoCAD 
02HI1-WW8500-L937</t>
  </si>
  <si>
    <t>AutoCAD - including specialized toolsets AD Commercial New Single-user ELD Annual Subscription</t>
  </si>
  <si>
    <t>Tổng cộng</t>
  </si>
  <si>
    <t>Phương Thức Giao Nhận và Thanh Toán:</t>
  </si>
  <si>
    <t>1. Giao hàng tại văn phòng khách hàng tại HCM.</t>
  </si>
  <si>
    <t>2. Thời gian giao hàng: 1-2 tuần.</t>
  </si>
  <si>
    <t>3. Thanh toán thương thảo.</t>
  </si>
  <si>
    <t>4. Hiệu lực báo giá: 30 ngày.</t>
  </si>
  <si>
    <t>NAVICOM Co.,LTD</t>
  </si>
  <si>
    <t xml:space="preserve">            (Please sign &amp; send us by Fax)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</si>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</sst>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_);_(@_)"/>
  </numFmts>
  <fonts count="16">
    <font>
      <sz val="10"/>
      <name val="Arial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20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sz val="9"/>
      <name val="Arial"/>
      <family val="2"/>
    </font>
    <font>
      <b/>
      <sz val="9"/>
      <name val="Tahoma"/>
      <family val="2"/>
    </font>
    <font>
      <b/>
      <sz val="9"/>
      <color indexed="10"/>
      <name val="Tahoma"/>
      <family val="2"/>
    </font>
    <font>
      <sz val="9"/>
      <name val="Calibri"/>
      <family val="2"/>
    </font>
    <font>
      <b/>
      <u/>
      <sz val="9"/>
      <name val="Tahoma"/>
      <family val="2"/>
    </font>
    <font>
      <b/>
      <sz val="9"/>
      <name val="Arial"/>
      <family val="2"/>
    </font>
    <font>
      <b/>
      <sz val="14"/>
      <name val="Tahoma"/>
      <family val="2"/>
    </font>
    <font>
      <sz val="10"/>
      <color rgb="FF000000"/>
      <name val="TimesNewRomanPSMT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7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2" fillId="0" borderId="0" xfId="0" applyFont="1" applyAlignment="1">
      <alignment horizontal="justify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165" fontId="2" fillId="0" borderId="0" xfId="1" applyNumberFormat="1" applyFont="1" applyBorder="1"/>
    <xf numFmtId="165" fontId="2" fillId="0" borderId="1" xfId="1" applyNumberFormat="1" applyFont="1" applyBorder="1"/>
    <xf numFmtId="165" fontId="2" fillId="0" borderId="0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/>
    <xf numFmtId="0" fontId="8" fillId="0" borderId="2" xfId="0" applyFont="1" applyBorder="1" applyAlignment="1">
      <alignment vertical="center"/>
    </xf>
    <xf numFmtId="0" fontId="7" fillId="0" borderId="3" xfId="0" applyFont="1" applyBorder="1" applyAlignment="1">
      <alignment vertical="top" wrapText="1"/>
    </xf>
    <xf numFmtId="165" fontId="7" fillId="0" borderId="4" xfId="1" applyNumberFormat="1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15" fontId="7" fillId="0" borderId="2" xfId="0" applyNumberFormat="1" applyFont="1" applyBorder="1" applyAlignment="1">
      <alignment horizontal="left" vertical="top" wrapText="1"/>
    </xf>
    <xf numFmtId="165" fontId="7" fillId="0" borderId="2" xfId="1" applyNumberFormat="1" applyFont="1" applyBorder="1" applyAlignment="1">
      <alignment horizontal="right"/>
    </xf>
    <xf numFmtId="165" fontId="7" fillId="0" borderId="2" xfId="1" applyNumberFormat="1" applyFont="1" applyBorder="1" applyAlignment="1">
      <alignment horizontal="right" vertical="top" wrapText="1"/>
    </xf>
    <xf numFmtId="165" fontId="7" fillId="2" borderId="2" xfId="1" applyNumberFormat="1" applyFont="1" applyFill="1" applyBorder="1" applyAlignment="1">
      <alignment horizontal="center" vertical="center"/>
    </xf>
    <xf numFmtId="0" fontId="12" fillId="0" borderId="5" xfId="0" applyFont="1" applyBorder="1"/>
    <xf numFmtId="0" fontId="7" fillId="0" borderId="5" xfId="0" applyFont="1" applyBorder="1"/>
    <xf numFmtId="165" fontId="7" fillId="0" borderId="5" xfId="1" applyNumberFormat="1" applyFont="1" applyBorder="1" applyAlignment="1">
      <alignment horizontal="center"/>
    </xf>
    <xf numFmtId="165" fontId="7" fillId="0" borderId="5" xfId="1" applyNumberFormat="1" applyFont="1" applyBorder="1"/>
    <xf numFmtId="0" fontId="8" fillId="0" borderId="1" xfId="0" applyFont="1" applyBorder="1"/>
    <xf numFmtId="0" fontId="7" fillId="0" borderId="1" xfId="0" applyFont="1" applyBorder="1"/>
    <xf numFmtId="165" fontId="7" fillId="0" borderId="1" xfId="1" applyNumberFormat="1" applyFont="1" applyBorder="1" applyAlignment="1">
      <alignment horizontal="center"/>
    </xf>
    <xf numFmtId="165" fontId="7" fillId="0" borderId="1" xfId="1" applyNumberFormat="1" applyFont="1" applyBorder="1"/>
    <xf numFmtId="165" fontId="7" fillId="0" borderId="1" xfId="1" applyNumberFormat="1" applyFont="1" applyFill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165" fontId="8" fillId="0" borderId="1" xfId="1" applyNumberFormat="1" applyFont="1" applyBorder="1"/>
    <xf numFmtId="0" fontId="13" fillId="0" borderId="1" xfId="0" applyFont="1" applyBorder="1"/>
    <xf numFmtId="165" fontId="13" fillId="0" borderId="1" xfId="1" applyNumberFormat="1" applyFont="1" applyBorder="1" applyAlignment="1">
      <alignment horizontal="center"/>
    </xf>
    <xf numFmtId="165" fontId="13" fillId="0" borderId="1" xfId="1" applyNumberFormat="1" applyFont="1" applyBorder="1"/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8" fillId="0" borderId="2" xfId="0" applyNumberFormat="1" applyFont="1" applyBorder="1"/>
    <xf numFmtId="0" fontId="8" fillId="0" borderId="2" xfId="0" applyFont="1" applyBorder="1" applyAlignment="1">
      <alignment horizontal="right"/>
    </xf>
    <xf numFmtId="0" fontId="10" fillId="0" borderId="7" xfId="0" applyFont="1" applyBorder="1" applyAlignment="1">
      <alignment horizontal="center" vertical="center" wrapText="1"/>
    </xf>
    <xf numFmtId="165" fontId="10" fillId="0" borderId="7" xfId="1" applyNumberFormat="1" applyFont="1" applyFill="1" applyBorder="1" applyAlignment="1">
      <alignment horizontal="center" vertical="center" wrapText="1"/>
    </xf>
    <xf numFmtId="165" fontId="7" fillId="2" borderId="8" xfId="1" applyNumberFormat="1" applyFont="1" applyFill="1" applyBorder="1" applyAlignment="1">
      <alignment horizontal="center" vertical="center"/>
    </xf>
    <xf numFmtId="165" fontId="7" fillId="2" borderId="8" xfId="1" applyNumberFormat="1" applyFont="1" applyFill="1" applyBorder="1" applyAlignment="1">
      <alignment vertical="center"/>
    </xf>
    <xf numFmtId="165" fontId="9" fillId="2" borderId="2" xfId="1" applyNumberFormat="1" applyFont="1" applyFill="1" applyBorder="1" applyAlignment="1">
      <alignment vertical="center"/>
    </xf>
    <xf numFmtId="166" fontId="2" fillId="0" borderId="1" xfId="0" applyNumberFormat="1" applyFont="1" applyBorder="1"/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 vertical="center" wrapText="1"/>
    </xf>
    <xf numFmtId="165" fontId="7" fillId="2" borderId="11" xfId="1" applyNumberFormat="1" applyFont="1" applyFill="1" applyBorder="1" applyAlignment="1">
      <alignment horizontal="center" vertical="center"/>
    </xf>
    <xf numFmtId="165" fontId="7" fillId="2" borderId="11" xfId="1" applyNumberFormat="1" applyFont="1" applyFill="1" applyBorder="1" applyAlignment="1">
      <alignment vertical="center"/>
    </xf>
    <xf numFmtId="165" fontId="7" fillId="2" borderId="12" xfId="1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165" fontId="10" fillId="0" borderId="11" xfId="1" applyNumberFormat="1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9" fillId="3" borderId="2" xfId="2" applyFont="1" applyFill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7" fillId="0" borderId="7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11" fillId="0" borderId="16" xfId="0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horizontal="left" vertical="center" wrapText="1"/>
    </xf>
    <xf numFmtId="165" fontId="7" fillId="2" borderId="11" xfId="1" quotePrefix="1" applyNumberFormat="1" applyFont="1" applyFill="1" applyBorder="1" applyAlignment="1">
      <alignment horizontal="center" vertical="center" wrapText="1"/>
    </xf>
    <xf numFmtId="165" fontId="7" fillId="2" borderId="8" xfId="1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0</xdr:rowOff>
    </xdr:from>
    <xdr:to>
      <xdr:col>4</xdr:col>
      <xdr:colOff>704850</xdr:colOff>
      <xdr:row>3</xdr:row>
      <xdr:rowOff>219075</xdr:rowOff>
    </xdr:to>
    <xdr:pic>
      <xdr:nvPicPr>
        <xdr:cNvPr id="1133" name="Picture 30">
          <a:extLst>
            <a:ext uri="{FF2B5EF4-FFF2-40B4-BE49-F238E27FC236}">
              <a16:creationId xmlns:a16="http://schemas.microsoft.com/office/drawing/2014/main" id="{4F87A9F6-D8A5-41A4-BFFA-0730E3BC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0"/>
          <a:ext cx="3219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9" zoomScaleNormal="96" zoomScaleSheetLayoutView="100" workbookViewId="0">
      <selection activeCell="A33" sqref="A29:XFD33"/>
    </sheetView>
  </sheetViews>
  <sheetFormatPr defaultRowHeight="14.25"/>
  <cols>
    <col min="1" max="1" width="5.5703125" style="40" customWidth="1"/>
    <col min="2" max="2" width="23.85546875" style="1" customWidth="1"/>
    <col min="3" max="3" width="38.5703125" style="1" customWidth="1"/>
    <col min="4" max="4" width="5.140625" style="10" customWidth="1"/>
    <col min="5" max="5" width="19.85546875" style="1" bestFit="1" customWidth="1"/>
    <col min="6" max="6" width="14.5703125" style="1" customWidth="1"/>
    <col min="7" max="7" width="14.5703125" style="8" bestFit="1" customWidth="1"/>
    <col min="8" max="8" width="18.140625" style="1" customWidth="1"/>
    <col min="9" max="16384" width="9.140625" style="1"/>
  </cols>
  <sheetData>
    <row r="1" spans="1:7" ht="12.75" customHeight="1">
      <c r="A1" s="36"/>
      <c r="B1" s="76"/>
      <c r="C1" s="76"/>
      <c r="D1" s="76"/>
      <c r="E1" s="76"/>
      <c r="F1" s="76"/>
      <c r="G1" s="76"/>
    </row>
    <row r="2" spans="1:7" ht="12.75" customHeight="1">
      <c r="A2" s="36"/>
      <c r="B2" s="76"/>
      <c r="C2" s="76"/>
      <c r="D2" s="76"/>
      <c r="E2" s="76"/>
      <c r="F2" s="76"/>
      <c r="G2" s="76"/>
    </row>
    <row r="3" spans="1:7" ht="12.75" customHeight="1">
      <c r="A3" s="36"/>
      <c r="B3" s="76"/>
      <c r="C3" s="76"/>
      <c r="D3" s="76"/>
      <c r="E3" s="76"/>
      <c r="F3" s="76"/>
      <c r="G3" s="76"/>
    </row>
    <row r="4" spans="1:7" ht="18.75" customHeight="1">
      <c r="A4" s="36"/>
      <c r="B4" s="76"/>
      <c r="C4" s="76"/>
      <c r="D4" s="76"/>
      <c r="E4" s="76"/>
      <c r="F4" s="76"/>
      <c r="G4" s="76"/>
    </row>
    <row r="5" spans="1:7">
      <c r="A5" s="36"/>
      <c r="B5" s="4" t="s">
        <v>0</v>
      </c>
      <c r="C5" s="3"/>
      <c r="D5" s="9"/>
      <c r="E5" s="3" t="s">
        <v>1</v>
      </c>
      <c r="F5" s="3"/>
      <c r="G5" s="7"/>
    </row>
    <row r="6" spans="1:7" ht="15">
      <c r="A6" s="36"/>
      <c r="B6" s="3" t="s">
        <v>2</v>
      </c>
      <c r="C6" s="5"/>
      <c r="D6" s="9"/>
      <c r="E6" s="3" t="s">
        <v>3</v>
      </c>
      <c r="F6" s="3"/>
      <c r="G6" s="7"/>
    </row>
    <row r="7" spans="1:7" ht="15">
      <c r="A7" s="36"/>
      <c r="B7" s="3"/>
      <c r="C7" s="5"/>
      <c r="D7" s="9"/>
      <c r="E7" s="3"/>
      <c r="F7" s="3"/>
      <c r="G7" s="7"/>
    </row>
    <row r="8" spans="1:7" ht="27" customHeight="1">
      <c r="A8" s="36"/>
      <c r="B8" s="64" t="s">
        <v>4</v>
      </c>
      <c r="C8" s="64"/>
      <c r="D8" s="64"/>
      <c r="E8" s="64"/>
      <c r="F8" s="64"/>
      <c r="G8" s="64"/>
    </row>
    <row r="9" spans="1:7" ht="26.1" customHeight="1">
      <c r="A9" s="11" t="s">
        <v>5</v>
      </c>
      <c r="B9" s="12"/>
      <c r="C9" s="67" t="s">
        <v>6</v>
      </c>
      <c r="D9" s="67"/>
      <c r="E9" s="67"/>
      <c r="F9" s="67"/>
      <c r="G9" s="67"/>
    </row>
    <row r="10" spans="1:7">
      <c r="A10" s="11" t="s">
        <v>7</v>
      </c>
      <c r="B10" s="13"/>
      <c r="C10" s="68" t="s">
        <v>8</v>
      </c>
      <c r="D10" s="68"/>
      <c r="E10" s="68"/>
      <c r="F10" s="68"/>
      <c r="G10" s="68"/>
    </row>
    <row r="11" spans="1:7">
      <c r="A11" s="16" t="s">
        <v>9</v>
      </c>
      <c r="B11" s="12"/>
      <c r="C11" s="14" t="s">
        <v>10</v>
      </c>
      <c r="D11" s="15"/>
      <c r="E11" s="61" t="s">
        <v>11</v>
      </c>
      <c r="F11" s="62"/>
      <c r="G11" s="63"/>
    </row>
    <row r="12" spans="1:7">
      <c r="A12" s="16" t="s">
        <v>12</v>
      </c>
      <c r="B12" s="12"/>
      <c r="C12" s="66"/>
      <c r="D12" s="66"/>
      <c r="E12" s="66"/>
      <c r="F12" s="66"/>
      <c r="G12" s="66"/>
    </row>
    <row r="13" spans="1:7" ht="14.25" customHeight="1">
      <c r="A13" s="35" t="s">
        <v>13</v>
      </c>
      <c r="B13" s="12"/>
      <c r="C13" s="66" t="s">
        <v>14</v>
      </c>
      <c r="D13" s="66"/>
      <c r="E13" s="66"/>
      <c r="F13" s="66"/>
      <c r="G13" s="66"/>
    </row>
    <row r="14" spans="1:7" ht="15" customHeight="1">
      <c r="A14" s="35" t="s">
        <v>15</v>
      </c>
      <c r="B14" s="41"/>
      <c r="C14" s="17">
        <v>44515</v>
      </c>
      <c r="D14" s="66" t="s">
        <v>16</v>
      </c>
      <c r="E14" s="66"/>
      <c r="F14" s="16"/>
      <c r="G14" s="18">
        <v>1</v>
      </c>
    </row>
    <row r="15" spans="1:7" ht="24">
      <c r="A15" s="35" t="s">
        <v>17</v>
      </c>
      <c r="B15" s="42"/>
      <c r="C15" s="50" t="s">
        <v>18</v>
      </c>
      <c r="D15" s="65" t="s">
        <v>19</v>
      </c>
      <c r="E15" s="66"/>
      <c r="F15" s="16"/>
      <c r="G15" s="19" t="s">
        <v>20</v>
      </c>
    </row>
    <row r="16" spans="1:7" s="6" customFormat="1" ht="30" customHeight="1">
      <c r="A16" s="43" t="s">
        <v>21</v>
      </c>
      <c r="B16" s="69" t="s">
        <v>22</v>
      </c>
      <c r="C16" s="58" t="s">
        <v>23</v>
      </c>
      <c r="D16" s="57" t="s">
        <v>24</v>
      </c>
      <c r="E16" s="59" t="s">
        <v>25</v>
      </c>
      <c r="F16" s="43" t="s">
        <v>26</v>
      </c>
      <c r="G16" s="44" t="s">
        <v>27</v>
      </c>
    </row>
    <row r="17" spans="1:8" ht="46.5" customHeight="1">
      <c r="A17" s="70">
        <v>1</v>
      </c>
      <c r="B17" s="72" t="s">
        <v>28</v>
      </c>
      <c r="C17" s="55" t="s">
        <v>29</v>
      </c>
      <c r="D17" s="53">
        <v>3</v>
      </c>
      <c r="E17" s="51">
        <v>11350000</v>
      </c>
      <c r="F17" s="74" t="s">
        <v>30</v>
      </c>
      <c r="G17" s="52">
        <f>(E17+0)*D17</f>
        <v>34050000</v>
      </c>
      <c r="H17" s="54"/>
    </row>
    <row r="18" spans="1:8" ht="46.5" customHeight="1">
      <c r="A18" s="70">
        <v>2</v>
      </c>
      <c r="B18" s="72" t="s">
        <v>31</v>
      </c>
      <c r="C18" s="55" t="s">
        <v>32</v>
      </c>
      <c r="D18" s="45">
        <v>14</v>
      </c>
      <c r="E18" s="45">
        <v>37300000</v>
      </c>
      <c r="F18" s="75" t="s">
        <v>30</v>
      </c>
      <c r="G18" s="46">
        <f t="shared" ref="G18:G21" si="0">(E18+0)*D18</f>
        <v>522200000</v>
      </c>
    </row>
    <row r="19" spans="1:8" ht="46.5" customHeight="1">
      <c r="A19" s="70">
        <v>3</v>
      </c>
      <c r="B19" s="72" t="s">
        <v>33</v>
      </c>
      <c r="C19" s="55" t="s">
        <v>34</v>
      </c>
      <c r="D19" s="45">
        <v>2</v>
      </c>
      <c r="E19" s="45">
        <v>27310000</v>
      </c>
      <c r="F19" s="75" t="s">
        <v>30</v>
      </c>
      <c r="G19" s="46">
        <f t="shared" si="0"/>
        <v>54620000</v>
      </c>
    </row>
    <row r="20" spans="1:8" ht="46.5" customHeight="1">
      <c r="A20" s="70">
        <v>4</v>
      </c>
      <c r="B20" s="72" t="s">
        <v>35</v>
      </c>
      <c r="C20" s="56" t="s">
        <v>36</v>
      </c>
      <c r="D20" s="45">
        <v>1</v>
      </c>
      <c r="E20" s="45">
        <v>21660000</v>
      </c>
      <c r="F20" s="75" t="s">
        <v>30</v>
      </c>
      <c r="G20" s="46">
        <f t="shared" si="0"/>
        <v>21660000</v>
      </c>
    </row>
    <row r="21" spans="1:8" ht="46.5" customHeight="1">
      <c r="A21" s="70">
        <v>5</v>
      </c>
      <c r="B21" s="72" t="s">
        <v>37</v>
      </c>
      <c r="C21" s="55" t="s">
        <v>38</v>
      </c>
      <c r="D21" s="45">
        <v>5</v>
      </c>
      <c r="E21" s="45">
        <v>29050000</v>
      </c>
      <c r="F21" s="75" t="s">
        <v>30</v>
      </c>
      <c r="G21" s="46">
        <f t="shared" si="0"/>
        <v>145250000</v>
      </c>
    </row>
    <row r="22" spans="1:8" ht="24" customHeight="1">
      <c r="A22" s="71"/>
      <c r="B22" s="73"/>
      <c r="C22" s="60" t="s">
        <v>39</v>
      </c>
      <c r="D22" s="20"/>
      <c r="E22" s="20"/>
      <c r="F22" s="20"/>
      <c r="G22" s="47">
        <f>SUM(G17:G21)</f>
        <v>777780000</v>
      </c>
      <c r="H22" s="48"/>
    </row>
    <row r="23" spans="1:8" ht="21" customHeight="1">
      <c r="A23" s="37"/>
      <c r="B23" s="21" t="s">
        <v>40</v>
      </c>
      <c r="C23" s="22"/>
      <c r="D23" s="23"/>
      <c r="E23" s="22"/>
      <c r="F23" s="22"/>
      <c r="G23" s="24"/>
    </row>
    <row r="24" spans="1:8" ht="16.5" customHeight="1">
      <c r="A24" s="38"/>
      <c r="B24" s="26" t="s">
        <v>41</v>
      </c>
      <c r="C24" s="26"/>
      <c r="D24" s="27"/>
      <c r="E24" s="26"/>
      <c r="F24" s="26"/>
      <c r="G24" s="28"/>
    </row>
    <row r="25" spans="1:8">
      <c r="A25" s="38"/>
      <c r="B25" s="26" t="s">
        <v>42</v>
      </c>
      <c r="C25" s="26"/>
      <c r="D25" s="27"/>
      <c r="E25" s="26"/>
      <c r="F25" s="26"/>
      <c r="G25" s="28"/>
    </row>
    <row r="26" spans="1:8">
      <c r="A26" s="38"/>
      <c r="B26" s="26" t="s">
        <v>43</v>
      </c>
      <c r="C26" s="26"/>
      <c r="D26" s="27"/>
      <c r="E26" s="26"/>
      <c r="F26" s="26"/>
      <c r="G26" s="28"/>
    </row>
    <row r="27" spans="1:8">
      <c r="A27" s="38"/>
      <c r="B27" s="26" t="s">
        <v>44</v>
      </c>
      <c r="C27" s="26"/>
      <c r="D27" s="29"/>
      <c r="E27" s="26"/>
      <c r="F27" s="26"/>
      <c r="G27" s="28"/>
    </row>
    <row r="28" spans="1:8">
      <c r="A28" s="38"/>
      <c r="B28" s="26"/>
      <c r="C28" s="26"/>
      <c r="D28" s="27"/>
      <c r="E28" s="26"/>
      <c r="F28" s="26"/>
      <c r="G28" s="28"/>
    </row>
    <row r="29" spans="1:8" ht="13.5" customHeight="1">
      <c r="A29" s="38"/>
      <c r="B29" s="49" t="s">
        <v>45</v>
      </c>
      <c r="C29" s="32"/>
      <c r="D29" s="30"/>
      <c r="E29" s="25"/>
      <c r="F29" s="25"/>
      <c r="G29" s="31"/>
    </row>
    <row r="30" spans="1:8">
      <c r="A30" s="38"/>
      <c r="B30" s="49" t="s">
        <v>14</v>
      </c>
      <c r="C30" s="32"/>
      <c r="D30" s="30" t="s">
        <v>46</v>
      </c>
      <c r="E30" s="25"/>
      <c r="F30" s="25"/>
      <c r="G30" s="31"/>
    </row>
    <row r="31" spans="1:8" ht="13.5" customHeight="1">
      <c r="A31" s="38"/>
      <c r="B31" s="49" t="s">
        <v>47</v>
      </c>
      <c r="C31" s="32"/>
      <c r="D31" s="30"/>
      <c r="E31" s="25"/>
      <c r="F31" s="25"/>
      <c r="G31" s="31"/>
    </row>
    <row r="32" spans="1:8">
      <c r="A32" s="38"/>
      <c r="B32" s="25"/>
      <c r="C32" s="25"/>
      <c r="D32" s="30"/>
      <c r="E32" s="25"/>
      <c r="F32" s="25"/>
      <c r="G32" s="31"/>
    </row>
    <row r="33" spans="1:7">
      <c r="A33" s="38"/>
      <c r="B33" s="25"/>
      <c r="C33" s="25"/>
      <c r="D33" s="30"/>
      <c r="E33" s="25"/>
      <c r="F33" s="25"/>
      <c r="G33" s="31"/>
    </row>
    <row r="34" spans="1:7">
      <c r="A34" s="38"/>
      <c r="B34" s="25"/>
      <c r="C34" s="25"/>
      <c r="D34" s="30"/>
      <c r="E34" s="25"/>
      <c r="F34" s="25"/>
      <c r="G34" s="31"/>
    </row>
    <row r="35" spans="1:7" s="2" customFormat="1" ht="15">
      <c r="A35" s="39"/>
      <c r="B35" s="32"/>
      <c r="C35" s="32"/>
      <c r="D35" s="33"/>
      <c r="E35" s="32"/>
      <c r="F35" s="32"/>
      <c r="G35" s="34"/>
    </row>
    <row r="36" spans="1:7" s="2" customFormat="1" ht="15">
      <c r="A36" s="39"/>
      <c r="B36" s="32"/>
      <c r="C36" s="32"/>
      <c r="D36" s="33"/>
      <c r="E36" s="32"/>
      <c r="F36" s="32"/>
      <c r="G36" s="34"/>
    </row>
    <row r="37" spans="1:7">
      <c r="A37" s="38"/>
      <c r="B37" s="25"/>
      <c r="C37" s="25"/>
      <c r="D37" s="30"/>
      <c r="E37" s="25"/>
      <c r="F37" s="25"/>
      <c r="G37" s="31"/>
    </row>
    <row r="38" spans="1:7">
      <c r="A38" s="38"/>
      <c r="B38" s="25"/>
      <c r="C38" s="25"/>
      <c r="D38" s="30"/>
      <c r="E38" s="25"/>
      <c r="F38" s="25"/>
      <c r="G38" s="31"/>
    </row>
    <row r="39" spans="1:7">
      <c r="A39" s="38"/>
      <c r="B39" s="25"/>
      <c r="C39" s="25"/>
      <c r="D39" s="30"/>
      <c r="E39" s="25"/>
      <c r="F39" s="25"/>
      <c r="G39" s="31"/>
    </row>
  </sheetData>
  <mergeCells count="9">
    <mergeCell ref="B1:G4"/>
    <mergeCell ref="E11:G11"/>
    <mergeCell ref="B8:G8"/>
    <mergeCell ref="D15:E15"/>
    <mergeCell ref="C13:G13"/>
    <mergeCell ref="D14:E14"/>
    <mergeCell ref="C12:G12"/>
    <mergeCell ref="C9:G9"/>
    <mergeCell ref="C10:G10"/>
  </mergeCells>
  <phoneticPr fontId="0" type="noConversion"/>
  <pageMargins left="0" right="0" top="0.26" bottom="0.19" header="0.23" footer="0.19"/>
  <pageSetup paperSize="9" scale="8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Ngo Ngoc Dat</dc:creator>
  <cp:keywords/>
  <dc:description/>
  <cp:lastModifiedBy>Huynh Dieu</cp:lastModifiedBy>
  <cp:revision/>
  <dcterms:created xsi:type="dcterms:W3CDTF">2001-06-27T18:38:16Z</dcterms:created>
  <dcterms:modified xsi:type="dcterms:W3CDTF">2021-11-12T07:38:10Z</dcterms:modified>
  <cp:category/>
  <cp:contentStatus/>
</cp:coreProperties>
</file>