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4"/>
  <workbookPr/>
  <mc:AlternateContent xmlns:mc="http://schemas.openxmlformats.org/markup-compatibility/2006">
    <mc:Choice Requires="x15">
      <x15ac:absPath xmlns:x15ac="http://schemas.microsoft.com/office/spreadsheetml/2010/11/ac" url="/Users/macbook/Downloads/"/>
    </mc:Choice>
  </mc:AlternateContent>
  <xr:revisionPtr revIDLastSave="0" documentId="13_ncr:1_{FD097847-8E99-3E42-9102-CBADC0606AAD}" xr6:coauthVersionLast="47" xr6:coauthVersionMax="47" xr10:uidLastSave="{00000000-0000-0000-0000-000000000000}"/>
  <bookViews>
    <workbookView xWindow="4940" yWindow="860" windowWidth="31240" windowHeight="24940" xr2:uid="{00000000-000D-0000-FFFF-FFFF00000000}"/>
  </bookViews>
  <sheets>
    <sheet name="S1" sheetId="20" r:id="rId1"/>
  </sheets>
  <definedNames>
    <definedName name="_xlnm.Print_Area" localSheetId="0">'S1'!$A$1:$M$46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1" i="20" l="1"/>
  <c r="M21" i="20" s="1"/>
  <c r="K20" i="20" l="1"/>
  <c r="M20" i="20" s="1"/>
  <c r="K12" i="20" l="1"/>
  <c r="M12" i="20" s="1"/>
  <c r="K13" i="20"/>
  <c r="M13" i="20" s="1"/>
  <c r="K14" i="20"/>
  <c r="M14" i="20" s="1"/>
  <c r="K11" i="20"/>
  <c r="M11" i="20" s="1"/>
  <c r="K19" i="20"/>
  <c r="M19" i="20" s="1"/>
  <c r="K22" i="20"/>
  <c r="M22" i="20"/>
  <c r="K17" i="20"/>
  <c r="M17" i="20" s="1"/>
  <c r="K18" i="20"/>
  <c r="M18" i="20" s="1"/>
  <c r="K16" i="20"/>
  <c r="M16" i="20" s="1"/>
  <c r="M5" i="20"/>
  <c r="M4" i="20" s="1"/>
  <c r="M23" i="20" l="1"/>
  <c r="K23" i="20"/>
</calcChain>
</file>

<file path=xl/sharedStrings.xml><?xml version="1.0" encoding="utf-8"?>
<sst xmlns="http://schemas.openxmlformats.org/spreadsheetml/2006/main" count="125" uniqueCount="90">
  <si>
    <t>VAT</t>
  </si>
  <si>
    <t>No.</t>
  </si>
  <si>
    <t xml:space="preserve">   Yours sincerely,</t>
  </si>
  <si>
    <t>TOTAL (VND)</t>
  </si>
  <si>
    <t>VND Account: 17058209 (VND)</t>
  </si>
  <si>
    <r>
      <t xml:space="preserve">Benificiary: </t>
    </r>
    <r>
      <rPr>
        <b/>
        <i/>
        <sz val="10"/>
        <color theme="1"/>
        <rFont val="Times New Roman"/>
        <family val="1"/>
      </rPr>
      <t>CÔNG TY TNHH VIỄN THÔNG SÁNG TẠO THUẬN PHONG</t>
    </r>
  </si>
  <si>
    <r>
      <t xml:space="preserve">At: </t>
    </r>
    <r>
      <rPr>
        <b/>
        <i/>
        <sz val="10"/>
        <color theme="1"/>
        <rFont val="Times New Roman"/>
        <family val="1"/>
      </rPr>
      <t>Ngân hàng Thương Mại Cổ Phần Á Châu (ACB) - Chi nhánh Hồ Chí Minh</t>
    </r>
  </si>
  <si>
    <r>
      <rPr>
        <b/>
        <sz val="10"/>
        <color theme="1"/>
        <rFont val="Times New Roman"/>
        <family val="1"/>
      </rPr>
      <t xml:space="preserve">THUAN PHONG INNOVATIVE TELECOMMUNICATION CO., LTD.
</t>
    </r>
    <r>
      <rPr>
        <sz val="10"/>
        <color theme="1"/>
        <rFont val="Times New Roman"/>
        <family val="1"/>
      </rPr>
      <t>Head Office: 55/31 Tran Dinh Xu Street, Cau Ong Lanh Ward, Ho Chi Minh City
Branch office: No 52 Chua Ha St., Cau Giay Ward, Ha Noi City
Website: http://www.innotel.com.vn            Email: nguyen@innotel.com.vn
Tel: (84 028) 38621119.                      Fax: (84 028) 38630366.</t>
    </r>
  </si>
  <si>
    <t>Nguyễn Quốc Bin</t>
  </si>
  <si>
    <t>Mobile: 0966253105</t>
  </si>
  <si>
    <t>1</t>
  </si>
  <si>
    <t>Báo Giá</t>
  </si>
  <si>
    <t>Đơn Vị</t>
  </si>
  <si>
    <t>Giá (VNĐ)</t>
  </si>
  <si>
    <t>Giá một đơn vị (VNĐ)</t>
  </si>
  <si>
    <t>Số Lượng</t>
  </si>
  <si>
    <t>Miêu Tả</t>
  </si>
  <si>
    <t>Loại Sản Phẩm</t>
  </si>
  <si>
    <t>Sản Phẩm</t>
  </si>
  <si>
    <t>Tổng Giá (VNĐ)</t>
  </si>
  <si>
    <t>P.O</t>
  </si>
  <si>
    <t>Ngày báo giá</t>
  </si>
  <si>
    <t>Hết hạng báo giá</t>
  </si>
  <si>
    <t>Mệnh Giá</t>
  </si>
  <si>
    <t>VNĐ</t>
  </si>
  <si>
    <t>Đơn vị cung cấp: THUAN PHONG INNOVATIVE TELECOMMUNICATION CO., LTD.</t>
  </si>
  <si>
    <t>Các điều khoản và điều kiện được nêu dưới đây sẽ được áp dụng.</t>
  </si>
  <si>
    <t>Cảm ơn quý khách đã tin tưởng và hợp tác kinh doanh với chúng tôi trong dự án này. Chúng tôi hân hạnh gửi đến quý khách báo giá như sau:</t>
  </si>
  <si>
    <t>2</t>
  </si>
  <si>
    <t>Hardware</t>
  </si>
  <si>
    <t>3</t>
  </si>
  <si>
    <t>4</t>
  </si>
  <si>
    <t>5</t>
  </si>
  <si>
    <t>License</t>
  </si>
  <si>
    <t>6</t>
  </si>
  <si>
    <t>TMC 20UD600</t>
  </si>
  <si>
    <t xml:space="preserve">
- Trừ khi có thỏa thuận trước bằng văn bản, Innotel có quyền giao các sản phẩm đã được đặt hàng ngay khi các sản phẩm đó có sẵn tại Innotel</t>
  </si>
  <si>
    <t>Thông tin tài khoản:</t>
  </si>
  <si>
    <t>Điều khoản và Điều kiện:</t>
  </si>
  <si>
    <t>Thời gian đặt hàng:</t>
  </si>
  <si>
    <t>Bảo hành:</t>
  </si>
  <si>
    <t>Thanh toán:</t>
  </si>
  <si>
    <t>Công</t>
  </si>
  <si>
    <t xml:space="preserve"> </t>
  </si>
  <si>
    <t xml:space="preserve">Phương thức thanh toán: </t>
  </si>
  <si>
    <t>Thanh toán được thực hiện bằng Đồng Việt Nam (VND) qua Ngân hàng TMCP Ngoại thương VN</t>
  </si>
  <si>
    <t>- Chi phí vận chuyển đã bao gồm việc giao trọn bộ.</t>
  </si>
  <si>
    <t>- Đơn hàng chỉ được xác nhận và không thay đổi khi nhận được Đơn đặt hàng (Purchase Order)</t>
  </si>
  <si>
    <t>40% tổng giá trị hợp đồng sẽ được thanh toán bằng VND sau khi khách hàng xác nhận đơn hàng.</t>
  </si>
  <si>
    <t>60% tổng giá trị hợp đồng sẽ được thanh toán bằng VND trong vòng 15 ngày sau khi khách hàng nhận được hàng hóa, hoàn tất triển khai và nhận hóa đơn</t>
  </si>
  <si>
    <t>Hàng hoá nhập: 1 – 4 tuần kể từ ngày khách hàng xác nhận đơn hàng theo Báo giá (Quotation)</t>
  </si>
  <si>
    <t>Thời hạn bảo hành và hỗ trợ kỹ thuật: 01 năm kể từ ngày ký biên bản bàn giao</t>
  </si>
  <si>
    <t>Thương Hiệu</t>
  </si>
  <si>
    <t>VN</t>
  </si>
  <si>
    <t>Innotel</t>
  </si>
  <si>
    <t>Xuất Sứ</t>
  </si>
  <si>
    <t>Trung Quốc</t>
  </si>
  <si>
    <t>II - Phòng Máy Chủ</t>
  </si>
  <si>
    <t>NAS Synology
DS925+</t>
  </si>
  <si>
    <t>Versatile 4-Bay Storage Solution with Expandable Capacity
CPU Model: AMD Ryzen V1500B
CPU Quantity: 1
CPU Architecture: 64-bit
CPU Frequency: 2.2 GHz
Hardware Encryption Engine: Yes
System Memory: 4 GB DDR4 ECC SODIMM
Memory Module Pre-installed: 4 GB (4 GB x 1)
Total Memory Slots: 2
Maximum Memory Capacity: 32 GB (16 GB x 2)
Drive Bays: 4
Maximum Drive Bays with Expansion Unit: 9 (DX525 x 1)
Drive Type: 3.5" SATA HDD/ 2.5" SATA SSD/ M.2 2280
NVMe SSD
Hot Swappable Drive: Yes
RJ-45 2.5GbE LAN Port: 2
USB 3.2 Gen 1 Port: 2
Expansion Port: 1</t>
  </si>
  <si>
    <t>Synology</t>
  </si>
  <si>
    <t>Thiết Bị</t>
  </si>
  <si>
    <t>HDD Synology 4TB
HAT3300-4T</t>
  </si>
  <si>
    <t>Capacity: 4 TB
Form factor: 3.5''
Interface: SATA 6 Gb/s
Sector size: 512e
Rotational speed: 5,400 rpm
Interface speed: SATA 6 Gb/s
Cache (MB): 256 MB</t>
  </si>
  <si>
    <t>Ổ Cứng</t>
  </si>
  <si>
    <t xml:space="preserve">License Camera Pack 8 </t>
  </si>
  <si>
    <t>Lic</t>
  </si>
  <si>
    <t>8 licenses for cameras and I/O modules (Ghi chú: 1 gói là 8 Camera license vĩnh viễn)</t>
  </si>
  <si>
    <t>RG-EG406XS</t>
  </si>
  <si>
    <t>10G Reeye RG-EG406XS-P
4 cổng PoE/PoE+ tổng 110W
VPN IPSec, OpenVPN,L2TP, PPTP, v.v.
Multi-WAN + cân bằng tải
Quản lý tập trung Cloud Manager
Nhiệt độ hoạt động -40 đến 70'C</t>
  </si>
  <si>
    <t>Dịch Vụ Triển Khai</t>
  </si>
  <si>
    <t>Services</t>
  </si>
  <si>
    <t>Triển khai kết nối VPN tập trung chi nhánh chinh và chi nhánh phụ theo mô hình Hub-And-Spoke, triển khai thiết bị NAS/NVR Synology lưu trữ tập trung hình ảnh Camera chi nhánh, lắp đặt thiết bị, cấu hình tất cả các tính năng cần thiết và tài liệu hướng dẫn sử dụng, vật tư phụ.....</t>
  </si>
  <si>
    <t>Ruijie</t>
  </si>
  <si>
    <t>I - Chi Nhánh HCM</t>
  </si>
  <si>
    <t>Người nhận: Mr Sơn</t>
  </si>
  <si>
    <t>Chủ đầu tư: Esky</t>
  </si>
  <si>
    <t>IMOU</t>
  </si>
  <si>
    <t xml:space="preserve">RG-ES209MG-P </t>
  </si>
  <si>
    <t xml:space="preserve">RG-EG406XS-P </t>
  </si>
  <si>
    <t xml:space="preserve">8-Port 2.5G Cloud Managed PoE Switch, 1
x 10G Uplink, 130 W PoE Budget </t>
  </si>
  <si>
    <t>Triển khai cấu hình, lắp đặt và vật tư phụ
HCM và quản lý giám sát 1 thiết bị Camera,
phản hồi ngay khi nhận yêu cầu hỗ trợ hoặc
chậm nhất 1 tiếng (12 tháng)</t>
  </si>
  <si>
    <t>TMC</t>
  </si>
  <si>
    <t>Tủ mạng 20U Sâu D600 – TMC RACK 19 (Kèm thanh nguồn 12 cổng Universal)</t>
  </si>
  <si>
    <t>7</t>
  </si>
  <si>
    <t>UPS AR610RT DẠNG RACK</t>
  </si>
  <si>
    <t>Công suất: 1000VA/800W
Sóng sine chuẩn. Hệ số công suất 0.8.
Thời gian chuyển mạch: ≤ 2 ~ 6ms (tối đa 10ms)
Cổng kết nối điện ra: 3 ổ cắm Universal + 1 ổ cắm C14
Ắc quy: 2x12V/7AH
Chức năng quản lý ắc-quy thông minh.
Tự khởi động lại khi có điện lưới.
Cho phép tắt/mở thiết bị thông qua phần mềm cài đặt trên máy tính.
Kích thước (RxDxC): 440x338x88mm (2U)"</t>
  </si>
  <si>
    <t>ARES</t>
  </si>
  <si>
    <t>IPC-K7FP-8V0N
Cruiser SC 8M</t>
  </si>
  <si>
    <t>Độ phân giải 8.0 MP, cảm biến CMOS kích
thước 1/2.7”, 15fps@8.0M(3840*2160)
Ống kính cố định 3.6mm cho góc nhìn
89°(H)
Hỗ trợ quay quét: ngang 0-355°, dọc 0-90°
Chuẩn nén H.265, Chế độ ngày đêm(ICR),
chống ngược sáng HDR
Chế độ ban đêm thông minh với 4 chế độ
sáng: Tự động, Full Color, Hồng ngoại và
tắt.
Tầm xa chiếu sáng 30m.
Cảnh báo chủ động: bật còi hú và đèn chớp
xanh đỏ khi phát hiện có đối tượng xâm
nhập.
Tích hợp mic và loa, hỗ trợ đàm thoại 2
chiều
Hỗ trợ WIFI 6 (2.4GHz)
Hỗ trợ chuẩn ONVIF, Cloud (IMOU
PROTECT), LAN, tích hợp 2 ăng-ten giúp
bắt sóng tốt hơn.
Nguồn cấp: DC12V 1A/ PoE, Công suất &lt;
12W.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</si>
</sst>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quot;$&quot;#,##0_);\(&quot;$&quot;#,##0\)"/>
    <numFmt numFmtId="165" formatCode="_(&quot;$&quot;* #,##0.00_);_(&quot;$&quot;* \(#,##0.00\);_(&quot;$&quot;* &quot;-&quot;??_);_(@_)"/>
    <numFmt numFmtId="166" formatCode="&quot;True&quot;;&quot;True&quot;;&quot;False&quot;"/>
    <numFmt numFmtId="167" formatCode="_(* #,##0_);_(* \(#,##0\);_(* &quot;-&quot;??_);_(@_)"/>
    <numFmt numFmtId="168" formatCode="#,##0.000"/>
    <numFmt numFmtId="169" formatCode="#,##0.0"/>
    <numFmt numFmtId="170" formatCode="_(&quot;$&quot;* #,##0_);_(&quot;$&quot;* \(#,##0\);_(&quot;$&quot;* &quot;-&quot;??_);_(@_)"/>
  </numFmts>
  <fonts count="25">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sz val="9"/>
      <name val=".VnTime"/>
      <family val="2"/>
    </font>
    <font>
      <u/>
      <sz val="10"/>
      <color indexed="12"/>
      <name val="Arial"/>
      <family val="2"/>
    </font>
    <font>
      <sz val="10"/>
      <name val=".VnTime"/>
      <family val="2"/>
    </font>
    <font>
      <sz val="10"/>
      <name val="Arial"/>
      <family val="2"/>
      <charset val="163"/>
    </font>
    <font>
      <b/>
      <sz val="10"/>
      <name val="Times New Roman"/>
      <family val="1"/>
    </font>
    <font>
      <sz val="10"/>
      <name val="Times New Roman"/>
      <family val="1"/>
    </font>
    <font>
      <b/>
      <sz val="10"/>
      <color rgb="FFFF0000"/>
      <name val="Times New Roman"/>
      <family val="1"/>
    </font>
    <font>
      <sz val="10"/>
      <color theme="1"/>
      <name val="Times New Roman"/>
      <family val="1"/>
    </font>
    <font>
      <sz val="11"/>
      <color theme="1"/>
      <name val="Times New Roman"/>
      <family val="1"/>
    </font>
    <font>
      <b/>
      <i/>
      <sz val="10"/>
      <color theme="1"/>
      <name val="Times New Roman"/>
      <family val="1"/>
    </font>
    <font>
      <b/>
      <sz val="10"/>
      <color theme="1"/>
      <name val="Times New Roman"/>
      <family val="1"/>
    </font>
    <font>
      <i/>
      <sz val="10"/>
      <color theme="1"/>
      <name val="Times New Roman"/>
      <family val="1"/>
    </font>
    <font>
      <b/>
      <u/>
      <sz val="10"/>
      <color theme="1"/>
      <name val="Times New Roman"/>
      <family val="1"/>
    </font>
    <font>
      <b/>
      <sz val="22"/>
      <color theme="1"/>
      <name val="Times New Roman"/>
      <family val="1"/>
    </font>
    <font>
      <b/>
      <i/>
      <sz val="10"/>
      <color theme="1"/>
      <name val="Arial"/>
      <family val="2"/>
    </font>
    <font>
      <i/>
      <u/>
      <sz val="10"/>
      <color theme="1"/>
      <name val="Arial"/>
      <family val="2"/>
    </font>
    <font>
      <sz val="10"/>
      <color theme="1"/>
      <name val="Arial"/>
      <family val="2"/>
    </font>
    <font>
      <b/>
      <sz val="10"/>
      <color theme="1"/>
      <name val="Arial"/>
      <family val="2"/>
    </font>
    <font>
      <b/>
      <i/>
      <sz val="10"/>
      <color rgb="FFFF0000"/>
      <name val="Arial"/>
      <family val="2"/>
    </font>
    <font>
      <sz val="8"/>
      <name val="Calibri"/>
      <family val="2"/>
      <scheme val="minor"/>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rgb="FFFFFF00"/>
        <bgColor indexed="64"/>
      </patternFill>
    </fill>
    <fill>
      <patternFill patternType="solid">
        <fgColor rgb="FF00B0F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3" fillId="0" borderId="0"/>
    <xf numFmtId="0" fontId="4" fillId="0" borderId="0"/>
    <xf numFmtId="0" fontId="5" fillId="0" borderId="2">
      <alignment horizontal="left" vertical="center"/>
    </xf>
    <xf numFmtId="164" fontId="7" fillId="0" borderId="2">
      <alignment horizontal="left" vertical="top"/>
    </xf>
    <xf numFmtId="165" fontId="8" fillId="0" borderId="0" applyFont="0" applyFill="0" applyBorder="0" applyAlignment="0" applyProtection="0"/>
    <xf numFmtId="164" fontId="2" fillId="0" borderId="0" applyFill="0" applyBorder="0" applyAlignment="0" applyProtection="0"/>
    <xf numFmtId="0" fontId="4" fillId="0" borderId="0"/>
    <xf numFmtId="0" fontId="6" fillId="0" borderId="0" applyNumberFormat="0" applyFill="0" applyBorder="0" applyAlignment="0" applyProtection="0"/>
    <xf numFmtId="0" fontId="8" fillId="0" borderId="0"/>
    <xf numFmtId="9" fontId="2" fillId="0" borderId="0" applyFont="0" applyFill="0" applyBorder="0" applyAlignment="0" applyProtection="0"/>
    <xf numFmtId="168"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69" fontId="7" fillId="0" borderId="3">
      <alignment horizontal="left" vertical="top"/>
    </xf>
    <xf numFmtId="166" fontId="7" fillId="0" borderId="3">
      <alignment horizontal="left" vertical="top"/>
    </xf>
    <xf numFmtId="0" fontId="2" fillId="0" borderId="0"/>
    <xf numFmtId="9" fontId="2" fillId="0" borderId="0" applyFont="0" applyFill="0" applyBorder="0" applyAlignment="0" applyProtection="0"/>
    <xf numFmtId="165" fontId="1" fillId="0" borderId="0" applyFont="0" applyFill="0" applyBorder="0" applyAlignment="0" applyProtection="0"/>
  </cellStyleXfs>
  <cellXfs count="82">
    <xf numFmtId="0" fontId="0" fillId="0" borderId="0" xfId="0"/>
    <xf numFmtId="0" fontId="12" fillId="3" borderId="0" xfId="0" applyFont="1" applyFill="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3" fillId="3" borderId="0" xfId="0" applyFont="1" applyFill="1" applyAlignment="1">
      <alignment vertical="center"/>
    </xf>
    <xf numFmtId="0" fontId="15" fillId="3" borderId="0" xfId="0" applyFont="1" applyFill="1" applyAlignment="1">
      <alignment vertical="center"/>
    </xf>
    <xf numFmtId="0" fontId="12" fillId="3" borderId="0" xfId="0" applyFont="1" applyFill="1" applyAlignment="1">
      <alignment horizontal="center" vertical="center"/>
    </xf>
    <xf numFmtId="0" fontId="16" fillId="3" borderId="0" xfId="0" applyFont="1" applyFill="1" applyAlignment="1">
      <alignment horizontal="center" vertical="center"/>
    </xf>
    <xf numFmtId="0" fontId="15" fillId="0" borderId="0" xfId="0" applyFont="1" applyAlignment="1">
      <alignment vertical="center"/>
    </xf>
    <xf numFmtId="43" fontId="15" fillId="0" borderId="0" xfId="0" applyNumberFormat="1" applyFont="1" applyAlignment="1">
      <alignment vertical="center"/>
    </xf>
    <xf numFmtId="43" fontId="12" fillId="0" borderId="0" xfId="0" applyNumberFormat="1" applyFont="1" applyAlignment="1">
      <alignment vertical="center"/>
    </xf>
    <xf numFmtId="0" fontId="12" fillId="0" borderId="0" xfId="0" applyFont="1" applyAlignment="1">
      <alignment vertical="center"/>
    </xf>
    <xf numFmtId="0" fontId="17" fillId="2" borderId="0" xfId="0" applyFont="1" applyFill="1" applyAlignment="1">
      <alignment vertical="center"/>
    </xf>
    <xf numFmtId="43" fontId="13" fillId="0" borderId="0" xfId="1" applyFont="1" applyAlignment="1">
      <alignment vertical="center"/>
    </xf>
    <xf numFmtId="0" fontId="16" fillId="3" borderId="0" xfId="0" applyFont="1" applyFill="1" applyAlignment="1">
      <alignment vertical="center"/>
    </xf>
    <xf numFmtId="0" fontId="12" fillId="3" borderId="0" xfId="0" applyFont="1" applyFill="1" applyAlignment="1">
      <alignment horizontal="right" vertical="center"/>
    </xf>
    <xf numFmtId="0" fontId="11" fillId="3" borderId="0" xfId="0" applyFont="1" applyFill="1" applyAlignment="1">
      <alignment vertical="center"/>
    </xf>
    <xf numFmtId="0" fontId="15" fillId="3" borderId="0" xfId="0" applyFont="1" applyFill="1" applyAlignment="1">
      <alignment horizontal="center" vertical="center"/>
    </xf>
    <xf numFmtId="0" fontId="12" fillId="3" borderId="0" xfId="0" quotePrefix="1" applyFont="1" applyFill="1" applyAlignment="1">
      <alignment vertical="center" wrapText="1"/>
    </xf>
    <xf numFmtId="0" fontId="12" fillId="3" borderId="0" xfId="0" applyFont="1" applyFill="1" applyAlignment="1">
      <alignment vertical="center" wrapText="1"/>
    </xf>
    <xf numFmtId="0" fontId="12" fillId="3" borderId="0" xfId="0" applyFont="1" applyFill="1" applyAlignment="1">
      <alignment horizontal="center" vertical="center" wrapText="1"/>
    </xf>
    <xf numFmtId="0" fontId="13" fillId="3" borderId="0" xfId="0" applyFont="1" applyFill="1" applyAlignment="1">
      <alignment vertical="center" wrapText="1"/>
    </xf>
    <xf numFmtId="0" fontId="12" fillId="3" borderId="0" xfId="0" applyFont="1" applyFill="1" applyAlignment="1">
      <alignment horizontal="right" vertical="center" wrapText="1"/>
    </xf>
    <xf numFmtId="0" fontId="16" fillId="3" borderId="0" xfId="0" applyFont="1" applyFill="1" applyAlignment="1">
      <alignment horizontal="left" vertical="center"/>
    </xf>
    <xf numFmtId="0" fontId="10" fillId="4" borderId="0" xfId="19" applyFont="1" applyFill="1" applyAlignment="1">
      <alignment horizontal="left" vertical="center"/>
    </xf>
    <xf numFmtId="0" fontId="15" fillId="3" borderId="0" xfId="0" applyFont="1" applyFill="1" applyAlignment="1">
      <alignment horizontal="left" vertical="center"/>
    </xf>
    <xf numFmtId="0" fontId="10" fillId="3" borderId="0" xfId="19" applyFont="1" applyFill="1" applyAlignment="1">
      <alignment vertical="center"/>
    </xf>
    <xf numFmtId="0" fontId="15" fillId="3" borderId="0" xfId="0" applyFont="1" applyFill="1" applyAlignment="1">
      <alignment horizontal="right" vertical="center"/>
    </xf>
    <xf numFmtId="0" fontId="13" fillId="0" borderId="0" xfId="0" applyFont="1" applyAlignment="1">
      <alignment horizontal="right" vertical="center"/>
    </xf>
    <xf numFmtId="0" fontId="10" fillId="3" borderId="0" xfId="0" applyFont="1" applyFill="1" applyAlignment="1">
      <alignment vertical="center"/>
    </xf>
    <xf numFmtId="1" fontId="14" fillId="0" borderId="0" xfId="6" applyNumberFormat="1" applyFont="1" applyBorder="1" applyAlignment="1">
      <alignment horizontal="right" vertical="center"/>
    </xf>
    <xf numFmtId="1" fontId="14" fillId="0" borderId="0" xfId="6" applyNumberFormat="1" applyFont="1" applyBorder="1" applyAlignment="1">
      <alignment horizontal="center" vertic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12" fillId="0" borderId="0" xfId="0" quotePrefix="1" applyFont="1" applyAlignment="1">
      <alignment horizontal="left"/>
    </xf>
    <xf numFmtId="0" fontId="12" fillId="2" borderId="0" xfId="0" quotePrefix="1" applyFont="1" applyFill="1" applyAlignment="1">
      <alignment horizontal="left" vertical="center"/>
    </xf>
    <xf numFmtId="0" fontId="12" fillId="3" borderId="0" xfId="0" quotePrefix="1" applyFont="1" applyFill="1" applyAlignment="1">
      <alignment horizontal="left" vertical="center"/>
    </xf>
    <xf numFmtId="167" fontId="15" fillId="0" borderId="0" xfId="1" applyNumberFormat="1" applyFont="1" applyBorder="1" applyAlignment="1">
      <alignment vertical="center"/>
    </xf>
    <xf numFmtId="167" fontId="9" fillId="5" borderId="0" xfId="0" applyNumberFormat="1" applyFont="1" applyFill="1" applyAlignment="1">
      <alignment horizontal="center" vertical="center" wrapText="1"/>
    </xf>
    <xf numFmtId="9" fontId="12" fillId="0" borderId="0" xfId="2" applyFont="1" applyBorder="1" applyAlignment="1">
      <alignment vertical="center"/>
    </xf>
    <xf numFmtId="43" fontId="13" fillId="0" borderId="0" xfId="1" applyFont="1" applyBorder="1" applyAlignment="1">
      <alignment vertical="center"/>
    </xf>
    <xf numFmtId="0" fontId="2" fillId="0" borderId="7" xfId="0" applyFont="1" applyBorder="1" applyAlignment="1">
      <alignment horizontal="center" vertical="center" wrapText="1"/>
    </xf>
    <xf numFmtId="0" fontId="20" fillId="3" borderId="0" xfId="0" applyFont="1" applyFill="1" applyAlignment="1">
      <alignment horizontal="left" vertical="center"/>
    </xf>
    <xf numFmtId="0" fontId="21" fillId="0" borderId="0" xfId="0" applyFont="1" applyAlignment="1">
      <alignment horizontal="center" vertical="center"/>
    </xf>
    <xf numFmtId="0" fontId="21" fillId="0" borderId="0" xfId="0" applyFont="1" applyAlignment="1">
      <alignment vertical="center"/>
    </xf>
    <xf numFmtId="43" fontId="22" fillId="0" borderId="0" xfId="1" applyFont="1" applyAlignment="1">
      <alignment vertical="center"/>
    </xf>
    <xf numFmtId="167" fontId="22" fillId="0" borderId="0" xfId="1" applyNumberFormat="1" applyFont="1" applyAlignment="1">
      <alignment vertical="center"/>
    </xf>
    <xf numFmtId="43" fontId="22" fillId="0" borderId="0" xfId="0" applyNumberFormat="1" applyFont="1" applyAlignment="1">
      <alignment vertical="center"/>
    </xf>
    <xf numFmtId="0" fontId="22" fillId="0" borderId="0" xfId="0" applyFont="1" applyAlignment="1">
      <alignment vertical="center"/>
    </xf>
    <xf numFmtId="0" fontId="21" fillId="3" borderId="0" xfId="0" applyFont="1" applyFill="1" applyAlignment="1">
      <alignment vertical="center"/>
    </xf>
    <xf numFmtId="0" fontId="21" fillId="2" borderId="0" xfId="0" applyFont="1" applyFill="1" applyAlignment="1">
      <alignment horizontal="left" vertical="center"/>
    </xf>
    <xf numFmtId="0" fontId="21" fillId="2" borderId="0" xfId="0" applyFont="1" applyFill="1" applyAlignment="1">
      <alignment horizontal="right" vertical="center"/>
    </xf>
    <xf numFmtId="0" fontId="21" fillId="2" borderId="0" xfId="0" applyFont="1" applyFill="1" applyAlignment="1">
      <alignment vertical="center"/>
    </xf>
    <xf numFmtId="0" fontId="21" fillId="2" borderId="0" xfId="0" applyFont="1" applyFill="1" applyAlignment="1">
      <alignment horizontal="center" vertical="center"/>
    </xf>
    <xf numFmtId="170" fontId="23" fillId="2" borderId="0" xfId="21" applyNumberFormat="1" applyFont="1" applyFill="1" applyAlignment="1">
      <alignment horizontal="right" vertical="center" indent="3"/>
    </xf>
    <xf numFmtId="0" fontId="12" fillId="3" borderId="0" xfId="0" quotePrefix="1" applyFont="1" applyFill="1" applyAlignment="1">
      <alignment vertical="center"/>
    </xf>
    <xf numFmtId="49" fontId="15" fillId="5" borderId="1" xfId="0" applyNumberFormat="1" applyFont="1" applyFill="1" applyBorder="1" applyAlignment="1">
      <alignment vertical="center"/>
    </xf>
    <xf numFmtId="0" fontId="15" fillId="6" borderId="1" xfId="0" applyFont="1" applyFill="1" applyBorder="1" applyAlignment="1">
      <alignment horizontal="center" vertical="center" wrapText="1"/>
    </xf>
    <xf numFmtId="49" fontId="12"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167" fontId="12" fillId="3" borderId="1" xfId="1" applyNumberFormat="1" applyFont="1" applyFill="1" applyBorder="1" applyAlignment="1">
      <alignment vertical="center" wrapText="1"/>
    </xf>
    <xf numFmtId="167" fontId="15" fillId="3" borderId="1" xfId="1" applyNumberFormat="1" applyFont="1" applyFill="1" applyBorder="1" applyAlignment="1">
      <alignment vertical="center" wrapText="1"/>
    </xf>
    <xf numFmtId="9" fontId="15" fillId="3" borderId="1" xfId="2" applyFont="1" applyFill="1" applyBorder="1" applyAlignment="1">
      <alignment vertical="center" wrapText="1"/>
    </xf>
    <xf numFmtId="0" fontId="12" fillId="0" borderId="1" xfId="3" applyFont="1" applyBorder="1" applyAlignment="1">
      <alignment horizontal="center" vertical="center" wrapText="1"/>
    </xf>
    <xf numFmtId="49" fontId="15" fillId="5" borderId="1" xfId="0" applyNumberFormat="1" applyFont="1" applyFill="1" applyBorder="1" applyAlignment="1">
      <alignment vertical="center" wrapText="1"/>
    </xf>
    <xf numFmtId="167" fontId="15" fillId="5" borderId="1" xfId="1" applyNumberFormat="1" applyFont="1" applyFill="1" applyBorder="1" applyAlignment="1">
      <alignment vertical="center" wrapText="1"/>
    </xf>
    <xf numFmtId="0" fontId="12" fillId="0" borderId="1" xfId="0" applyFont="1" applyBorder="1" applyAlignment="1">
      <alignment vertical="center"/>
    </xf>
    <xf numFmtId="167" fontId="15" fillId="5" borderId="1" xfId="0" applyNumberFormat="1" applyFont="1" applyFill="1" applyBorder="1" applyAlignment="1">
      <alignment horizontal="center" vertical="center" wrapText="1"/>
    </xf>
    <xf numFmtId="9" fontId="15" fillId="5" borderId="1" xfId="21" applyNumberFormat="1" applyFont="1" applyFill="1" applyBorder="1" applyAlignment="1">
      <alignment horizontal="center" vertical="center" wrapText="1"/>
    </xf>
    <xf numFmtId="1" fontId="15" fillId="5" borderId="1" xfId="6" applyNumberFormat="1" applyFont="1" applyFill="1" applyBorder="1" applyAlignment="1">
      <alignment horizontal="center" vertical="center" wrapText="1"/>
    </xf>
    <xf numFmtId="0" fontId="2" fillId="0" borderId="1" xfId="0" applyFont="1" applyBorder="1" applyAlignment="1">
      <alignment horizontal="right"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12" fillId="0" borderId="0" xfId="0" applyFont="1" applyAlignment="1">
      <alignment horizontal="center" vertical="center" wrapText="1"/>
    </xf>
    <xf numFmtId="2" fontId="18" fillId="3" borderId="4" xfId="5" applyNumberFormat="1" applyFont="1" applyFill="1" applyBorder="1" applyAlignment="1">
      <alignment horizontal="center" vertical="center"/>
    </xf>
    <xf numFmtId="2" fontId="18" fillId="3" borderId="5" xfId="5" applyNumberFormat="1" applyFont="1" applyFill="1" applyBorder="1" applyAlignment="1">
      <alignment horizontal="center" vertical="center"/>
    </xf>
    <xf numFmtId="2" fontId="18" fillId="3" borderId="6" xfId="5" applyNumberFormat="1" applyFont="1" applyFill="1" applyBorder="1" applyAlignment="1">
      <alignment horizontal="center" vertical="center"/>
    </xf>
    <xf numFmtId="0" fontId="19" fillId="3" borderId="8" xfId="0" applyFont="1" applyFill="1" applyBorder="1" applyAlignment="1">
      <alignment horizontal="center" vertical="center" wrapText="1"/>
    </xf>
    <xf numFmtId="0" fontId="2" fillId="0" borderId="7" xfId="0" applyFont="1" applyBorder="1" applyAlignment="1">
      <alignment horizontal="left" vertical="center" wrapText="1"/>
    </xf>
    <xf numFmtId="0" fontId="2" fillId="0" borderId="7" xfId="0" applyFont="1" applyBorder="1" applyAlignment="1">
      <alignment horizontal="right" vertical="center" wrapText="1"/>
    </xf>
  </cellXfs>
  <cellStyles count="22">
    <cellStyle name="Comma" xfId="1" builtinId="3"/>
    <cellStyle name="Comma 3" xfId="16" xr:uid="{00000000-0005-0000-0000-000001000000}"/>
    <cellStyle name="Comma 3 2" xfId="14" xr:uid="{00000000-0005-0000-0000-000002000000}"/>
    <cellStyle name="Currency" xfId="21" builtinId="4"/>
    <cellStyle name="Currency 3" xfId="8" xr:uid="{00000000-0005-0000-0000-000003000000}"/>
    <cellStyle name="Currency 3 2" xfId="9" xr:uid="{00000000-0005-0000-0000-000004000000}"/>
    <cellStyle name="Hyperlink 2 2" xfId="11" xr:uid="{00000000-0005-0000-0000-000005000000}"/>
    <cellStyle name="Ledger 17 x 11 in 2" xfId="5" xr:uid="{00000000-0005-0000-0000-000006000000}"/>
    <cellStyle name="Ledger 17 x 11 in 2 2" xfId="10" xr:uid="{00000000-0005-0000-0000-000007000000}"/>
    <cellStyle name="Normal" xfId="0" builtinId="0"/>
    <cellStyle name="Normal 2" xfId="3" xr:uid="{00000000-0005-0000-0000-000009000000}"/>
    <cellStyle name="Normal 2 4" xfId="19" xr:uid="{8203E561-024E-0D4A-8373-5D3F6CF31469}"/>
    <cellStyle name="Normal 3" xfId="12" xr:uid="{00000000-0005-0000-0000-00000A000000}"/>
    <cellStyle name="Normal 6" xfId="4" xr:uid="{00000000-0005-0000-0000-00000B000000}"/>
    <cellStyle name="Percent" xfId="2" builtinId="5"/>
    <cellStyle name="Percent 2" xfId="20" xr:uid="{6327EE2A-DD88-6449-B7FE-39ACC149067E}"/>
    <cellStyle name="Percent 2 2" xfId="15" xr:uid="{00000000-0005-0000-0000-00000E000000}"/>
    <cellStyle name="Percent 3 2" xfId="13" xr:uid="{00000000-0005-0000-0000-00000F000000}"/>
    <cellStyle name="vntxt1" xfId="7" xr:uid="{00000000-0005-0000-0000-000010000000}"/>
    <cellStyle name="vntxt1 3" xfId="17" xr:uid="{00000000-0005-0000-0000-000011000000}"/>
    <cellStyle name="vntxt1 3 2" xfId="18" xr:uid="{00000000-0005-0000-0000-000012000000}"/>
    <cellStyle name="vntxt2" xfId="6"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125186</xdr:colOff>
      <xdr:row>1</xdr:row>
      <xdr:rowOff>25118</xdr:rowOff>
    </xdr:from>
    <xdr:to>
      <xdr:col>12</xdr:col>
      <xdr:colOff>880616</xdr:colOff>
      <xdr:row>1</xdr:row>
      <xdr:rowOff>65740</xdr:rowOff>
    </xdr:to>
    <xdr:pic>
      <xdr:nvPicPr>
        <xdr:cNvPr id="2" name="Picture 1" descr="Image_1">
          <a:extLst>
            <a:ext uri="{FF2B5EF4-FFF2-40B4-BE49-F238E27FC236}">
              <a16:creationId xmlns:a16="http://schemas.microsoft.com/office/drawing/2014/main" id="{042763FC-F5CB-4C65-9E88-D1D3B128E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3615" y="1376761"/>
          <a:ext cx="10044572" cy="406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113081</xdr:colOff>
      <xdr:row>1</xdr:row>
      <xdr:rowOff>98245</xdr:rowOff>
    </xdr:from>
    <xdr:to>
      <xdr:col>2</xdr:col>
      <xdr:colOff>984925</xdr:colOff>
      <xdr:row>1</xdr:row>
      <xdr:rowOff>717004</xdr:rowOff>
    </xdr:to>
    <xdr:pic>
      <xdr:nvPicPr>
        <xdr:cNvPr id="4" name="Picture 28">
          <a:extLst>
            <a:ext uri="{FF2B5EF4-FFF2-40B4-BE49-F238E27FC236}">
              <a16:creationId xmlns:a16="http://schemas.microsoft.com/office/drawing/2014/main" id="{ED76E095-D308-410A-8B3A-8AE478028D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7881" y="273505"/>
          <a:ext cx="1237604" cy="618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1196340</xdr:colOff>
      <xdr:row>1</xdr:row>
      <xdr:rowOff>120681</xdr:rowOff>
    </xdr:from>
    <xdr:to>
      <xdr:col>4</xdr:col>
      <xdr:colOff>487680</xdr:colOff>
      <xdr:row>1</xdr:row>
      <xdr:rowOff>716279</xdr:rowOff>
    </xdr:to>
    <xdr:pic>
      <xdr:nvPicPr>
        <xdr:cNvPr id="5" name="Hình ảnh 4">
          <a:extLst>
            <a:ext uri="{FF2B5EF4-FFF2-40B4-BE49-F238E27FC236}">
              <a16:creationId xmlns:a16="http://schemas.microsoft.com/office/drawing/2014/main" id="{A07F1534-51B7-A676-BC8D-DC7C029007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66900" y="295941"/>
          <a:ext cx="1127760" cy="595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xdr:row>
      <xdr:rowOff>0</xdr:rowOff>
    </xdr:from>
    <xdr:to>
      <xdr:col>13</xdr:col>
      <xdr:colOff>304800</xdr:colOff>
      <xdr:row>1</xdr:row>
      <xdr:rowOff>304800</xdr:rowOff>
    </xdr:to>
    <xdr:sp macro="" textlink="">
      <xdr:nvSpPr>
        <xdr:cNvPr id="1026" name="AutoShape 2" descr="Grandstream Logo PNG - Tải xuống miễn phí Grandstream Logo trong suốt -  CleanPNG / KissPNG">
          <a:extLst>
            <a:ext uri="{FF2B5EF4-FFF2-40B4-BE49-F238E27FC236}">
              <a16:creationId xmlns:a16="http://schemas.microsoft.com/office/drawing/2014/main" id="{6EB288A2-C967-ABE3-39F2-AA8F24A05FAD}"/>
            </a:ext>
          </a:extLst>
        </xdr:cNvPr>
        <xdr:cNvSpPr>
          <a:spLocks noChangeAspect="1" noChangeArrowheads="1"/>
        </xdr:cNvSpPr>
      </xdr:nvSpPr>
      <xdr:spPr bwMode="auto">
        <a:xfrm>
          <a:off x="10645140" y="17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14</xdr:row>
      <xdr:rowOff>0</xdr:rowOff>
    </xdr:from>
    <xdr:to>
      <xdr:col>13</xdr:col>
      <xdr:colOff>304800</xdr:colOff>
      <xdr:row>15</xdr:row>
      <xdr:rowOff>132962</xdr:rowOff>
    </xdr:to>
    <xdr:sp macro="" textlink="">
      <xdr:nvSpPr>
        <xdr:cNvPr id="1028" name="AutoShape 4" descr="Grandstream Logo PNG - Tải xuống miễn phí Grandstream Logo trong suốt -  CleanPNG / KissPNG">
          <a:extLst>
            <a:ext uri="{FF2B5EF4-FFF2-40B4-BE49-F238E27FC236}">
              <a16:creationId xmlns:a16="http://schemas.microsoft.com/office/drawing/2014/main" id="{5990CBBE-5C80-E5D2-7647-B69DCA4138C3}"/>
            </a:ext>
          </a:extLst>
        </xdr:cNvPr>
        <xdr:cNvSpPr>
          <a:spLocks noChangeAspect="1" noChangeArrowheads="1"/>
        </xdr:cNvSpPr>
      </xdr:nvSpPr>
      <xdr:spPr bwMode="auto">
        <a:xfrm>
          <a:off x="10645140" y="3604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14</xdr:row>
      <xdr:rowOff>0</xdr:rowOff>
    </xdr:from>
    <xdr:to>
      <xdr:col>13</xdr:col>
      <xdr:colOff>304800</xdr:colOff>
      <xdr:row>15</xdr:row>
      <xdr:rowOff>132962</xdr:rowOff>
    </xdr:to>
    <xdr:sp macro="" textlink="">
      <xdr:nvSpPr>
        <xdr:cNvPr id="1029" name="AutoShape 5" descr="Grandstream Logo PNG - Tải xuống miễn phí Grandstream Logo trong suốt -  CleanPNG / KissPNG">
          <a:extLst>
            <a:ext uri="{FF2B5EF4-FFF2-40B4-BE49-F238E27FC236}">
              <a16:creationId xmlns:a16="http://schemas.microsoft.com/office/drawing/2014/main" id="{FFAB54E6-BCBC-4C1F-E184-47A7B993AAB7}"/>
            </a:ext>
          </a:extLst>
        </xdr:cNvPr>
        <xdr:cNvSpPr>
          <a:spLocks noChangeAspect="1" noChangeArrowheads="1"/>
        </xdr:cNvSpPr>
      </xdr:nvSpPr>
      <xdr:spPr bwMode="auto">
        <a:xfrm>
          <a:off x="10645140" y="3604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1203158</xdr:colOff>
      <xdr:row>14</xdr:row>
      <xdr:rowOff>0</xdr:rowOff>
    </xdr:from>
    <xdr:to>
      <xdr:col>13</xdr:col>
      <xdr:colOff>204537</xdr:colOff>
      <xdr:row>15</xdr:row>
      <xdr:rowOff>12264</xdr:rowOff>
    </xdr:to>
    <xdr:sp macro="" textlink="">
      <xdr:nvSpPr>
        <xdr:cNvPr id="1030" name="AutoShape 6" descr="Grandstream Logo PNG - Tải xuống miễn phí Grandstream Logo trong suốt -  CleanPNG / KissPNG">
          <a:extLst>
            <a:ext uri="{FF2B5EF4-FFF2-40B4-BE49-F238E27FC236}">
              <a16:creationId xmlns:a16="http://schemas.microsoft.com/office/drawing/2014/main" id="{9902F0B7-5D10-BF58-AE2A-1ACA869A363C}"/>
            </a:ext>
          </a:extLst>
        </xdr:cNvPr>
        <xdr:cNvSpPr>
          <a:spLocks noChangeAspect="1" noChangeArrowheads="1"/>
        </xdr:cNvSpPr>
      </xdr:nvSpPr>
      <xdr:spPr bwMode="auto">
        <a:xfrm>
          <a:off x="14382193" y="7218948"/>
          <a:ext cx="304800" cy="19051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69998-9203-420D-91D1-7C912958DE8E}">
  <sheetPr>
    <pageSetUpPr fitToPage="1"/>
  </sheetPr>
  <dimension ref="A1:P46"/>
  <sheetViews>
    <sheetView tabSelected="1" view="pageBreakPreview" zoomScale="114" zoomScaleNormal="100" zoomScaleSheetLayoutView="100" workbookViewId="0">
      <selection activeCell="F19" sqref="F19"/>
    </sheetView>
  </sheetViews>
  <sheetFormatPr baseColWidth="10" defaultColWidth="8.83203125" defaultRowHeight="14"/>
  <cols>
    <col min="1" max="1" width="4.5" style="2" customWidth="1"/>
    <col min="2" max="2" width="5.33203125" style="2" customWidth="1"/>
    <col min="3" max="3" width="17.6640625" style="2" customWidth="1"/>
    <col min="4" max="4" width="9.1640625" style="2" customWidth="1"/>
    <col min="5" max="5" width="61.1640625" style="2" customWidth="1"/>
    <col min="6" max="6" width="13.83203125" style="2" customWidth="1"/>
    <col min="7" max="7" width="10.6640625" style="2" customWidth="1"/>
    <col min="8" max="8" width="6.33203125" style="2" customWidth="1"/>
    <col min="9" max="9" width="8.6640625" style="2" customWidth="1"/>
    <col min="10" max="10" width="15.33203125" style="28" customWidth="1"/>
    <col min="11" max="11" width="14.5" style="2" customWidth="1"/>
    <col min="12" max="12" width="5.83203125" style="3" customWidth="1"/>
    <col min="13" max="14" width="17.1640625" style="2" customWidth="1"/>
    <col min="15" max="15" width="20.83203125" style="2" customWidth="1"/>
    <col min="16" max="16" width="25.1640625" style="2" customWidth="1"/>
    <col min="17" max="242" width="8.83203125" style="2"/>
    <col min="243" max="243" width="6" style="2" customWidth="1"/>
    <col min="244" max="244" width="10.1640625" style="2" customWidth="1"/>
    <col min="245" max="245" width="37.33203125" style="2" customWidth="1"/>
    <col min="246" max="246" width="7" style="2" customWidth="1"/>
    <col min="247" max="247" width="0" style="2" hidden="1" customWidth="1"/>
    <col min="248" max="248" width="14.1640625" style="2" customWidth="1"/>
    <col min="249" max="249" width="14.5" style="2" customWidth="1"/>
    <col min="250" max="250" width="7.33203125" style="2" customWidth="1"/>
    <col min="251" max="251" width="16.1640625" style="2" customWidth="1"/>
    <col min="252" max="252" width="8.6640625" style="2" customWidth="1"/>
    <col min="253" max="253" width="14" style="2" customWidth="1"/>
    <col min="254" max="254" width="13.5" style="2" customWidth="1"/>
    <col min="255" max="255" width="11.5" style="2" customWidth="1"/>
    <col min="256" max="256" width="13.5" style="2" customWidth="1"/>
    <col min="257" max="498" width="8.83203125" style="2"/>
    <col min="499" max="499" width="6" style="2" customWidth="1"/>
    <col min="500" max="500" width="10.1640625" style="2" customWidth="1"/>
    <col min="501" max="501" width="37.33203125" style="2" customWidth="1"/>
    <col min="502" max="502" width="7" style="2" customWidth="1"/>
    <col min="503" max="503" width="0" style="2" hidden="1" customWidth="1"/>
    <col min="504" max="504" width="14.1640625" style="2" customWidth="1"/>
    <col min="505" max="505" width="14.5" style="2" customWidth="1"/>
    <col min="506" max="506" width="7.33203125" style="2" customWidth="1"/>
    <col min="507" max="507" width="16.1640625" style="2" customWidth="1"/>
    <col min="508" max="508" width="8.6640625" style="2" customWidth="1"/>
    <col min="509" max="509" width="14" style="2" customWidth="1"/>
    <col min="510" max="510" width="13.5" style="2" customWidth="1"/>
    <col min="511" max="511" width="11.5" style="2" customWidth="1"/>
    <col min="512" max="512" width="13.5" style="2" customWidth="1"/>
    <col min="513" max="754" width="8.83203125" style="2"/>
    <col min="755" max="755" width="6" style="2" customWidth="1"/>
    <col min="756" max="756" width="10.1640625" style="2" customWidth="1"/>
    <col min="757" max="757" width="37.33203125" style="2" customWidth="1"/>
    <col min="758" max="758" width="7" style="2" customWidth="1"/>
    <col min="759" max="759" width="0" style="2" hidden="1" customWidth="1"/>
    <col min="760" max="760" width="14.1640625" style="2" customWidth="1"/>
    <col min="761" max="761" width="14.5" style="2" customWidth="1"/>
    <col min="762" max="762" width="7.33203125" style="2" customWidth="1"/>
    <col min="763" max="763" width="16.1640625" style="2" customWidth="1"/>
    <col min="764" max="764" width="8.6640625" style="2" customWidth="1"/>
    <col min="765" max="765" width="14" style="2" customWidth="1"/>
    <col min="766" max="766" width="13.5" style="2" customWidth="1"/>
    <col min="767" max="767" width="11.5" style="2" customWidth="1"/>
    <col min="768" max="768" width="13.5" style="2" customWidth="1"/>
    <col min="769" max="1010" width="8.83203125" style="2"/>
    <col min="1011" max="1011" width="6" style="2" customWidth="1"/>
    <col min="1012" max="1012" width="10.1640625" style="2" customWidth="1"/>
    <col min="1013" max="1013" width="37.33203125" style="2" customWidth="1"/>
    <col min="1014" max="1014" width="7" style="2" customWidth="1"/>
    <col min="1015" max="1015" width="0" style="2" hidden="1" customWidth="1"/>
    <col min="1016" max="1016" width="14.1640625" style="2" customWidth="1"/>
    <col min="1017" max="1017" width="14.5" style="2" customWidth="1"/>
    <col min="1018" max="1018" width="7.33203125" style="2" customWidth="1"/>
    <col min="1019" max="1019" width="16.1640625" style="2" customWidth="1"/>
    <col min="1020" max="1020" width="8.6640625" style="2" customWidth="1"/>
    <col min="1021" max="1021" width="14" style="2" customWidth="1"/>
    <col min="1022" max="1022" width="13.5" style="2" customWidth="1"/>
    <col min="1023" max="1023" width="11.5" style="2" customWidth="1"/>
    <col min="1024" max="1024" width="13.5" style="2" customWidth="1"/>
    <col min="1025" max="1266" width="8.83203125" style="2"/>
    <col min="1267" max="1267" width="6" style="2" customWidth="1"/>
    <col min="1268" max="1268" width="10.1640625" style="2" customWidth="1"/>
    <col min="1269" max="1269" width="37.33203125" style="2" customWidth="1"/>
    <col min="1270" max="1270" width="7" style="2" customWidth="1"/>
    <col min="1271" max="1271" width="0" style="2" hidden="1" customWidth="1"/>
    <col min="1272" max="1272" width="14.1640625" style="2" customWidth="1"/>
    <col min="1273" max="1273" width="14.5" style="2" customWidth="1"/>
    <col min="1274" max="1274" width="7.33203125" style="2" customWidth="1"/>
    <col min="1275" max="1275" width="16.1640625" style="2" customWidth="1"/>
    <col min="1276" max="1276" width="8.6640625" style="2" customWidth="1"/>
    <col min="1277" max="1277" width="14" style="2" customWidth="1"/>
    <col min="1278" max="1278" width="13.5" style="2" customWidth="1"/>
    <col min="1279" max="1279" width="11.5" style="2" customWidth="1"/>
    <col min="1280" max="1280" width="13.5" style="2" customWidth="1"/>
    <col min="1281" max="1522" width="8.83203125" style="2"/>
    <col min="1523" max="1523" width="6" style="2" customWidth="1"/>
    <col min="1524" max="1524" width="10.1640625" style="2" customWidth="1"/>
    <col min="1525" max="1525" width="37.33203125" style="2" customWidth="1"/>
    <col min="1526" max="1526" width="7" style="2" customWidth="1"/>
    <col min="1527" max="1527" width="0" style="2" hidden="1" customWidth="1"/>
    <col min="1528" max="1528" width="14.1640625" style="2" customWidth="1"/>
    <col min="1529" max="1529" width="14.5" style="2" customWidth="1"/>
    <col min="1530" max="1530" width="7.33203125" style="2" customWidth="1"/>
    <col min="1531" max="1531" width="16.1640625" style="2" customWidth="1"/>
    <col min="1532" max="1532" width="8.6640625" style="2" customWidth="1"/>
    <col min="1533" max="1533" width="14" style="2" customWidth="1"/>
    <col min="1534" max="1534" width="13.5" style="2" customWidth="1"/>
    <col min="1535" max="1535" width="11.5" style="2" customWidth="1"/>
    <col min="1536" max="1536" width="13.5" style="2" customWidth="1"/>
    <col min="1537" max="1778" width="8.83203125" style="2"/>
    <col min="1779" max="1779" width="6" style="2" customWidth="1"/>
    <col min="1780" max="1780" width="10.1640625" style="2" customWidth="1"/>
    <col min="1781" max="1781" width="37.33203125" style="2" customWidth="1"/>
    <col min="1782" max="1782" width="7" style="2" customWidth="1"/>
    <col min="1783" max="1783" width="0" style="2" hidden="1" customWidth="1"/>
    <col min="1784" max="1784" width="14.1640625" style="2" customWidth="1"/>
    <col min="1785" max="1785" width="14.5" style="2" customWidth="1"/>
    <col min="1786" max="1786" width="7.33203125" style="2" customWidth="1"/>
    <col min="1787" max="1787" width="16.1640625" style="2" customWidth="1"/>
    <col min="1788" max="1788" width="8.6640625" style="2" customWidth="1"/>
    <col min="1789" max="1789" width="14" style="2" customWidth="1"/>
    <col min="1790" max="1790" width="13.5" style="2" customWidth="1"/>
    <col min="1791" max="1791" width="11.5" style="2" customWidth="1"/>
    <col min="1792" max="1792" width="13.5" style="2" customWidth="1"/>
    <col min="1793" max="2034" width="8.83203125" style="2"/>
    <col min="2035" max="2035" width="6" style="2" customWidth="1"/>
    <col min="2036" max="2036" width="10.1640625" style="2" customWidth="1"/>
    <col min="2037" max="2037" width="37.33203125" style="2" customWidth="1"/>
    <col min="2038" max="2038" width="7" style="2" customWidth="1"/>
    <col min="2039" max="2039" width="0" style="2" hidden="1" customWidth="1"/>
    <col min="2040" max="2040" width="14.1640625" style="2" customWidth="1"/>
    <col min="2041" max="2041" width="14.5" style="2" customWidth="1"/>
    <col min="2042" max="2042" width="7.33203125" style="2" customWidth="1"/>
    <col min="2043" max="2043" width="16.1640625" style="2" customWidth="1"/>
    <col min="2044" max="2044" width="8.6640625" style="2" customWidth="1"/>
    <col min="2045" max="2045" width="14" style="2" customWidth="1"/>
    <col min="2046" max="2046" width="13.5" style="2" customWidth="1"/>
    <col min="2047" max="2047" width="11.5" style="2" customWidth="1"/>
    <col min="2048" max="2048" width="13.5" style="2" customWidth="1"/>
    <col min="2049" max="2290" width="8.83203125" style="2"/>
    <col min="2291" max="2291" width="6" style="2" customWidth="1"/>
    <col min="2292" max="2292" width="10.1640625" style="2" customWidth="1"/>
    <col min="2293" max="2293" width="37.33203125" style="2" customWidth="1"/>
    <col min="2294" max="2294" width="7" style="2" customWidth="1"/>
    <col min="2295" max="2295" width="0" style="2" hidden="1" customWidth="1"/>
    <col min="2296" max="2296" width="14.1640625" style="2" customWidth="1"/>
    <col min="2297" max="2297" width="14.5" style="2" customWidth="1"/>
    <col min="2298" max="2298" width="7.33203125" style="2" customWidth="1"/>
    <col min="2299" max="2299" width="16.1640625" style="2" customWidth="1"/>
    <col min="2300" max="2300" width="8.6640625" style="2" customWidth="1"/>
    <col min="2301" max="2301" width="14" style="2" customWidth="1"/>
    <col min="2302" max="2302" width="13.5" style="2" customWidth="1"/>
    <col min="2303" max="2303" width="11.5" style="2" customWidth="1"/>
    <col min="2304" max="2304" width="13.5" style="2" customWidth="1"/>
    <col min="2305" max="2546" width="8.83203125" style="2"/>
    <col min="2547" max="2547" width="6" style="2" customWidth="1"/>
    <col min="2548" max="2548" width="10.1640625" style="2" customWidth="1"/>
    <col min="2549" max="2549" width="37.33203125" style="2" customWidth="1"/>
    <col min="2550" max="2550" width="7" style="2" customWidth="1"/>
    <col min="2551" max="2551" width="0" style="2" hidden="1" customWidth="1"/>
    <col min="2552" max="2552" width="14.1640625" style="2" customWidth="1"/>
    <col min="2553" max="2553" width="14.5" style="2" customWidth="1"/>
    <col min="2554" max="2554" width="7.33203125" style="2" customWidth="1"/>
    <col min="2555" max="2555" width="16.1640625" style="2" customWidth="1"/>
    <col min="2556" max="2556" width="8.6640625" style="2" customWidth="1"/>
    <col min="2557" max="2557" width="14" style="2" customWidth="1"/>
    <col min="2558" max="2558" width="13.5" style="2" customWidth="1"/>
    <col min="2559" max="2559" width="11.5" style="2" customWidth="1"/>
    <col min="2560" max="2560" width="13.5" style="2" customWidth="1"/>
    <col min="2561" max="2802" width="8.83203125" style="2"/>
    <col min="2803" max="2803" width="6" style="2" customWidth="1"/>
    <col min="2804" max="2804" width="10.1640625" style="2" customWidth="1"/>
    <col min="2805" max="2805" width="37.33203125" style="2" customWidth="1"/>
    <col min="2806" max="2806" width="7" style="2" customWidth="1"/>
    <col min="2807" max="2807" width="0" style="2" hidden="1" customWidth="1"/>
    <col min="2808" max="2808" width="14.1640625" style="2" customWidth="1"/>
    <col min="2809" max="2809" width="14.5" style="2" customWidth="1"/>
    <col min="2810" max="2810" width="7.33203125" style="2" customWidth="1"/>
    <col min="2811" max="2811" width="16.1640625" style="2" customWidth="1"/>
    <col min="2812" max="2812" width="8.6640625" style="2" customWidth="1"/>
    <col min="2813" max="2813" width="14" style="2" customWidth="1"/>
    <col min="2814" max="2814" width="13.5" style="2" customWidth="1"/>
    <col min="2815" max="2815" width="11.5" style="2" customWidth="1"/>
    <col min="2816" max="2816" width="13.5" style="2" customWidth="1"/>
    <col min="2817" max="3058" width="8.83203125" style="2"/>
    <col min="3059" max="3059" width="6" style="2" customWidth="1"/>
    <col min="3060" max="3060" width="10.1640625" style="2" customWidth="1"/>
    <col min="3061" max="3061" width="37.33203125" style="2" customWidth="1"/>
    <col min="3062" max="3062" width="7" style="2" customWidth="1"/>
    <col min="3063" max="3063" width="0" style="2" hidden="1" customWidth="1"/>
    <col min="3064" max="3064" width="14.1640625" style="2" customWidth="1"/>
    <col min="3065" max="3065" width="14.5" style="2" customWidth="1"/>
    <col min="3066" max="3066" width="7.33203125" style="2" customWidth="1"/>
    <col min="3067" max="3067" width="16.1640625" style="2" customWidth="1"/>
    <col min="3068" max="3068" width="8.6640625" style="2" customWidth="1"/>
    <col min="3069" max="3069" width="14" style="2" customWidth="1"/>
    <col min="3070" max="3070" width="13.5" style="2" customWidth="1"/>
    <col min="3071" max="3071" width="11.5" style="2" customWidth="1"/>
    <col min="3072" max="3072" width="13.5" style="2" customWidth="1"/>
    <col min="3073" max="3314" width="8.83203125" style="2"/>
    <col min="3315" max="3315" width="6" style="2" customWidth="1"/>
    <col min="3316" max="3316" width="10.1640625" style="2" customWidth="1"/>
    <col min="3317" max="3317" width="37.33203125" style="2" customWidth="1"/>
    <col min="3318" max="3318" width="7" style="2" customWidth="1"/>
    <col min="3319" max="3319" width="0" style="2" hidden="1" customWidth="1"/>
    <col min="3320" max="3320" width="14.1640625" style="2" customWidth="1"/>
    <col min="3321" max="3321" width="14.5" style="2" customWidth="1"/>
    <col min="3322" max="3322" width="7.33203125" style="2" customWidth="1"/>
    <col min="3323" max="3323" width="16.1640625" style="2" customWidth="1"/>
    <col min="3324" max="3324" width="8.6640625" style="2" customWidth="1"/>
    <col min="3325" max="3325" width="14" style="2" customWidth="1"/>
    <col min="3326" max="3326" width="13.5" style="2" customWidth="1"/>
    <col min="3327" max="3327" width="11.5" style="2" customWidth="1"/>
    <col min="3328" max="3328" width="13.5" style="2" customWidth="1"/>
    <col min="3329" max="3570" width="8.83203125" style="2"/>
    <col min="3571" max="3571" width="6" style="2" customWidth="1"/>
    <col min="3572" max="3572" width="10.1640625" style="2" customWidth="1"/>
    <col min="3573" max="3573" width="37.33203125" style="2" customWidth="1"/>
    <col min="3574" max="3574" width="7" style="2" customWidth="1"/>
    <col min="3575" max="3575" width="0" style="2" hidden="1" customWidth="1"/>
    <col min="3576" max="3576" width="14.1640625" style="2" customWidth="1"/>
    <col min="3577" max="3577" width="14.5" style="2" customWidth="1"/>
    <col min="3578" max="3578" width="7.33203125" style="2" customWidth="1"/>
    <col min="3579" max="3579" width="16.1640625" style="2" customWidth="1"/>
    <col min="3580" max="3580" width="8.6640625" style="2" customWidth="1"/>
    <col min="3581" max="3581" width="14" style="2" customWidth="1"/>
    <col min="3582" max="3582" width="13.5" style="2" customWidth="1"/>
    <col min="3583" max="3583" width="11.5" style="2" customWidth="1"/>
    <col min="3584" max="3584" width="13.5" style="2" customWidth="1"/>
    <col min="3585" max="3826" width="8.83203125" style="2"/>
    <col min="3827" max="3827" width="6" style="2" customWidth="1"/>
    <col min="3828" max="3828" width="10.1640625" style="2" customWidth="1"/>
    <col min="3829" max="3829" width="37.33203125" style="2" customWidth="1"/>
    <col min="3830" max="3830" width="7" style="2" customWidth="1"/>
    <col min="3831" max="3831" width="0" style="2" hidden="1" customWidth="1"/>
    <col min="3832" max="3832" width="14.1640625" style="2" customWidth="1"/>
    <col min="3833" max="3833" width="14.5" style="2" customWidth="1"/>
    <col min="3834" max="3834" width="7.33203125" style="2" customWidth="1"/>
    <col min="3835" max="3835" width="16.1640625" style="2" customWidth="1"/>
    <col min="3836" max="3836" width="8.6640625" style="2" customWidth="1"/>
    <col min="3837" max="3837" width="14" style="2" customWidth="1"/>
    <col min="3838" max="3838" width="13.5" style="2" customWidth="1"/>
    <col min="3839" max="3839" width="11.5" style="2" customWidth="1"/>
    <col min="3840" max="3840" width="13.5" style="2" customWidth="1"/>
    <col min="3841" max="4082" width="8.83203125" style="2"/>
    <col min="4083" max="4083" width="6" style="2" customWidth="1"/>
    <col min="4084" max="4084" width="10.1640625" style="2" customWidth="1"/>
    <col min="4085" max="4085" width="37.33203125" style="2" customWidth="1"/>
    <col min="4086" max="4086" width="7" style="2" customWidth="1"/>
    <col min="4087" max="4087" width="0" style="2" hidden="1" customWidth="1"/>
    <col min="4088" max="4088" width="14.1640625" style="2" customWidth="1"/>
    <col min="4089" max="4089" width="14.5" style="2" customWidth="1"/>
    <col min="4090" max="4090" width="7.33203125" style="2" customWidth="1"/>
    <col min="4091" max="4091" width="16.1640625" style="2" customWidth="1"/>
    <col min="4092" max="4092" width="8.6640625" style="2" customWidth="1"/>
    <col min="4093" max="4093" width="14" style="2" customWidth="1"/>
    <col min="4094" max="4094" width="13.5" style="2" customWidth="1"/>
    <col min="4095" max="4095" width="11.5" style="2" customWidth="1"/>
    <col min="4096" max="4096" width="13.5" style="2" customWidth="1"/>
    <col min="4097" max="4338" width="8.83203125" style="2"/>
    <col min="4339" max="4339" width="6" style="2" customWidth="1"/>
    <col min="4340" max="4340" width="10.1640625" style="2" customWidth="1"/>
    <col min="4341" max="4341" width="37.33203125" style="2" customWidth="1"/>
    <col min="4342" max="4342" width="7" style="2" customWidth="1"/>
    <col min="4343" max="4343" width="0" style="2" hidden="1" customWidth="1"/>
    <col min="4344" max="4344" width="14.1640625" style="2" customWidth="1"/>
    <col min="4345" max="4345" width="14.5" style="2" customWidth="1"/>
    <col min="4346" max="4346" width="7.33203125" style="2" customWidth="1"/>
    <col min="4347" max="4347" width="16.1640625" style="2" customWidth="1"/>
    <col min="4348" max="4348" width="8.6640625" style="2" customWidth="1"/>
    <col min="4349" max="4349" width="14" style="2" customWidth="1"/>
    <col min="4350" max="4350" width="13.5" style="2" customWidth="1"/>
    <col min="4351" max="4351" width="11.5" style="2" customWidth="1"/>
    <col min="4352" max="4352" width="13.5" style="2" customWidth="1"/>
    <col min="4353" max="4594" width="8.83203125" style="2"/>
    <col min="4595" max="4595" width="6" style="2" customWidth="1"/>
    <col min="4596" max="4596" width="10.1640625" style="2" customWidth="1"/>
    <col min="4597" max="4597" width="37.33203125" style="2" customWidth="1"/>
    <col min="4598" max="4598" width="7" style="2" customWidth="1"/>
    <col min="4599" max="4599" width="0" style="2" hidden="1" customWidth="1"/>
    <col min="4600" max="4600" width="14.1640625" style="2" customWidth="1"/>
    <col min="4601" max="4601" width="14.5" style="2" customWidth="1"/>
    <col min="4602" max="4602" width="7.33203125" style="2" customWidth="1"/>
    <col min="4603" max="4603" width="16.1640625" style="2" customWidth="1"/>
    <col min="4604" max="4604" width="8.6640625" style="2" customWidth="1"/>
    <col min="4605" max="4605" width="14" style="2" customWidth="1"/>
    <col min="4606" max="4606" width="13.5" style="2" customWidth="1"/>
    <col min="4607" max="4607" width="11.5" style="2" customWidth="1"/>
    <col min="4608" max="4608" width="13.5" style="2" customWidth="1"/>
    <col min="4609" max="4850" width="8.83203125" style="2"/>
    <col min="4851" max="4851" width="6" style="2" customWidth="1"/>
    <col min="4852" max="4852" width="10.1640625" style="2" customWidth="1"/>
    <col min="4853" max="4853" width="37.33203125" style="2" customWidth="1"/>
    <col min="4854" max="4854" width="7" style="2" customWidth="1"/>
    <col min="4855" max="4855" width="0" style="2" hidden="1" customWidth="1"/>
    <col min="4856" max="4856" width="14.1640625" style="2" customWidth="1"/>
    <col min="4857" max="4857" width="14.5" style="2" customWidth="1"/>
    <col min="4858" max="4858" width="7.33203125" style="2" customWidth="1"/>
    <col min="4859" max="4859" width="16.1640625" style="2" customWidth="1"/>
    <col min="4860" max="4860" width="8.6640625" style="2" customWidth="1"/>
    <col min="4861" max="4861" width="14" style="2" customWidth="1"/>
    <col min="4862" max="4862" width="13.5" style="2" customWidth="1"/>
    <col min="4863" max="4863" width="11.5" style="2" customWidth="1"/>
    <col min="4864" max="4864" width="13.5" style="2" customWidth="1"/>
    <col min="4865" max="5106" width="8.83203125" style="2"/>
    <col min="5107" max="5107" width="6" style="2" customWidth="1"/>
    <col min="5108" max="5108" width="10.1640625" style="2" customWidth="1"/>
    <col min="5109" max="5109" width="37.33203125" style="2" customWidth="1"/>
    <col min="5110" max="5110" width="7" style="2" customWidth="1"/>
    <col min="5111" max="5111" width="0" style="2" hidden="1" customWidth="1"/>
    <col min="5112" max="5112" width="14.1640625" style="2" customWidth="1"/>
    <col min="5113" max="5113" width="14.5" style="2" customWidth="1"/>
    <col min="5114" max="5114" width="7.33203125" style="2" customWidth="1"/>
    <col min="5115" max="5115" width="16.1640625" style="2" customWidth="1"/>
    <col min="5116" max="5116" width="8.6640625" style="2" customWidth="1"/>
    <col min="5117" max="5117" width="14" style="2" customWidth="1"/>
    <col min="5118" max="5118" width="13.5" style="2" customWidth="1"/>
    <col min="5119" max="5119" width="11.5" style="2" customWidth="1"/>
    <col min="5120" max="5120" width="13.5" style="2" customWidth="1"/>
    <col min="5121" max="5362" width="8.83203125" style="2"/>
    <col min="5363" max="5363" width="6" style="2" customWidth="1"/>
    <col min="5364" max="5364" width="10.1640625" style="2" customWidth="1"/>
    <col min="5365" max="5365" width="37.33203125" style="2" customWidth="1"/>
    <col min="5366" max="5366" width="7" style="2" customWidth="1"/>
    <col min="5367" max="5367" width="0" style="2" hidden="1" customWidth="1"/>
    <col min="5368" max="5368" width="14.1640625" style="2" customWidth="1"/>
    <col min="5369" max="5369" width="14.5" style="2" customWidth="1"/>
    <col min="5370" max="5370" width="7.33203125" style="2" customWidth="1"/>
    <col min="5371" max="5371" width="16.1640625" style="2" customWidth="1"/>
    <col min="5372" max="5372" width="8.6640625" style="2" customWidth="1"/>
    <col min="5373" max="5373" width="14" style="2" customWidth="1"/>
    <col min="5374" max="5374" width="13.5" style="2" customWidth="1"/>
    <col min="5375" max="5375" width="11.5" style="2" customWidth="1"/>
    <col min="5376" max="5376" width="13.5" style="2" customWidth="1"/>
    <col min="5377" max="5618" width="8.83203125" style="2"/>
    <col min="5619" max="5619" width="6" style="2" customWidth="1"/>
    <col min="5620" max="5620" width="10.1640625" style="2" customWidth="1"/>
    <col min="5621" max="5621" width="37.33203125" style="2" customWidth="1"/>
    <col min="5622" max="5622" width="7" style="2" customWidth="1"/>
    <col min="5623" max="5623" width="0" style="2" hidden="1" customWidth="1"/>
    <col min="5624" max="5624" width="14.1640625" style="2" customWidth="1"/>
    <col min="5625" max="5625" width="14.5" style="2" customWidth="1"/>
    <col min="5626" max="5626" width="7.33203125" style="2" customWidth="1"/>
    <col min="5627" max="5627" width="16.1640625" style="2" customWidth="1"/>
    <col min="5628" max="5628" width="8.6640625" style="2" customWidth="1"/>
    <col min="5629" max="5629" width="14" style="2" customWidth="1"/>
    <col min="5630" max="5630" width="13.5" style="2" customWidth="1"/>
    <col min="5631" max="5631" width="11.5" style="2" customWidth="1"/>
    <col min="5632" max="5632" width="13.5" style="2" customWidth="1"/>
    <col min="5633" max="5874" width="8.83203125" style="2"/>
    <col min="5875" max="5875" width="6" style="2" customWidth="1"/>
    <col min="5876" max="5876" width="10.1640625" style="2" customWidth="1"/>
    <col min="5877" max="5877" width="37.33203125" style="2" customWidth="1"/>
    <col min="5878" max="5878" width="7" style="2" customWidth="1"/>
    <col min="5879" max="5879" width="0" style="2" hidden="1" customWidth="1"/>
    <col min="5880" max="5880" width="14.1640625" style="2" customWidth="1"/>
    <col min="5881" max="5881" width="14.5" style="2" customWidth="1"/>
    <col min="5882" max="5882" width="7.33203125" style="2" customWidth="1"/>
    <col min="5883" max="5883" width="16.1640625" style="2" customWidth="1"/>
    <col min="5884" max="5884" width="8.6640625" style="2" customWidth="1"/>
    <col min="5885" max="5885" width="14" style="2" customWidth="1"/>
    <col min="5886" max="5886" width="13.5" style="2" customWidth="1"/>
    <col min="5887" max="5887" width="11.5" style="2" customWidth="1"/>
    <col min="5888" max="5888" width="13.5" style="2" customWidth="1"/>
    <col min="5889" max="6130" width="8.83203125" style="2"/>
    <col min="6131" max="6131" width="6" style="2" customWidth="1"/>
    <col min="6132" max="6132" width="10.1640625" style="2" customWidth="1"/>
    <col min="6133" max="6133" width="37.33203125" style="2" customWidth="1"/>
    <col min="6134" max="6134" width="7" style="2" customWidth="1"/>
    <col min="6135" max="6135" width="0" style="2" hidden="1" customWidth="1"/>
    <col min="6136" max="6136" width="14.1640625" style="2" customWidth="1"/>
    <col min="6137" max="6137" width="14.5" style="2" customWidth="1"/>
    <col min="6138" max="6138" width="7.33203125" style="2" customWidth="1"/>
    <col min="6139" max="6139" width="16.1640625" style="2" customWidth="1"/>
    <col min="6140" max="6140" width="8.6640625" style="2" customWidth="1"/>
    <col min="6141" max="6141" width="14" style="2" customWidth="1"/>
    <col min="6142" max="6142" width="13.5" style="2" customWidth="1"/>
    <col min="6143" max="6143" width="11.5" style="2" customWidth="1"/>
    <col min="6144" max="6144" width="13.5" style="2" customWidth="1"/>
    <col min="6145" max="6386" width="8.83203125" style="2"/>
    <col min="6387" max="6387" width="6" style="2" customWidth="1"/>
    <col min="6388" max="6388" width="10.1640625" style="2" customWidth="1"/>
    <col min="6389" max="6389" width="37.33203125" style="2" customWidth="1"/>
    <col min="6390" max="6390" width="7" style="2" customWidth="1"/>
    <col min="6391" max="6391" width="0" style="2" hidden="1" customWidth="1"/>
    <col min="6392" max="6392" width="14.1640625" style="2" customWidth="1"/>
    <col min="6393" max="6393" width="14.5" style="2" customWidth="1"/>
    <col min="6394" max="6394" width="7.33203125" style="2" customWidth="1"/>
    <col min="6395" max="6395" width="16.1640625" style="2" customWidth="1"/>
    <col min="6396" max="6396" width="8.6640625" style="2" customWidth="1"/>
    <col min="6397" max="6397" width="14" style="2" customWidth="1"/>
    <col min="6398" max="6398" width="13.5" style="2" customWidth="1"/>
    <col min="6399" max="6399" width="11.5" style="2" customWidth="1"/>
    <col min="6400" max="6400" width="13.5" style="2" customWidth="1"/>
    <col min="6401" max="6642" width="8.83203125" style="2"/>
    <col min="6643" max="6643" width="6" style="2" customWidth="1"/>
    <col min="6644" max="6644" width="10.1640625" style="2" customWidth="1"/>
    <col min="6645" max="6645" width="37.33203125" style="2" customWidth="1"/>
    <col min="6646" max="6646" width="7" style="2" customWidth="1"/>
    <col min="6647" max="6647" width="0" style="2" hidden="1" customWidth="1"/>
    <col min="6648" max="6648" width="14.1640625" style="2" customWidth="1"/>
    <col min="6649" max="6649" width="14.5" style="2" customWidth="1"/>
    <col min="6650" max="6650" width="7.33203125" style="2" customWidth="1"/>
    <col min="6651" max="6651" width="16.1640625" style="2" customWidth="1"/>
    <col min="6652" max="6652" width="8.6640625" style="2" customWidth="1"/>
    <col min="6653" max="6653" width="14" style="2" customWidth="1"/>
    <col min="6654" max="6654" width="13.5" style="2" customWidth="1"/>
    <col min="6655" max="6655" width="11.5" style="2" customWidth="1"/>
    <col min="6656" max="6656" width="13.5" style="2" customWidth="1"/>
    <col min="6657" max="6898" width="8.83203125" style="2"/>
    <col min="6899" max="6899" width="6" style="2" customWidth="1"/>
    <col min="6900" max="6900" width="10.1640625" style="2" customWidth="1"/>
    <col min="6901" max="6901" width="37.33203125" style="2" customWidth="1"/>
    <col min="6902" max="6902" width="7" style="2" customWidth="1"/>
    <col min="6903" max="6903" width="0" style="2" hidden="1" customWidth="1"/>
    <col min="6904" max="6904" width="14.1640625" style="2" customWidth="1"/>
    <col min="6905" max="6905" width="14.5" style="2" customWidth="1"/>
    <col min="6906" max="6906" width="7.33203125" style="2" customWidth="1"/>
    <col min="6907" max="6907" width="16.1640625" style="2" customWidth="1"/>
    <col min="6908" max="6908" width="8.6640625" style="2" customWidth="1"/>
    <col min="6909" max="6909" width="14" style="2" customWidth="1"/>
    <col min="6910" max="6910" width="13.5" style="2" customWidth="1"/>
    <col min="6911" max="6911" width="11.5" style="2" customWidth="1"/>
    <col min="6912" max="6912" width="13.5" style="2" customWidth="1"/>
    <col min="6913" max="7154" width="8.83203125" style="2"/>
    <col min="7155" max="7155" width="6" style="2" customWidth="1"/>
    <col min="7156" max="7156" width="10.1640625" style="2" customWidth="1"/>
    <col min="7157" max="7157" width="37.33203125" style="2" customWidth="1"/>
    <col min="7158" max="7158" width="7" style="2" customWidth="1"/>
    <col min="7159" max="7159" width="0" style="2" hidden="1" customWidth="1"/>
    <col min="7160" max="7160" width="14.1640625" style="2" customWidth="1"/>
    <col min="7161" max="7161" width="14.5" style="2" customWidth="1"/>
    <col min="7162" max="7162" width="7.33203125" style="2" customWidth="1"/>
    <col min="7163" max="7163" width="16.1640625" style="2" customWidth="1"/>
    <col min="7164" max="7164" width="8.6640625" style="2" customWidth="1"/>
    <col min="7165" max="7165" width="14" style="2" customWidth="1"/>
    <col min="7166" max="7166" width="13.5" style="2" customWidth="1"/>
    <col min="7167" max="7167" width="11.5" style="2" customWidth="1"/>
    <col min="7168" max="7168" width="13.5" style="2" customWidth="1"/>
    <col min="7169" max="7410" width="8.83203125" style="2"/>
    <col min="7411" max="7411" width="6" style="2" customWidth="1"/>
    <col min="7412" max="7412" width="10.1640625" style="2" customWidth="1"/>
    <col min="7413" max="7413" width="37.33203125" style="2" customWidth="1"/>
    <col min="7414" max="7414" width="7" style="2" customWidth="1"/>
    <col min="7415" max="7415" width="0" style="2" hidden="1" customWidth="1"/>
    <col min="7416" max="7416" width="14.1640625" style="2" customWidth="1"/>
    <col min="7417" max="7417" width="14.5" style="2" customWidth="1"/>
    <col min="7418" max="7418" width="7.33203125" style="2" customWidth="1"/>
    <col min="7419" max="7419" width="16.1640625" style="2" customWidth="1"/>
    <col min="7420" max="7420" width="8.6640625" style="2" customWidth="1"/>
    <col min="7421" max="7421" width="14" style="2" customWidth="1"/>
    <col min="7422" max="7422" width="13.5" style="2" customWidth="1"/>
    <col min="7423" max="7423" width="11.5" style="2" customWidth="1"/>
    <col min="7424" max="7424" width="13.5" style="2" customWidth="1"/>
    <col min="7425" max="7666" width="8.83203125" style="2"/>
    <col min="7667" max="7667" width="6" style="2" customWidth="1"/>
    <col min="7668" max="7668" width="10.1640625" style="2" customWidth="1"/>
    <col min="7669" max="7669" width="37.33203125" style="2" customWidth="1"/>
    <col min="7670" max="7670" width="7" style="2" customWidth="1"/>
    <col min="7671" max="7671" width="0" style="2" hidden="1" customWidth="1"/>
    <col min="7672" max="7672" width="14.1640625" style="2" customWidth="1"/>
    <col min="7673" max="7673" width="14.5" style="2" customWidth="1"/>
    <col min="7674" max="7674" width="7.33203125" style="2" customWidth="1"/>
    <col min="7675" max="7675" width="16.1640625" style="2" customWidth="1"/>
    <col min="7676" max="7676" width="8.6640625" style="2" customWidth="1"/>
    <col min="7677" max="7677" width="14" style="2" customWidth="1"/>
    <col min="7678" max="7678" width="13.5" style="2" customWidth="1"/>
    <col min="7679" max="7679" width="11.5" style="2" customWidth="1"/>
    <col min="7680" max="7680" width="13.5" style="2" customWidth="1"/>
    <col min="7681" max="7922" width="8.83203125" style="2"/>
    <col min="7923" max="7923" width="6" style="2" customWidth="1"/>
    <col min="7924" max="7924" width="10.1640625" style="2" customWidth="1"/>
    <col min="7925" max="7925" width="37.33203125" style="2" customWidth="1"/>
    <col min="7926" max="7926" width="7" style="2" customWidth="1"/>
    <col min="7927" max="7927" width="0" style="2" hidden="1" customWidth="1"/>
    <col min="7928" max="7928" width="14.1640625" style="2" customWidth="1"/>
    <col min="7929" max="7929" width="14.5" style="2" customWidth="1"/>
    <col min="7930" max="7930" width="7.33203125" style="2" customWidth="1"/>
    <col min="7931" max="7931" width="16.1640625" style="2" customWidth="1"/>
    <col min="7932" max="7932" width="8.6640625" style="2" customWidth="1"/>
    <col min="7933" max="7933" width="14" style="2" customWidth="1"/>
    <col min="7934" max="7934" width="13.5" style="2" customWidth="1"/>
    <col min="7935" max="7935" width="11.5" style="2" customWidth="1"/>
    <col min="7936" max="7936" width="13.5" style="2" customWidth="1"/>
    <col min="7937" max="8178" width="8.83203125" style="2"/>
    <col min="8179" max="8179" width="6" style="2" customWidth="1"/>
    <col min="8180" max="8180" width="10.1640625" style="2" customWidth="1"/>
    <col min="8181" max="8181" width="37.33203125" style="2" customWidth="1"/>
    <col min="8182" max="8182" width="7" style="2" customWidth="1"/>
    <col min="8183" max="8183" width="0" style="2" hidden="1" customWidth="1"/>
    <col min="8184" max="8184" width="14.1640625" style="2" customWidth="1"/>
    <col min="8185" max="8185" width="14.5" style="2" customWidth="1"/>
    <col min="8186" max="8186" width="7.33203125" style="2" customWidth="1"/>
    <col min="8187" max="8187" width="16.1640625" style="2" customWidth="1"/>
    <col min="8188" max="8188" width="8.6640625" style="2" customWidth="1"/>
    <col min="8189" max="8189" width="14" style="2" customWidth="1"/>
    <col min="8190" max="8190" width="13.5" style="2" customWidth="1"/>
    <col min="8191" max="8191" width="11.5" style="2" customWidth="1"/>
    <col min="8192" max="8192" width="13.5" style="2" customWidth="1"/>
    <col min="8193" max="8434" width="8.83203125" style="2"/>
    <col min="8435" max="8435" width="6" style="2" customWidth="1"/>
    <col min="8436" max="8436" width="10.1640625" style="2" customWidth="1"/>
    <col min="8437" max="8437" width="37.33203125" style="2" customWidth="1"/>
    <col min="8438" max="8438" width="7" style="2" customWidth="1"/>
    <col min="8439" max="8439" width="0" style="2" hidden="1" customWidth="1"/>
    <col min="8440" max="8440" width="14.1640625" style="2" customWidth="1"/>
    <col min="8441" max="8441" width="14.5" style="2" customWidth="1"/>
    <col min="8442" max="8442" width="7.33203125" style="2" customWidth="1"/>
    <col min="8443" max="8443" width="16.1640625" style="2" customWidth="1"/>
    <col min="8444" max="8444" width="8.6640625" style="2" customWidth="1"/>
    <col min="8445" max="8445" width="14" style="2" customWidth="1"/>
    <col min="8446" max="8446" width="13.5" style="2" customWidth="1"/>
    <col min="8447" max="8447" width="11.5" style="2" customWidth="1"/>
    <col min="8448" max="8448" width="13.5" style="2" customWidth="1"/>
    <col min="8449" max="8690" width="8.83203125" style="2"/>
    <col min="8691" max="8691" width="6" style="2" customWidth="1"/>
    <col min="8692" max="8692" width="10.1640625" style="2" customWidth="1"/>
    <col min="8693" max="8693" width="37.33203125" style="2" customWidth="1"/>
    <col min="8694" max="8694" width="7" style="2" customWidth="1"/>
    <col min="8695" max="8695" width="0" style="2" hidden="1" customWidth="1"/>
    <col min="8696" max="8696" width="14.1640625" style="2" customWidth="1"/>
    <col min="8697" max="8697" width="14.5" style="2" customWidth="1"/>
    <col min="8698" max="8698" width="7.33203125" style="2" customWidth="1"/>
    <col min="8699" max="8699" width="16.1640625" style="2" customWidth="1"/>
    <col min="8700" max="8700" width="8.6640625" style="2" customWidth="1"/>
    <col min="8701" max="8701" width="14" style="2" customWidth="1"/>
    <col min="8702" max="8702" width="13.5" style="2" customWidth="1"/>
    <col min="8703" max="8703" width="11.5" style="2" customWidth="1"/>
    <col min="8704" max="8704" width="13.5" style="2" customWidth="1"/>
    <col min="8705" max="8946" width="8.83203125" style="2"/>
    <col min="8947" max="8947" width="6" style="2" customWidth="1"/>
    <col min="8948" max="8948" width="10.1640625" style="2" customWidth="1"/>
    <col min="8949" max="8949" width="37.33203125" style="2" customWidth="1"/>
    <col min="8950" max="8950" width="7" style="2" customWidth="1"/>
    <col min="8951" max="8951" width="0" style="2" hidden="1" customWidth="1"/>
    <col min="8952" max="8952" width="14.1640625" style="2" customWidth="1"/>
    <col min="8953" max="8953" width="14.5" style="2" customWidth="1"/>
    <col min="8954" max="8954" width="7.33203125" style="2" customWidth="1"/>
    <col min="8955" max="8955" width="16.1640625" style="2" customWidth="1"/>
    <col min="8956" max="8956" width="8.6640625" style="2" customWidth="1"/>
    <col min="8957" max="8957" width="14" style="2" customWidth="1"/>
    <col min="8958" max="8958" width="13.5" style="2" customWidth="1"/>
    <col min="8959" max="8959" width="11.5" style="2" customWidth="1"/>
    <col min="8960" max="8960" width="13.5" style="2" customWidth="1"/>
    <col min="8961" max="9202" width="8.83203125" style="2"/>
    <col min="9203" max="9203" width="6" style="2" customWidth="1"/>
    <col min="9204" max="9204" width="10.1640625" style="2" customWidth="1"/>
    <col min="9205" max="9205" width="37.33203125" style="2" customWidth="1"/>
    <col min="9206" max="9206" width="7" style="2" customWidth="1"/>
    <col min="9207" max="9207" width="0" style="2" hidden="1" customWidth="1"/>
    <col min="9208" max="9208" width="14.1640625" style="2" customWidth="1"/>
    <col min="9209" max="9209" width="14.5" style="2" customWidth="1"/>
    <col min="9210" max="9210" width="7.33203125" style="2" customWidth="1"/>
    <col min="9211" max="9211" width="16.1640625" style="2" customWidth="1"/>
    <col min="9212" max="9212" width="8.6640625" style="2" customWidth="1"/>
    <col min="9213" max="9213" width="14" style="2" customWidth="1"/>
    <col min="9214" max="9214" width="13.5" style="2" customWidth="1"/>
    <col min="9215" max="9215" width="11.5" style="2" customWidth="1"/>
    <col min="9216" max="9216" width="13.5" style="2" customWidth="1"/>
    <col min="9217" max="9458" width="8.83203125" style="2"/>
    <col min="9459" max="9459" width="6" style="2" customWidth="1"/>
    <col min="9460" max="9460" width="10.1640625" style="2" customWidth="1"/>
    <col min="9461" max="9461" width="37.33203125" style="2" customWidth="1"/>
    <col min="9462" max="9462" width="7" style="2" customWidth="1"/>
    <col min="9463" max="9463" width="0" style="2" hidden="1" customWidth="1"/>
    <col min="9464" max="9464" width="14.1640625" style="2" customWidth="1"/>
    <col min="9465" max="9465" width="14.5" style="2" customWidth="1"/>
    <col min="9466" max="9466" width="7.33203125" style="2" customWidth="1"/>
    <col min="9467" max="9467" width="16.1640625" style="2" customWidth="1"/>
    <col min="9468" max="9468" width="8.6640625" style="2" customWidth="1"/>
    <col min="9469" max="9469" width="14" style="2" customWidth="1"/>
    <col min="9470" max="9470" width="13.5" style="2" customWidth="1"/>
    <col min="9471" max="9471" width="11.5" style="2" customWidth="1"/>
    <col min="9472" max="9472" width="13.5" style="2" customWidth="1"/>
    <col min="9473" max="9714" width="8.83203125" style="2"/>
    <col min="9715" max="9715" width="6" style="2" customWidth="1"/>
    <col min="9716" max="9716" width="10.1640625" style="2" customWidth="1"/>
    <col min="9717" max="9717" width="37.33203125" style="2" customWidth="1"/>
    <col min="9718" max="9718" width="7" style="2" customWidth="1"/>
    <col min="9719" max="9719" width="0" style="2" hidden="1" customWidth="1"/>
    <col min="9720" max="9720" width="14.1640625" style="2" customWidth="1"/>
    <col min="9721" max="9721" width="14.5" style="2" customWidth="1"/>
    <col min="9722" max="9722" width="7.33203125" style="2" customWidth="1"/>
    <col min="9723" max="9723" width="16.1640625" style="2" customWidth="1"/>
    <col min="9724" max="9724" width="8.6640625" style="2" customWidth="1"/>
    <col min="9725" max="9725" width="14" style="2" customWidth="1"/>
    <col min="9726" max="9726" width="13.5" style="2" customWidth="1"/>
    <col min="9727" max="9727" width="11.5" style="2" customWidth="1"/>
    <col min="9728" max="9728" width="13.5" style="2" customWidth="1"/>
    <col min="9729" max="9970" width="8.83203125" style="2"/>
    <col min="9971" max="9971" width="6" style="2" customWidth="1"/>
    <col min="9972" max="9972" width="10.1640625" style="2" customWidth="1"/>
    <col min="9973" max="9973" width="37.33203125" style="2" customWidth="1"/>
    <col min="9974" max="9974" width="7" style="2" customWidth="1"/>
    <col min="9975" max="9975" width="0" style="2" hidden="1" customWidth="1"/>
    <col min="9976" max="9976" width="14.1640625" style="2" customWidth="1"/>
    <col min="9977" max="9977" width="14.5" style="2" customWidth="1"/>
    <col min="9978" max="9978" width="7.33203125" style="2" customWidth="1"/>
    <col min="9979" max="9979" width="16.1640625" style="2" customWidth="1"/>
    <col min="9980" max="9980" width="8.6640625" style="2" customWidth="1"/>
    <col min="9981" max="9981" width="14" style="2" customWidth="1"/>
    <col min="9982" max="9982" width="13.5" style="2" customWidth="1"/>
    <col min="9983" max="9983" width="11.5" style="2" customWidth="1"/>
    <col min="9984" max="9984" width="13.5" style="2" customWidth="1"/>
    <col min="9985" max="10226" width="8.83203125" style="2"/>
    <col min="10227" max="10227" width="6" style="2" customWidth="1"/>
    <col min="10228" max="10228" width="10.1640625" style="2" customWidth="1"/>
    <col min="10229" max="10229" width="37.33203125" style="2" customWidth="1"/>
    <col min="10230" max="10230" width="7" style="2" customWidth="1"/>
    <col min="10231" max="10231" width="0" style="2" hidden="1" customWidth="1"/>
    <col min="10232" max="10232" width="14.1640625" style="2" customWidth="1"/>
    <col min="10233" max="10233" width="14.5" style="2" customWidth="1"/>
    <col min="10234" max="10234" width="7.33203125" style="2" customWidth="1"/>
    <col min="10235" max="10235" width="16.1640625" style="2" customWidth="1"/>
    <col min="10236" max="10236" width="8.6640625" style="2" customWidth="1"/>
    <col min="10237" max="10237" width="14" style="2" customWidth="1"/>
    <col min="10238" max="10238" width="13.5" style="2" customWidth="1"/>
    <col min="10239" max="10239" width="11.5" style="2" customWidth="1"/>
    <col min="10240" max="10240" width="13.5" style="2" customWidth="1"/>
    <col min="10241" max="10482" width="8.83203125" style="2"/>
    <col min="10483" max="10483" width="6" style="2" customWidth="1"/>
    <col min="10484" max="10484" width="10.1640625" style="2" customWidth="1"/>
    <col min="10485" max="10485" width="37.33203125" style="2" customWidth="1"/>
    <col min="10486" max="10486" width="7" style="2" customWidth="1"/>
    <col min="10487" max="10487" width="0" style="2" hidden="1" customWidth="1"/>
    <col min="10488" max="10488" width="14.1640625" style="2" customWidth="1"/>
    <col min="10489" max="10489" width="14.5" style="2" customWidth="1"/>
    <col min="10490" max="10490" width="7.33203125" style="2" customWidth="1"/>
    <col min="10491" max="10491" width="16.1640625" style="2" customWidth="1"/>
    <col min="10492" max="10492" width="8.6640625" style="2" customWidth="1"/>
    <col min="10493" max="10493" width="14" style="2" customWidth="1"/>
    <col min="10494" max="10494" width="13.5" style="2" customWidth="1"/>
    <col min="10495" max="10495" width="11.5" style="2" customWidth="1"/>
    <col min="10496" max="10496" width="13.5" style="2" customWidth="1"/>
    <col min="10497" max="10738" width="8.83203125" style="2"/>
    <col min="10739" max="10739" width="6" style="2" customWidth="1"/>
    <col min="10740" max="10740" width="10.1640625" style="2" customWidth="1"/>
    <col min="10741" max="10741" width="37.33203125" style="2" customWidth="1"/>
    <col min="10742" max="10742" width="7" style="2" customWidth="1"/>
    <col min="10743" max="10743" width="0" style="2" hidden="1" customWidth="1"/>
    <col min="10744" max="10744" width="14.1640625" style="2" customWidth="1"/>
    <col min="10745" max="10745" width="14.5" style="2" customWidth="1"/>
    <col min="10746" max="10746" width="7.33203125" style="2" customWidth="1"/>
    <col min="10747" max="10747" width="16.1640625" style="2" customWidth="1"/>
    <col min="10748" max="10748" width="8.6640625" style="2" customWidth="1"/>
    <col min="10749" max="10749" width="14" style="2" customWidth="1"/>
    <col min="10750" max="10750" width="13.5" style="2" customWidth="1"/>
    <col min="10751" max="10751" width="11.5" style="2" customWidth="1"/>
    <col min="10752" max="10752" width="13.5" style="2" customWidth="1"/>
    <col min="10753" max="10994" width="8.83203125" style="2"/>
    <col min="10995" max="10995" width="6" style="2" customWidth="1"/>
    <col min="10996" max="10996" width="10.1640625" style="2" customWidth="1"/>
    <col min="10997" max="10997" width="37.33203125" style="2" customWidth="1"/>
    <col min="10998" max="10998" width="7" style="2" customWidth="1"/>
    <col min="10999" max="10999" width="0" style="2" hidden="1" customWidth="1"/>
    <col min="11000" max="11000" width="14.1640625" style="2" customWidth="1"/>
    <col min="11001" max="11001" width="14.5" style="2" customWidth="1"/>
    <col min="11002" max="11002" width="7.33203125" style="2" customWidth="1"/>
    <col min="11003" max="11003" width="16.1640625" style="2" customWidth="1"/>
    <col min="11004" max="11004" width="8.6640625" style="2" customWidth="1"/>
    <col min="11005" max="11005" width="14" style="2" customWidth="1"/>
    <col min="11006" max="11006" width="13.5" style="2" customWidth="1"/>
    <col min="11007" max="11007" width="11.5" style="2" customWidth="1"/>
    <col min="11008" max="11008" width="13.5" style="2" customWidth="1"/>
    <col min="11009" max="11250" width="8.83203125" style="2"/>
    <col min="11251" max="11251" width="6" style="2" customWidth="1"/>
    <col min="11252" max="11252" width="10.1640625" style="2" customWidth="1"/>
    <col min="11253" max="11253" width="37.33203125" style="2" customWidth="1"/>
    <col min="11254" max="11254" width="7" style="2" customWidth="1"/>
    <col min="11255" max="11255" width="0" style="2" hidden="1" customWidth="1"/>
    <col min="11256" max="11256" width="14.1640625" style="2" customWidth="1"/>
    <col min="11257" max="11257" width="14.5" style="2" customWidth="1"/>
    <col min="11258" max="11258" width="7.33203125" style="2" customWidth="1"/>
    <col min="11259" max="11259" width="16.1640625" style="2" customWidth="1"/>
    <col min="11260" max="11260" width="8.6640625" style="2" customWidth="1"/>
    <col min="11261" max="11261" width="14" style="2" customWidth="1"/>
    <col min="11262" max="11262" width="13.5" style="2" customWidth="1"/>
    <col min="11263" max="11263" width="11.5" style="2" customWidth="1"/>
    <col min="11264" max="11264" width="13.5" style="2" customWidth="1"/>
    <col min="11265" max="11506" width="8.83203125" style="2"/>
    <col min="11507" max="11507" width="6" style="2" customWidth="1"/>
    <col min="11508" max="11508" width="10.1640625" style="2" customWidth="1"/>
    <col min="11509" max="11509" width="37.33203125" style="2" customWidth="1"/>
    <col min="11510" max="11510" width="7" style="2" customWidth="1"/>
    <col min="11511" max="11511" width="0" style="2" hidden="1" customWidth="1"/>
    <col min="11512" max="11512" width="14.1640625" style="2" customWidth="1"/>
    <col min="11513" max="11513" width="14.5" style="2" customWidth="1"/>
    <col min="11514" max="11514" width="7.33203125" style="2" customWidth="1"/>
    <col min="11515" max="11515" width="16.1640625" style="2" customWidth="1"/>
    <col min="11516" max="11516" width="8.6640625" style="2" customWidth="1"/>
    <col min="11517" max="11517" width="14" style="2" customWidth="1"/>
    <col min="11518" max="11518" width="13.5" style="2" customWidth="1"/>
    <col min="11519" max="11519" width="11.5" style="2" customWidth="1"/>
    <col min="11520" max="11520" width="13.5" style="2" customWidth="1"/>
    <col min="11521" max="11762" width="8.83203125" style="2"/>
    <col min="11763" max="11763" width="6" style="2" customWidth="1"/>
    <col min="11764" max="11764" width="10.1640625" style="2" customWidth="1"/>
    <col min="11765" max="11765" width="37.33203125" style="2" customWidth="1"/>
    <col min="11766" max="11766" width="7" style="2" customWidth="1"/>
    <col min="11767" max="11767" width="0" style="2" hidden="1" customWidth="1"/>
    <col min="11768" max="11768" width="14.1640625" style="2" customWidth="1"/>
    <col min="11769" max="11769" width="14.5" style="2" customWidth="1"/>
    <col min="11770" max="11770" width="7.33203125" style="2" customWidth="1"/>
    <col min="11771" max="11771" width="16.1640625" style="2" customWidth="1"/>
    <col min="11772" max="11772" width="8.6640625" style="2" customWidth="1"/>
    <col min="11773" max="11773" width="14" style="2" customWidth="1"/>
    <col min="11774" max="11774" width="13.5" style="2" customWidth="1"/>
    <col min="11775" max="11775" width="11.5" style="2" customWidth="1"/>
    <col min="11776" max="11776" width="13.5" style="2" customWidth="1"/>
    <col min="11777" max="12018" width="8.83203125" style="2"/>
    <col min="12019" max="12019" width="6" style="2" customWidth="1"/>
    <col min="12020" max="12020" width="10.1640625" style="2" customWidth="1"/>
    <col min="12021" max="12021" width="37.33203125" style="2" customWidth="1"/>
    <col min="12022" max="12022" width="7" style="2" customWidth="1"/>
    <col min="12023" max="12023" width="0" style="2" hidden="1" customWidth="1"/>
    <col min="12024" max="12024" width="14.1640625" style="2" customWidth="1"/>
    <col min="12025" max="12025" width="14.5" style="2" customWidth="1"/>
    <col min="12026" max="12026" width="7.33203125" style="2" customWidth="1"/>
    <col min="12027" max="12027" width="16.1640625" style="2" customWidth="1"/>
    <col min="12028" max="12028" width="8.6640625" style="2" customWidth="1"/>
    <col min="12029" max="12029" width="14" style="2" customWidth="1"/>
    <col min="12030" max="12030" width="13.5" style="2" customWidth="1"/>
    <col min="12031" max="12031" width="11.5" style="2" customWidth="1"/>
    <col min="12032" max="12032" width="13.5" style="2" customWidth="1"/>
    <col min="12033" max="12274" width="8.83203125" style="2"/>
    <col min="12275" max="12275" width="6" style="2" customWidth="1"/>
    <col min="12276" max="12276" width="10.1640625" style="2" customWidth="1"/>
    <col min="12277" max="12277" width="37.33203125" style="2" customWidth="1"/>
    <col min="12278" max="12278" width="7" style="2" customWidth="1"/>
    <col min="12279" max="12279" width="0" style="2" hidden="1" customWidth="1"/>
    <col min="12280" max="12280" width="14.1640625" style="2" customWidth="1"/>
    <col min="12281" max="12281" width="14.5" style="2" customWidth="1"/>
    <col min="12282" max="12282" width="7.33203125" style="2" customWidth="1"/>
    <col min="12283" max="12283" width="16.1640625" style="2" customWidth="1"/>
    <col min="12284" max="12284" width="8.6640625" style="2" customWidth="1"/>
    <col min="12285" max="12285" width="14" style="2" customWidth="1"/>
    <col min="12286" max="12286" width="13.5" style="2" customWidth="1"/>
    <col min="12287" max="12287" width="11.5" style="2" customWidth="1"/>
    <col min="12288" max="12288" width="13.5" style="2" customWidth="1"/>
    <col min="12289" max="12530" width="8.83203125" style="2"/>
    <col min="12531" max="12531" width="6" style="2" customWidth="1"/>
    <col min="12532" max="12532" width="10.1640625" style="2" customWidth="1"/>
    <col min="12533" max="12533" width="37.33203125" style="2" customWidth="1"/>
    <col min="12534" max="12534" width="7" style="2" customWidth="1"/>
    <col min="12535" max="12535" width="0" style="2" hidden="1" customWidth="1"/>
    <col min="12536" max="12536" width="14.1640625" style="2" customWidth="1"/>
    <col min="12537" max="12537" width="14.5" style="2" customWidth="1"/>
    <col min="12538" max="12538" width="7.33203125" style="2" customWidth="1"/>
    <col min="12539" max="12539" width="16.1640625" style="2" customWidth="1"/>
    <col min="12540" max="12540" width="8.6640625" style="2" customWidth="1"/>
    <col min="12541" max="12541" width="14" style="2" customWidth="1"/>
    <col min="12542" max="12542" width="13.5" style="2" customWidth="1"/>
    <col min="12543" max="12543" width="11.5" style="2" customWidth="1"/>
    <col min="12544" max="12544" width="13.5" style="2" customWidth="1"/>
    <col min="12545" max="12786" width="8.83203125" style="2"/>
    <col min="12787" max="12787" width="6" style="2" customWidth="1"/>
    <col min="12788" max="12788" width="10.1640625" style="2" customWidth="1"/>
    <col min="12789" max="12789" width="37.33203125" style="2" customWidth="1"/>
    <col min="12790" max="12790" width="7" style="2" customWidth="1"/>
    <col min="12791" max="12791" width="0" style="2" hidden="1" customWidth="1"/>
    <col min="12792" max="12792" width="14.1640625" style="2" customWidth="1"/>
    <col min="12793" max="12793" width="14.5" style="2" customWidth="1"/>
    <col min="12794" max="12794" width="7.33203125" style="2" customWidth="1"/>
    <col min="12795" max="12795" width="16.1640625" style="2" customWidth="1"/>
    <col min="12796" max="12796" width="8.6640625" style="2" customWidth="1"/>
    <col min="12797" max="12797" width="14" style="2" customWidth="1"/>
    <col min="12798" max="12798" width="13.5" style="2" customWidth="1"/>
    <col min="12799" max="12799" width="11.5" style="2" customWidth="1"/>
    <col min="12800" max="12800" width="13.5" style="2" customWidth="1"/>
    <col min="12801" max="13042" width="8.83203125" style="2"/>
    <col min="13043" max="13043" width="6" style="2" customWidth="1"/>
    <col min="13044" max="13044" width="10.1640625" style="2" customWidth="1"/>
    <col min="13045" max="13045" width="37.33203125" style="2" customWidth="1"/>
    <col min="13046" max="13046" width="7" style="2" customWidth="1"/>
    <col min="13047" max="13047" width="0" style="2" hidden="1" customWidth="1"/>
    <col min="13048" max="13048" width="14.1640625" style="2" customWidth="1"/>
    <col min="13049" max="13049" width="14.5" style="2" customWidth="1"/>
    <col min="13050" max="13050" width="7.33203125" style="2" customWidth="1"/>
    <col min="13051" max="13051" width="16.1640625" style="2" customWidth="1"/>
    <col min="13052" max="13052" width="8.6640625" style="2" customWidth="1"/>
    <col min="13053" max="13053" width="14" style="2" customWidth="1"/>
    <col min="13054" max="13054" width="13.5" style="2" customWidth="1"/>
    <col min="13055" max="13055" width="11.5" style="2" customWidth="1"/>
    <col min="13056" max="13056" width="13.5" style="2" customWidth="1"/>
    <col min="13057" max="13298" width="8.83203125" style="2"/>
    <col min="13299" max="13299" width="6" style="2" customWidth="1"/>
    <col min="13300" max="13300" width="10.1640625" style="2" customWidth="1"/>
    <col min="13301" max="13301" width="37.33203125" style="2" customWidth="1"/>
    <col min="13302" max="13302" width="7" style="2" customWidth="1"/>
    <col min="13303" max="13303" width="0" style="2" hidden="1" customWidth="1"/>
    <col min="13304" max="13304" width="14.1640625" style="2" customWidth="1"/>
    <col min="13305" max="13305" width="14.5" style="2" customWidth="1"/>
    <col min="13306" max="13306" width="7.33203125" style="2" customWidth="1"/>
    <col min="13307" max="13307" width="16.1640625" style="2" customWidth="1"/>
    <col min="13308" max="13308" width="8.6640625" style="2" customWidth="1"/>
    <col min="13309" max="13309" width="14" style="2" customWidth="1"/>
    <col min="13310" max="13310" width="13.5" style="2" customWidth="1"/>
    <col min="13311" max="13311" width="11.5" style="2" customWidth="1"/>
    <col min="13312" max="13312" width="13.5" style="2" customWidth="1"/>
    <col min="13313" max="13554" width="8.83203125" style="2"/>
    <col min="13555" max="13555" width="6" style="2" customWidth="1"/>
    <col min="13556" max="13556" width="10.1640625" style="2" customWidth="1"/>
    <col min="13557" max="13557" width="37.33203125" style="2" customWidth="1"/>
    <col min="13558" max="13558" width="7" style="2" customWidth="1"/>
    <col min="13559" max="13559" width="0" style="2" hidden="1" customWidth="1"/>
    <col min="13560" max="13560" width="14.1640625" style="2" customWidth="1"/>
    <col min="13561" max="13561" width="14.5" style="2" customWidth="1"/>
    <col min="13562" max="13562" width="7.33203125" style="2" customWidth="1"/>
    <col min="13563" max="13563" width="16.1640625" style="2" customWidth="1"/>
    <col min="13564" max="13564" width="8.6640625" style="2" customWidth="1"/>
    <col min="13565" max="13565" width="14" style="2" customWidth="1"/>
    <col min="13566" max="13566" width="13.5" style="2" customWidth="1"/>
    <col min="13567" max="13567" width="11.5" style="2" customWidth="1"/>
    <col min="13568" max="13568" width="13.5" style="2" customWidth="1"/>
    <col min="13569" max="13810" width="8.83203125" style="2"/>
    <col min="13811" max="13811" width="6" style="2" customWidth="1"/>
    <col min="13812" max="13812" width="10.1640625" style="2" customWidth="1"/>
    <col min="13813" max="13813" width="37.33203125" style="2" customWidth="1"/>
    <col min="13814" max="13814" width="7" style="2" customWidth="1"/>
    <col min="13815" max="13815" width="0" style="2" hidden="1" customWidth="1"/>
    <col min="13816" max="13816" width="14.1640625" style="2" customWidth="1"/>
    <col min="13817" max="13817" width="14.5" style="2" customWidth="1"/>
    <col min="13818" max="13818" width="7.33203125" style="2" customWidth="1"/>
    <col min="13819" max="13819" width="16.1640625" style="2" customWidth="1"/>
    <col min="13820" max="13820" width="8.6640625" style="2" customWidth="1"/>
    <col min="13821" max="13821" width="14" style="2" customWidth="1"/>
    <col min="13822" max="13822" width="13.5" style="2" customWidth="1"/>
    <col min="13823" max="13823" width="11.5" style="2" customWidth="1"/>
    <col min="13824" max="13824" width="13.5" style="2" customWidth="1"/>
    <col min="13825" max="14066" width="8.83203125" style="2"/>
    <col min="14067" max="14067" width="6" style="2" customWidth="1"/>
    <col min="14068" max="14068" width="10.1640625" style="2" customWidth="1"/>
    <col min="14069" max="14069" width="37.33203125" style="2" customWidth="1"/>
    <col min="14070" max="14070" width="7" style="2" customWidth="1"/>
    <col min="14071" max="14071" width="0" style="2" hidden="1" customWidth="1"/>
    <col min="14072" max="14072" width="14.1640625" style="2" customWidth="1"/>
    <col min="14073" max="14073" width="14.5" style="2" customWidth="1"/>
    <col min="14074" max="14074" width="7.33203125" style="2" customWidth="1"/>
    <col min="14075" max="14075" width="16.1640625" style="2" customWidth="1"/>
    <col min="14076" max="14076" width="8.6640625" style="2" customWidth="1"/>
    <col min="14077" max="14077" width="14" style="2" customWidth="1"/>
    <col min="14078" max="14078" width="13.5" style="2" customWidth="1"/>
    <col min="14079" max="14079" width="11.5" style="2" customWidth="1"/>
    <col min="14080" max="14080" width="13.5" style="2" customWidth="1"/>
    <col min="14081" max="14322" width="8.83203125" style="2"/>
    <col min="14323" max="14323" width="6" style="2" customWidth="1"/>
    <col min="14324" max="14324" width="10.1640625" style="2" customWidth="1"/>
    <col min="14325" max="14325" width="37.33203125" style="2" customWidth="1"/>
    <col min="14326" max="14326" width="7" style="2" customWidth="1"/>
    <col min="14327" max="14327" width="0" style="2" hidden="1" customWidth="1"/>
    <col min="14328" max="14328" width="14.1640625" style="2" customWidth="1"/>
    <col min="14329" max="14329" width="14.5" style="2" customWidth="1"/>
    <col min="14330" max="14330" width="7.33203125" style="2" customWidth="1"/>
    <col min="14331" max="14331" width="16.1640625" style="2" customWidth="1"/>
    <col min="14332" max="14332" width="8.6640625" style="2" customWidth="1"/>
    <col min="14333" max="14333" width="14" style="2" customWidth="1"/>
    <col min="14334" max="14334" width="13.5" style="2" customWidth="1"/>
    <col min="14335" max="14335" width="11.5" style="2" customWidth="1"/>
    <col min="14336" max="14336" width="13.5" style="2" customWidth="1"/>
    <col min="14337" max="14578" width="8.83203125" style="2"/>
    <col min="14579" max="14579" width="6" style="2" customWidth="1"/>
    <col min="14580" max="14580" width="10.1640625" style="2" customWidth="1"/>
    <col min="14581" max="14581" width="37.33203125" style="2" customWidth="1"/>
    <col min="14582" max="14582" width="7" style="2" customWidth="1"/>
    <col min="14583" max="14583" width="0" style="2" hidden="1" customWidth="1"/>
    <col min="14584" max="14584" width="14.1640625" style="2" customWidth="1"/>
    <col min="14585" max="14585" width="14.5" style="2" customWidth="1"/>
    <col min="14586" max="14586" width="7.33203125" style="2" customWidth="1"/>
    <col min="14587" max="14587" width="16.1640625" style="2" customWidth="1"/>
    <col min="14588" max="14588" width="8.6640625" style="2" customWidth="1"/>
    <col min="14589" max="14589" width="14" style="2" customWidth="1"/>
    <col min="14590" max="14590" width="13.5" style="2" customWidth="1"/>
    <col min="14591" max="14591" width="11.5" style="2" customWidth="1"/>
    <col min="14592" max="14592" width="13.5" style="2" customWidth="1"/>
    <col min="14593" max="14834" width="8.83203125" style="2"/>
    <col min="14835" max="14835" width="6" style="2" customWidth="1"/>
    <col min="14836" max="14836" width="10.1640625" style="2" customWidth="1"/>
    <col min="14837" max="14837" width="37.33203125" style="2" customWidth="1"/>
    <col min="14838" max="14838" width="7" style="2" customWidth="1"/>
    <col min="14839" max="14839" width="0" style="2" hidden="1" customWidth="1"/>
    <col min="14840" max="14840" width="14.1640625" style="2" customWidth="1"/>
    <col min="14841" max="14841" width="14.5" style="2" customWidth="1"/>
    <col min="14842" max="14842" width="7.33203125" style="2" customWidth="1"/>
    <col min="14843" max="14843" width="16.1640625" style="2" customWidth="1"/>
    <col min="14844" max="14844" width="8.6640625" style="2" customWidth="1"/>
    <col min="14845" max="14845" width="14" style="2" customWidth="1"/>
    <col min="14846" max="14846" width="13.5" style="2" customWidth="1"/>
    <col min="14847" max="14847" width="11.5" style="2" customWidth="1"/>
    <col min="14848" max="14848" width="13.5" style="2" customWidth="1"/>
    <col min="14849" max="15090" width="8.83203125" style="2"/>
    <col min="15091" max="15091" width="6" style="2" customWidth="1"/>
    <col min="15092" max="15092" width="10.1640625" style="2" customWidth="1"/>
    <col min="15093" max="15093" width="37.33203125" style="2" customWidth="1"/>
    <col min="15094" max="15094" width="7" style="2" customWidth="1"/>
    <col min="15095" max="15095" width="0" style="2" hidden="1" customWidth="1"/>
    <col min="15096" max="15096" width="14.1640625" style="2" customWidth="1"/>
    <col min="15097" max="15097" width="14.5" style="2" customWidth="1"/>
    <col min="15098" max="15098" width="7.33203125" style="2" customWidth="1"/>
    <col min="15099" max="15099" width="16.1640625" style="2" customWidth="1"/>
    <col min="15100" max="15100" width="8.6640625" style="2" customWidth="1"/>
    <col min="15101" max="15101" width="14" style="2" customWidth="1"/>
    <col min="15102" max="15102" width="13.5" style="2" customWidth="1"/>
    <col min="15103" max="15103" width="11.5" style="2" customWidth="1"/>
    <col min="15104" max="15104" width="13.5" style="2" customWidth="1"/>
    <col min="15105" max="15346" width="8.83203125" style="2"/>
    <col min="15347" max="15347" width="6" style="2" customWidth="1"/>
    <col min="15348" max="15348" width="10.1640625" style="2" customWidth="1"/>
    <col min="15349" max="15349" width="37.33203125" style="2" customWidth="1"/>
    <col min="15350" max="15350" width="7" style="2" customWidth="1"/>
    <col min="15351" max="15351" width="0" style="2" hidden="1" customWidth="1"/>
    <col min="15352" max="15352" width="14.1640625" style="2" customWidth="1"/>
    <col min="15353" max="15353" width="14.5" style="2" customWidth="1"/>
    <col min="15354" max="15354" width="7.33203125" style="2" customWidth="1"/>
    <col min="15355" max="15355" width="16.1640625" style="2" customWidth="1"/>
    <col min="15356" max="15356" width="8.6640625" style="2" customWidth="1"/>
    <col min="15357" max="15357" width="14" style="2" customWidth="1"/>
    <col min="15358" max="15358" width="13.5" style="2" customWidth="1"/>
    <col min="15359" max="15359" width="11.5" style="2" customWidth="1"/>
    <col min="15360" max="15360" width="13.5" style="2" customWidth="1"/>
    <col min="15361" max="15602" width="8.83203125" style="2"/>
    <col min="15603" max="15603" width="6" style="2" customWidth="1"/>
    <col min="15604" max="15604" width="10.1640625" style="2" customWidth="1"/>
    <col min="15605" max="15605" width="37.33203125" style="2" customWidth="1"/>
    <col min="15606" max="15606" width="7" style="2" customWidth="1"/>
    <col min="15607" max="15607" width="0" style="2" hidden="1" customWidth="1"/>
    <col min="15608" max="15608" width="14.1640625" style="2" customWidth="1"/>
    <col min="15609" max="15609" width="14.5" style="2" customWidth="1"/>
    <col min="15610" max="15610" width="7.33203125" style="2" customWidth="1"/>
    <col min="15611" max="15611" width="16.1640625" style="2" customWidth="1"/>
    <col min="15612" max="15612" width="8.6640625" style="2" customWidth="1"/>
    <col min="15613" max="15613" width="14" style="2" customWidth="1"/>
    <col min="15614" max="15614" width="13.5" style="2" customWidth="1"/>
    <col min="15615" max="15615" width="11.5" style="2" customWidth="1"/>
    <col min="15616" max="15616" width="13.5" style="2" customWidth="1"/>
    <col min="15617" max="15858" width="8.83203125" style="2"/>
    <col min="15859" max="15859" width="6" style="2" customWidth="1"/>
    <col min="15860" max="15860" width="10.1640625" style="2" customWidth="1"/>
    <col min="15861" max="15861" width="37.33203125" style="2" customWidth="1"/>
    <col min="15862" max="15862" width="7" style="2" customWidth="1"/>
    <col min="15863" max="15863" width="0" style="2" hidden="1" customWidth="1"/>
    <col min="15864" max="15864" width="14.1640625" style="2" customWidth="1"/>
    <col min="15865" max="15865" width="14.5" style="2" customWidth="1"/>
    <col min="15866" max="15866" width="7.33203125" style="2" customWidth="1"/>
    <col min="15867" max="15867" width="16.1640625" style="2" customWidth="1"/>
    <col min="15868" max="15868" width="8.6640625" style="2" customWidth="1"/>
    <col min="15869" max="15869" width="14" style="2" customWidth="1"/>
    <col min="15870" max="15870" width="13.5" style="2" customWidth="1"/>
    <col min="15871" max="15871" width="11.5" style="2" customWidth="1"/>
    <col min="15872" max="15872" width="13.5" style="2" customWidth="1"/>
    <col min="15873" max="16114" width="8.83203125" style="2"/>
    <col min="16115" max="16115" width="6" style="2" customWidth="1"/>
    <col min="16116" max="16116" width="10.1640625" style="2" customWidth="1"/>
    <col min="16117" max="16117" width="37.33203125" style="2" customWidth="1"/>
    <col min="16118" max="16118" width="7" style="2" customWidth="1"/>
    <col min="16119" max="16119" width="0" style="2" hidden="1" customWidth="1"/>
    <col min="16120" max="16120" width="14.1640625" style="2" customWidth="1"/>
    <col min="16121" max="16121" width="14.5" style="2" customWidth="1"/>
    <col min="16122" max="16122" width="7.33203125" style="2" customWidth="1"/>
    <col min="16123" max="16123" width="16.1640625" style="2" customWidth="1"/>
    <col min="16124" max="16124" width="8.6640625" style="2" customWidth="1"/>
    <col min="16125" max="16125" width="14" style="2" customWidth="1"/>
    <col min="16126" max="16126" width="13.5" style="2" customWidth="1"/>
    <col min="16127" max="16127" width="11.5" style="2" customWidth="1"/>
    <col min="16128" max="16128" width="13.5" style="2" customWidth="1"/>
    <col min="16129" max="16379" width="8.83203125" style="2"/>
    <col min="16380" max="16384" width="8.6640625" style="2" customWidth="1"/>
  </cols>
  <sheetData>
    <row r="1" spans="1:16">
      <c r="A1" s="75" t="s">
        <v>7</v>
      </c>
      <c r="B1" s="75"/>
      <c r="C1" s="75"/>
      <c r="D1" s="75"/>
      <c r="E1" s="75"/>
      <c r="F1" s="75"/>
      <c r="G1" s="75"/>
      <c r="H1" s="75"/>
      <c r="I1" s="75"/>
      <c r="J1" s="75"/>
      <c r="K1" s="75"/>
      <c r="L1" s="75"/>
      <c r="M1" s="75"/>
    </row>
    <row r="2" spans="1:16" s="4" customFormat="1" ht="66" customHeight="1">
      <c r="B2" s="76" t="s">
        <v>11</v>
      </c>
      <c r="C2" s="77"/>
      <c r="D2" s="77"/>
      <c r="E2" s="77"/>
      <c r="F2" s="77"/>
      <c r="G2" s="77"/>
      <c r="H2" s="77"/>
      <c r="I2" s="77"/>
      <c r="J2" s="77"/>
      <c r="K2" s="77"/>
      <c r="L2" s="77"/>
      <c r="M2" s="78"/>
    </row>
    <row r="3" spans="1:16" s="4" customFormat="1">
      <c r="B3" s="79"/>
      <c r="C3" s="79"/>
      <c r="D3" s="79"/>
      <c r="E3" s="79"/>
      <c r="F3" s="79"/>
      <c r="G3" s="79"/>
      <c r="H3" s="79"/>
      <c r="I3" s="79"/>
      <c r="J3" s="79"/>
      <c r="K3" s="79"/>
      <c r="L3" s="79"/>
      <c r="M3" s="79"/>
    </row>
    <row r="4" spans="1:16" s="4" customFormat="1">
      <c r="B4" s="80" t="s">
        <v>25</v>
      </c>
      <c r="C4" s="80"/>
      <c r="D4" s="80"/>
      <c r="E4" s="80"/>
      <c r="F4" s="80"/>
      <c r="G4" s="80"/>
      <c r="H4" s="80"/>
      <c r="I4" s="80"/>
      <c r="J4" s="80"/>
      <c r="K4" s="81" t="s">
        <v>20</v>
      </c>
      <c r="L4" s="81"/>
      <c r="M4" s="41" t="str">
        <f ca="1">IF(OR(M5="",B6=""),"",
"PO-"&amp;
UPPER(LEFT(MID(B6,15,LEN(B6)),4))&amp;
"-"&amp;TEXT(M5,"ddmm"))</f>
        <v>PO-KY-0906</v>
      </c>
      <c r="N4" s="49"/>
      <c r="O4" s="49"/>
      <c r="P4" s="49"/>
    </row>
    <row r="5" spans="1:16" s="4" customFormat="1">
      <c r="B5" s="73" t="s">
        <v>75</v>
      </c>
      <c r="C5" s="73"/>
      <c r="D5" s="73"/>
      <c r="E5" s="73"/>
      <c r="F5" s="73"/>
      <c r="G5" s="73"/>
      <c r="H5" s="73"/>
      <c r="I5" s="73"/>
      <c r="J5" s="73"/>
      <c r="K5" s="72" t="s">
        <v>21</v>
      </c>
      <c r="L5" s="72"/>
      <c r="M5" s="33">
        <f ca="1">TODAY()</f>
        <v>46182</v>
      </c>
      <c r="N5" s="49"/>
      <c r="O5" s="49"/>
      <c r="P5" s="49"/>
    </row>
    <row r="6" spans="1:16" s="4" customFormat="1">
      <c r="B6" s="74" t="s">
        <v>76</v>
      </c>
      <c r="C6" s="74"/>
      <c r="D6" s="74"/>
      <c r="E6" s="74"/>
      <c r="F6" s="74"/>
      <c r="G6" s="74"/>
      <c r="H6" s="74"/>
      <c r="I6" s="74"/>
      <c r="J6" s="74"/>
      <c r="K6" s="72" t="s">
        <v>22</v>
      </c>
      <c r="L6" s="72"/>
      <c r="M6" s="33">
        <v>46172</v>
      </c>
      <c r="N6" s="49"/>
      <c r="O6" s="49"/>
      <c r="P6" s="49"/>
    </row>
    <row r="7" spans="1:16" s="4" customFormat="1">
      <c r="B7" s="73" t="s">
        <v>26</v>
      </c>
      <c r="C7" s="73"/>
      <c r="D7" s="73"/>
      <c r="E7" s="73"/>
      <c r="F7" s="73"/>
      <c r="G7" s="73"/>
      <c r="H7" s="73"/>
      <c r="I7" s="73"/>
      <c r="J7" s="73"/>
      <c r="K7" s="72" t="s">
        <v>23</v>
      </c>
      <c r="L7" s="72"/>
      <c r="M7" s="32" t="s">
        <v>24</v>
      </c>
      <c r="N7" s="49"/>
      <c r="O7" s="49"/>
      <c r="P7" s="49"/>
    </row>
    <row r="8" spans="1:16">
      <c r="A8" s="4"/>
      <c r="B8" s="42" t="s">
        <v>27</v>
      </c>
      <c r="C8" s="50"/>
      <c r="D8" s="50"/>
      <c r="E8" s="50"/>
      <c r="F8" s="50"/>
      <c r="G8" s="50"/>
      <c r="H8" s="50"/>
      <c r="I8" s="50"/>
      <c r="J8" s="51"/>
      <c r="K8" s="52"/>
      <c r="L8" s="53"/>
      <c r="M8" s="54"/>
      <c r="N8" s="44"/>
      <c r="O8" s="44"/>
      <c r="P8" s="44"/>
    </row>
    <row r="9" spans="1:16" ht="28">
      <c r="A9" s="4"/>
      <c r="B9" s="57" t="s">
        <v>1</v>
      </c>
      <c r="C9" s="57" t="s">
        <v>18</v>
      </c>
      <c r="D9" s="57" t="s">
        <v>17</v>
      </c>
      <c r="E9" s="57" t="s">
        <v>16</v>
      </c>
      <c r="F9" s="57" t="s">
        <v>52</v>
      </c>
      <c r="G9" s="57" t="s">
        <v>55</v>
      </c>
      <c r="H9" s="57" t="s">
        <v>15</v>
      </c>
      <c r="I9" s="57" t="s">
        <v>12</v>
      </c>
      <c r="J9" s="57" t="s">
        <v>14</v>
      </c>
      <c r="K9" s="57" t="s">
        <v>13</v>
      </c>
      <c r="L9" s="57" t="s">
        <v>0</v>
      </c>
      <c r="M9" s="57" t="s">
        <v>19</v>
      </c>
      <c r="N9" s="43"/>
      <c r="O9" s="43"/>
      <c r="P9" s="44"/>
    </row>
    <row r="10" spans="1:16" s="8" customFormat="1">
      <c r="A10" s="4"/>
      <c r="B10" s="56" t="s">
        <v>74</v>
      </c>
      <c r="C10" s="56"/>
      <c r="D10" s="56"/>
      <c r="E10" s="56"/>
      <c r="F10" s="56"/>
      <c r="G10" s="56"/>
      <c r="H10" s="56"/>
      <c r="I10" s="56"/>
      <c r="J10" s="56"/>
      <c r="K10" s="56"/>
      <c r="L10" s="56"/>
      <c r="M10" s="56"/>
      <c r="N10" s="46"/>
      <c r="O10" s="47"/>
      <c r="P10" s="45"/>
    </row>
    <row r="11" spans="1:16" s="8" customFormat="1" ht="306">
      <c r="A11" s="4"/>
      <c r="B11" s="58" t="s">
        <v>10</v>
      </c>
      <c r="C11" s="59" t="s">
        <v>88</v>
      </c>
      <c r="D11" s="60" t="s">
        <v>29</v>
      </c>
      <c r="E11" s="61" t="s">
        <v>89</v>
      </c>
      <c r="F11" s="61" t="s">
        <v>77</v>
      </c>
      <c r="G11" s="61" t="s">
        <v>56</v>
      </c>
      <c r="H11" s="60">
        <v>15</v>
      </c>
      <c r="I11" s="60" t="s">
        <v>61</v>
      </c>
      <c r="J11" s="62">
        <v>1500000</v>
      </c>
      <c r="K11" s="63">
        <f>J11*H11</f>
        <v>22500000</v>
      </c>
      <c r="L11" s="64">
        <v>0.08</v>
      </c>
      <c r="M11" s="63">
        <f>(K11*0.08)+K11</f>
        <v>24300000</v>
      </c>
      <c r="N11" s="46"/>
      <c r="O11" s="47"/>
      <c r="P11" s="48"/>
    </row>
    <row r="12" spans="1:16" s="8" customFormat="1" ht="84">
      <c r="A12" s="4"/>
      <c r="B12" s="58" t="s">
        <v>28</v>
      </c>
      <c r="C12" s="59" t="s">
        <v>79</v>
      </c>
      <c r="D12" s="60" t="s">
        <v>29</v>
      </c>
      <c r="E12" s="61" t="s">
        <v>69</v>
      </c>
      <c r="F12" s="61" t="s">
        <v>73</v>
      </c>
      <c r="G12" s="61" t="s">
        <v>56</v>
      </c>
      <c r="H12" s="60">
        <v>15</v>
      </c>
      <c r="I12" s="60" t="s">
        <v>61</v>
      </c>
      <c r="J12" s="62">
        <v>4850000</v>
      </c>
      <c r="K12" s="63">
        <f t="shared" ref="K12:K14" si="0">J12*H12</f>
        <v>72750000</v>
      </c>
      <c r="L12" s="64">
        <v>0.08</v>
      </c>
      <c r="M12" s="63">
        <f t="shared" ref="M12:M14" si="1">(K12*0.08)+K12</f>
        <v>78570000</v>
      </c>
      <c r="N12" s="46"/>
      <c r="O12" s="47"/>
      <c r="P12" s="48"/>
    </row>
    <row r="13" spans="1:16" s="8" customFormat="1" ht="28">
      <c r="A13" s="4"/>
      <c r="B13" s="58" t="s">
        <v>30</v>
      </c>
      <c r="C13" s="59" t="s">
        <v>78</v>
      </c>
      <c r="D13" s="60" t="s">
        <v>29</v>
      </c>
      <c r="E13" s="61" t="s">
        <v>80</v>
      </c>
      <c r="F13" s="61" t="s">
        <v>73</v>
      </c>
      <c r="G13" s="61" t="s">
        <v>56</v>
      </c>
      <c r="H13" s="60">
        <v>15</v>
      </c>
      <c r="I13" s="65" t="s">
        <v>61</v>
      </c>
      <c r="J13" s="62">
        <v>2500000</v>
      </c>
      <c r="K13" s="63">
        <f t="shared" si="0"/>
        <v>37500000</v>
      </c>
      <c r="L13" s="64">
        <v>0.08</v>
      </c>
      <c r="M13" s="63">
        <f t="shared" si="1"/>
        <v>40500000</v>
      </c>
      <c r="N13" s="46"/>
      <c r="O13" s="47"/>
      <c r="P13" s="48"/>
    </row>
    <row r="14" spans="1:16" s="8" customFormat="1" ht="56">
      <c r="A14" s="4"/>
      <c r="B14" s="58" t="s">
        <v>31</v>
      </c>
      <c r="C14" s="59" t="s">
        <v>70</v>
      </c>
      <c r="D14" s="60" t="s">
        <v>71</v>
      </c>
      <c r="E14" s="61" t="s">
        <v>81</v>
      </c>
      <c r="F14" s="61" t="s">
        <v>54</v>
      </c>
      <c r="G14" s="61" t="s">
        <v>53</v>
      </c>
      <c r="H14" s="60">
        <v>15</v>
      </c>
      <c r="I14" s="65" t="s">
        <v>42</v>
      </c>
      <c r="J14" s="62">
        <v>8000000</v>
      </c>
      <c r="K14" s="63">
        <f t="shared" si="0"/>
        <v>120000000</v>
      </c>
      <c r="L14" s="64">
        <v>0.08</v>
      </c>
      <c r="M14" s="63">
        <f t="shared" si="1"/>
        <v>129600000</v>
      </c>
      <c r="N14" s="46"/>
      <c r="O14" s="47"/>
      <c r="P14" s="48"/>
    </row>
    <row r="15" spans="1:16" s="8" customFormat="1">
      <c r="A15" s="4"/>
      <c r="B15" s="56" t="s">
        <v>57</v>
      </c>
      <c r="C15" s="66"/>
      <c r="D15" s="66"/>
      <c r="E15" s="66"/>
      <c r="F15" s="66"/>
      <c r="G15" s="66"/>
      <c r="H15" s="66"/>
      <c r="I15" s="66"/>
      <c r="J15" s="66"/>
      <c r="K15" s="67"/>
      <c r="L15" s="66"/>
      <c r="M15" s="67"/>
      <c r="N15" s="37"/>
      <c r="O15" s="9"/>
    </row>
    <row r="16" spans="1:16" s="8" customFormat="1" ht="252">
      <c r="A16" s="4"/>
      <c r="B16" s="58" t="s">
        <v>10</v>
      </c>
      <c r="C16" s="59" t="s">
        <v>58</v>
      </c>
      <c r="D16" s="60" t="s">
        <v>29</v>
      </c>
      <c r="E16" s="61" t="s">
        <v>59</v>
      </c>
      <c r="F16" s="61" t="s">
        <v>60</v>
      </c>
      <c r="G16" s="61" t="s">
        <v>56</v>
      </c>
      <c r="H16" s="60">
        <v>1</v>
      </c>
      <c r="I16" s="65" t="s">
        <v>61</v>
      </c>
      <c r="J16" s="62">
        <v>18800000</v>
      </c>
      <c r="K16" s="63">
        <f>J16*H16</f>
        <v>18800000</v>
      </c>
      <c r="L16" s="64">
        <v>0.08</v>
      </c>
      <c r="M16" s="63">
        <f>(K16*0.08)+K16</f>
        <v>20304000</v>
      </c>
      <c r="N16" s="37"/>
      <c r="O16" s="9"/>
    </row>
    <row r="17" spans="1:16" s="8" customFormat="1" ht="98">
      <c r="A17" s="4"/>
      <c r="B17" s="58" t="s">
        <v>28</v>
      </c>
      <c r="C17" s="59" t="s">
        <v>62</v>
      </c>
      <c r="D17" s="60" t="s">
        <v>29</v>
      </c>
      <c r="E17" s="61" t="s">
        <v>63</v>
      </c>
      <c r="F17" s="61" t="s">
        <v>60</v>
      </c>
      <c r="G17" s="61" t="s">
        <v>56</v>
      </c>
      <c r="H17" s="60">
        <v>3</v>
      </c>
      <c r="I17" s="65" t="s">
        <v>64</v>
      </c>
      <c r="J17" s="62">
        <v>6250000</v>
      </c>
      <c r="K17" s="63">
        <f t="shared" ref="K17:K22" si="2">J17*H17</f>
        <v>18750000</v>
      </c>
      <c r="L17" s="64">
        <v>0.08</v>
      </c>
      <c r="M17" s="63">
        <f t="shared" ref="M17:M22" si="3">(K17*0.08)+K17</f>
        <v>20250000</v>
      </c>
      <c r="N17" s="37"/>
      <c r="O17" s="9"/>
    </row>
    <row r="18" spans="1:16" s="8" customFormat="1" ht="28">
      <c r="A18" s="4"/>
      <c r="B18" s="58" t="s">
        <v>30</v>
      </c>
      <c r="C18" s="59" t="s">
        <v>65</v>
      </c>
      <c r="D18" s="60" t="s">
        <v>33</v>
      </c>
      <c r="E18" s="68" t="s">
        <v>67</v>
      </c>
      <c r="F18" s="68" t="s">
        <v>60</v>
      </c>
      <c r="G18" s="68" t="s">
        <v>60</v>
      </c>
      <c r="H18" s="60">
        <v>1</v>
      </c>
      <c r="I18" s="65" t="s">
        <v>66</v>
      </c>
      <c r="J18" s="62">
        <v>8000000</v>
      </c>
      <c r="K18" s="63">
        <f t="shared" si="2"/>
        <v>8000000</v>
      </c>
      <c r="L18" s="64">
        <v>0.08</v>
      </c>
      <c r="M18" s="63">
        <f t="shared" si="3"/>
        <v>8640000</v>
      </c>
      <c r="N18" s="37"/>
      <c r="O18" s="9"/>
    </row>
    <row r="19" spans="1:16" s="8" customFormat="1" ht="84">
      <c r="A19" s="4"/>
      <c r="B19" s="58" t="s">
        <v>31</v>
      </c>
      <c r="C19" s="59" t="s">
        <v>68</v>
      </c>
      <c r="D19" s="60" t="s">
        <v>29</v>
      </c>
      <c r="E19" s="61" t="s">
        <v>69</v>
      </c>
      <c r="F19" s="61" t="s">
        <v>73</v>
      </c>
      <c r="G19" s="61" t="s">
        <v>56</v>
      </c>
      <c r="H19" s="60">
        <v>1</v>
      </c>
      <c r="I19" s="65" t="s">
        <v>61</v>
      </c>
      <c r="J19" s="62">
        <v>4850000</v>
      </c>
      <c r="K19" s="63">
        <f t="shared" si="2"/>
        <v>4850000</v>
      </c>
      <c r="L19" s="64">
        <v>0.08</v>
      </c>
      <c r="M19" s="63">
        <f t="shared" si="3"/>
        <v>5238000</v>
      </c>
      <c r="N19" s="37"/>
      <c r="O19" s="9"/>
    </row>
    <row r="20" spans="1:16" s="8" customFormat="1">
      <c r="A20" s="4"/>
      <c r="B20" s="58" t="s">
        <v>32</v>
      </c>
      <c r="C20" s="59" t="s">
        <v>35</v>
      </c>
      <c r="D20" s="60" t="s">
        <v>29</v>
      </c>
      <c r="E20" s="61" t="s">
        <v>83</v>
      </c>
      <c r="F20" s="61" t="s">
        <v>82</v>
      </c>
      <c r="G20" s="61" t="s">
        <v>53</v>
      </c>
      <c r="H20" s="60">
        <v>1</v>
      </c>
      <c r="I20" s="65" t="s">
        <v>61</v>
      </c>
      <c r="J20" s="62">
        <v>4690000</v>
      </c>
      <c r="K20" s="63">
        <f t="shared" si="2"/>
        <v>4690000</v>
      </c>
      <c r="L20" s="64"/>
      <c r="M20" s="63">
        <f t="shared" si="3"/>
        <v>5065200</v>
      </c>
      <c r="N20" s="37"/>
      <c r="O20" s="9"/>
    </row>
    <row r="21" spans="1:16" s="8" customFormat="1" ht="126">
      <c r="A21" s="4"/>
      <c r="B21" s="58" t="s">
        <v>34</v>
      </c>
      <c r="C21" s="59" t="s">
        <v>85</v>
      </c>
      <c r="D21" s="60" t="s">
        <v>29</v>
      </c>
      <c r="E21" s="61" t="s">
        <v>86</v>
      </c>
      <c r="F21" s="61" t="s">
        <v>87</v>
      </c>
      <c r="G21" s="61" t="s">
        <v>56</v>
      </c>
      <c r="H21" s="60">
        <v>1</v>
      </c>
      <c r="I21" s="65" t="s">
        <v>61</v>
      </c>
      <c r="J21" s="62">
        <v>6282000</v>
      </c>
      <c r="K21" s="63">
        <f t="shared" si="2"/>
        <v>6282000</v>
      </c>
      <c r="L21" s="64">
        <v>0.08</v>
      </c>
      <c r="M21" s="63">
        <f t="shared" si="3"/>
        <v>6784560</v>
      </c>
      <c r="N21" s="37"/>
      <c r="O21" s="9"/>
    </row>
    <row r="22" spans="1:16" s="8" customFormat="1" ht="56">
      <c r="A22" s="4"/>
      <c r="B22" s="58" t="s">
        <v>84</v>
      </c>
      <c r="C22" s="59" t="s">
        <v>70</v>
      </c>
      <c r="D22" s="60" t="s">
        <v>71</v>
      </c>
      <c r="E22" s="61" t="s">
        <v>72</v>
      </c>
      <c r="F22" s="61" t="s">
        <v>54</v>
      </c>
      <c r="G22" s="61" t="s">
        <v>53</v>
      </c>
      <c r="H22" s="60">
        <v>1</v>
      </c>
      <c r="I22" s="65" t="s">
        <v>42</v>
      </c>
      <c r="J22" s="62">
        <v>8000000</v>
      </c>
      <c r="K22" s="63">
        <f t="shared" si="2"/>
        <v>8000000</v>
      </c>
      <c r="L22" s="64">
        <v>0.08</v>
      </c>
      <c r="M22" s="63">
        <f t="shared" si="3"/>
        <v>8640000</v>
      </c>
      <c r="N22" s="37"/>
      <c r="O22" s="9"/>
    </row>
    <row r="23" spans="1:16" s="11" customFormat="1">
      <c r="A23" s="4"/>
      <c r="B23" s="71" t="s">
        <v>3</v>
      </c>
      <c r="C23" s="71"/>
      <c r="D23" s="71"/>
      <c r="E23" s="71"/>
      <c r="F23" s="71"/>
      <c r="G23" s="71"/>
      <c r="H23" s="71"/>
      <c r="I23" s="71"/>
      <c r="J23" s="71"/>
      <c r="K23" s="69">
        <f>SUM(K11:K22)</f>
        <v>322122000</v>
      </c>
      <c r="L23" s="70"/>
      <c r="M23" s="69">
        <f>SUM(M11:M22)</f>
        <v>347891760</v>
      </c>
      <c r="N23" s="10"/>
      <c r="O23" s="38"/>
      <c r="P23" s="39"/>
    </row>
    <row r="24" spans="1:16">
      <c r="A24" s="4"/>
      <c r="B24" s="12" t="s">
        <v>38</v>
      </c>
      <c r="C24" s="6"/>
      <c r="D24" s="6"/>
      <c r="E24" s="30"/>
      <c r="F24" s="30"/>
      <c r="G24" s="30"/>
      <c r="H24" s="30"/>
      <c r="I24" s="30"/>
      <c r="J24" s="30"/>
      <c r="K24" s="30"/>
      <c r="L24" s="31"/>
      <c r="M24" s="30" t="s">
        <v>43</v>
      </c>
      <c r="O24" s="40"/>
    </row>
    <row r="25" spans="1:16">
      <c r="A25" s="4"/>
      <c r="B25" s="34" t="s">
        <v>36</v>
      </c>
      <c r="C25" s="4"/>
      <c r="D25" s="4"/>
      <c r="E25" s="4"/>
      <c r="F25" s="4"/>
      <c r="G25" s="4"/>
      <c r="H25" s="4"/>
      <c r="I25" s="4"/>
      <c r="J25" s="4"/>
      <c r="K25" s="4"/>
      <c r="L25" s="4"/>
      <c r="M25" s="4"/>
      <c r="O25" s="40"/>
    </row>
    <row r="26" spans="1:16">
      <c r="A26" s="4"/>
      <c r="B26" s="35" t="s">
        <v>46</v>
      </c>
      <c r="C26" s="4"/>
      <c r="D26" s="4"/>
      <c r="E26" s="4"/>
      <c r="F26" s="4"/>
      <c r="G26" s="4"/>
      <c r="H26" s="4"/>
      <c r="I26" s="4"/>
      <c r="J26" s="4"/>
      <c r="K26" s="4"/>
      <c r="L26" s="4"/>
      <c r="M26" s="4"/>
      <c r="O26" s="13"/>
    </row>
    <row r="27" spans="1:16" s="4" customFormat="1">
      <c r="B27" s="36" t="s">
        <v>47</v>
      </c>
    </row>
    <row r="28" spans="1:16" s="4" customFormat="1">
      <c r="B28" s="5" t="s">
        <v>39</v>
      </c>
      <c r="C28" s="1"/>
      <c r="D28" s="1"/>
      <c r="E28" s="14"/>
      <c r="F28" s="14"/>
      <c r="G28" s="14"/>
      <c r="H28" s="1"/>
      <c r="I28" s="1"/>
      <c r="J28" s="15"/>
      <c r="K28" s="1"/>
    </row>
    <row r="29" spans="1:16" s="4" customFormat="1">
      <c r="A29" s="1"/>
      <c r="B29" s="5"/>
      <c r="C29" s="55" t="s">
        <v>50</v>
      </c>
      <c r="D29" s="1"/>
      <c r="E29" s="14"/>
      <c r="F29" s="14"/>
      <c r="G29" s="14"/>
      <c r="H29" s="1"/>
      <c r="I29" s="1"/>
      <c r="J29" s="15"/>
      <c r="K29" s="1"/>
      <c r="L29" s="6"/>
      <c r="M29" s="1"/>
    </row>
    <row r="30" spans="1:16" s="4" customFormat="1">
      <c r="A30" s="1"/>
      <c r="B30" s="5" t="s">
        <v>40</v>
      </c>
      <c r="C30" s="5"/>
      <c r="D30" s="5"/>
      <c r="E30" s="5"/>
      <c r="F30" s="5"/>
      <c r="G30" s="5"/>
      <c r="H30" s="5"/>
      <c r="I30" s="5"/>
      <c r="J30" s="5"/>
      <c r="K30" s="5"/>
      <c r="L30" s="17"/>
      <c r="M30" s="1"/>
    </row>
    <row r="31" spans="1:16" s="4" customFormat="1">
      <c r="A31" s="1"/>
      <c r="B31" s="1"/>
      <c r="C31" s="1" t="s">
        <v>51</v>
      </c>
      <c r="D31" s="1"/>
      <c r="E31" s="5"/>
      <c r="F31" s="5"/>
      <c r="G31" s="5"/>
      <c r="H31" s="5"/>
      <c r="I31" s="5"/>
      <c r="J31" s="5"/>
      <c r="K31" s="5"/>
      <c r="L31" s="17"/>
      <c r="M31" s="1"/>
    </row>
    <row r="32" spans="1:16" s="4" customFormat="1">
      <c r="A32" s="1"/>
      <c r="B32" s="5" t="s">
        <v>41</v>
      </c>
      <c r="C32" s="5"/>
      <c r="D32" s="5"/>
      <c r="E32" s="5"/>
      <c r="F32" s="5"/>
      <c r="G32" s="5"/>
      <c r="H32" s="5"/>
      <c r="I32" s="5"/>
      <c r="J32" s="5"/>
      <c r="K32" s="5"/>
      <c r="L32" s="17"/>
      <c r="M32" s="5"/>
    </row>
    <row r="33" spans="1:13" s="4" customFormat="1">
      <c r="A33" s="1"/>
      <c r="B33" s="5"/>
      <c r="C33" s="29" t="s">
        <v>48</v>
      </c>
      <c r="D33" s="16"/>
      <c r="E33" s="5"/>
      <c r="F33" s="5"/>
      <c r="G33" s="5"/>
      <c r="H33" s="5"/>
      <c r="I33" s="5"/>
      <c r="J33" s="5"/>
      <c r="K33" s="5"/>
      <c r="L33" s="17"/>
      <c r="M33" s="5"/>
    </row>
    <row r="34" spans="1:13" s="4" customFormat="1">
      <c r="A34" s="1"/>
      <c r="B34" s="1"/>
      <c r="C34" s="1" t="s">
        <v>49</v>
      </c>
      <c r="D34" s="1"/>
      <c r="E34" s="1"/>
      <c r="F34" s="1"/>
      <c r="G34" s="1"/>
      <c r="H34" s="1"/>
      <c r="I34" s="1"/>
      <c r="J34" s="1"/>
      <c r="K34" s="1"/>
      <c r="L34" s="6"/>
      <c r="M34" s="1"/>
    </row>
    <row r="35" spans="1:13" s="4" customFormat="1">
      <c r="A35" s="1"/>
      <c r="B35" s="5" t="s">
        <v>44</v>
      </c>
      <c r="C35" s="18"/>
      <c r="D35" s="18"/>
      <c r="E35" s="19"/>
      <c r="F35" s="19"/>
      <c r="G35" s="19"/>
      <c r="H35" s="19"/>
      <c r="I35" s="19"/>
      <c r="J35" s="19"/>
      <c r="K35" s="19"/>
      <c r="L35" s="20"/>
      <c r="M35" s="19"/>
    </row>
    <row r="36" spans="1:13" s="4" customFormat="1">
      <c r="A36" s="1"/>
      <c r="B36" s="5" t="s">
        <v>45</v>
      </c>
      <c r="C36" s="18"/>
      <c r="D36" s="18"/>
      <c r="E36" s="19"/>
      <c r="F36" s="19"/>
      <c r="G36" s="19"/>
      <c r="H36" s="19"/>
      <c r="I36" s="19"/>
      <c r="J36" s="19"/>
      <c r="K36" s="19"/>
      <c r="L36" s="20"/>
      <c r="M36" s="19"/>
    </row>
    <row r="37" spans="1:13" s="4" customFormat="1">
      <c r="A37" s="1"/>
      <c r="B37" s="5" t="s">
        <v>37</v>
      </c>
      <c r="C37" s="1"/>
      <c r="D37" s="1"/>
      <c r="E37" s="14"/>
      <c r="F37" s="14"/>
      <c r="G37" s="14"/>
      <c r="H37" s="1"/>
      <c r="I37" s="1"/>
      <c r="J37" s="15"/>
      <c r="K37" s="1"/>
      <c r="L37" s="6"/>
      <c r="M37" s="1"/>
    </row>
    <row r="38" spans="1:13" s="4" customFormat="1">
      <c r="A38" s="1"/>
      <c r="B38" s="1"/>
      <c r="C38" s="23" t="s">
        <v>5</v>
      </c>
      <c r="D38" s="23"/>
      <c r="E38" s="1"/>
      <c r="F38" s="1"/>
      <c r="G38" s="1"/>
      <c r="H38" s="1"/>
      <c r="I38" s="1"/>
      <c r="J38" s="15"/>
      <c r="K38" s="1"/>
      <c r="L38" s="6"/>
      <c r="M38" s="1"/>
    </row>
    <row r="39" spans="1:13" s="21" customFormat="1">
      <c r="A39" s="19"/>
      <c r="B39" s="19"/>
      <c r="C39" s="23" t="s">
        <v>4</v>
      </c>
      <c r="D39" s="23"/>
      <c r="E39" s="19"/>
      <c r="F39" s="19"/>
      <c r="G39" s="19"/>
      <c r="H39" s="19"/>
      <c r="I39" s="19"/>
      <c r="J39" s="22"/>
      <c r="K39" s="19"/>
      <c r="L39" s="20"/>
      <c r="M39" s="19"/>
    </row>
    <row r="40" spans="1:13" s="21" customFormat="1">
      <c r="A40" s="19"/>
      <c r="B40" s="19"/>
      <c r="C40" s="23" t="s">
        <v>6</v>
      </c>
      <c r="D40" s="23"/>
      <c r="E40" s="19"/>
      <c r="F40" s="19"/>
      <c r="G40" s="19"/>
      <c r="H40" s="14"/>
      <c r="I40" s="14"/>
      <c r="J40" s="14"/>
      <c r="K40" s="14"/>
      <c r="L40" s="7"/>
      <c r="M40" s="19"/>
    </row>
    <row r="41" spans="1:13" s="4" customFormat="1">
      <c r="A41" s="1"/>
      <c r="B41" s="5"/>
      <c r="C41" s="5"/>
      <c r="D41" s="5"/>
      <c r="E41" s="5"/>
      <c r="F41" s="5"/>
      <c r="G41" s="5"/>
      <c r="H41" s="5"/>
      <c r="I41" s="5"/>
      <c r="J41" s="15"/>
      <c r="K41" s="17"/>
      <c r="L41" s="6"/>
      <c r="M41" s="5"/>
    </row>
    <row r="42" spans="1:13" s="4" customFormat="1">
      <c r="A42" s="1"/>
      <c r="B42" s="24" t="s">
        <v>2</v>
      </c>
      <c r="C42" s="5"/>
      <c r="D42" s="5"/>
      <c r="E42" s="5"/>
      <c r="F42" s="5"/>
      <c r="G42" s="5"/>
      <c r="H42" s="5"/>
      <c r="I42" s="5"/>
      <c r="J42" s="15"/>
      <c r="K42" s="1"/>
      <c r="L42" s="6"/>
      <c r="M42" s="5"/>
    </row>
    <row r="43" spans="1:13" s="4" customFormat="1">
      <c r="A43" s="1"/>
      <c r="B43" s="5" t="s">
        <v>8</v>
      </c>
      <c r="C43" s="1"/>
      <c r="D43" s="1"/>
      <c r="E43" s="5"/>
      <c r="F43" s="5"/>
      <c r="G43" s="5"/>
      <c r="H43" s="5"/>
      <c r="I43" s="5"/>
      <c r="J43" s="25"/>
      <c r="K43" s="25"/>
      <c r="L43" s="6"/>
      <c r="M43" s="5"/>
    </row>
    <row r="44" spans="1:13" s="4" customFormat="1">
      <c r="A44" s="1"/>
      <c r="B44" s="26" t="s">
        <v>9</v>
      </c>
      <c r="C44" s="1"/>
      <c r="D44" s="1"/>
      <c r="E44" s="5"/>
      <c r="F44" s="5"/>
      <c r="G44" s="5"/>
      <c r="H44" s="5"/>
      <c r="I44" s="5"/>
      <c r="J44" s="27"/>
      <c r="K44" s="25"/>
      <c r="L44" s="6"/>
      <c r="M44" s="5"/>
    </row>
    <row r="45" spans="1:13" s="4" customFormat="1">
      <c r="A45" s="1"/>
      <c r="B45" s="26"/>
      <c r="C45" s="1"/>
      <c r="D45" s="1"/>
      <c r="E45" s="5"/>
      <c r="F45" s="5"/>
      <c r="G45" s="5"/>
      <c r="H45" s="5"/>
      <c r="I45" s="5"/>
      <c r="J45" s="27"/>
      <c r="K45" s="25"/>
      <c r="L45" s="6"/>
      <c r="M45" s="5"/>
    </row>
    <row r="46" spans="1:13" s="4" customFormat="1">
      <c r="A46" s="1"/>
      <c r="B46" s="26"/>
      <c r="C46" s="1"/>
      <c r="D46" s="1"/>
      <c r="E46" s="5"/>
      <c r="F46" s="5"/>
      <c r="G46" s="5"/>
      <c r="H46" s="5"/>
      <c r="I46" s="5"/>
      <c r="J46" s="27"/>
      <c r="K46" s="25"/>
      <c r="L46" s="6"/>
      <c r="M46" s="5"/>
    </row>
  </sheetData>
  <mergeCells count="12">
    <mergeCell ref="A1:M1"/>
    <mergeCell ref="B2:M2"/>
    <mergeCell ref="B3:M3"/>
    <mergeCell ref="B4:J4"/>
    <mergeCell ref="K4:L4"/>
    <mergeCell ref="B23:J23"/>
    <mergeCell ref="K5:L5"/>
    <mergeCell ref="K6:L6"/>
    <mergeCell ref="K7:L7"/>
    <mergeCell ref="B5:J5"/>
    <mergeCell ref="B6:J6"/>
    <mergeCell ref="B7:J7"/>
  </mergeCells>
  <phoneticPr fontId="24" type="noConversion"/>
  <pageMargins left="0.7" right="0.7" top="0.75" bottom="0.75" header="0.3" footer="0.3"/>
  <pageSetup paperSize="9" scale="43" fitToHeight="0" orientation="portrait" r:id="rId1"/>
  <drawing r:id="rId2"/>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S1</vt:lpstr>
      <vt:lpstr>'S1'!Print_Area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Microsoft Office User</cp:lastModifiedBy>
  <cp:revision/>
  <cp:lastPrinted>2026-04-29T03:54:25Z</cp:lastPrinted>
  <dcterms:created xsi:type="dcterms:W3CDTF">2018-01-03T07:37:56Z</dcterms:created>
  <dcterms:modified xsi:type="dcterms:W3CDTF">2026-06-09T02:29:23Z</dcterms:modified>
  <cp:category/>
  <cp:contentStatus/>
</cp:coreProperties>
</file>