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OneDrive-hps\OneDrive - hps.edu.vn\01-Workspace\Alphanam\BoQ\_Newest\2020Mar06\Baogia\"/>
    </mc:Choice>
  </mc:AlternateContent>
  <bookViews>
    <workbookView xWindow="-105" yWindow="-105" windowWidth="23250" windowHeight="12570"/>
  </bookViews>
  <sheets>
    <sheet name="Networking BOQ" sheetId="1" r:id="rId1"/>
    <sheet name="Accessories" sheetId="2" r:id="rId2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107" i="1" l="1"/>
  <c r="H77" i="1" l="1"/>
  <c r="D50" i="1" l="1"/>
  <c r="H83" i="1" l="1"/>
  <c r="G32" i="1" l="1"/>
  <c r="H104" i="1" l="1"/>
  <c r="G101" i="1"/>
  <c r="H101" i="1" s="1"/>
  <c r="H98" i="1"/>
  <c r="H96" i="1"/>
  <c r="H71" i="1"/>
  <c r="G68" i="1"/>
  <c r="H68" i="1" s="1"/>
  <c r="H65" i="1"/>
  <c r="G62" i="1"/>
  <c r="H62" i="1" s="1"/>
  <c r="H59" i="1"/>
  <c r="H56" i="1"/>
  <c r="H53" i="1"/>
  <c r="F38" i="2" l="1"/>
  <c r="F37" i="2"/>
  <c r="F36" i="2"/>
  <c r="F35" i="2"/>
  <c r="F34" i="2"/>
  <c r="F33" i="2"/>
  <c r="F32" i="2"/>
  <c r="F31" i="2"/>
  <c r="F29" i="2" l="1"/>
  <c r="F26" i="2"/>
  <c r="F24" i="2"/>
  <c r="F22" i="2"/>
  <c r="F20" i="2"/>
  <c r="F18" i="2"/>
  <c r="F15" i="2"/>
  <c r="F13" i="2"/>
  <c r="F11" i="2"/>
  <c r="F9" i="2"/>
  <c r="F6" i="2"/>
  <c r="F4" i="2"/>
  <c r="F39" i="2" l="1"/>
  <c r="H93" i="1"/>
  <c r="H91" i="1"/>
  <c r="H89" i="1"/>
  <c r="H85" i="1"/>
  <c r="H82" i="1" l="1"/>
  <c r="H79" i="1"/>
  <c r="H39" i="1" l="1"/>
  <c r="H35" i="1"/>
  <c r="H45" i="1" l="1"/>
  <c r="H50" i="1"/>
  <c r="H37" i="1"/>
  <c r="H32" i="1"/>
  <c r="H41" i="1"/>
  <c r="H20" i="1"/>
  <c r="H18" i="1"/>
  <c r="H16" i="1"/>
  <c r="H22" i="1"/>
  <c r="H13" i="1"/>
  <c r="H26" i="1" l="1"/>
  <c r="H4" i="1"/>
</calcChain>
</file>

<file path=xl/sharedStrings.xml><?xml version="1.0" encoding="utf-8"?>
<sst xmlns="http://schemas.openxmlformats.org/spreadsheetml/2006/main" count="296" uniqueCount="172">
  <si>
    <t>STT</t>
  </si>
  <si>
    <t>Mô tả</t>
  </si>
  <si>
    <t>Số lượng</t>
  </si>
  <si>
    <t>Vị trí</t>
  </si>
  <si>
    <t>Mã hàng</t>
  </si>
  <si>
    <t>Đơn giá (VNĐ)</t>
  </si>
  <si>
    <t>Thành tiền (VNĐ)</t>
  </si>
  <si>
    <t>Ghi chú</t>
  </si>
  <si>
    <t>a</t>
  </si>
  <si>
    <t>b</t>
  </si>
  <si>
    <t>c</t>
  </si>
  <si>
    <t>Transceiver</t>
  </si>
  <si>
    <t>Aruba 10G SFP+ LC SR 300m OM3 MMF Transceiver</t>
  </si>
  <si>
    <t>J9150D</t>
  </si>
  <si>
    <t>d</t>
  </si>
  <si>
    <t>Core Switch</t>
  </si>
  <si>
    <t>J9822A</t>
  </si>
  <si>
    <t>Aruba 5412R zl2 Switch</t>
  </si>
  <si>
    <t>J9993A</t>
  </si>
  <si>
    <t>Aruba 8p 1G/10GbE SFP+ v3 zl2 Mod</t>
  </si>
  <si>
    <t>J9821A</t>
  </si>
  <si>
    <t>Aruba 5406R zl2 Switch</t>
  </si>
  <si>
    <t>J9828A</t>
  </si>
  <si>
    <t>Aruba 5400R 700W PoE+ zl2 PSU</t>
  </si>
  <si>
    <t>J9852A</t>
  </si>
  <si>
    <t>HPE X450 4U/7U Univ 4-post Rackmount Kit</t>
  </si>
  <si>
    <t>J9990A</t>
  </si>
  <si>
    <t>Aruba 20p PoE+ / 4p SFP+ v3 zl2 Mod</t>
  </si>
  <si>
    <t>J9996A</t>
  </si>
  <si>
    <t>Aruba 2p 40GbE QSFP+ v3 zl2 Mod</t>
  </si>
  <si>
    <t>J9285D</t>
  </si>
  <si>
    <t>Aruba 10G SFP+ to SFP+ 7m DAC Cable</t>
  </si>
  <si>
    <t>JH235A</t>
  </si>
  <si>
    <t>HPE X242 40G QSFP+ to QSFP+ 3m DAC Cable</t>
  </si>
  <si>
    <t>GPNS Switch Infrastructure</t>
  </si>
  <si>
    <t>Core switch</t>
  </si>
  <si>
    <t>Stack Cable</t>
  </si>
  <si>
    <t>Access Switch</t>
  </si>
  <si>
    <t>Access Switch 24 port</t>
  </si>
  <si>
    <t>JL255A</t>
  </si>
  <si>
    <t>Aruba 2930F 24G PoE+ 4SFP+ Switch</t>
  </si>
  <si>
    <t>Access Switch 48 port</t>
  </si>
  <si>
    <t>J9283D</t>
  </si>
  <si>
    <t>Aruba 10G SFP+ to SFP+ 3m DAC Cable</t>
  </si>
  <si>
    <t>Aruba 10G SFP+ to SFP+ 3m DAC</t>
  </si>
  <si>
    <t>HPE X242 40G QSFP+ to QSFP+ 3m DAC</t>
  </si>
  <si>
    <t>Engineer Switch Infrastructure</t>
  </si>
  <si>
    <t>Wireless Infrastructure</t>
  </si>
  <si>
    <t>Wireless Controller</t>
  </si>
  <si>
    <t>JW657A</t>
  </si>
  <si>
    <t>Aruba PSU-350-AC 7200 Series S3500-24T S3500-48T and S3500-24F 350W AC Power Supply</t>
  </si>
  <si>
    <t>JW124A</t>
  </si>
  <si>
    <t>PC-AC-NA North America AC Power Cord</t>
  </si>
  <si>
    <t>License for Aps</t>
  </si>
  <si>
    <t>JW472AAE</t>
  </si>
  <si>
    <t>Aruba LIC-AP Controller per AP Capacity License E-LTU</t>
  </si>
  <si>
    <t>Access Point</t>
  </si>
  <si>
    <t>Guest Room Wireless</t>
  </si>
  <si>
    <t>JY678A</t>
  </si>
  <si>
    <t>Aruba AP-303H (RW) Unified AP</t>
  </si>
  <si>
    <t>Guest Corridor Wireless</t>
  </si>
  <si>
    <t>Public Area Wireless</t>
  </si>
  <si>
    <t>JX936A</t>
  </si>
  <si>
    <t>Aruba AP-305 802.11n/ac 2x2:2/3x3:3 MU-MIMO Dual Radio Integrated Antenna AP</t>
  </si>
  <si>
    <t>JW047A</t>
  </si>
  <si>
    <t>AP-220-MNT-W1W Flat Surface Wall/Ceiling White AP Basic Flat Surface Mount Kit</t>
  </si>
  <si>
    <t>BOH Wireless</t>
  </si>
  <si>
    <t>e</t>
  </si>
  <si>
    <t>Conference Area Wireless</t>
  </si>
  <si>
    <t>f</t>
  </si>
  <si>
    <t>g</t>
  </si>
  <si>
    <t>Outdoor</t>
  </si>
  <si>
    <t>JW052A</t>
  </si>
  <si>
    <t>AP-270-MNT-V1 AP-270 Series Outdoor Pole/Wall Long Mount Kit</t>
  </si>
  <si>
    <t>Heat Map Test (AirMagnet Survey wireless)</t>
  </si>
  <si>
    <t>Heat Map Test Service</t>
  </si>
  <si>
    <t>Test &amp; Commissioning</t>
  </si>
  <si>
    <t>Test &amp; Commissioning &amp; Warranty Service</t>
  </si>
  <si>
    <t>Warranty Service</t>
  </si>
  <si>
    <t>Spare List</t>
  </si>
  <si>
    <t>Elevator Wireless</t>
  </si>
  <si>
    <t>Part No.</t>
  </si>
  <si>
    <t>Rack</t>
  </si>
  <si>
    <t>RACK 42U 800x1000</t>
  </si>
  <si>
    <t>Vietrack</t>
  </si>
  <si>
    <t>VRV42-8100 : Tủ chứa máy chủ dòng V, 42U, 800mm x 1000mm, màu đen</t>
  </si>
  <si>
    <t>VRV42-8100</t>
  </si>
  <si>
    <t>RACK 42U 600x800</t>
  </si>
  <si>
    <t>VRV42-680 : Tủ chứa máy chủ dòng V, 42U, 600mm x 800mm, màu đen</t>
  </si>
  <si>
    <t>VRV42-680</t>
  </si>
  <si>
    <t>Path Panel</t>
  </si>
  <si>
    <t>Patch Panel 24</t>
  </si>
  <si>
    <t>Belden</t>
  </si>
  <si>
    <t>Belden KeyConnect Shielded Patch Panel, 24 port, 1U</t>
  </si>
  <si>
    <t>AX106504-AP</t>
  </si>
  <si>
    <t>Patch Panel 48</t>
  </si>
  <si>
    <t>Belden KeyConnect Shielded Patch Panel, 48 port, 2U</t>
  </si>
  <si>
    <t>AX106505-AP</t>
  </si>
  <si>
    <t>Cab Mgmt</t>
  </si>
  <si>
    <t>Amtec</t>
  </si>
  <si>
    <t>Horizontal Cable Management 1U, Finger Duct</t>
  </si>
  <si>
    <t>AMHM-1F</t>
  </si>
  <si>
    <t>Patch Cord</t>
  </si>
  <si>
    <t>Belden CAT6 Patch Cord, Nonbonded-pair ,4-pair , 24AWG Stranded, Unshielded, PVC, 3M</t>
  </si>
  <si>
    <t>C6P9106003M</t>
  </si>
  <si>
    <t>Fiber Accessory</t>
  </si>
  <si>
    <t>ODF 12</t>
  </si>
  <si>
    <t>Belden FX (1U) Rack-mount Patch Panel, Including 1 x 24F splice trays</t>
  </si>
  <si>
    <t>AP100041</t>
  </si>
  <si>
    <t>ODF 24</t>
  </si>
  <si>
    <t>Belden FX (2U) Rack-mount Patch Panel, Including 2 x 24F splice trays</t>
  </si>
  <si>
    <t>AP100068</t>
  </si>
  <si>
    <t>Adapters Strip, 6 Port SC Duplex (12F) MM</t>
  </si>
  <si>
    <t>Belden Multi Mode Adapters Strip, 6 Port SC Duplex (12F)</t>
  </si>
  <si>
    <t>AP100098</t>
  </si>
  <si>
    <t>Fiber Patch Cord LC/SC OM3</t>
  </si>
  <si>
    <t>Belden Fiber Patch Cord LC/SC Duplex 2.0mm, Riser, OM3, 2M</t>
  </si>
  <si>
    <t>PF3LDSD002MR2XA</t>
  </si>
  <si>
    <t>Pigtail SC OM3 Simplex</t>
  </si>
  <si>
    <t>Belden FX Field-Termination Pigtails, OM3, SC Simplex, Tight Buffer 900um, open-Ended, 2M.</t>
  </si>
  <si>
    <t>TF3SC900PS01</t>
  </si>
  <si>
    <t>PDU</t>
  </si>
  <si>
    <t>PDU 24</t>
  </si>
  <si>
    <t>TOTAL (NETWORKING)</t>
  </si>
  <si>
    <t>TOTAL (ACCESSORIES)</t>
  </si>
  <si>
    <t>Thành tiền</t>
  </si>
  <si>
    <t>Hãng sản xuất</t>
  </si>
  <si>
    <t>Đơn giá</t>
  </si>
  <si>
    <t>Thi công</t>
  </si>
  <si>
    <t>Vật tư phụ thi công cáp quang (băng keo, dây rút, dây velcro, vòng số, …..)</t>
  </si>
  <si>
    <t>Phí hàn cáp quang + Test report </t>
  </si>
  <si>
    <t>Phí thi công lắp ODF, đấu cáp nhảy quang, label</t>
  </si>
  <si>
    <t>Label cáp patch core bằng máy in nhiệt Brother</t>
  </si>
  <si>
    <t>Vật tư phụ thi công đấu tủ (băng keo, dây rút, dây velcro, vòng số, ốc lắp TB……..)</t>
  </si>
  <si>
    <t>Thi công Test cáp từ Patch panel đến outlet, xác định lại số, dán Label cáp cho patch panel, (test thông cáp)</t>
  </si>
  <si>
    <t>JX966A</t>
  </si>
  <si>
    <t>Aruba AP-365 (RW) Outdoor AP</t>
  </si>
  <si>
    <t>JW701A</t>
  </si>
  <si>
    <t>PD-9001GO-INTL 30W 802.3at PoE+ 10/100/1000 Outdoor Surge Prot Intl Power Cord Injector</t>
  </si>
  <si>
    <t>JW118A</t>
  </si>
  <si>
    <t>PC-AC-EC Continental European/Schuko AC Power Cord</t>
  </si>
  <si>
    <t>JZ320A</t>
  </si>
  <si>
    <t>Aruba AP-303 (RW) Unified AP</t>
  </si>
  <si>
    <t>AP-220-MNT-W1W Mount Basic White Kit</t>
  </si>
  <si>
    <t>Aruba LIC-AP Controller per AP</t>
  </si>
  <si>
    <t>Aruba 10G SFP+</t>
  </si>
  <si>
    <t>Aruba 2930F</t>
  </si>
  <si>
    <t>Aruba 303H</t>
  </si>
  <si>
    <t>Aruba 303</t>
  </si>
  <si>
    <t>Aruba 305</t>
  </si>
  <si>
    <t>Aruba 365</t>
  </si>
  <si>
    <t>Aruba 5406R</t>
  </si>
  <si>
    <t>Aruba 5412R</t>
  </si>
  <si>
    <t>Thanh phân phối nguồn điện, 24 ổ cắm Universal, 32A, 250V, MCB</t>
  </si>
  <si>
    <t>VRP124-MCB32</t>
  </si>
  <si>
    <t>VietRack</t>
  </si>
  <si>
    <t>Thi công sỏ vòng số, đấu nối cáp vào patch panel(Cáp đã được 
đưa đến chân tủ)</t>
  </si>
  <si>
    <t>JW783A</t>
  </si>
  <si>
    <t>Aruba 7240XM (RW) 4p 10GBase-X (SFP+) 2p Dual Pers (10/100/1000BASE-T or SFP) Controller</t>
  </si>
  <si>
    <t>JZ031A</t>
  </si>
  <si>
    <t>Aruba AP-345 (RW) Unified AP</t>
  </si>
  <si>
    <t>Aruba 345</t>
  </si>
  <si>
    <t>JW072A</t>
  </si>
  <si>
    <t>AP-CBL-ETH10 10-pk Short Ethernet Cable</t>
  </si>
  <si>
    <t xml:space="preserve">Physical Installation </t>
  </si>
  <si>
    <t>J9987A</t>
  </si>
  <si>
    <t>Aruba 24p 1000BASE-T v3 zl2 Mod</t>
  </si>
  <si>
    <t>Aruba 7240XM</t>
  </si>
  <si>
    <t>JL558A</t>
  </si>
  <si>
    <t>Aruba 2930F 48G PoE+ 740W 4SFP+</t>
  </si>
  <si>
    <t>VC-232G</t>
  </si>
  <si>
    <t>1-Port 10/100/1000T Ethernet over Coaxial Converter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</si>
</sst>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(* #,##0_);_(* \(#,##0\);_(* &quot;-&quot;??_);_(@_)"/>
    <numFmt numFmtId="165" formatCode="_-* #,##0\ _₫_-;\-* #,##0\ _₫_-;_-* &quot;-&quot;??\ _₫_-;_-@_-"/>
  </numFmts>
  <fonts count="10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Calibri"/>
      <family val="2"/>
      <scheme val="minor"/>
    </font>
    <font>
      <sz val="11"/>
      <color rgb="FF000000"/>
      <name val="Arial"/>
      <family val="2"/>
      <charset val="1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00000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/>
  </cellStyleXfs>
  <cellXfs count="118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left" vertical="center"/>
    </xf>
    <xf numFmtId="0" fontId="2" fillId="3" borderId="5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left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vertical="center"/>
    </xf>
    <xf numFmtId="0" fontId="2" fillId="0" borderId="5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left" vertical="center" wrapText="1"/>
    </xf>
    <xf numFmtId="165" fontId="2" fillId="0" borderId="6" xfId="0" quotePrefix="1" applyNumberFormat="1" applyFont="1" applyFill="1" applyBorder="1" applyAlignment="1">
      <alignment horizontal="left" vertical="center" wrapText="1"/>
    </xf>
    <xf numFmtId="0" fontId="1" fillId="5" borderId="5" xfId="0" applyFont="1" applyFill="1" applyBorder="1" applyAlignment="1">
      <alignment horizontal="left" vertical="center" wrapText="1"/>
    </xf>
    <xf numFmtId="0" fontId="1" fillId="5" borderId="5" xfId="0" applyFont="1" applyFill="1" applyBorder="1" applyAlignment="1">
      <alignment horizontal="center" vertical="center" wrapText="1"/>
    </xf>
    <xf numFmtId="165" fontId="1" fillId="4" borderId="6" xfId="0" quotePrefix="1" applyNumberFormat="1" applyFont="1" applyFill="1" applyBorder="1" applyAlignment="1">
      <alignment horizontal="left" vertical="center" wrapText="1"/>
    </xf>
    <xf numFmtId="0" fontId="2" fillId="6" borderId="5" xfId="0" applyFont="1" applyFill="1" applyBorder="1" applyAlignment="1">
      <alignment horizontal="left" vertical="center" wrapText="1"/>
    </xf>
    <xf numFmtId="0" fontId="2" fillId="6" borderId="5" xfId="0" applyFont="1" applyFill="1" applyBorder="1" applyAlignment="1">
      <alignment horizontal="center" vertical="center" wrapText="1"/>
    </xf>
    <xf numFmtId="165" fontId="2" fillId="6" borderId="6" xfId="0" quotePrefix="1" applyNumberFormat="1" applyFont="1" applyFill="1" applyBorder="1" applyAlignment="1">
      <alignment horizontal="left" vertical="center" wrapText="1"/>
    </xf>
    <xf numFmtId="0" fontId="3" fillId="7" borderId="8" xfId="0" applyFont="1" applyFill="1" applyBorder="1" applyAlignment="1">
      <alignment horizontal="left" vertical="center"/>
    </xf>
    <xf numFmtId="0" fontId="3" fillId="7" borderId="8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center" vertical="center" wrapText="1"/>
    </xf>
    <xf numFmtId="165" fontId="2" fillId="3" borderId="5" xfId="0" applyNumberFormat="1" applyFont="1" applyFill="1" applyBorder="1" applyAlignment="1">
      <alignment horizontal="right" vertical="center" wrapText="1"/>
    </xf>
    <xf numFmtId="165" fontId="2" fillId="3" borderId="6" xfId="0" applyNumberFormat="1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165" fontId="1" fillId="5" borderId="5" xfId="0" applyNumberFormat="1" applyFont="1" applyFill="1" applyBorder="1" applyAlignment="1">
      <alignment horizontal="right" vertical="center" wrapText="1"/>
    </xf>
    <xf numFmtId="165" fontId="1" fillId="5" borderId="6" xfId="0" applyNumberFormat="1" applyFont="1" applyFill="1" applyBorder="1" applyAlignment="1">
      <alignment horizontal="center" vertical="center" wrapText="1"/>
    </xf>
    <xf numFmtId="0" fontId="1" fillId="0" borderId="0" xfId="0" applyFont="1" applyFill="1" applyAlignment="1">
      <alignment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vertical="center" wrapText="1"/>
    </xf>
    <xf numFmtId="164" fontId="1" fillId="4" borderId="5" xfId="0" applyNumberFormat="1" applyFont="1" applyFill="1" applyBorder="1" applyAlignment="1">
      <alignment horizontal="right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2" fillId="6" borderId="5" xfId="0" applyFont="1" applyFill="1" applyBorder="1" applyAlignment="1">
      <alignment vertical="center" wrapText="1"/>
    </xf>
    <xf numFmtId="164" fontId="2" fillId="6" borderId="5" xfId="0" applyNumberFormat="1" applyFont="1" applyFill="1" applyBorder="1" applyAlignment="1">
      <alignment horizontal="right" vertical="center" wrapText="1"/>
    </xf>
    <xf numFmtId="0" fontId="2" fillId="6" borderId="0" xfId="0" applyFont="1" applyFill="1" applyAlignment="1">
      <alignment vertical="center" wrapText="1"/>
    </xf>
    <xf numFmtId="165" fontId="1" fillId="4" borderId="6" xfId="0" applyNumberFormat="1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vertical="center" wrapText="1"/>
    </xf>
    <xf numFmtId="0" fontId="2" fillId="0" borderId="5" xfId="0" applyFont="1" applyFill="1" applyBorder="1" applyAlignment="1">
      <alignment vertical="center" wrapText="1"/>
    </xf>
    <xf numFmtId="165" fontId="2" fillId="0" borderId="5" xfId="0" applyNumberFormat="1" applyFont="1" applyFill="1" applyBorder="1" applyAlignment="1">
      <alignment horizontal="right" vertical="center" wrapText="1"/>
    </xf>
    <xf numFmtId="165" fontId="2" fillId="0" borderId="6" xfId="0" applyNumberFormat="1" applyFont="1" applyFill="1" applyBorder="1" applyAlignment="1">
      <alignment horizontal="center" vertical="center" wrapText="1"/>
    </xf>
    <xf numFmtId="0" fontId="3" fillId="7" borderId="7" xfId="0" applyFont="1" applyFill="1" applyBorder="1" applyAlignment="1">
      <alignment vertical="center" wrapText="1"/>
    </xf>
    <xf numFmtId="0" fontId="3" fillId="7" borderId="8" xfId="0" applyFont="1" applyFill="1" applyBorder="1" applyAlignment="1">
      <alignment horizontal="left" vertical="center" wrapText="1"/>
    </xf>
    <xf numFmtId="0" fontId="3" fillId="7" borderId="8" xfId="0" applyFont="1" applyFill="1" applyBorder="1" applyAlignment="1">
      <alignment vertical="center" wrapText="1"/>
    </xf>
    <xf numFmtId="165" fontId="3" fillId="7" borderId="8" xfId="0" applyNumberFormat="1" applyFont="1" applyFill="1" applyBorder="1" applyAlignment="1">
      <alignment horizontal="right" vertical="center" wrapText="1"/>
    </xf>
    <xf numFmtId="0" fontId="3" fillId="7" borderId="9" xfId="0" applyFont="1" applyFill="1" applyBorder="1" applyAlignment="1">
      <alignment vertical="center" wrapText="1"/>
    </xf>
    <xf numFmtId="0" fontId="3" fillId="0" borderId="0" xfId="0" applyFont="1" applyFill="1" applyAlignment="1">
      <alignment vertical="center" wrapText="1"/>
    </xf>
    <xf numFmtId="0" fontId="2" fillId="0" borderId="0" xfId="0" applyFont="1" applyFill="1" applyAlignment="1">
      <alignment horizontal="left" vertical="center" wrapText="1"/>
    </xf>
    <xf numFmtId="0" fontId="2" fillId="0" borderId="0" xfId="0" applyFont="1" applyFill="1" applyAlignment="1">
      <alignment horizontal="right" vertical="center" wrapText="1"/>
    </xf>
    <xf numFmtId="0" fontId="5" fillId="8" borderId="10" xfId="1" applyFont="1" applyFill="1" applyBorder="1" applyAlignment="1">
      <alignment horizontal="center" vertical="center"/>
    </xf>
    <xf numFmtId="0" fontId="6" fillId="0" borderId="10" xfId="1" applyFont="1" applyBorder="1" applyAlignment="1">
      <alignment horizontal="center" vertical="center"/>
    </xf>
    <xf numFmtId="0" fontId="6" fillId="2" borderId="10" xfId="1" applyFont="1" applyFill="1" applyBorder="1" applyAlignment="1">
      <alignment horizontal="center" vertical="center"/>
    </xf>
    <xf numFmtId="0" fontId="6" fillId="0" borderId="10" xfId="1" applyFont="1" applyFill="1" applyBorder="1" applyAlignment="1">
      <alignment horizontal="center" vertical="center"/>
    </xf>
    <xf numFmtId="0" fontId="5" fillId="8" borderId="10" xfId="1" applyFont="1" applyFill="1" applyBorder="1" applyAlignment="1">
      <alignment horizontal="center" vertical="center" wrapText="1"/>
    </xf>
    <xf numFmtId="0" fontId="6" fillId="0" borderId="0" xfId="1" applyFont="1" applyAlignment="1">
      <alignment vertical="center"/>
    </xf>
    <xf numFmtId="0" fontId="5" fillId="2" borderId="10" xfId="1" applyFont="1" applyFill="1" applyBorder="1" applyAlignment="1">
      <alignment vertical="center"/>
    </xf>
    <xf numFmtId="0" fontId="6" fillId="0" borderId="10" xfId="1" applyFont="1" applyBorder="1" applyAlignment="1">
      <alignment vertical="center"/>
    </xf>
    <xf numFmtId="3" fontId="6" fillId="0" borderId="10" xfId="1" applyNumberFormat="1" applyFont="1" applyBorder="1" applyAlignment="1">
      <alignment vertical="center"/>
    </xf>
    <xf numFmtId="0" fontId="6" fillId="0" borderId="10" xfId="1" applyFont="1" applyBorder="1" applyAlignment="1">
      <alignment vertical="center" wrapText="1"/>
    </xf>
    <xf numFmtId="0" fontId="6" fillId="0" borderId="10" xfId="1" applyFont="1" applyBorder="1" applyAlignment="1">
      <alignment horizontal="center" vertical="center" wrapText="1"/>
    </xf>
    <xf numFmtId="0" fontId="6" fillId="0" borderId="0" xfId="1" applyFont="1" applyAlignment="1">
      <alignment horizontal="center" vertical="center"/>
    </xf>
    <xf numFmtId="0" fontId="6" fillId="2" borderId="10" xfId="1" applyFont="1" applyFill="1" applyBorder="1" applyAlignment="1">
      <alignment vertical="center"/>
    </xf>
    <xf numFmtId="0" fontId="5" fillId="0" borderId="0" xfId="1" applyFont="1" applyAlignment="1">
      <alignment vertical="center"/>
    </xf>
    <xf numFmtId="0" fontId="5" fillId="0" borderId="0" xfId="1" applyFont="1" applyAlignment="1">
      <alignment horizontal="center" vertical="center"/>
    </xf>
    <xf numFmtId="0" fontId="7" fillId="0" borderId="0" xfId="1" applyFont="1" applyAlignment="1">
      <alignment vertical="center"/>
    </xf>
    <xf numFmtId="3" fontId="5" fillId="0" borderId="0" xfId="1" applyNumberFormat="1" applyFont="1" applyAlignment="1">
      <alignment vertical="center"/>
    </xf>
    <xf numFmtId="0" fontId="5" fillId="2" borderId="10" xfId="1" applyFont="1" applyFill="1" applyBorder="1" applyAlignment="1">
      <alignment horizontal="center" vertical="center"/>
    </xf>
    <xf numFmtId="0" fontId="5" fillId="0" borderId="10" xfId="1" applyFont="1" applyBorder="1" applyAlignment="1">
      <alignment horizontal="center" vertical="center"/>
    </xf>
    <xf numFmtId="0" fontId="5" fillId="0" borderId="10" xfId="1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left" vertical="center"/>
    </xf>
    <xf numFmtId="0" fontId="1" fillId="4" borderId="5" xfId="0" applyFont="1" applyFill="1" applyBorder="1" applyAlignment="1">
      <alignment horizontal="left" vertical="center"/>
    </xf>
    <xf numFmtId="0" fontId="2" fillId="6" borderId="5" xfId="0" applyFont="1" applyFill="1" applyBorder="1" applyAlignment="1">
      <alignment horizontal="left" vertical="center"/>
    </xf>
    <xf numFmtId="0" fontId="2" fillId="0" borderId="5" xfId="0" applyFont="1" applyFill="1" applyBorder="1" applyAlignment="1">
      <alignment horizontal="left" vertical="center"/>
    </xf>
    <xf numFmtId="0" fontId="8" fillId="7" borderId="10" xfId="1" applyFont="1" applyFill="1" applyBorder="1" applyAlignment="1">
      <alignment horizontal="center" vertical="center"/>
    </xf>
    <xf numFmtId="0" fontId="8" fillId="7" borderId="10" xfId="1" applyFont="1" applyFill="1" applyBorder="1" applyAlignment="1">
      <alignment vertical="center"/>
    </xf>
    <xf numFmtId="0" fontId="9" fillId="7" borderId="10" xfId="1" applyFont="1" applyFill="1" applyBorder="1" applyAlignment="1">
      <alignment vertical="center"/>
    </xf>
    <xf numFmtId="3" fontId="8" fillId="7" borderId="10" xfId="1" applyNumberFormat="1" applyFont="1" applyFill="1" applyBorder="1" applyAlignment="1">
      <alignment vertical="center"/>
    </xf>
    <xf numFmtId="0" fontId="8" fillId="0" borderId="0" xfId="1" applyFont="1" applyAlignment="1">
      <alignment vertical="center"/>
    </xf>
    <xf numFmtId="3" fontId="6" fillId="0" borderId="0" xfId="1" applyNumberFormat="1" applyFont="1" applyAlignment="1">
      <alignment vertical="center"/>
    </xf>
    <xf numFmtId="164" fontId="1" fillId="0" borderId="0" xfId="0" applyNumberFormat="1" applyFont="1" applyFill="1" applyAlignment="1">
      <alignment vertical="center" wrapText="1"/>
    </xf>
    <xf numFmtId="0" fontId="1" fillId="4" borderId="5" xfId="0" applyFont="1" applyFill="1" applyBorder="1" applyAlignment="1">
      <alignment horizontal="left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vertical="center"/>
    </xf>
    <xf numFmtId="0" fontId="2" fillId="0" borderId="5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left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vertical="center" wrapText="1"/>
    </xf>
    <xf numFmtId="0" fontId="1" fillId="5" borderId="4" xfId="0" applyFont="1" applyFill="1" applyBorder="1" applyAlignment="1">
      <alignment horizontal="center" vertical="center" wrapText="1"/>
    </xf>
    <xf numFmtId="165" fontId="1" fillId="5" borderId="5" xfId="0" applyNumberFormat="1" applyFont="1" applyFill="1" applyBorder="1" applyAlignment="1">
      <alignment horizontal="right" vertical="center" wrapText="1"/>
    </xf>
    <xf numFmtId="165" fontId="1" fillId="5" borderId="6" xfId="0" applyNumberFormat="1" applyFont="1" applyFill="1" applyBorder="1" applyAlignment="1">
      <alignment horizontal="center" vertical="center" wrapText="1"/>
    </xf>
    <xf numFmtId="0" fontId="1" fillId="0" borderId="0" xfId="0" applyFont="1" applyFill="1" applyAlignment="1">
      <alignment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vertical="center" wrapText="1"/>
    </xf>
    <xf numFmtId="164" fontId="1" fillId="4" borderId="5" xfId="0" applyNumberFormat="1" applyFont="1" applyFill="1" applyBorder="1" applyAlignment="1">
      <alignment horizontal="right" vertical="center" wrapText="1"/>
    </xf>
    <xf numFmtId="164" fontId="2" fillId="6" borderId="5" xfId="0" applyNumberFormat="1" applyFont="1" applyFill="1" applyBorder="1" applyAlignment="1">
      <alignment horizontal="right" vertical="center" wrapText="1"/>
    </xf>
    <xf numFmtId="165" fontId="1" fillId="4" borderId="6" xfId="0" applyNumberFormat="1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vertical="center" wrapText="1"/>
    </xf>
    <xf numFmtId="0" fontId="2" fillId="0" borderId="5" xfId="0" applyFont="1" applyFill="1" applyBorder="1" applyAlignment="1">
      <alignment vertical="center" wrapText="1"/>
    </xf>
    <xf numFmtId="165" fontId="2" fillId="0" borderId="5" xfId="0" applyNumberFormat="1" applyFont="1" applyFill="1" applyBorder="1" applyAlignment="1">
      <alignment horizontal="right" vertical="center" wrapText="1"/>
    </xf>
    <xf numFmtId="165" fontId="2" fillId="0" borderId="6" xfId="0" applyNumberFormat="1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left" vertical="center"/>
    </xf>
    <xf numFmtId="0" fontId="1" fillId="4" borderId="5" xfId="0" applyFont="1" applyFill="1" applyBorder="1" applyAlignment="1">
      <alignment horizontal="left" vertical="center"/>
    </xf>
    <xf numFmtId="43" fontId="1" fillId="0" borderId="0" xfId="0" applyNumberFormat="1" applyFont="1" applyFill="1" applyAlignment="1">
      <alignment vertical="center" wrapText="1"/>
    </xf>
    <xf numFmtId="0" fontId="1" fillId="9" borderId="4" xfId="0" applyFont="1" applyFill="1" applyBorder="1" applyAlignment="1">
      <alignment horizontal="center" vertical="center" wrapText="1"/>
    </xf>
    <xf numFmtId="0" fontId="1" fillId="9" borderId="5" xfId="0" applyFont="1" applyFill="1" applyBorder="1" applyAlignment="1">
      <alignment horizontal="left" vertical="center"/>
    </xf>
    <xf numFmtId="0" fontId="1" fillId="9" borderId="5" xfId="0" applyFont="1" applyFill="1" applyBorder="1" applyAlignment="1">
      <alignment horizontal="left" vertical="center" wrapText="1"/>
    </xf>
    <xf numFmtId="0" fontId="1" fillId="9" borderId="5" xfId="0" applyFont="1" applyFill="1" applyBorder="1" applyAlignment="1">
      <alignment horizontal="center" vertical="center" wrapText="1"/>
    </xf>
    <xf numFmtId="0" fontId="1" fillId="9" borderId="5" xfId="0" applyFont="1" applyFill="1" applyBorder="1" applyAlignment="1">
      <alignment vertical="center" wrapText="1"/>
    </xf>
    <xf numFmtId="164" fontId="1" fillId="9" borderId="5" xfId="0" applyNumberFormat="1" applyFont="1" applyFill="1" applyBorder="1" applyAlignment="1">
      <alignment horizontal="right" vertical="center" wrapText="1"/>
    </xf>
    <xf numFmtId="165" fontId="1" fillId="9" borderId="6" xfId="0" quotePrefix="1" applyNumberFormat="1" applyFont="1" applyFill="1" applyBorder="1" applyAlignment="1">
      <alignment horizontal="left" vertical="center" wrapText="1"/>
    </xf>
    <xf numFmtId="165" fontId="2" fillId="0" borderId="0" xfId="0" applyNumberFormat="1" applyFont="1" applyFill="1" applyAlignment="1">
      <alignment horizontal="right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9"/>
  <sheetViews>
    <sheetView tabSelected="1" topLeftCell="A13" zoomScale="99" zoomScaleNormal="99" workbookViewId="0">
      <selection activeCell="P102" sqref="P102"/>
    </sheetView>
  </sheetViews>
  <sheetFormatPr defaultColWidth="9" defaultRowHeight="15" outlineLevelRow="1" x14ac:dyDescent="0.25"/>
  <cols>
    <col min="1" max="1" width="5.5703125" style="21" bestFit="1" customWidth="1"/>
    <col min="2" max="2" width="21.7109375" style="19" customWidth="1"/>
    <col min="3" max="3" width="49.7109375" style="53" customWidth="1"/>
    <col min="4" max="4" width="9.42578125" style="21" bestFit="1" customWidth="1"/>
    <col min="5" max="5" width="5.28515625" style="21" customWidth="1"/>
    <col min="6" max="6" width="17.28515625" style="20" customWidth="1"/>
    <col min="7" max="7" width="18" style="54" customWidth="1"/>
    <col min="8" max="8" width="26.28515625" style="54" bestFit="1" customWidth="1"/>
    <col min="9" max="9" width="7.85546875" style="21" bestFit="1" customWidth="1"/>
    <col min="10" max="10" width="13.7109375" style="21" bestFit="1" customWidth="1"/>
    <col min="11" max="16384" width="9" style="21"/>
  </cols>
  <sheetData>
    <row r="1" spans="1:10" s="24" customFormat="1" x14ac:dyDescent="0.25">
      <c r="A1" s="22" t="s">
        <v>0</v>
      </c>
      <c r="B1" s="1" t="s">
        <v>1</v>
      </c>
      <c r="C1" s="2"/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3" t="s">
        <v>7</v>
      </c>
    </row>
    <row r="2" spans="1:10" x14ac:dyDescent="0.25">
      <c r="A2" s="25">
        <v>1</v>
      </c>
      <c r="B2" s="3" t="s">
        <v>34</v>
      </c>
      <c r="C2" s="26"/>
      <c r="D2" s="27"/>
      <c r="E2" s="27"/>
      <c r="F2" s="4"/>
      <c r="G2" s="28"/>
      <c r="H2" s="28"/>
      <c r="I2" s="29"/>
    </row>
    <row r="3" spans="1:10" s="33" customFormat="1" x14ac:dyDescent="0.25">
      <c r="A3" s="30">
        <v>1.1000000000000001</v>
      </c>
      <c r="B3" s="75" t="s">
        <v>15</v>
      </c>
      <c r="C3" s="11"/>
      <c r="D3" s="12"/>
      <c r="E3" s="12"/>
      <c r="F3" s="12"/>
      <c r="G3" s="31"/>
      <c r="H3" s="31"/>
      <c r="I3" s="32"/>
      <c r="J3" s="85"/>
    </row>
    <row r="4" spans="1:10" s="33" customFormat="1" x14ac:dyDescent="0.25">
      <c r="A4" s="34" t="s">
        <v>8</v>
      </c>
      <c r="B4" s="76" t="s">
        <v>35</v>
      </c>
      <c r="C4" s="5"/>
      <c r="D4" s="6">
        <v>2</v>
      </c>
      <c r="E4" s="35"/>
      <c r="F4" s="6" t="s">
        <v>152</v>
      </c>
      <c r="G4" s="99">
        <v>399809000</v>
      </c>
      <c r="H4" s="36">
        <f>D4*G4</f>
        <v>799618000</v>
      </c>
      <c r="I4" s="13"/>
      <c r="J4" s="85"/>
    </row>
    <row r="5" spans="1:10" s="40" customFormat="1" outlineLevel="1" x14ac:dyDescent="0.25">
      <c r="A5" s="37"/>
      <c r="B5" s="77" t="s">
        <v>16</v>
      </c>
      <c r="C5" s="14" t="s">
        <v>17</v>
      </c>
      <c r="D5" s="15">
        <v>1</v>
      </c>
      <c r="E5" s="38"/>
      <c r="F5" s="15"/>
      <c r="G5" s="39"/>
      <c r="H5" s="39"/>
      <c r="I5" s="16"/>
    </row>
    <row r="6" spans="1:10" s="40" customFormat="1" outlineLevel="1" x14ac:dyDescent="0.25">
      <c r="A6" s="37"/>
      <c r="B6" s="77" t="s">
        <v>22</v>
      </c>
      <c r="C6" s="14" t="s">
        <v>23</v>
      </c>
      <c r="D6" s="15">
        <v>4</v>
      </c>
      <c r="E6" s="38"/>
      <c r="F6" s="15"/>
      <c r="G6" s="39"/>
      <c r="H6" s="39"/>
      <c r="I6" s="16"/>
    </row>
    <row r="7" spans="1:10" s="40" customFormat="1" outlineLevel="1" x14ac:dyDescent="0.25">
      <c r="A7" s="37"/>
      <c r="B7" s="77" t="s">
        <v>24</v>
      </c>
      <c r="C7" s="14" t="s">
        <v>25</v>
      </c>
      <c r="D7" s="15">
        <v>1</v>
      </c>
      <c r="E7" s="38"/>
      <c r="F7" s="15"/>
      <c r="G7" s="39"/>
      <c r="H7" s="39"/>
      <c r="I7" s="16"/>
    </row>
    <row r="8" spans="1:10" s="40" customFormat="1" outlineLevel="1" x14ac:dyDescent="0.25">
      <c r="A8" s="37"/>
      <c r="B8" s="77" t="s">
        <v>18</v>
      </c>
      <c r="C8" s="14" t="s">
        <v>19</v>
      </c>
      <c r="D8" s="15">
        <v>4</v>
      </c>
      <c r="E8" s="38"/>
      <c r="F8" s="15"/>
      <c r="G8" s="100"/>
      <c r="H8" s="100"/>
      <c r="I8" s="16"/>
    </row>
    <row r="9" spans="1:10" s="40" customFormat="1" outlineLevel="1" x14ac:dyDescent="0.25">
      <c r="A9" s="37"/>
      <c r="B9" s="77" t="s">
        <v>26</v>
      </c>
      <c r="C9" s="14" t="s">
        <v>27</v>
      </c>
      <c r="D9" s="15">
        <v>1</v>
      </c>
      <c r="E9" s="38"/>
      <c r="F9" s="15"/>
      <c r="G9" s="39"/>
      <c r="H9" s="39"/>
      <c r="I9" s="16"/>
    </row>
    <row r="10" spans="1:10" s="40" customFormat="1" outlineLevel="1" x14ac:dyDescent="0.25">
      <c r="A10" s="37"/>
      <c r="B10" s="77" t="s">
        <v>165</v>
      </c>
      <c r="C10" s="14" t="s">
        <v>166</v>
      </c>
      <c r="D10" s="15">
        <v>1</v>
      </c>
      <c r="E10" s="38"/>
      <c r="F10" s="15"/>
      <c r="G10" s="39"/>
      <c r="H10" s="39"/>
      <c r="I10" s="16"/>
    </row>
    <row r="11" spans="1:10" s="40" customFormat="1" outlineLevel="1" x14ac:dyDescent="0.25">
      <c r="A11" s="37"/>
      <c r="B11" s="77" t="s">
        <v>28</v>
      </c>
      <c r="C11" s="14" t="s">
        <v>29</v>
      </c>
      <c r="D11" s="15">
        <v>1</v>
      </c>
      <c r="E11" s="38"/>
      <c r="F11" s="15"/>
      <c r="G11" s="39"/>
      <c r="H11" s="39"/>
      <c r="I11" s="16"/>
    </row>
    <row r="12" spans="1:10" s="40" customFormat="1" outlineLevel="1" x14ac:dyDescent="0.25">
      <c r="A12" s="37"/>
      <c r="B12" s="77" t="s">
        <v>30</v>
      </c>
      <c r="C12" s="14" t="s">
        <v>31</v>
      </c>
      <c r="D12" s="15">
        <v>2</v>
      </c>
      <c r="E12" s="38"/>
      <c r="F12" s="15"/>
      <c r="G12" s="39"/>
      <c r="H12" s="39"/>
      <c r="I12" s="16"/>
    </row>
    <row r="13" spans="1:10" s="33" customFormat="1" ht="45" x14ac:dyDescent="0.25">
      <c r="A13" s="34" t="s">
        <v>9</v>
      </c>
      <c r="B13" s="76" t="s">
        <v>36</v>
      </c>
      <c r="C13" s="5"/>
      <c r="D13" s="6">
        <v>2</v>
      </c>
      <c r="E13" s="35"/>
      <c r="F13" s="6" t="s">
        <v>45</v>
      </c>
      <c r="G13" s="36">
        <v>2265000</v>
      </c>
      <c r="H13" s="36">
        <f>D13*G13</f>
        <v>4530000</v>
      </c>
      <c r="I13" s="13"/>
    </row>
    <row r="14" spans="1:10" s="40" customFormat="1" outlineLevel="1" x14ac:dyDescent="0.25">
      <c r="A14" s="37"/>
      <c r="B14" s="77" t="s">
        <v>32</v>
      </c>
      <c r="C14" s="14" t="s">
        <v>33</v>
      </c>
      <c r="D14" s="15">
        <v>1</v>
      </c>
      <c r="E14" s="38"/>
      <c r="F14" s="15"/>
      <c r="G14" s="39"/>
      <c r="H14" s="39"/>
      <c r="I14" s="16"/>
    </row>
    <row r="15" spans="1:10" s="33" customFormat="1" x14ac:dyDescent="0.25">
      <c r="A15" s="30">
        <v>1.2</v>
      </c>
      <c r="B15" s="75" t="s">
        <v>37</v>
      </c>
      <c r="C15" s="11"/>
      <c r="D15" s="12"/>
      <c r="E15" s="12"/>
      <c r="F15" s="12"/>
      <c r="G15" s="31"/>
      <c r="H15" s="31"/>
      <c r="I15" s="32"/>
    </row>
    <row r="16" spans="1:10" s="33" customFormat="1" x14ac:dyDescent="0.25">
      <c r="A16" s="34" t="s">
        <v>8</v>
      </c>
      <c r="B16" s="76" t="s">
        <v>38</v>
      </c>
      <c r="C16" s="5"/>
      <c r="D16" s="6">
        <v>13</v>
      </c>
      <c r="E16" s="35"/>
      <c r="F16" s="6" t="s">
        <v>146</v>
      </c>
      <c r="G16" s="36">
        <v>24898000</v>
      </c>
      <c r="H16" s="36">
        <f>D16*G16</f>
        <v>323674000</v>
      </c>
      <c r="I16" s="41"/>
      <c r="J16" s="109"/>
    </row>
    <row r="17" spans="1:10" outlineLevel="1" x14ac:dyDescent="0.25">
      <c r="A17" s="42"/>
      <c r="B17" s="7" t="s">
        <v>39</v>
      </c>
      <c r="C17" s="43" t="s">
        <v>40</v>
      </c>
      <c r="D17" s="8">
        <v>1</v>
      </c>
      <c r="E17" s="44"/>
      <c r="F17" s="8"/>
      <c r="G17" s="45"/>
      <c r="H17" s="45"/>
      <c r="I17" s="46"/>
    </row>
    <row r="18" spans="1:10" s="33" customFormat="1" x14ac:dyDescent="0.25">
      <c r="A18" s="34" t="s">
        <v>9</v>
      </c>
      <c r="B18" s="76" t="s">
        <v>41</v>
      </c>
      <c r="C18" s="5"/>
      <c r="D18" s="6">
        <v>48</v>
      </c>
      <c r="E18" s="35"/>
      <c r="F18" s="6" t="s">
        <v>146</v>
      </c>
      <c r="G18" s="36">
        <v>37896000</v>
      </c>
      <c r="H18" s="36">
        <f>D18*G18</f>
        <v>1819008000</v>
      </c>
      <c r="I18" s="41"/>
      <c r="J18" s="109"/>
    </row>
    <row r="19" spans="1:10" outlineLevel="1" x14ac:dyDescent="0.25">
      <c r="A19" s="42"/>
      <c r="B19" s="7" t="s">
        <v>168</v>
      </c>
      <c r="C19" s="43" t="s">
        <v>169</v>
      </c>
      <c r="D19" s="8">
        <v>1</v>
      </c>
      <c r="E19" s="44"/>
      <c r="F19" s="8"/>
      <c r="G19" s="45"/>
      <c r="H19" s="45"/>
      <c r="I19" s="46"/>
    </row>
    <row r="20" spans="1:10" s="33" customFormat="1" ht="30" x14ac:dyDescent="0.25">
      <c r="A20" s="34" t="s">
        <v>10</v>
      </c>
      <c r="B20" s="76" t="s">
        <v>36</v>
      </c>
      <c r="C20" s="5"/>
      <c r="D20" s="6">
        <v>59</v>
      </c>
      <c r="E20" s="35"/>
      <c r="F20" s="6" t="s">
        <v>44</v>
      </c>
      <c r="G20" s="36">
        <v>1133000</v>
      </c>
      <c r="H20" s="36">
        <f>D20*G20</f>
        <v>66847000</v>
      </c>
      <c r="I20" s="13"/>
    </row>
    <row r="21" spans="1:10" s="40" customFormat="1" outlineLevel="1" x14ac:dyDescent="0.25">
      <c r="A21" s="37"/>
      <c r="B21" s="77" t="s">
        <v>42</v>
      </c>
      <c r="C21" s="14" t="s">
        <v>43</v>
      </c>
      <c r="D21" s="15">
        <v>1</v>
      </c>
      <c r="E21" s="38"/>
      <c r="F21" s="15"/>
      <c r="G21" s="39"/>
      <c r="H21" s="39"/>
      <c r="I21" s="16"/>
    </row>
    <row r="22" spans="1:10" s="33" customFormat="1" x14ac:dyDescent="0.25">
      <c r="A22" s="34" t="s">
        <v>14</v>
      </c>
      <c r="B22" s="76" t="s">
        <v>11</v>
      </c>
      <c r="C22" s="5"/>
      <c r="D22" s="6">
        <v>100</v>
      </c>
      <c r="E22" s="35"/>
      <c r="F22" s="6" t="s">
        <v>145</v>
      </c>
      <c r="G22" s="36">
        <v>5289000</v>
      </c>
      <c r="H22" s="36">
        <f>D22*G22</f>
        <v>528900000</v>
      </c>
      <c r="I22" s="41"/>
    </row>
    <row r="23" spans="1:10" outlineLevel="1" x14ac:dyDescent="0.25">
      <c r="A23" s="42"/>
      <c r="B23" s="78" t="s">
        <v>13</v>
      </c>
      <c r="C23" s="9" t="s">
        <v>12</v>
      </c>
      <c r="D23" s="8">
        <v>1</v>
      </c>
      <c r="E23" s="44"/>
      <c r="F23" s="8"/>
      <c r="G23" s="45"/>
      <c r="H23" s="45"/>
      <c r="I23" s="10"/>
    </row>
    <row r="24" spans="1:10" x14ac:dyDescent="0.25">
      <c r="A24" s="25">
        <v>2</v>
      </c>
      <c r="B24" s="3" t="s">
        <v>46</v>
      </c>
      <c r="C24" s="26"/>
      <c r="D24" s="27"/>
      <c r="E24" s="27"/>
      <c r="F24" s="4"/>
      <c r="G24" s="28"/>
      <c r="H24" s="28"/>
      <c r="I24" s="29"/>
    </row>
    <row r="25" spans="1:10" s="33" customFormat="1" x14ac:dyDescent="0.25">
      <c r="A25" s="30">
        <v>2.1</v>
      </c>
      <c r="B25" s="75" t="s">
        <v>15</v>
      </c>
      <c r="C25" s="11"/>
      <c r="D25" s="12"/>
      <c r="E25" s="12"/>
      <c r="F25" s="12"/>
      <c r="G25" s="31"/>
      <c r="H25" s="31"/>
      <c r="I25" s="32"/>
    </row>
    <row r="26" spans="1:10" s="33" customFormat="1" x14ac:dyDescent="0.25">
      <c r="A26" s="34" t="s">
        <v>8</v>
      </c>
      <c r="B26" s="76" t="s">
        <v>35</v>
      </c>
      <c r="C26" s="5"/>
      <c r="D26" s="6">
        <v>2</v>
      </c>
      <c r="E26" s="35"/>
      <c r="F26" s="6" t="s">
        <v>151</v>
      </c>
      <c r="G26" s="36">
        <v>289950000</v>
      </c>
      <c r="H26" s="36">
        <f>D26*G26</f>
        <v>579900000</v>
      </c>
      <c r="I26" s="13"/>
      <c r="J26" s="85"/>
    </row>
    <row r="27" spans="1:10" s="40" customFormat="1" outlineLevel="1" x14ac:dyDescent="0.25">
      <c r="A27" s="37"/>
      <c r="B27" s="77" t="s">
        <v>20</v>
      </c>
      <c r="C27" s="14" t="s">
        <v>21</v>
      </c>
      <c r="D27" s="15">
        <v>1</v>
      </c>
      <c r="E27" s="38"/>
      <c r="F27" s="15"/>
      <c r="G27" s="39"/>
      <c r="H27" s="39"/>
      <c r="I27" s="16"/>
    </row>
    <row r="28" spans="1:10" s="40" customFormat="1" outlineLevel="1" x14ac:dyDescent="0.25">
      <c r="A28" s="37"/>
      <c r="B28" s="77" t="s">
        <v>22</v>
      </c>
      <c r="C28" s="14" t="s">
        <v>23</v>
      </c>
      <c r="D28" s="15">
        <v>2</v>
      </c>
      <c r="E28" s="38"/>
      <c r="F28" s="15"/>
      <c r="G28" s="39"/>
      <c r="H28" s="39"/>
      <c r="I28" s="16"/>
    </row>
    <row r="29" spans="1:10" s="40" customFormat="1" outlineLevel="1" x14ac:dyDescent="0.25">
      <c r="A29" s="37"/>
      <c r="B29" s="77" t="s">
        <v>18</v>
      </c>
      <c r="C29" s="14" t="s">
        <v>19</v>
      </c>
      <c r="D29" s="15">
        <v>3</v>
      </c>
      <c r="E29" s="38"/>
      <c r="F29" s="15"/>
      <c r="G29" s="39"/>
      <c r="H29" s="39"/>
      <c r="I29" s="16"/>
    </row>
    <row r="30" spans="1:10" s="40" customFormat="1" outlineLevel="1" x14ac:dyDescent="0.25">
      <c r="A30" s="37"/>
      <c r="B30" s="77" t="s">
        <v>26</v>
      </c>
      <c r="C30" s="14" t="s">
        <v>27</v>
      </c>
      <c r="D30" s="15">
        <v>1</v>
      </c>
      <c r="E30" s="38"/>
      <c r="F30" s="15"/>
      <c r="G30" s="39"/>
      <c r="H30" s="39"/>
      <c r="I30" s="16"/>
    </row>
    <row r="31" spans="1:10" s="40" customFormat="1" outlineLevel="1" x14ac:dyDescent="0.25">
      <c r="A31" s="37"/>
      <c r="B31" s="77" t="s">
        <v>28</v>
      </c>
      <c r="C31" s="14" t="s">
        <v>29</v>
      </c>
      <c r="D31" s="15">
        <v>1</v>
      </c>
      <c r="E31" s="38"/>
      <c r="F31" s="15"/>
      <c r="G31" s="39"/>
      <c r="H31" s="39"/>
      <c r="I31" s="16"/>
    </row>
    <row r="32" spans="1:10" s="33" customFormat="1" ht="45" x14ac:dyDescent="0.25">
      <c r="A32" s="34" t="s">
        <v>9</v>
      </c>
      <c r="B32" s="76" t="s">
        <v>36</v>
      </c>
      <c r="C32" s="5"/>
      <c r="D32" s="6">
        <v>2</v>
      </c>
      <c r="E32" s="35"/>
      <c r="F32" s="6" t="s">
        <v>45</v>
      </c>
      <c r="G32" s="36">
        <f>G13</f>
        <v>2265000</v>
      </c>
      <c r="H32" s="36">
        <f>D32*G32</f>
        <v>4530000</v>
      </c>
      <c r="I32" s="13"/>
    </row>
    <row r="33" spans="1:9" s="40" customFormat="1" outlineLevel="1" x14ac:dyDescent="0.25">
      <c r="A33" s="37"/>
      <c r="B33" s="77" t="s">
        <v>32</v>
      </c>
      <c r="C33" s="14" t="s">
        <v>33</v>
      </c>
      <c r="D33" s="15">
        <v>1</v>
      </c>
      <c r="E33" s="38"/>
      <c r="F33" s="15"/>
      <c r="G33" s="39"/>
      <c r="H33" s="39"/>
      <c r="I33" s="16"/>
    </row>
    <row r="34" spans="1:9" s="33" customFormat="1" x14ac:dyDescent="0.25">
      <c r="A34" s="30">
        <v>2.2000000000000002</v>
      </c>
      <c r="B34" s="75" t="s">
        <v>37</v>
      </c>
      <c r="C34" s="11"/>
      <c r="D34" s="12"/>
      <c r="E34" s="12"/>
      <c r="F34" s="12"/>
      <c r="G34" s="31"/>
      <c r="H34" s="31"/>
      <c r="I34" s="32"/>
    </row>
    <row r="35" spans="1:9" s="33" customFormat="1" x14ac:dyDescent="0.25">
      <c r="A35" s="34" t="s">
        <v>8</v>
      </c>
      <c r="B35" s="76" t="s">
        <v>38</v>
      </c>
      <c r="C35" s="5"/>
      <c r="D35" s="6">
        <v>24</v>
      </c>
      <c r="E35" s="35"/>
      <c r="F35" s="6" t="s">
        <v>146</v>
      </c>
      <c r="G35" s="99">
        <v>24898000</v>
      </c>
      <c r="H35" s="36">
        <f>D35*G35</f>
        <v>597552000</v>
      </c>
      <c r="I35" s="41"/>
    </row>
    <row r="36" spans="1:9" outlineLevel="1" x14ac:dyDescent="0.25">
      <c r="A36" s="42"/>
      <c r="B36" s="7" t="s">
        <v>39</v>
      </c>
      <c r="C36" s="43" t="s">
        <v>40</v>
      </c>
      <c r="D36" s="8">
        <v>1</v>
      </c>
      <c r="E36" s="44"/>
      <c r="F36" s="8"/>
      <c r="G36" s="105"/>
      <c r="H36" s="45"/>
      <c r="I36" s="46"/>
    </row>
    <row r="37" spans="1:9" s="33" customFormat="1" x14ac:dyDescent="0.25">
      <c r="A37" s="34" t="s">
        <v>9</v>
      </c>
      <c r="B37" s="76" t="s">
        <v>41</v>
      </c>
      <c r="C37" s="5"/>
      <c r="D37" s="6">
        <v>5</v>
      </c>
      <c r="E37" s="35"/>
      <c r="F37" s="6" t="s">
        <v>146</v>
      </c>
      <c r="G37" s="99">
        <v>37896000</v>
      </c>
      <c r="H37" s="36">
        <f>D37*G37</f>
        <v>189480000</v>
      </c>
      <c r="I37" s="41"/>
    </row>
    <row r="38" spans="1:9" outlineLevel="1" x14ac:dyDescent="0.25">
      <c r="A38" s="42"/>
      <c r="B38" s="7" t="s">
        <v>168</v>
      </c>
      <c r="C38" s="43" t="s">
        <v>169</v>
      </c>
      <c r="D38" s="8">
        <v>1</v>
      </c>
      <c r="E38" s="44"/>
      <c r="F38" s="8"/>
      <c r="G38" s="105"/>
      <c r="H38" s="45"/>
      <c r="I38" s="46"/>
    </row>
    <row r="39" spans="1:9" s="33" customFormat="1" ht="30" x14ac:dyDescent="0.25">
      <c r="A39" s="34" t="s">
        <v>10</v>
      </c>
      <c r="B39" s="76" t="s">
        <v>36</v>
      </c>
      <c r="C39" s="5"/>
      <c r="D39" s="6">
        <v>7</v>
      </c>
      <c r="E39" s="35"/>
      <c r="F39" s="6" t="s">
        <v>44</v>
      </c>
      <c r="G39" s="99">
        <v>1133000</v>
      </c>
      <c r="H39" s="36">
        <f>D39*G39</f>
        <v>7931000</v>
      </c>
      <c r="I39" s="13"/>
    </row>
    <row r="40" spans="1:9" s="40" customFormat="1" outlineLevel="1" x14ac:dyDescent="0.25">
      <c r="A40" s="37"/>
      <c r="B40" s="77" t="s">
        <v>42</v>
      </c>
      <c r="C40" s="14" t="s">
        <v>43</v>
      </c>
      <c r="D40" s="15">
        <v>1</v>
      </c>
      <c r="E40" s="38"/>
      <c r="F40" s="15"/>
      <c r="G40" s="100"/>
      <c r="H40" s="39"/>
      <c r="I40" s="16"/>
    </row>
    <row r="41" spans="1:9" s="33" customFormat="1" x14ac:dyDescent="0.25">
      <c r="A41" s="34" t="s">
        <v>14</v>
      </c>
      <c r="B41" s="76" t="s">
        <v>11</v>
      </c>
      <c r="C41" s="5"/>
      <c r="D41" s="6">
        <v>100</v>
      </c>
      <c r="E41" s="35"/>
      <c r="F41" s="6" t="s">
        <v>145</v>
      </c>
      <c r="G41" s="99">
        <v>5289000</v>
      </c>
      <c r="H41" s="36">
        <f>D41*G41</f>
        <v>528900000</v>
      </c>
      <c r="I41" s="41"/>
    </row>
    <row r="42" spans="1:9" outlineLevel="1" x14ac:dyDescent="0.25">
      <c r="A42" s="42"/>
      <c r="B42" s="78" t="s">
        <v>13</v>
      </c>
      <c r="C42" s="9" t="s">
        <v>12</v>
      </c>
      <c r="D42" s="8">
        <v>1</v>
      </c>
      <c r="E42" s="44"/>
      <c r="F42" s="8"/>
      <c r="G42" s="45"/>
      <c r="H42" s="45"/>
      <c r="I42" s="10"/>
    </row>
    <row r="43" spans="1:9" x14ac:dyDescent="0.25">
      <c r="A43" s="25">
        <v>3</v>
      </c>
      <c r="B43" s="3" t="s">
        <v>47</v>
      </c>
      <c r="C43" s="26"/>
      <c r="D43" s="27"/>
      <c r="E43" s="27"/>
      <c r="F43" s="4"/>
      <c r="G43" s="28"/>
      <c r="H43" s="28"/>
      <c r="I43" s="29"/>
    </row>
    <row r="44" spans="1:9" s="33" customFormat="1" x14ac:dyDescent="0.25">
      <c r="A44" s="30">
        <v>3.1</v>
      </c>
      <c r="B44" s="75" t="s">
        <v>48</v>
      </c>
      <c r="C44" s="11"/>
      <c r="D44" s="12"/>
      <c r="E44" s="12"/>
      <c r="F44" s="12"/>
      <c r="G44" s="31"/>
      <c r="H44" s="31"/>
      <c r="I44" s="32"/>
    </row>
    <row r="45" spans="1:9" s="33" customFormat="1" x14ac:dyDescent="0.25">
      <c r="A45" s="34" t="s">
        <v>8</v>
      </c>
      <c r="B45" s="76" t="s">
        <v>48</v>
      </c>
      <c r="C45" s="5"/>
      <c r="D45" s="6">
        <v>2</v>
      </c>
      <c r="E45" s="35"/>
      <c r="F45" s="6" t="s">
        <v>167</v>
      </c>
      <c r="G45" s="36">
        <v>368286000</v>
      </c>
      <c r="H45" s="36">
        <f>D45*G45</f>
        <v>736572000</v>
      </c>
      <c r="I45" s="13"/>
    </row>
    <row r="46" spans="1:9" s="40" customFormat="1" ht="30" outlineLevel="1" x14ac:dyDescent="0.25">
      <c r="A46" s="37"/>
      <c r="B46" s="77" t="s">
        <v>157</v>
      </c>
      <c r="C46" s="14" t="s">
        <v>158</v>
      </c>
      <c r="D46" s="15">
        <v>1</v>
      </c>
      <c r="E46" s="38"/>
      <c r="F46" s="15"/>
      <c r="G46" s="39"/>
      <c r="H46" s="39"/>
      <c r="I46" s="16"/>
    </row>
    <row r="47" spans="1:9" s="40" customFormat="1" ht="30" outlineLevel="1" x14ac:dyDescent="0.25">
      <c r="A47" s="37"/>
      <c r="B47" s="77" t="s">
        <v>49</v>
      </c>
      <c r="C47" s="14" t="s">
        <v>50</v>
      </c>
      <c r="D47" s="15">
        <v>1</v>
      </c>
      <c r="E47" s="38"/>
      <c r="F47" s="15"/>
      <c r="G47" s="39"/>
      <c r="H47" s="39"/>
      <c r="I47" s="16"/>
    </row>
    <row r="48" spans="1:9" s="40" customFormat="1" outlineLevel="1" x14ac:dyDescent="0.25">
      <c r="A48" s="37"/>
      <c r="B48" s="77" t="s">
        <v>51</v>
      </c>
      <c r="C48" s="14" t="s">
        <v>52</v>
      </c>
      <c r="D48" s="15">
        <v>2</v>
      </c>
      <c r="E48" s="38"/>
      <c r="F48" s="15"/>
      <c r="G48" s="39"/>
      <c r="H48" s="39"/>
      <c r="I48" s="16"/>
    </row>
    <row r="49" spans="1:9" s="40" customFormat="1" outlineLevel="1" x14ac:dyDescent="0.25">
      <c r="A49" s="37"/>
      <c r="B49" s="77" t="s">
        <v>30</v>
      </c>
      <c r="C49" s="14" t="s">
        <v>31</v>
      </c>
      <c r="D49" s="15">
        <v>2</v>
      </c>
      <c r="E49" s="38"/>
      <c r="F49" s="15"/>
      <c r="G49" s="39"/>
      <c r="H49" s="39"/>
      <c r="I49" s="16"/>
    </row>
    <row r="50" spans="1:9" s="33" customFormat="1" ht="30" x14ac:dyDescent="0.25">
      <c r="A50" s="34" t="s">
        <v>9</v>
      </c>
      <c r="B50" s="76" t="s">
        <v>53</v>
      </c>
      <c r="C50" s="5"/>
      <c r="D50" s="6">
        <f>SUM(D53,D56,D59,D62,D65,D68,D71)</f>
        <v>1205</v>
      </c>
      <c r="E50" s="35"/>
      <c r="F50" s="87" t="s">
        <v>144</v>
      </c>
      <c r="G50" s="36">
        <v>679000</v>
      </c>
      <c r="H50" s="36">
        <f>D50*G50</f>
        <v>818195000</v>
      </c>
      <c r="I50" s="13"/>
    </row>
    <row r="51" spans="1:9" s="40" customFormat="1" outlineLevel="1" x14ac:dyDescent="0.25">
      <c r="A51" s="37"/>
      <c r="B51" s="77" t="s">
        <v>54</v>
      </c>
      <c r="C51" s="14" t="s">
        <v>55</v>
      </c>
      <c r="D51" s="15">
        <v>1</v>
      </c>
      <c r="E51" s="38"/>
      <c r="F51" s="15"/>
      <c r="G51" s="39"/>
      <c r="H51" s="39"/>
      <c r="I51" s="16"/>
    </row>
    <row r="52" spans="1:9" s="96" customFormat="1" x14ac:dyDescent="0.25">
      <c r="A52" s="93">
        <v>3.2</v>
      </c>
      <c r="B52" s="107" t="s">
        <v>56</v>
      </c>
      <c r="C52" s="90"/>
      <c r="D52" s="91"/>
      <c r="E52" s="91"/>
      <c r="F52" s="91"/>
      <c r="G52" s="94"/>
      <c r="H52" s="94"/>
      <c r="I52" s="95"/>
    </row>
    <row r="53" spans="1:9" s="96" customFormat="1" x14ac:dyDescent="0.25">
      <c r="A53" s="97" t="s">
        <v>8</v>
      </c>
      <c r="B53" s="108" t="s">
        <v>57</v>
      </c>
      <c r="C53" s="86"/>
      <c r="D53" s="87">
        <v>879</v>
      </c>
      <c r="E53" s="98"/>
      <c r="F53" s="87" t="s">
        <v>147</v>
      </c>
      <c r="G53" s="99">
        <v>3698000</v>
      </c>
      <c r="H53" s="99">
        <f>D53*G53</f>
        <v>3250542000</v>
      </c>
      <c r="I53" s="101"/>
    </row>
    <row r="54" spans="1:9" s="92" customFormat="1" outlineLevel="1" x14ac:dyDescent="0.25">
      <c r="A54" s="102"/>
      <c r="B54" s="88" t="s">
        <v>58</v>
      </c>
      <c r="C54" s="103" t="s">
        <v>59</v>
      </c>
      <c r="D54" s="89">
        <v>1</v>
      </c>
      <c r="E54" s="104"/>
      <c r="F54" s="89"/>
      <c r="G54" s="105"/>
      <c r="H54" s="105"/>
      <c r="I54" s="106"/>
    </row>
    <row r="55" spans="1:9" s="92" customFormat="1" outlineLevel="1" x14ac:dyDescent="0.25">
      <c r="A55" s="102"/>
      <c r="B55" s="88" t="s">
        <v>162</v>
      </c>
      <c r="C55" s="103" t="s">
        <v>163</v>
      </c>
      <c r="D55" s="89">
        <v>1</v>
      </c>
      <c r="E55" s="104"/>
      <c r="F55" s="89"/>
      <c r="G55" s="105"/>
      <c r="H55" s="105"/>
      <c r="I55" s="106"/>
    </row>
    <row r="56" spans="1:9" s="96" customFormat="1" x14ac:dyDescent="0.25">
      <c r="A56" s="97" t="s">
        <v>9</v>
      </c>
      <c r="B56" s="108" t="s">
        <v>60</v>
      </c>
      <c r="C56" s="86"/>
      <c r="D56" s="87">
        <v>160</v>
      </c>
      <c r="E56" s="98"/>
      <c r="F56" s="87" t="s">
        <v>148</v>
      </c>
      <c r="G56" s="99">
        <v>3229000</v>
      </c>
      <c r="H56" s="99">
        <f>D56*G56</f>
        <v>516640000</v>
      </c>
      <c r="I56" s="101"/>
    </row>
    <row r="57" spans="1:9" s="92" customFormat="1" outlineLevel="1" x14ac:dyDescent="0.25">
      <c r="A57" s="102"/>
      <c r="B57" s="88" t="s">
        <v>141</v>
      </c>
      <c r="C57" s="103" t="s">
        <v>142</v>
      </c>
      <c r="D57" s="89">
        <v>1</v>
      </c>
      <c r="E57" s="104"/>
      <c r="F57" s="89"/>
      <c r="G57" s="105"/>
      <c r="H57" s="105"/>
      <c r="I57" s="106"/>
    </row>
    <row r="58" spans="1:9" s="92" customFormat="1" outlineLevel="1" x14ac:dyDescent="0.25">
      <c r="A58" s="102"/>
      <c r="B58" s="88" t="s">
        <v>64</v>
      </c>
      <c r="C58" s="103" t="s">
        <v>143</v>
      </c>
      <c r="D58" s="89">
        <v>1</v>
      </c>
      <c r="E58" s="104"/>
      <c r="F58" s="89"/>
      <c r="G58" s="105"/>
      <c r="H58" s="105"/>
      <c r="I58" s="106"/>
    </row>
    <row r="59" spans="1:9" s="96" customFormat="1" x14ac:dyDescent="0.25">
      <c r="A59" s="97" t="s">
        <v>10</v>
      </c>
      <c r="B59" s="108" t="s">
        <v>61</v>
      </c>
      <c r="C59" s="86"/>
      <c r="D59" s="87">
        <v>112</v>
      </c>
      <c r="E59" s="98"/>
      <c r="F59" s="87" t="s">
        <v>149</v>
      </c>
      <c r="G59" s="99">
        <v>4929000</v>
      </c>
      <c r="H59" s="99">
        <f>D59*G59</f>
        <v>552048000</v>
      </c>
      <c r="I59" s="101"/>
    </row>
    <row r="60" spans="1:9" s="92" customFormat="1" ht="30" outlineLevel="1" x14ac:dyDescent="0.25">
      <c r="A60" s="102"/>
      <c r="B60" s="88" t="s">
        <v>62</v>
      </c>
      <c r="C60" s="103" t="s">
        <v>63</v>
      </c>
      <c r="D60" s="89">
        <v>1</v>
      </c>
      <c r="E60" s="104"/>
      <c r="F60" s="89"/>
      <c r="G60" s="105"/>
      <c r="H60" s="105"/>
      <c r="I60" s="106"/>
    </row>
    <row r="61" spans="1:9" s="92" customFormat="1" ht="30" outlineLevel="1" x14ac:dyDescent="0.25">
      <c r="A61" s="102"/>
      <c r="B61" s="88" t="s">
        <v>64</v>
      </c>
      <c r="C61" s="103" t="s">
        <v>65</v>
      </c>
      <c r="D61" s="89">
        <v>1</v>
      </c>
      <c r="E61" s="104"/>
      <c r="F61" s="89"/>
      <c r="G61" s="105"/>
      <c r="H61" s="105"/>
      <c r="I61" s="106"/>
    </row>
    <row r="62" spans="1:9" s="96" customFormat="1" x14ac:dyDescent="0.25">
      <c r="A62" s="97" t="s">
        <v>14</v>
      </c>
      <c r="B62" s="108" t="s">
        <v>66</v>
      </c>
      <c r="C62" s="86"/>
      <c r="D62" s="87">
        <v>20</v>
      </c>
      <c r="E62" s="98"/>
      <c r="F62" s="87" t="s">
        <v>148</v>
      </c>
      <c r="G62" s="99">
        <f>G56</f>
        <v>3229000</v>
      </c>
      <c r="H62" s="99">
        <f>D62*G62</f>
        <v>64580000</v>
      </c>
      <c r="I62" s="101"/>
    </row>
    <row r="63" spans="1:9" s="92" customFormat="1" outlineLevel="1" x14ac:dyDescent="0.25">
      <c r="A63" s="102"/>
      <c r="B63" s="88" t="s">
        <v>141</v>
      </c>
      <c r="C63" s="103" t="s">
        <v>142</v>
      </c>
      <c r="D63" s="89">
        <v>1</v>
      </c>
      <c r="E63" s="104"/>
      <c r="F63" s="89"/>
      <c r="G63" s="105"/>
      <c r="H63" s="105"/>
      <c r="I63" s="106"/>
    </row>
    <row r="64" spans="1:9" s="92" customFormat="1" outlineLevel="1" x14ac:dyDescent="0.25">
      <c r="A64" s="102"/>
      <c r="B64" s="88" t="s">
        <v>64</v>
      </c>
      <c r="C64" s="103" t="s">
        <v>143</v>
      </c>
      <c r="D64" s="89">
        <v>1</v>
      </c>
      <c r="E64" s="104"/>
      <c r="F64" s="89"/>
      <c r="G64" s="105"/>
      <c r="H64" s="105"/>
      <c r="I64" s="106"/>
    </row>
    <row r="65" spans="1:9" s="96" customFormat="1" x14ac:dyDescent="0.25">
      <c r="A65" s="97" t="s">
        <v>67</v>
      </c>
      <c r="B65" s="108" t="s">
        <v>68</v>
      </c>
      <c r="C65" s="86"/>
      <c r="D65" s="87">
        <v>14</v>
      </c>
      <c r="E65" s="98"/>
      <c r="F65" s="87" t="s">
        <v>161</v>
      </c>
      <c r="G65" s="99">
        <v>12859000</v>
      </c>
      <c r="H65" s="99">
        <f>D65*G65</f>
        <v>180026000</v>
      </c>
      <c r="I65" s="101"/>
    </row>
    <row r="66" spans="1:9" s="92" customFormat="1" outlineLevel="1" x14ac:dyDescent="0.25">
      <c r="A66" s="102"/>
      <c r="B66" s="88" t="s">
        <v>159</v>
      </c>
      <c r="C66" s="103" t="s">
        <v>160</v>
      </c>
      <c r="D66" s="89">
        <v>1</v>
      </c>
      <c r="E66" s="104"/>
      <c r="F66" s="89"/>
      <c r="G66" s="105"/>
      <c r="H66" s="105"/>
      <c r="I66" s="106"/>
    </row>
    <row r="67" spans="1:9" s="92" customFormat="1" outlineLevel="1" x14ac:dyDescent="0.25">
      <c r="A67" s="102"/>
      <c r="B67" s="88" t="s">
        <v>64</v>
      </c>
      <c r="C67" s="103" t="s">
        <v>143</v>
      </c>
      <c r="D67" s="89">
        <v>1</v>
      </c>
      <c r="E67" s="104"/>
      <c r="F67" s="89"/>
      <c r="G67" s="105"/>
      <c r="H67" s="105"/>
      <c r="I67" s="106"/>
    </row>
    <row r="68" spans="1:9" s="96" customFormat="1" x14ac:dyDescent="0.25">
      <c r="A68" s="97" t="s">
        <v>69</v>
      </c>
      <c r="B68" s="108" t="s">
        <v>80</v>
      </c>
      <c r="C68" s="86"/>
      <c r="D68" s="87">
        <v>17</v>
      </c>
      <c r="E68" s="98"/>
      <c r="F68" s="87" t="s">
        <v>148</v>
      </c>
      <c r="G68" s="99">
        <f>G56</f>
        <v>3229000</v>
      </c>
      <c r="H68" s="99">
        <f>D68*G68</f>
        <v>54893000</v>
      </c>
      <c r="I68" s="101"/>
    </row>
    <row r="69" spans="1:9" s="92" customFormat="1" outlineLevel="1" x14ac:dyDescent="0.25">
      <c r="A69" s="102"/>
      <c r="B69" s="88" t="s">
        <v>141</v>
      </c>
      <c r="C69" s="103" t="s">
        <v>142</v>
      </c>
      <c r="D69" s="89">
        <v>1</v>
      </c>
      <c r="E69" s="104"/>
      <c r="F69" s="89"/>
      <c r="G69" s="105"/>
      <c r="H69" s="105"/>
      <c r="I69" s="106"/>
    </row>
    <row r="70" spans="1:9" s="92" customFormat="1" outlineLevel="1" x14ac:dyDescent="0.25">
      <c r="A70" s="102"/>
      <c r="B70" s="88" t="s">
        <v>64</v>
      </c>
      <c r="C70" s="103" t="s">
        <v>143</v>
      </c>
      <c r="D70" s="89">
        <v>1</v>
      </c>
      <c r="E70" s="104"/>
      <c r="F70" s="89"/>
      <c r="G70" s="105"/>
      <c r="H70" s="105"/>
      <c r="I70" s="106"/>
    </row>
    <row r="71" spans="1:9" s="96" customFormat="1" x14ac:dyDescent="0.25">
      <c r="A71" s="97" t="s">
        <v>70</v>
      </c>
      <c r="B71" s="108" t="s">
        <v>71</v>
      </c>
      <c r="C71" s="86"/>
      <c r="D71" s="87">
        <v>3</v>
      </c>
      <c r="E71" s="98"/>
      <c r="F71" s="87" t="s">
        <v>150</v>
      </c>
      <c r="G71" s="99">
        <v>14860000</v>
      </c>
      <c r="H71" s="99">
        <f>D71*G71</f>
        <v>44580000</v>
      </c>
      <c r="I71" s="101"/>
    </row>
    <row r="72" spans="1:9" s="92" customFormat="1" outlineLevel="1" x14ac:dyDescent="0.25">
      <c r="A72" s="102"/>
      <c r="B72" s="88" t="s">
        <v>135</v>
      </c>
      <c r="C72" s="103" t="s">
        <v>136</v>
      </c>
      <c r="D72" s="89">
        <v>1</v>
      </c>
      <c r="E72" s="104"/>
      <c r="F72" s="89"/>
      <c r="G72" s="105"/>
      <c r="H72" s="105"/>
      <c r="I72" s="106"/>
    </row>
    <row r="73" spans="1:9" s="92" customFormat="1" ht="30" outlineLevel="1" x14ac:dyDescent="0.25">
      <c r="A73" s="102"/>
      <c r="B73" s="88" t="s">
        <v>137</v>
      </c>
      <c r="C73" s="103" t="s">
        <v>138</v>
      </c>
      <c r="D73" s="89">
        <v>1</v>
      </c>
      <c r="E73" s="104"/>
      <c r="F73" s="89"/>
      <c r="G73" s="105"/>
      <c r="H73" s="105"/>
      <c r="I73" s="106"/>
    </row>
    <row r="74" spans="1:9" s="92" customFormat="1" ht="30" outlineLevel="1" x14ac:dyDescent="0.25">
      <c r="A74" s="102"/>
      <c r="B74" s="88" t="s">
        <v>72</v>
      </c>
      <c r="C74" s="103" t="s">
        <v>73</v>
      </c>
      <c r="D74" s="89">
        <v>1</v>
      </c>
      <c r="E74" s="104"/>
      <c r="F74" s="89"/>
      <c r="G74" s="105"/>
      <c r="H74" s="105"/>
      <c r="I74" s="106"/>
    </row>
    <row r="75" spans="1:9" s="92" customFormat="1" ht="30" outlineLevel="1" x14ac:dyDescent="0.25">
      <c r="A75" s="102"/>
      <c r="B75" s="88" t="s">
        <v>139</v>
      </c>
      <c r="C75" s="103" t="s">
        <v>140</v>
      </c>
      <c r="D75" s="89">
        <v>1</v>
      </c>
      <c r="E75" s="104"/>
      <c r="F75" s="89"/>
      <c r="G75" s="105"/>
      <c r="H75" s="105"/>
      <c r="I75" s="106"/>
    </row>
    <row r="76" spans="1:9" s="96" customFormat="1" x14ac:dyDescent="0.25">
      <c r="A76" s="97"/>
      <c r="B76" s="108"/>
      <c r="C76" s="86"/>
      <c r="D76" s="87"/>
      <c r="E76" s="98"/>
      <c r="F76" s="87"/>
      <c r="G76" s="99"/>
      <c r="H76" s="99"/>
      <c r="I76" s="101"/>
    </row>
    <row r="77" spans="1:9" s="92" customFormat="1" outlineLevel="1" x14ac:dyDescent="0.25">
      <c r="A77" s="102"/>
      <c r="B77" s="88" t="s">
        <v>170</v>
      </c>
      <c r="C77" s="103" t="s">
        <v>171</v>
      </c>
      <c r="D77" s="89">
        <v>34</v>
      </c>
      <c r="E77" s="104"/>
      <c r="F77" s="89"/>
      <c r="G77" s="105">
        <v>2900000</v>
      </c>
      <c r="H77" s="105">
        <f>D77*G77</f>
        <v>98600000</v>
      </c>
      <c r="I77" s="106"/>
    </row>
    <row r="78" spans="1:9" s="33" customFormat="1" x14ac:dyDescent="0.25">
      <c r="A78" s="30">
        <v>3.3</v>
      </c>
      <c r="B78" s="75" t="s">
        <v>74</v>
      </c>
      <c r="C78" s="11"/>
      <c r="D78" s="12"/>
      <c r="E78" s="12"/>
      <c r="F78" s="12"/>
      <c r="G78" s="31"/>
      <c r="H78" s="31"/>
      <c r="I78" s="32"/>
    </row>
    <row r="79" spans="1:9" s="33" customFormat="1" x14ac:dyDescent="0.25">
      <c r="A79" s="34" t="s">
        <v>8</v>
      </c>
      <c r="B79" s="76" t="s">
        <v>75</v>
      </c>
      <c r="C79" s="5"/>
      <c r="D79" s="6">
        <v>1</v>
      </c>
      <c r="E79" s="35"/>
      <c r="F79" s="6"/>
      <c r="G79" s="36">
        <v>250000000</v>
      </c>
      <c r="H79" s="36">
        <f>D79*G79</f>
        <v>250000000</v>
      </c>
      <c r="I79" s="41"/>
    </row>
    <row r="80" spans="1:9" x14ac:dyDescent="0.25">
      <c r="A80" s="25">
        <v>4</v>
      </c>
      <c r="B80" s="3" t="s">
        <v>77</v>
      </c>
      <c r="C80" s="26"/>
      <c r="D80" s="27"/>
      <c r="E80" s="27"/>
      <c r="F80" s="4"/>
      <c r="G80" s="28"/>
      <c r="H80" s="28"/>
      <c r="I80" s="29"/>
    </row>
    <row r="81" spans="1:9" s="33" customFormat="1" x14ac:dyDescent="0.25">
      <c r="A81" s="30">
        <v>4.0999999999999996</v>
      </c>
      <c r="B81" s="75" t="s">
        <v>76</v>
      </c>
      <c r="C81" s="11"/>
      <c r="D81" s="12"/>
      <c r="E81" s="12"/>
      <c r="F81" s="12"/>
      <c r="G81" s="31"/>
      <c r="H81" s="31"/>
      <c r="I81" s="32"/>
    </row>
    <row r="82" spans="1:9" s="33" customFormat="1" x14ac:dyDescent="0.25">
      <c r="A82" s="34" t="s">
        <v>8</v>
      </c>
      <c r="B82" s="76" t="s">
        <v>76</v>
      </c>
      <c r="C82" s="5"/>
      <c r="D82" s="6">
        <v>1</v>
      </c>
      <c r="E82" s="35"/>
      <c r="F82" s="6"/>
      <c r="G82" s="36">
        <v>280000000</v>
      </c>
      <c r="H82" s="36">
        <f>D82*G82</f>
        <v>280000000</v>
      </c>
      <c r="I82" s="13"/>
    </row>
    <row r="83" spans="1:9" s="96" customFormat="1" x14ac:dyDescent="0.25">
      <c r="A83" s="97" t="s">
        <v>9</v>
      </c>
      <c r="B83" s="108" t="s">
        <v>164</v>
      </c>
      <c r="C83" s="86"/>
      <c r="D83" s="87">
        <v>1</v>
      </c>
      <c r="E83" s="98"/>
      <c r="F83" s="87"/>
      <c r="G83" s="99">
        <v>350000000</v>
      </c>
      <c r="H83" s="99">
        <f>D83*G83</f>
        <v>350000000</v>
      </c>
      <c r="I83" s="13"/>
    </row>
    <row r="84" spans="1:9" s="33" customFormat="1" x14ac:dyDescent="0.25">
      <c r="A84" s="30">
        <v>4.2</v>
      </c>
      <c r="B84" s="75" t="s">
        <v>78</v>
      </c>
      <c r="C84" s="11"/>
      <c r="D84" s="12"/>
      <c r="E84" s="12"/>
      <c r="F84" s="12"/>
      <c r="G84" s="31"/>
      <c r="H84" s="31"/>
      <c r="I84" s="32"/>
    </row>
    <row r="85" spans="1:9" s="33" customFormat="1" x14ac:dyDescent="0.25">
      <c r="A85" s="34" t="s">
        <v>8</v>
      </c>
      <c r="B85" s="76" t="s">
        <v>78</v>
      </c>
      <c r="C85" s="5"/>
      <c r="D85" s="6">
        <v>1</v>
      </c>
      <c r="E85" s="35"/>
      <c r="F85" s="6"/>
      <c r="G85" s="36">
        <v>400000000</v>
      </c>
      <c r="H85" s="36">
        <f>D85*G85</f>
        <v>400000000</v>
      </c>
      <c r="I85" s="13"/>
    </row>
    <row r="86" spans="1:9" s="96" customFormat="1" x14ac:dyDescent="0.25">
      <c r="A86" s="110"/>
      <c r="B86" s="111"/>
      <c r="C86" s="112"/>
      <c r="D86" s="113"/>
      <c r="E86" s="114"/>
      <c r="F86" s="113"/>
      <c r="G86" s="115"/>
      <c r="H86" s="115"/>
      <c r="I86" s="116"/>
    </row>
    <row r="87" spans="1:9" x14ac:dyDescent="0.25">
      <c r="A87" s="25">
        <v>5</v>
      </c>
      <c r="B87" s="3" t="s">
        <v>79</v>
      </c>
      <c r="C87" s="26"/>
      <c r="D87" s="27"/>
      <c r="E87" s="27"/>
      <c r="F87" s="4"/>
      <c r="G87" s="28"/>
      <c r="H87" s="28"/>
      <c r="I87" s="29"/>
    </row>
    <row r="88" spans="1:9" s="33" customFormat="1" x14ac:dyDescent="0.25">
      <c r="A88" s="30">
        <v>5.0999999999999996</v>
      </c>
      <c r="B88" s="75" t="s">
        <v>37</v>
      </c>
      <c r="C88" s="11"/>
      <c r="D88" s="12"/>
      <c r="E88" s="12"/>
      <c r="F88" s="12"/>
      <c r="G88" s="31"/>
      <c r="H88" s="31"/>
      <c r="I88" s="32"/>
    </row>
    <row r="89" spans="1:9" s="33" customFormat="1" x14ac:dyDescent="0.25">
      <c r="A89" s="34" t="s">
        <v>8</v>
      </c>
      <c r="B89" s="76" t="s">
        <v>38</v>
      </c>
      <c r="C89" s="5"/>
      <c r="D89" s="6">
        <v>2</v>
      </c>
      <c r="E89" s="35"/>
      <c r="F89" s="6" t="s">
        <v>146</v>
      </c>
      <c r="G89" s="99">
        <v>24898000</v>
      </c>
      <c r="H89" s="36">
        <f>D89*G89</f>
        <v>49796000</v>
      </c>
      <c r="I89" s="41"/>
    </row>
    <row r="90" spans="1:9" outlineLevel="1" x14ac:dyDescent="0.25">
      <c r="A90" s="42"/>
      <c r="B90" s="7" t="s">
        <v>39</v>
      </c>
      <c r="C90" s="43" t="s">
        <v>40</v>
      </c>
      <c r="D90" s="8">
        <v>1</v>
      </c>
      <c r="E90" s="44"/>
      <c r="F90" s="8"/>
      <c r="G90" s="105"/>
      <c r="H90" s="45"/>
      <c r="I90" s="46"/>
    </row>
    <row r="91" spans="1:9" s="33" customFormat="1" x14ac:dyDescent="0.25">
      <c r="A91" s="34" t="s">
        <v>9</v>
      </c>
      <c r="B91" s="76" t="s">
        <v>41</v>
      </c>
      <c r="C91" s="5"/>
      <c r="D91" s="6">
        <v>2</v>
      </c>
      <c r="E91" s="35"/>
      <c r="F91" s="6" t="s">
        <v>146</v>
      </c>
      <c r="G91" s="99">
        <v>37896000</v>
      </c>
      <c r="H91" s="36">
        <f>D91*G91</f>
        <v>75792000</v>
      </c>
      <c r="I91" s="41"/>
    </row>
    <row r="92" spans="1:9" outlineLevel="1" x14ac:dyDescent="0.25">
      <c r="A92" s="42"/>
      <c r="B92" s="7" t="s">
        <v>168</v>
      </c>
      <c r="C92" s="43" t="s">
        <v>169</v>
      </c>
      <c r="D92" s="8">
        <v>1</v>
      </c>
      <c r="E92" s="44"/>
      <c r="F92" s="8"/>
      <c r="G92" s="45"/>
      <c r="H92" s="45"/>
      <c r="I92" s="46"/>
    </row>
    <row r="93" spans="1:9" s="33" customFormat="1" ht="30" x14ac:dyDescent="0.25">
      <c r="A93" s="34" t="s">
        <v>10</v>
      </c>
      <c r="B93" s="76" t="s">
        <v>36</v>
      </c>
      <c r="C93" s="5"/>
      <c r="D93" s="6">
        <v>6</v>
      </c>
      <c r="E93" s="35"/>
      <c r="F93" s="6" t="s">
        <v>44</v>
      </c>
      <c r="G93" s="36">
        <v>1133000</v>
      </c>
      <c r="H93" s="36">
        <f>D93*G93</f>
        <v>6798000</v>
      </c>
      <c r="I93" s="13"/>
    </row>
    <row r="94" spans="1:9" s="40" customFormat="1" outlineLevel="1" x14ac:dyDescent="0.25">
      <c r="A94" s="37"/>
      <c r="B94" s="77" t="s">
        <v>42</v>
      </c>
      <c r="C94" s="14" t="s">
        <v>43</v>
      </c>
      <c r="D94" s="15">
        <v>1</v>
      </c>
      <c r="E94" s="38"/>
      <c r="F94" s="15"/>
      <c r="G94" s="39"/>
      <c r="H94" s="39"/>
      <c r="I94" s="16"/>
    </row>
    <row r="95" spans="1:9" s="96" customFormat="1" x14ac:dyDescent="0.25">
      <c r="A95" s="93">
        <v>5.2</v>
      </c>
      <c r="B95" s="107" t="s">
        <v>56</v>
      </c>
      <c r="C95" s="90"/>
      <c r="D95" s="91"/>
      <c r="E95" s="91"/>
      <c r="F95" s="91"/>
      <c r="G95" s="94"/>
      <c r="H95" s="94"/>
      <c r="I95" s="95"/>
    </row>
    <row r="96" spans="1:9" s="96" customFormat="1" x14ac:dyDescent="0.25">
      <c r="A96" s="97" t="s">
        <v>8</v>
      </c>
      <c r="B96" s="108" t="s">
        <v>57</v>
      </c>
      <c r="C96" s="86"/>
      <c r="D96" s="87">
        <v>5</v>
      </c>
      <c r="E96" s="98"/>
      <c r="F96" s="87" t="s">
        <v>147</v>
      </c>
      <c r="G96" s="99">
        <v>3698000</v>
      </c>
      <c r="H96" s="99">
        <f>D96*G96</f>
        <v>18490000</v>
      </c>
      <c r="I96" s="101"/>
    </row>
    <row r="97" spans="1:9" s="92" customFormat="1" outlineLevel="1" x14ac:dyDescent="0.25">
      <c r="A97" s="102"/>
      <c r="B97" s="88" t="s">
        <v>58</v>
      </c>
      <c r="C97" s="103" t="s">
        <v>59</v>
      </c>
      <c r="D97" s="89">
        <v>1</v>
      </c>
      <c r="E97" s="104"/>
      <c r="F97" s="89"/>
      <c r="G97" s="105"/>
      <c r="H97" s="105"/>
      <c r="I97" s="106"/>
    </row>
    <row r="98" spans="1:9" s="96" customFormat="1" x14ac:dyDescent="0.25">
      <c r="A98" s="97" t="s">
        <v>9</v>
      </c>
      <c r="B98" s="108" t="s">
        <v>60</v>
      </c>
      <c r="C98" s="86"/>
      <c r="D98" s="87">
        <v>5</v>
      </c>
      <c r="E98" s="98"/>
      <c r="F98" s="87" t="s">
        <v>148</v>
      </c>
      <c r="G98" s="99">
        <v>3229000</v>
      </c>
      <c r="H98" s="99">
        <f>D98*G98</f>
        <v>16145000</v>
      </c>
      <c r="I98" s="101"/>
    </row>
    <row r="99" spans="1:9" s="92" customFormat="1" outlineLevel="1" x14ac:dyDescent="0.25">
      <c r="A99" s="102"/>
      <c r="B99" s="88" t="s">
        <v>141</v>
      </c>
      <c r="C99" s="103" t="s">
        <v>142</v>
      </c>
      <c r="D99" s="89">
        <v>1</v>
      </c>
      <c r="E99" s="104"/>
      <c r="F99" s="89"/>
      <c r="G99" s="105"/>
      <c r="H99" s="105"/>
      <c r="I99" s="106"/>
    </row>
    <row r="100" spans="1:9" s="92" customFormat="1" outlineLevel="1" x14ac:dyDescent="0.25">
      <c r="A100" s="102"/>
      <c r="B100" s="88" t="s">
        <v>64</v>
      </c>
      <c r="C100" s="103" t="s">
        <v>143</v>
      </c>
      <c r="D100" s="89">
        <v>1</v>
      </c>
      <c r="E100" s="104"/>
      <c r="F100" s="89"/>
      <c r="G100" s="105"/>
      <c r="H100" s="105"/>
      <c r="I100" s="106"/>
    </row>
    <row r="101" spans="1:9" s="96" customFormat="1" x14ac:dyDescent="0.25">
      <c r="A101" s="97" t="s">
        <v>14</v>
      </c>
      <c r="B101" s="108" t="s">
        <v>66</v>
      </c>
      <c r="C101" s="86"/>
      <c r="D101" s="87">
        <v>5</v>
      </c>
      <c r="E101" s="98"/>
      <c r="F101" s="87" t="s">
        <v>148</v>
      </c>
      <c r="G101" s="99">
        <f>G98</f>
        <v>3229000</v>
      </c>
      <c r="H101" s="99">
        <f>D101*G101</f>
        <v>16145000</v>
      </c>
      <c r="I101" s="101"/>
    </row>
    <row r="102" spans="1:9" s="92" customFormat="1" outlineLevel="1" x14ac:dyDescent="0.25">
      <c r="A102" s="102"/>
      <c r="B102" s="88" t="s">
        <v>141</v>
      </c>
      <c r="C102" s="103" t="s">
        <v>142</v>
      </c>
      <c r="D102" s="89">
        <v>1</v>
      </c>
      <c r="E102" s="104"/>
      <c r="F102" s="89"/>
      <c r="G102" s="105"/>
      <c r="H102" s="105"/>
      <c r="I102" s="106"/>
    </row>
    <row r="103" spans="1:9" s="92" customFormat="1" outlineLevel="1" x14ac:dyDescent="0.25">
      <c r="A103" s="102"/>
      <c r="B103" s="88" t="s">
        <v>64</v>
      </c>
      <c r="C103" s="103" t="s">
        <v>143</v>
      </c>
      <c r="D103" s="89">
        <v>1</v>
      </c>
      <c r="E103" s="104"/>
      <c r="F103" s="89"/>
      <c r="G103" s="105"/>
      <c r="H103" s="105"/>
      <c r="I103" s="106"/>
    </row>
    <row r="104" spans="1:9" s="96" customFormat="1" x14ac:dyDescent="0.25">
      <c r="A104" s="97" t="s">
        <v>67</v>
      </c>
      <c r="B104" s="108" t="s">
        <v>68</v>
      </c>
      <c r="C104" s="86"/>
      <c r="D104" s="87">
        <v>5</v>
      </c>
      <c r="E104" s="98"/>
      <c r="F104" s="87" t="s">
        <v>161</v>
      </c>
      <c r="G104" s="99">
        <v>12859000</v>
      </c>
      <c r="H104" s="99">
        <f>D104*G104</f>
        <v>64295000</v>
      </c>
      <c r="I104" s="101"/>
    </row>
    <row r="105" spans="1:9" s="92" customFormat="1" outlineLevel="1" x14ac:dyDescent="0.25">
      <c r="A105" s="102"/>
      <c r="B105" s="88" t="s">
        <v>159</v>
      </c>
      <c r="C105" s="103" t="s">
        <v>160</v>
      </c>
      <c r="D105" s="89">
        <v>1</v>
      </c>
      <c r="E105" s="104"/>
      <c r="F105" s="89"/>
      <c r="G105" s="105"/>
      <c r="H105" s="105"/>
      <c r="I105" s="106"/>
    </row>
    <row r="106" spans="1:9" s="92" customFormat="1" outlineLevel="1" x14ac:dyDescent="0.25">
      <c r="A106" s="102"/>
      <c r="B106" s="88" t="s">
        <v>64</v>
      </c>
      <c r="C106" s="103" t="s">
        <v>143</v>
      </c>
      <c r="D106" s="89">
        <v>1</v>
      </c>
      <c r="E106" s="104"/>
      <c r="F106" s="89"/>
      <c r="G106" s="105"/>
      <c r="H106" s="105"/>
      <c r="I106" s="106"/>
    </row>
    <row r="107" spans="1:9" s="52" customFormat="1" ht="19.5" thickBot="1" x14ac:dyDescent="0.3">
      <c r="A107" s="47"/>
      <c r="B107" s="17" t="s">
        <v>123</v>
      </c>
      <c r="C107" s="48"/>
      <c r="D107" s="49"/>
      <c r="E107" s="49"/>
      <c r="F107" s="18"/>
      <c r="G107" s="50"/>
      <c r="H107" s="50">
        <f>SUM(H2:H106)</f>
        <v>13295007000</v>
      </c>
      <c r="I107" s="51"/>
    </row>
    <row r="108" spans="1:9" x14ac:dyDescent="0.25">
      <c r="H108" s="117"/>
    </row>
    <row r="109" spans="1:9" x14ac:dyDescent="0.25">
      <c r="H109" s="11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"/>
  <sheetViews>
    <sheetView topLeftCell="A10" workbookViewId="0">
      <selection activeCell="B27" sqref="B27"/>
    </sheetView>
  </sheetViews>
  <sheetFormatPr defaultColWidth="9.140625" defaultRowHeight="15" x14ac:dyDescent="0.25"/>
  <cols>
    <col min="1" max="1" width="6.28515625" style="69" bestFit="1" customWidth="1"/>
    <col min="2" max="2" width="75.28515625" style="60" customWidth="1"/>
    <col min="3" max="3" width="22.5703125" style="66" customWidth="1"/>
    <col min="4" max="4" width="8.7109375" style="66" bestFit="1" customWidth="1"/>
    <col min="5" max="5" width="22.85546875" style="60" customWidth="1"/>
    <col min="6" max="6" width="23.7109375" style="60" customWidth="1"/>
    <col min="7" max="7" width="12.7109375" style="60" bestFit="1" customWidth="1"/>
    <col min="8" max="16384" width="9.140625" style="60"/>
  </cols>
  <sheetData>
    <row r="1" spans="1:7" ht="21.75" customHeight="1" x14ac:dyDescent="0.25">
      <c r="A1" s="55" t="s">
        <v>0</v>
      </c>
      <c r="B1" s="55" t="s">
        <v>1</v>
      </c>
      <c r="C1" s="55" t="s">
        <v>81</v>
      </c>
      <c r="D1" s="55" t="s">
        <v>2</v>
      </c>
      <c r="E1" s="59" t="s">
        <v>127</v>
      </c>
      <c r="F1" s="55" t="s">
        <v>125</v>
      </c>
      <c r="G1" s="55" t="s">
        <v>126</v>
      </c>
    </row>
    <row r="2" spans="1:7" x14ac:dyDescent="0.25">
      <c r="A2" s="72">
        <v>1</v>
      </c>
      <c r="B2" s="61" t="s">
        <v>82</v>
      </c>
      <c r="C2" s="57"/>
      <c r="D2" s="57"/>
      <c r="E2" s="57"/>
      <c r="F2" s="57"/>
      <c r="G2" s="57"/>
    </row>
    <row r="3" spans="1:7" x14ac:dyDescent="0.25">
      <c r="A3" s="73"/>
      <c r="B3" s="62" t="s">
        <v>83</v>
      </c>
      <c r="C3" s="56"/>
      <c r="D3" s="56"/>
      <c r="E3" s="63"/>
      <c r="F3" s="63"/>
      <c r="G3" s="62" t="s">
        <v>84</v>
      </c>
    </row>
    <row r="4" spans="1:7" x14ac:dyDescent="0.25">
      <c r="A4" s="73"/>
      <c r="B4" s="64" t="s">
        <v>85</v>
      </c>
      <c r="C4" s="65" t="s">
        <v>86</v>
      </c>
      <c r="D4" s="56">
        <v>6</v>
      </c>
      <c r="E4" s="63">
        <v>15200000</v>
      </c>
      <c r="F4" s="63">
        <f>E4*D4</f>
        <v>91200000</v>
      </c>
      <c r="G4" s="62"/>
    </row>
    <row r="5" spans="1:7" x14ac:dyDescent="0.25">
      <c r="A5" s="73"/>
      <c r="B5" s="62" t="s">
        <v>87</v>
      </c>
      <c r="C5" s="56"/>
      <c r="D5" s="56"/>
      <c r="E5" s="63"/>
      <c r="F5" s="63"/>
      <c r="G5" s="62" t="s">
        <v>84</v>
      </c>
    </row>
    <row r="6" spans="1:7" x14ac:dyDescent="0.25">
      <c r="A6" s="73"/>
      <c r="B6" s="62" t="s">
        <v>88</v>
      </c>
      <c r="C6" s="56" t="s">
        <v>89</v>
      </c>
      <c r="D6" s="56">
        <v>24</v>
      </c>
      <c r="E6" s="63">
        <v>12600000</v>
      </c>
      <c r="F6" s="63">
        <f>E6*D6</f>
        <v>302400000</v>
      </c>
      <c r="G6" s="62"/>
    </row>
    <row r="7" spans="1:7" x14ac:dyDescent="0.25">
      <c r="A7" s="72">
        <v>2</v>
      </c>
      <c r="B7" s="61" t="s">
        <v>90</v>
      </c>
      <c r="C7" s="57"/>
      <c r="D7" s="57"/>
      <c r="E7" s="57"/>
      <c r="F7" s="57"/>
      <c r="G7" s="57"/>
    </row>
    <row r="8" spans="1:7" x14ac:dyDescent="0.25">
      <c r="A8" s="73"/>
      <c r="B8" s="62" t="s">
        <v>91</v>
      </c>
      <c r="C8" s="56"/>
      <c r="D8" s="56"/>
      <c r="E8" s="63"/>
      <c r="F8" s="63"/>
      <c r="G8" s="62" t="s">
        <v>92</v>
      </c>
    </row>
    <row r="9" spans="1:7" x14ac:dyDescent="0.25">
      <c r="A9" s="73"/>
      <c r="B9" s="62" t="s">
        <v>93</v>
      </c>
      <c r="C9" s="56" t="s">
        <v>94</v>
      </c>
      <c r="D9" s="56">
        <v>37</v>
      </c>
      <c r="E9" s="63">
        <v>2420000</v>
      </c>
      <c r="F9" s="63">
        <f>E9*D9</f>
        <v>89540000</v>
      </c>
      <c r="G9" s="62"/>
    </row>
    <row r="10" spans="1:7" x14ac:dyDescent="0.25">
      <c r="A10" s="74"/>
      <c r="B10" s="62" t="s">
        <v>95</v>
      </c>
      <c r="C10" s="56"/>
      <c r="D10" s="58"/>
      <c r="E10" s="63"/>
      <c r="F10" s="63"/>
      <c r="G10" s="62" t="s">
        <v>92</v>
      </c>
    </row>
    <row r="11" spans="1:7" x14ac:dyDescent="0.25">
      <c r="A11" s="74"/>
      <c r="B11" s="62" t="s">
        <v>96</v>
      </c>
      <c r="C11" s="56" t="s">
        <v>97</v>
      </c>
      <c r="D11" s="58">
        <v>53</v>
      </c>
      <c r="E11" s="63">
        <v>4400000</v>
      </c>
      <c r="F11" s="63">
        <f>E11*D11</f>
        <v>233200000</v>
      </c>
      <c r="G11" s="62"/>
    </row>
    <row r="12" spans="1:7" x14ac:dyDescent="0.25">
      <c r="A12" s="74"/>
      <c r="B12" s="62" t="s">
        <v>98</v>
      </c>
      <c r="C12" s="56"/>
      <c r="D12" s="58"/>
      <c r="E12" s="63"/>
      <c r="F12" s="63"/>
      <c r="G12" s="62" t="s">
        <v>99</v>
      </c>
    </row>
    <row r="13" spans="1:7" x14ac:dyDescent="0.25">
      <c r="A13" s="74"/>
      <c r="B13" s="62" t="s">
        <v>100</v>
      </c>
      <c r="C13" s="56" t="s">
        <v>101</v>
      </c>
      <c r="D13" s="58">
        <v>94</v>
      </c>
      <c r="E13" s="63">
        <v>340000</v>
      </c>
      <c r="F13" s="63">
        <f>E13*D13</f>
        <v>31960000</v>
      </c>
      <c r="G13" s="62"/>
    </row>
    <row r="14" spans="1:7" x14ac:dyDescent="0.25">
      <c r="A14" s="74"/>
      <c r="B14" s="62" t="s">
        <v>102</v>
      </c>
      <c r="C14" s="56"/>
      <c r="D14" s="58"/>
      <c r="E14" s="63"/>
      <c r="F14" s="63"/>
      <c r="G14" s="62" t="s">
        <v>92</v>
      </c>
    </row>
    <row r="15" spans="1:7" ht="30" x14ac:dyDescent="0.25">
      <c r="A15" s="74"/>
      <c r="B15" s="64" t="s">
        <v>103</v>
      </c>
      <c r="C15" s="56" t="s">
        <v>104</v>
      </c>
      <c r="D15" s="58">
        <v>3432</v>
      </c>
      <c r="E15" s="63">
        <v>90000</v>
      </c>
      <c r="F15" s="63">
        <f>E15*D15</f>
        <v>308880000</v>
      </c>
      <c r="G15" s="62"/>
    </row>
    <row r="16" spans="1:7" x14ac:dyDescent="0.25">
      <c r="A16" s="72">
        <v>3</v>
      </c>
      <c r="B16" s="61" t="s">
        <v>105</v>
      </c>
      <c r="C16" s="57"/>
      <c r="D16" s="57"/>
      <c r="E16" s="57"/>
      <c r="F16" s="57"/>
      <c r="G16" s="57"/>
    </row>
    <row r="17" spans="1:9" x14ac:dyDescent="0.25">
      <c r="B17" s="62" t="s">
        <v>106</v>
      </c>
      <c r="C17" s="56"/>
      <c r="E17" s="63"/>
      <c r="F17" s="63"/>
      <c r="G17" s="62" t="s">
        <v>92</v>
      </c>
    </row>
    <row r="18" spans="1:9" x14ac:dyDescent="0.25">
      <c r="A18" s="74"/>
      <c r="B18" s="62" t="s">
        <v>107</v>
      </c>
      <c r="C18" s="56" t="s">
        <v>108</v>
      </c>
      <c r="D18" s="58">
        <v>24</v>
      </c>
      <c r="E18" s="63">
        <v>2300000</v>
      </c>
      <c r="F18" s="63">
        <f t="shared" ref="F18:F26" si="0">E18*D18</f>
        <v>55200000</v>
      </c>
      <c r="G18" s="62"/>
    </row>
    <row r="19" spans="1:9" x14ac:dyDescent="0.25">
      <c r="A19" s="74"/>
      <c r="B19" s="62" t="s">
        <v>109</v>
      </c>
      <c r="C19" s="56"/>
      <c r="D19" s="58"/>
      <c r="E19" s="63"/>
      <c r="F19" s="63"/>
      <c r="G19" s="62" t="s">
        <v>92</v>
      </c>
    </row>
    <row r="20" spans="1:9" x14ac:dyDescent="0.25">
      <c r="A20" s="73"/>
      <c r="B20" s="62" t="s">
        <v>110</v>
      </c>
      <c r="C20" s="56" t="s">
        <v>111</v>
      </c>
      <c r="D20" s="56">
        <v>6</v>
      </c>
      <c r="E20" s="63">
        <v>3120000</v>
      </c>
      <c r="F20" s="63">
        <f t="shared" si="0"/>
        <v>18720000</v>
      </c>
      <c r="G20" s="62"/>
    </row>
    <row r="21" spans="1:9" x14ac:dyDescent="0.25">
      <c r="A21" s="73"/>
      <c r="B21" s="64" t="s">
        <v>112</v>
      </c>
      <c r="C21" s="56"/>
      <c r="D21" s="56"/>
      <c r="E21" s="63"/>
      <c r="F21" s="63"/>
      <c r="G21" s="62" t="s">
        <v>92</v>
      </c>
    </row>
    <row r="22" spans="1:9" x14ac:dyDescent="0.25">
      <c r="A22" s="73"/>
      <c r="B22" s="64" t="s">
        <v>113</v>
      </c>
      <c r="C22" s="56" t="s">
        <v>114</v>
      </c>
      <c r="D22" s="56">
        <v>54</v>
      </c>
      <c r="E22" s="63">
        <v>650000</v>
      </c>
      <c r="F22" s="63">
        <f t="shared" si="0"/>
        <v>35100000</v>
      </c>
      <c r="G22" s="62"/>
    </row>
    <row r="23" spans="1:9" x14ac:dyDescent="0.25">
      <c r="A23" s="73"/>
      <c r="B23" s="62" t="s">
        <v>115</v>
      </c>
      <c r="C23" s="56"/>
      <c r="D23" s="56"/>
      <c r="E23" s="63"/>
      <c r="F23" s="63"/>
      <c r="G23" s="62" t="s">
        <v>92</v>
      </c>
    </row>
    <row r="24" spans="1:9" x14ac:dyDescent="0.25">
      <c r="A24" s="73"/>
      <c r="B24" s="62" t="s">
        <v>116</v>
      </c>
      <c r="C24" s="56" t="s">
        <v>117</v>
      </c>
      <c r="D24" s="56">
        <v>200</v>
      </c>
      <c r="E24" s="63">
        <v>430000</v>
      </c>
      <c r="F24" s="63">
        <f t="shared" si="0"/>
        <v>86000000</v>
      </c>
      <c r="G24" s="62"/>
    </row>
    <row r="25" spans="1:9" x14ac:dyDescent="0.25">
      <c r="A25" s="73"/>
      <c r="B25" s="62" t="s">
        <v>118</v>
      </c>
      <c r="C25" s="56"/>
      <c r="D25" s="56"/>
      <c r="E25" s="63"/>
      <c r="F25" s="63"/>
      <c r="G25" s="62" t="s">
        <v>92</v>
      </c>
    </row>
    <row r="26" spans="1:9" ht="30" x14ac:dyDescent="0.25">
      <c r="A26" s="73"/>
      <c r="B26" s="64" t="s">
        <v>119</v>
      </c>
      <c r="C26" s="56" t="s">
        <v>120</v>
      </c>
      <c r="D26" s="56">
        <v>400</v>
      </c>
      <c r="E26" s="63">
        <v>96000</v>
      </c>
      <c r="F26" s="63">
        <f t="shared" si="0"/>
        <v>38400000</v>
      </c>
      <c r="G26" s="62"/>
    </row>
    <row r="27" spans="1:9" x14ac:dyDescent="0.25">
      <c r="A27" s="72">
        <v>4</v>
      </c>
      <c r="B27" s="61" t="s">
        <v>121</v>
      </c>
      <c r="C27" s="67"/>
      <c r="D27" s="57"/>
      <c r="E27" s="57"/>
      <c r="F27" s="57"/>
      <c r="G27" s="57"/>
    </row>
    <row r="28" spans="1:9" x14ac:dyDescent="0.25">
      <c r="A28" s="74"/>
      <c r="B28" s="62" t="s">
        <v>122</v>
      </c>
      <c r="C28" s="62"/>
      <c r="D28" s="58"/>
      <c r="E28" s="63"/>
      <c r="F28" s="63"/>
      <c r="G28" s="62" t="s">
        <v>155</v>
      </c>
    </row>
    <row r="29" spans="1:9" x14ac:dyDescent="0.25">
      <c r="A29" s="73"/>
      <c r="B29" s="62" t="s">
        <v>153</v>
      </c>
      <c r="C29" s="56" t="s">
        <v>154</v>
      </c>
      <c r="D29" s="56">
        <v>60</v>
      </c>
      <c r="E29" s="63">
        <v>2700000</v>
      </c>
      <c r="F29" s="63">
        <f t="shared" ref="F29" si="1">E29*D29</f>
        <v>162000000</v>
      </c>
      <c r="G29" s="62"/>
    </row>
    <row r="30" spans="1:9" x14ac:dyDescent="0.25">
      <c r="A30" s="72">
        <v>5</v>
      </c>
      <c r="B30" s="61" t="s">
        <v>128</v>
      </c>
      <c r="C30" s="67"/>
      <c r="D30" s="57"/>
      <c r="E30" s="57"/>
      <c r="F30" s="57"/>
      <c r="G30" s="57"/>
    </row>
    <row r="31" spans="1:9" x14ac:dyDescent="0.25">
      <c r="A31" s="73"/>
      <c r="B31" s="62" t="s">
        <v>129</v>
      </c>
      <c r="C31" s="56"/>
      <c r="D31" s="56">
        <v>1</v>
      </c>
      <c r="E31" s="63">
        <v>30000000</v>
      </c>
      <c r="F31" s="63">
        <f t="shared" ref="F31:F38" si="2">E31*D31</f>
        <v>30000000</v>
      </c>
      <c r="G31" s="62"/>
      <c r="I31" s="84"/>
    </row>
    <row r="32" spans="1:9" x14ac:dyDescent="0.25">
      <c r="A32" s="73"/>
      <c r="B32" s="62" t="s">
        <v>130</v>
      </c>
      <c r="C32" s="56"/>
      <c r="D32" s="56">
        <v>400</v>
      </c>
      <c r="E32" s="63">
        <v>240000</v>
      </c>
      <c r="F32" s="63">
        <f t="shared" si="2"/>
        <v>96000000</v>
      </c>
      <c r="G32" s="62"/>
    </row>
    <row r="33" spans="1:7" x14ac:dyDescent="0.25">
      <c r="A33" s="73"/>
      <c r="B33" s="64" t="s">
        <v>131</v>
      </c>
      <c r="C33" s="56"/>
      <c r="D33" s="56">
        <v>1</v>
      </c>
      <c r="E33" s="63">
        <v>70000000</v>
      </c>
      <c r="F33" s="63">
        <f t="shared" si="2"/>
        <v>70000000</v>
      </c>
      <c r="G33" s="62"/>
    </row>
    <row r="34" spans="1:7" x14ac:dyDescent="0.25">
      <c r="A34" s="73"/>
      <c r="B34" s="62" t="s">
        <v>132</v>
      </c>
      <c r="C34" s="56"/>
      <c r="D34" s="56">
        <v>1</v>
      </c>
      <c r="E34" s="63">
        <v>30000000</v>
      </c>
      <c r="F34" s="63">
        <f t="shared" si="2"/>
        <v>30000000</v>
      </c>
      <c r="G34" s="62"/>
    </row>
    <row r="35" spans="1:7" x14ac:dyDescent="0.25">
      <c r="A35" s="73"/>
      <c r="B35" s="62" t="s">
        <v>133</v>
      </c>
      <c r="C35" s="56"/>
      <c r="D35" s="56">
        <v>3432</v>
      </c>
      <c r="E35" s="63">
        <v>6000</v>
      </c>
      <c r="F35" s="63">
        <f t="shared" si="2"/>
        <v>20592000</v>
      </c>
      <c r="G35" s="62"/>
    </row>
    <row r="36" spans="1:7" ht="30" x14ac:dyDescent="0.25">
      <c r="A36" s="73"/>
      <c r="B36" s="64" t="s">
        <v>156</v>
      </c>
      <c r="C36" s="56"/>
      <c r="D36" s="56">
        <v>3432</v>
      </c>
      <c r="E36" s="63">
        <v>65000</v>
      </c>
      <c r="F36" s="63">
        <f t="shared" si="2"/>
        <v>223080000</v>
      </c>
      <c r="G36" s="62"/>
    </row>
    <row r="37" spans="1:7" ht="30" x14ac:dyDescent="0.25">
      <c r="A37" s="73"/>
      <c r="B37" s="64" t="s">
        <v>134</v>
      </c>
      <c r="C37" s="56"/>
      <c r="D37" s="56">
        <v>3432</v>
      </c>
      <c r="E37" s="63">
        <v>40000</v>
      </c>
      <c r="F37" s="63">
        <f t="shared" si="2"/>
        <v>137280000</v>
      </c>
      <c r="G37" s="62"/>
    </row>
    <row r="38" spans="1:7" x14ac:dyDescent="0.25">
      <c r="A38" s="73"/>
      <c r="B38" s="62" t="s">
        <v>132</v>
      </c>
      <c r="C38" s="56"/>
      <c r="D38" s="56">
        <v>3432</v>
      </c>
      <c r="E38" s="63">
        <v>20000</v>
      </c>
      <c r="F38" s="63">
        <f t="shared" si="2"/>
        <v>68640000</v>
      </c>
      <c r="G38" s="62"/>
    </row>
    <row r="39" spans="1:7" s="83" customFormat="1" ht="18.75" x14ac:dyDescent="0.25">
      <c r="A39" s="79"/>
      <c r="B39" s="80" t="s">
        <v>124</v>
      </c>
      <c r="C39" s="79"/>
      <c r="D39" s="79"/>
      <c r="E39" s="81"/>
      <c r="F39" s="82">
        <f>SUM(F3:F38)</f>
        <v>2128192000</v>
      </c>
      <c r="G39" s="80"/>
    </row>
    <row r="40" spans="1:7" s="68" customFormat="1" x14ac:dyDescent="0.25">
      <c r="A40" s="69"/>
      <c r="C40" s="69"/>
      <c r="D40" s="69"/>
      <c r="E40" s="70"/>
      <c r="F40" s="71"/>
    </row>
    <row r="41" spans="1:7" s="68" customFormat="1" x14ac:dyDescent="0.25">
      <c r="A41" s="69"/>
      <c r="C41" s="69"/>
      <c r="D41" s="69"/>
      <c r="E41" s="70"/>
      <c r="F41" s="7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Networking BOQ</vt:lpstr>
      <vt:lpstr>Accessories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dangt</dc:creator>
  <cp:lastModifiedBy>Windows User</cp:lastModifiedBy>
  <dcterms:created xsi:type="dcterms:W3CDTF">2019-06-15T15:58:35Z</dcterms:created>
  <dcterms:modified xsi:type="dcterms:W3CDTF">2020-03-17T10:53:45Z</dcterms:modified>
</cp:coreProperties>
</file>