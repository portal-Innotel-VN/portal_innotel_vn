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Documents\KHACH HANG\KND Swiss-Belvillas Solavita Binh Tien\BG T8\"/>
    </mc:Choice>
  </mc:AlternateContent>
  <xr:revisionPtr revIDLastSave="0" documentId="13_ncr:1_{BAB0CB74-79B2-4E55-8F46-5B20B9350E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T" sheetId="8" r:id="rId1"/>
  </sheets>
  <definedNames>
    <definedName name="_xlnm.Print_Area" localSheetId="0">BT!$B$1:$L$72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8" l="1"/>
  <c r="L24" i="8"/>
  <c r="L25" i="8"/>
  <c r="L26" i="8"/>
  <c r="L27" i="8"/>
  <c r="L28" i="8"/>
  <c r="L21" i="8"/>
  <c r="L29" i="8"/>
  <c r="L30" i="8"/>
  <c r="L31" i="8"/>
  <c r="L33" i="8"/>
  <c r="L34" i="8"/>
  <c r="L32" i="8"/>
  <c r="L22" i="8"/>
  <c r="L19" i="8"/>
  <c r="L18" i="8"/>
  <c r="L35" i="8"/>
  <c r="P11" i="8"/>
  <c r="O11" i="8"/>
  <c r="L37" i="8"/>
  <c r="L38" i="8"/>
  <c r="L11" i="8"/>
  <c r="R11" i="8"/>
  <c r="R35" i="8"/>
</calcChain>
</file>

<file path=xl/sharedStrings.xml><?xml version="1.0" encoding="utf-8"?>
<sst xmlns="http://schemas.openxmlformats.org/spreadsheetml/2006/main" count="84" uniqueCount="81">
  <si>
    <t>QUOTATION</t>
  </si>
  <si>
    <t>No.</t>
  </si>
  <si>
    <t>Descriptions</t>
  </si>
  <si>
    <t>Q'ty</t>
  </si>
  <si>
    <t>Warranty:</t>
  </si>
  <si>
    <t>Account Information:</t>
  </si>
  <si>
    <t>Please contact us if you need any further clarification</t>
  </si>
  <si>
    <t>ORDER CONFIRMATION</t>
  </si>
  <si>
    <t>This confirmation takes effect from the date of signing.</t>
  </si>
  <si>
    <t>Purchase confirmed by</t>
  </si>
  <si>
    <t>(Signature &amp; company stamp)</t>
  </si>
  <si>
    <t>Name/Title:</t>
  </si>
  <si>
    <t>Thank you very much for your business opportunity with us on this requirement, we are pleased to submit you the quotation as follows:</t>
  </si>
  <si>
    <t>We hope you will find our prices and terms satisfactory and expecting your order as soon aspossible.</t>
  </si>
  <si>
    <t xml:space="preserve">   Yours sincerely,</t>
  </si>
  <si>
    <t>Attn:</t>
  </si>
  <si>
    <t>Methods of Payment: Payment shall be made in Vietnamese Dong via bank transfer and apply as rate currently of Joint Stock Commercial Bank for Foreign Trade of Vietnam</t>
  </si>
  <si>
    <t>On behalf of Innotel</t>
  </si>
  <si>
    <t>Unit price
(VND)</t>
  </si>
  <si>
    <t>Amount 
(VND)</t>
  </si>
  <si>
    <t>Product Type</t>
  </si>
  <si>
    <t>UOM</t>
  </si>
  <si>
    <t>1</t>
  </si>
  <si>
    <t>SN</t>
  </si>
  <si>
    <r>
      <t xml:space="preserve">By signing this Quotation, We agree to buy and confirm the quantity, price and all the terms and conditions in this Quotation. Rights and obligations of Innotel and </t>
    </r>
    <r>
      <rPr>
        <b/>
        <sz val="10"/>
        <color theme="1"/>
        <rFont val="Times New Roman"/>
        <family val="1"/>
      </rPr>
      <t xml:space="preserve">... </t>
    </r>
    <r>
      <rPr>
        <sz val="10"/>
        <color theme="1"/>
        <rFont val="Times New Roman"/>
        <family val="1"/>
      </rPr>
      <t>from the effective date of order confirmation.</t>
    </r>
  </si>
  <si>
    <t>Leadtime order</t>
  </si>
  <si>
    <t>Có sẵn</t>
  </si>
  <si>
    <t>Delivery</t>
  </si>
  <si>
    <t>HPE MSA 2070</t>
  </si>
  <si>
    <t>HPE MSA 2070 16Gb Fibre Channel SFF Storage</t>
  </si>
  <si>
    <t>HPE MSA 14.4TB SAS 12G Enterprise 10K SFF (2.5in) M2 3yr Wty 6-pack HDD Bundle</t>
  </si>
  <si>
    <t>HPE MSA 16Gb Short Wave Fibre Channel SFP+ 4-pack Transceiver</t>
  </si>
  <si>
    <t>HPE Premier Flex LC/LC Multi-mode OM4 2 Fiber 5m Cable</t>
  </si>
  <si>
    <t>HPE 3Y Tech Care Basic Service</t>
  </si>
  <si>
    <t>HPE MSA 2070 Arrays Support</t>
  </si>
  <si>
    <t>1-1</t>
  </si>
  <si>
    <t>1-2</t>
  </si>
  <si>
    <t>1-3</t>
  </si>
  <si>
    <t>1-4</t>
  </si>
  <si>
    <t>1-5</t>
  </si>
  <si>
    <t>1-6</t>
  </si>
  <si>
    <t>Card Emulex LPE 16002, Dual Port 16Gb (bao gồm 2 module)</t>
  </si>
  <si>
    <t>RAM 32GB Samsung DDR 2400 ECC RDIMM</t>
  </si>
  <si>
    <t>3</t>
  </si>
  <si>
    <t>5. Bảo hành theo tiêu chuẩn nhà sản xuất.</t>
  </si>
  <si>
    <r>
      <t>To</t>
    </r>
    <r>
      <rPr>
        <b/>
        <sz val="10"/>
        <color theme="1"/>
        <rFont val="Times New Roman"/>
        <family val="1"/>
      </rPr>
      <t xml:space="preserve">:  </t>
    </r>
    <r>
      <rPr>
        <b/>
        <u/>
        <sz val="10"/>
        <color theme="1"/>
        <rFont val="Times New Roman"/>
        <family val="1"/>
      </rPr>
      <t>Khu nghỉ dưỡng Swiss-Belvillas Solavita Binh Tien</t>
    </r>
  </si>
  <si>
    <t>2</t>
  </si>
  <si>
    <t>4</t>
  </si>
  <si>
    <t>5</t>
  </si>
  <si>
    <t>6</t>
  </si>
  <si>
    <t>7</t>
  </si>
  <si>
    <t>8</t>
  </si>
  <si>
    <t>9</t>
  </si>
  <si>
    <t>10</t>
  </si>
  <si>
    <t>11</t>
  </si>
  <si>
    <t>USB SanDisk Z48 Ultra- 64GB USB 3.0</t>
  </si>
  <si>
    <t>12</t>
  </si>
  <si>
    <t>13</t>
  </si>
  <si>
    <t>14</t>
  </si>
  <si>
    <t>Dây Ugreen HDMI 1.4 Tròn - ĐEN - 10M   10110</t>
  </si>
  <si>
    <t xml:space="preserve">Dock đọc ổ cứng USB 3.0 sata 2.5 và 3.5inch 2 khe cắm (50857) </t>
  </si>
  <si>
    <t>APC EASY UPS BV1000I-MS (1000VA, AVR, Universal</t>
  </si>
  <si>
    <t>4. Thanh toán : Thanh toán 100% trước khi giao hàng.</t>
  </si>
  <si>
    <t>Dây Ugreen HDMI 1.4 Tròn - ĐEN - 5M    10109</t>
  </si>
  <si>
    <t>2. Thời gian giao hàng: 14 ngày kể từ ngày đặt hàng đối với các sản phẩm có sẵn.</t>
  </si>
  <si>
    <t>3. Giao hàng: Khách hàng chịu phí giao hàng.</t>
  </si>
  <si>
    <t>Bộ combo bàn phím + Mouse Logitech có dây MK200</t>
  </si>
  <si>
    <t>Bộ combo bàn phím + Mouse Logitech không dây MK220</t>
  </si>
  <si>
    <t>Bộ chia mạng Lan  Switch TP Link 5 port LS1005G</t>
  </si>
  <si>
    <t>Cáp mạng CAT6 UTP AMP Commscope CAT6</t>
  </si>
  <si>
    <t xml:space="preserve">Ổ cứng 2.5" Transcend 1Tb slim  H3Blu (TS1TSJ25H3B ) </t>
  </si>
  <si>
    <r>
      <rPr>
        <b/>
        <sz val="10"/>
        <rFont val="Times New Roman"/>
        <family val="1"/>
      </rPr>
      <t>NB DELL INSPIRON 15 3530</t>
    </r>
    <r>
      <rPr>
        <sz val="10"/>
        <rFont val="Times New Roman"/>
        <family val="1"/>
      </rPr>
      <t>/ INTEL(R) CORE(TM) I7-1355U/ 15.6"FHD/ 16G(2X8G)/ 512GB SSD/ 4 CELL-54WHR/ WIN 11 HOME/ OFFICEHOME24/ OS365 - 01Y NBDE_3530_N5I7421W1-SILVER</t>
    </r>
  </si>
  <si>
    <t>1. Hiệu lực báo giá: 07 ngày kể từ ngày chào giá</t>
  </si>
  <si>
    <r>
      <rPr>
        <b/>
        <sz val="10"/>
        <rFont val="Times New Roman"/>
        <family val="1"/>
      </rPr>
      <t>Bộ máy thiết kế</t>
    </r>
    <r>
      <rPr>
        <sz val="10"/>
        <rFont val="Times New Roman"/>
        <family val="1"/>
      </rPr>
      <t xml:space="preserve">
Main Gigabyte	B760M G P WIFI DDR4
CPU Intel	i7-14700
RAM Desktop XPOWER Pulse Gaming DDR4 3200Mhz KIT 32GB (16GBx2) UDIMM Dual, tản nhiệt
Samsung SSD MZ-V8V500BW 980 500GB M2 PCIe
Card đồ họa Gigabyte	GV-N3060WF2OC-12GD
Case Cooler Master MasterBox MB600L V2 w/o ODD,  Steel panel
Nguồn Cooler Master	Elite NEX PN700 230V
Logitech	920-002586	MK120
Màn hình máy tính Dell P2425H 23.8 inches,  FHD (1920 x 1080), IPS, 16:9, 5ms, VGA, HDMI, Display Port, 3xUSB 3.2 Gen 1 Type A (downstream), 1xUSB 3.2 Gen 1 Type B (upstream), 1xUSB 3.2 Gen 1 Type C (downstream, 15W PD)</t>
    </r>
  </si>
  <si>
    <t>Bộ test cáp mạng đa năng Noyafa NF-8209S</t>
  </si>
  <si>
    <t>TỔNG CỘNG CHƯA VAT (VND)</t>
  </si>
  <si>
    <t>VAT 8%</t>
  </si>
  <si>
    <t>TỔNG CỘNG GỒM VAT (VND)</t>
  </si>
  <si>
    <r>
      <t>Add</t>
    </r>
    <r>
      <rPr>
        <b/>
        <sz val="9"/>
        <color theme="1"/>
        <rFont val="Times New Roman"/>
        <family val="1"/>
      </rPr>
      <t xml:space="preserve">: Swiss-Belvillas Solavita Binh Tien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</rPr>
      <t xml:space="preserve"> Date:                        9/8/2025</t>
    </r>
    <r>
      <rPr>
        <b/>
        <sz val="9"/>
        <color theme="1"/>
        <rFont val="Times New Roman"/>
        <family val="1"/>
      </rPr>
      <t xml:space="preserve">
Cong Hai, Thuan Bac, Ninh Thuan, Vietnam.</t>
    </r>
  </si>
  <si>
    <r>
      <rPr>
        <b/>
        <sz val="11"/>
        <color theme="1"/>
        <rFont val="Times New Roman"/>
        <family val="1"/>
      </rPr>
      <t>THUAN PHONG INNOVATIVE TELECOMMUNICATION CO., LTD.</t>
    </r>
    <r>
      <rPr>
        <sz val="11"/>
        <color theme="1"/>
        <rFont val="Times New Roman"/>
        <family val="1"/>
      </rPr>
      <t xml:space="preserve">
Head Office: 55/31Tran Dinh Xu Street, 1 District, HCMC
Branch office: No 52 Chua Ha St., Cau Giay Dist., Ha Noi City
Website: http://www.innotel.com.vn            Email: mai.huynh@innotel.com.vn
Tel: (84 028) 38621119.                      Fax: (84 028) 38630366.
</t>
    </r>
  </si>
  <si>
    <r>
      <rPr>
        <b/>
        <sz val="10"/>
        <rFont val="Times New Roman"/>
        <family val="1"/>
      </rPr>
      <t>MÁY VI TÍNH ĐỂ BÀN (PC) LENOVO THINKCENTRE NEO 50T (Tower) GEN 5 _ 12UB0004VA</t>
    </r>
    <r>
      <rPr>
        <sz val="10"/>
        <rFont val="Times New Roman"/>
        <family val="1"/>
      </rPr>
      <t xml:space="preserve">
CPU : Intel Core i5-14400, 10C (6P + 4E) / 16T, P-core 2.5 / 4.7GHz, E-core 1.8 / 3.5GHz, 20MB
Ram : 8GB UDIMM DDR5-4800
Ổ Cứng :512GB SSD M.2 2280 PCIe 4.0x4 Performance NVMe Opal 2.0
Integrated Intel UHD Graphics 730/HDMI/DP/VGA/WL-BT/Kb/Mouse/1Y Premier Support Onsite;"
</t>
    </r>
    <r>
      <rPr>
        <b/>
        <sz val="10"/>
        <rFont val="Times New Roman"/>
        <family val="1"/>
      </rPr>
      <t>Màn Hình Lenovo Think Vision E22-30</t>
    </r>
    <r>
      <rPr>
        <sz val="10"/>
        <rFont val="Times New Roman"/>
        <family val="1"/>
      </rPr>
      <t xml:space="preserve">(C23215FE0) 21.5'' Monitor IPS /1920x1080/75Hz/ Loa:Speakers 2Wx2/ Cổng Kết nối : HDMI,DP,VGA /Black/ </t>
    </r>
    <r>
      <rPr>
        <b/>
        <sz val="10"/>
        <rFont val="Times New Roman"/>
        <family val="1"/>
      </rPr>
      <t>Warranty 3 year Onsite</t>
    </r>
    <r>
      <rPr>
        <sz val="10"/>
        <rFont val="Times New Roman"/>
        <family val="1"/>
      </rPr>
      <t xml:space="preserve">_63EBMAR2WW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</si>
</sst>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True&quot;;&quot;True&quot;;&quot;False&quot;"/>
    <numFmt numFmtId="165" formatCode="_(* #,##0_);_(* \(#,##0\);_(* &quot;-&quot;??_);_(@_)"/>
    <numFmt numFmtId="166" formatCode="#,##0.000"/>
    <numFmt numFmtId="167" formatCode="#,##0.0"/>
    <numFmt numFmtId="168" formatCode="_(* #,##0.0_);_(* \(#,##0.0\);_(* &quot;-&quot;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sz val="10"/>
      <name val="MS Sans Serif"/>
      <family val="2"/>
    </font>
    <font>
      <sz val="9"/>
      <name val=".VnTime"/>
      <family val="2"/>
    </font>
    <font>
      <u/>
      <sz val="10"/>
      <color indexed="12"/>
      <name val="Arial"/>
      <family val="2"/>
    </font>
    <font>
      <sz val="10"/>
      <name val=".VnTime"/>
      <family val="2"/>
    </font>
    <font>
      <sz val="10"/>
      <name val="Arial"/>
      <family val="2"/>
      <charset val="163"/>
    </font>
    <font>
      <u/>
      <sz val="11"/>
      <color theme="10"/>
      <name val="Calibri"/>
      <family val="2"/>
      <scheme val="minor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u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u/>
      <sz val="11"/>
      <color theme="10"/>
      <name val="Times New Roman"/>
      <family val="1"/>
    </font>
    <font>
      <i/>
      <u/>
      <sz val="10"/>
      <color theme="1"/>
      <name val="Times New Roman"/>
      <family val="1"/>
    </font>
    <font>
      <sz val="8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b/>
      <sz val="12"/>
      <color rgb="FF000000"/>
      <name val="Times New Roman"/>
      <family val="1"/>
    </font>
    <font>
      <b/>
      <u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5" fillId="0" borderId="2">
      <alignment horizontal="left" vertical="center"/>
    </xf>
    <xf numFmtId="0" fontId="4" fillId="0" borderId="0"/>
    <xf numFmtId="5" fontId="7" fillId="0" borderId="2">
      <alignment horizontal="left" vertical="top"/>
    </xf>
    <xf numFmtId="44" fontId="8" fillId="0" borderId="0" applyFont="0" applyFill="0" applyBorder="0" applyAlignment="0" applyProtection="0"/>
    <xf numFmtId="5" fontId="2" fillId="0" borderId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8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9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7" fillId="0" borderId="3">
      <alignment horizontal="left" vertical="top"/>
    </xf>
    <xf numFmtId="164" fontId="7" fillId="0" borderId="3">
      <alignment horizontal="left" vertical="top"/>
    </xf>
    <xf numFmtId="0" fontId="9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2">
    <xf numFmtId="0" fontId="0" fillId="0" borderId="0" xfId="0"/>
    <xf numFmtId="0" fontId="10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vertical="center" wrapText="1"/>
    </xf>
    <xf numFmtId="4" fontId="17" fillId="2" borderId="0" xfId="0" applyNumberFormat="1" applyFont="1" applyFill="1" applyAlignment="1">
      <alignment horizontal="right" vertical="center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indent="1"/>
    </xf>
    <xf numFmtId="0" fontId="15" fillId="3" borderId="0" xfId="0" quotePrefix="1" applyFont="1" applyFill="1" applyAlignment="1">
      <alignment horizontal="center" vertical="center"/>
    </xf>
    <xf numFmtId="0" fontId="23" fillId="0" borderId="0" xfId="20" applyFont="1"/>
    <xf numFmtId="0" fontId="24" fillId="3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165" fontId="16" fillId="0" borderId="0" xfId="1" applyNumberFormat="1" applyFont="1" applyAlignment="1">
      <alignment vertical="center"/>
    </xf>
    <xf numFmtId="43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1" fillId="0" borderId="0" xfId="1" applyNumberFormat="1" applyFont="1" applyAlignment="1">
      <alignment vertical="center"/>
    </xf>
    <xf numFmtId="9" fontId="21" fillId="0" borderId="0" xfId="0" applyNumberFormat="1" applyFont="1" applyAlignment="1">
      <alignment horizontal="center" vertical="center"/>
    </xf>
    <xf numFmtId="43" fontId="21" fillId="0" borderId="0" xfId="1" applyFont="1" applyAlignment="1">
      <alignment vertical="center"/>
    </xf>
    <xf numFmtId="43" fontId="21" fillId="0" borderId="0" xfId="0" applyNumberFormat="1" applyFont="1" applyAlignment="1">
      <alignment vertical="center"/>
    </xf>
    <xf numFmtId="165" fontId="15" fillId="0" borderId="0" xfId="1" applyNumberFormat="1" applyFont="1" applyAlignment="1">
      <alignment vertical="center"/>
    </xf>
    <xf numFmtId="165" fontId="15" fillId="0" borderId="0" xfId="0" applyNumberFormat="1" applyFont="1" applyAlignment="1">
      <alignment horizontal="center" vertical="center"/>
    </xf>
    <xf numFmtId="43" fontId="15" fillId="0" borderId="0" xfId="0" applyNumberFormat="1" applyFont="1" applyAlignment="1">
      <alignment vertical="center"/>
    </xf>
    <xf numFmtId="9" fontId="15" fillId="0" borderId="0" xfId="2" applyFont="1" applyAlignment="1">
      <alignment vertical="center"/>
    </xf>
    <xf numFmtId="0" fontId="15" fillId="0" borderId="0" xfId="0" applyFont="1" applyAlignment="1">
      <alignment vertical="center"/>
    </xf>
    <xf numFmtId="1" fontId="26" fillId="0" borderId="1" xfId="6" applyNumberFormat="1" applyFont="1" applyBorder="1" applyAlignment="1">
      <alignment horizontal="right" vertical="center"/>
    </xf>
    <xf numFmtId="1" fontId="26" fillId="0" borderId="1" xfId="6" applyNumberFormat="1" applyFont="1" applyBorder="1" applyAlignment="1">
      <alignment horizontal="center" vertical="center"/>
    </xf>
    <xf numFmtId="165" fontId="16" fillId="0" borderId="0" xfId="1" applyNumberFormat="1" applyFont="1" applyFill="1" applyAlignment="1">
      <alignment vertical="center"/>
    </xf>
    <xf numFmtId="43" fontId="16" fillId="0" borderId="0" xfId="1" applyFont="1" applyAlignment="1">
      <alignment vertical="center"/>
    </xf>
    <xf numFmtId="0" fontId="22" fillId="3" borderId="0" xfId="0" applyFont="1" applyFill="1" applyAlignment="1">
      <alignment vertical="center"/>
    </xf>
    <xf numFmtId="43" fontId="15" fillId="3" borderId="0" xfId="0" applyNumberFormat="1" applyFont="1" applyFill="1" applyAlignment="1">
      <alignment horizontal="right" vertical="center"/>
    </xf>
    <xf numFmtId="43" fontId="16" fillId="3" borderId="0" xfId="0" applyNumberFormat="1" applyFont="1" applyFill="1" applyAlignment="1">
      <alignment horizontal="center" vertical="center"/>
    </xf>
    <xf numFmtId="168" fontId="16" fillId="3" borderId="0" xfId="0" applyNumberFormat="1" applyFont="1" applyFill="1" applyAlignment="1">
      <alignment vertical="center"/>
    </xf>
    <xf numFmtId="0" fontId="15" fillId="3" borderId="0" xfId="0" applyFont="1" applyFill="1" applyAlignment="1">
      <alignment horizontal="right" vertical="center"/>
    </xf>
    <xf numFmtId="165" fontId="16" fillId="3" borderId="0" xfId="1" applyNumberFormat="1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165" fontId="16" fillId="3" borderId="0" xfId="1" applyNumberFormat="1" applyFont="1" applyFill="1" applyAlignment="1">
      <alignment horizontal="center" vertical="center"/>
    </xf>
    <xf numFmtId="165" fontId="16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5" fillId="3" borderId="0" xfId="0" quotePrefix="1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right" vertical="center" wrapText="1"/>
    </xf>
    <xf numFmtId="0" fontId="22" fillId="3" borderId="0" xfId="0" applyFont="1" applyFill="1" applyAlignment="1">
      <alignment horizontal="left" vertical="center"/>
    </xf>
    <xf numFmtId="0" fontId="12" fillId="4" borderId="0" xfId="21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12" fillId="3" borderId="0" xfId="21" applyFont="1" applyFill="1" applyAlignment="1">
      <alignment vertical="center"/>
    </xf>
    <xf numFmtId="0" fontId="21" fillId="3" borderId="0" xfId="0" applyFont="1" applyFill="1" applyAlignment="1">
      <alignment horizontal="right" vertical="center"/>
    </xf>
    <xf numFmtId="0" fontId="16" fillId="3" borderId="4" xfId="0" applyFont="1" applyFill="1" applyBorder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right" vertical="center"/>
    </xf>
    <xf numFmtId="0" fontId="20" fillId="3" borderId="0" xfId="7" applyFont="1" applyFill="1" applyAlignment="1">
      <alignment vertical="center"/>
    </xf>
    <xf numFmtId="165" fontId="15" fillId="3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43" fontId="16" fillId="3" borderId="0" xfId="1" applyFont="1" applyFill="1" applyAlignment="1">
      <alignment vertical="center"/>
    </xf>
    <xf numFmtId="43" fontId="25" fillId="0" borderId="0" xfId="1" applyFont="1" applyAlignment="1">
      <alignment horizontal="center" vertical="center"/>
    </xf>
    <xf numFmtId="43" fontId="15" fillId="0" borderId="0" xfId="1" applyFont="1" applyAlignment="1">
      <alignment vertical="center"/>
    </xf>
    <xf numFmtId="43" fontId="16" fillId="3" borderId="0" xfId="1" applyFont="1" applyFill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vertical="center" wrapText="1"/>
    </xf>
    <xf numFmtId="0" fontId="33" fillId="3" borderId="0" xfId="0" applyFont="1" applyFill="1" applyAlignment="1">
      <alignment vertical="center"/>
    </xf>
    <xf numFmtId="0" fontId="34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top"/>
    </xf>
    <xf numFmtId="0" fontId="12" fillId="0" borderId="1" xfId="0" applyFont="1" applyBorder="1" applyAlignment="1">
      <alignment horizontal="left" vertical="top" wrapText="1"/>
    </xf>
    <xf numFmtId="43" fontId="14" fillId="0" borderId="0" xfId="1" applyFont="1" applyAlignment="1">
      <alignment vertical="center"/>
    </xf>
    <xf numFmtId="165" fontId="14" fillId="0" borderId="0" xfId="1" applyNumberFormat="1" applyFont="1" applyAlignment="1">
      <alignment vertical="center"/>
    </xf>
    <xf numFmtId="0" fontId="34" fillId="0" borderId="1" xfId="0" applyFont="1" applyBorder="1" applyAlignment="1">
      <alignment horizontal="left" vertical="center" wrapText="1"/>
    </xf>
    <xf numFmtId="9" fontId="21" fillId="0" borderId="0" xfId="0" quotePrefix="1" applyNumberFormat="1" applyFont="1" applyAlignment="1">
      <alignment horizontal="center" vertical="center"/>
    </xf>
    <xf numFmtId="165" fontId="35" fillId="5" borderId="1" xfId="0" applyNumberFormat="1" applyFont="1" applyFill="1" applyBorder="1" applyAlignment="1">
      <alignment horizontal="center" vertical="center" wrapText="1"/>
    </xf>
    <xf numFmtId="165" fontId="26" fillId="5" borderId="1" xfId="1" applyNumberFormat="1" applyFont="1" applyFill="1" applyBorder="1" applyAlignment="1">
      <alignment horizontal="center" vertical="center"/>
    </xf>
    <xf numFmtId="165" fontId="14" fillId="0" borderId="0" xfId="1" applyNumberFormat="1" applyFont="1" applyAlignment="1">
      <alignment vertical="center" wrapText="1"/>
    </xf>
    <xf numFmtId="165" fontId="21" fillId="0" borderId="0" xfId="1" applyNumberFormat="1" applyFont="1" applyAlignment="1">
      <alignment vertical="center" wrapText="1"/>
    </xf>
    <xf numFmtId="165" fontId="14" fillId="0" borderId="0" xfId="1" applyNumberFormat="1" applyFont="1" applyAlignment="1">
      <alignment horizontal="left" vertical="center"/>
    </xf>
    <xf numFmtId="1" fontId="22" fillId="3" borderId="0" xfId="8" applyNumberFormat="1" applyFont="1" applyFill="1" applyBorder="1" applyAlignment="1">
      <alignment horizontal="center" vertical="center"/>
    </xf>
    <xf numFmtId="0" fontId="20" fillId="3" borderId="0" xfId="7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2" fontId="18" fillId="3" borderId="0" xfId="5" applyNumberFormat="1" applyFont="1" applyFill="1" applyAlignment="1">
      <alignment horizontal="center"/>
    </xf>
    <xf numFmtId="1" fontId="35" fillId="5" borderId="1" xfId="6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29" fillId="3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 wrapText="1"/>
    </xf>
    <xf numFmtId="0" fontId="32" fillId="3" borderId="0" xfId="0" applyFont="1" applyFill="1" applyAlignment="1">
      <alignment horizontal="left" vertical="center" wrapText="1"/>
    </xf>
    <xf numFmtId="1" fontId="26" fillId="5" borderId="5" xfId="6" applyNumberFormat="1" applyFont="1" applyFill="1" applyBorder="1" applyAlignment="1">
      <alignment horizontal="center" vertical="center"/>
    </xf>
    <xf numFmtId="1" fontId="26" fillId="5" borderId="6" xfId="6" applyNumberFormat="1" applyFont="1" applyFill="1" applyBorder="1" applyAlignment="1">
      <alignment horizontal="center" vertical="center"/>
    </xf>
    <xf numFmtId="1" fontId="26" fillId="5" borderId="7" xfId="6" applyNumberFormat="1" applyFont="1" applyFill="1" applyBorder="1" applyAlignment="1">
      <alignment horizontal="center" vertical="center"/>
    </xf>
  </cellXfs>
  <cellStyles count="23">
    <cellStyle name="Comma" xfId="1" builtinId="3"/>
    <cellStyle name="Comma 3" xfId="17" xr:uid="{00000000-0005-0000-0000-000001000000}"/>
    <cellStyle name="Comma 3 2" xfId="15" xr:uid="{00000000-0005-0000-0000-000002000000}"/>
    <cellStyle name="Currency 3" xfId="9" xr:uid="{00000000-0005-0000-0000-000003000000}"/>
    <cellStyle name="Currency 3 2" xfId="10" xr:uid="{00000000-0005-0000-0000-000004000000}"/>
    <cellStyle name="Hyperlink" xfId="20" builtinId="8"/>
    <cellStyle name="Hyperlink 2 2" xfId="12" xr:uid="{00000000-0005-0000-0000-000005000000}"/>
    <cellStyle name="Ledger 17 x 11 in 2" xfId="5" xr:uid="{00000000-0005-0000-0000-000006000000}"/>
    <cellStyle name="Ledger 17 x 11 in 2 2" xfId="11" xr:uid="{00000000-0005-0000-0000-000007000000}"/>
    <cellStyle name="Normal" xfId="0" builtinId="0"/>
    <cellStyle name="Normal 2" xfId="3" xr:uid="{00000000-0005-0000-0000-000009000000}"/>
    <cellStyle name="Normal 2 4" xfId="21" xr:uid="{8203E561-024E-0D4A-8373-5D3F6CF31469}"/>
    <cellStyle name="Normal 3" xfId="13" xr:uid="{00000000-0005-0000-0000-00000A000000}"/>
    <cellStyle name="Normal 6" xfId="4" xr:uid="{00000000-0005-0000-0000-00000B000000}"/>
    <cellStyle name="Normal_1_99_BGC" xfId="7" xr:uid="{00000000-0005-0000-0000-00000C000000}"/>
    <cellStyle name="Percent" xfId="2" builtinId="5"/>
    <cellStyle name="Percent 2" xfId="22" xr:uid="{6327EE2A-DD88-6449-B7FE-39ACC149067E}"/>
    <cellStyle name="Percent 2 2" xfId="16" xr:uid="{00000000-0005-0000-0000-00000E000000}"/>
    <cellStyle name="Percent 3 2" xfId="14" xr:uid="{00000000-0005-0000-0000-00000F000000}"/>
    <cellStyle name="vntxt1" xfId="8" xr:uid="{00000000-0005-0000-0000-000010000000}"/>
    <cellStyle name="vntxt1 3" xfId="18" xr:uid="{00000000-0005-0000-0000-000011000000}"/>
    <cellStyle name="vntxt1 3 2" xfId="19" xr:uid="{00000000-0005-0000-0000-000012000000}"/>
    <cellStyle name="vntxt2" xfId="6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97972</xdr:colOff>
      <xdr:row>2</xdr:row>
      <xdr:rowOff>152118</xdr:rowOff>
    </xdr:from>
    <xdr:to>
      <xdr:col>12</xdr:col>
      <xdr:colOff>0</xdr:colOff>
      <xdr:row>2</xdr:row>
      <xdr:rowOff>192740</xdr:rowOff>
    </xdr:to>
    <xdr:pic>
      <xdr:nvPicPr>
        <xdr:cNvPr id="4" name="Picture 3" descr="Image_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1213475"/>
          <a:ext cx="7477358" cy="40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98041</xdr:colOff>
      <xdr:row>0</xdr:row>
      <xdr:rowOff>165583</xdr:rowOff>
    </xdr:from>
    <xdr:to>
      <xdr:col>5</xdr:col>
      <xdr:colOff>1389898</xdr:colOff>
      <xdr:row>1</xdr:row>
      <xdr:rowOff>258596</xdr:rowOff>
    </xdr:to>
    <xdr:pic>
      <xdr:nvPicPr>
        <xdr:cNvPr id="8" name="Picture 28">
          <a:extLst>
            <a:ext uri="{FF2B5EF4-FFF2-40B4-BE49-F238E27FC236}">
              <a16:creationId xmlns:a16="http://schemas.microsoft.com/office/drawing/2014/main" id="{9B462DF6-4C2F-41F0-8E9B-FB425F13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841" y="165583"/>
          <a:ext cx="1639559" cy="691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2"/>
  <sheetViews>
    <sheetView showGridLines="0" tabSelected="1" view="pageBreakPreview" zoomScaleNormal="88" zoomScaleSheetLayoutView="100" workbookViewId="0">
      <selection activeCell="M21" sqref="M21:P34"/>
    </sheetView>
  </sheetViews>
  <sheetFormatPr defaultColWidth="8.81640625" defaultRowHeight="14"/>
  <cols>
    <col min="1" max="1" width="1.7265625" style="7" customWidth="1"/>
    <col min="2" max="2" width="5.36328125" style="7" customWidth="1"/>
    <col min="3" max="3" width="16.90625" style="7" hidden="1" customWidth="1"/>
    <col min="4" max="4" width="8.984375E-2" style="7" hidden="1" customWidth="1"/>
    <col min="5" max="5" width="2.7265625" style="7" hidden="1" customWidth="1"/>
    <col min="6" max="6" width="88.453125" style="7" customWidth="1"/>
    <col min="7" max="7" width="11.08984375" style="8" hidden="1" customWidth="1"/>
    <col min="8" max="8" width="6.36328125" style="7" customWidth="1"/>
    <col min="9" max="9" width="6.36328125" style="7" hidden="1" customWidth="1"/>
    <col min="10" max="10" width="8.81640625" style="7" hidden="1" customWidth="1"/>
    <col min="11" max="11" width="15.36328125" style="69" customWidth="1"/>
    <col min="12" max="12" width="17.453125" style="7" customWidth="1"/>
    <col min="13" max="13" width="85.54296875" style="7" customWidth="1"/>
    <col min="14" max="14" width="11.81640625" style="8" customWidth="1"/>
    <col min="15" max="15" width="13.36328125" style="41" customWidth="1"/>
    <col min="16" max="16" width="19.6328125" style="7" customWidth="1"/>
    <col min="17" max="17" width="21.08984375" style="7" hidden="1" customWidth="1"/>
    <col min="18" max="18" width="20.81640625" style="7" customWidth="1"/>
    <col min="19" max="19" width="25.1796875" style="7" customWidth="1"/>
    <col min="20" max="245" width="8.6328125" style="7"/>
    <col min="246" max="246" width="6" style="7" customWidth="1"/>
    <col min="247" max="247" width="10.1796875" style="7" customWidth="1"/>
    <col min="248" max="248" width="37.36328125" style="7" customWidth="1"/>
    <col min="249" max="249" width="7" style="7" customWidth="1"/>
    <col min="250" max="250" width="0" style="7" hidden="1" customWidth="1"/>
    <col min="251" max="251" width="14.1796875" style="7" customWidth="1"/>
    <col min="252" max="252" width="14.453125" style="7" customWidth="1"/>
    <col min="253" max="253" width="7.36328125" style="7" customWidth="1"/>
    <col min="254" max="254" width="16.1796875" style="7" customWidth="1"/>
    <col min="255" max="255" width="8.6328125" style="7" customWidth="1"/>
    <col min="256" max="256" width="14" style="7" customWidth="1"/>
    <col min="257" max="257" width="13.453125" style="7" customWidth="1"/>
    <col min="258" max="258" width="11.453125" style="7" customWidth="1"/>
    <col min="259" max="259" width="13.453125" style="7" customWidth="1"/>
    <col min="260" max="501" width="8.6328125" style="7"/>
    <col min="502" max="502" width="6" style="7" customWidth="1"/>
    <col min="503" max="503" width="10.1796875" style="7" customWidth="1"/>
    <col min="504" max="504" width="37.36328125" style="7" customWidth="1"/>
    <col min="505" max="505" width="7" style="7" customWidth="1"/>
    <col min="506" max="506" width="0" style="7" hidden="1" customWidth="1"/>
    <col min="507" max="507" width="14.1796875" style="7" customWidth="1"/>
    <col min="508" max="508" width="14.453125" style="7" customWidth="1"/>
    <col min="509" max="509" width="7.36328125" style="7" customWidth="1"/>
    <col min="510" max="510" width="16.1796875" style="7" customWidth="1"/>
    <col min="511" max="511" width="8.6328125" style="7" customWidth="1"/>
    <col min="512" max="512" width="14" style="7" customWidth="1"/>
    <col min="513" max="513" width="13.453125" style="7" customWidth="1"/>
    <col min="514" max="514" width="11.453125" style="7" customWidth="1"/>
    <col min="515" max="515" width="13.453125" style="7" customWidth="1"/>
    <col min="516" max="757" width="8.6328125" style="7"/>
    <col min="758" max="758" width="6" style="7" customWidth="1"/>
    <col min="759" max="759" width="10.1796875" style="7" customWidth="1"/>
    <col min="760" max="760" width="37.36328125" style="7" customWidth="1"/>
    <col min="761" max="761" width="7" style="7" customWidth="1"/>
    <col min="762" max="762" width="0" style="7" hidden="1" customWidth="1"/>
    <col min="763" max="763" width="14.1796875" style="7" customWidth="1"/>
    <col min="764" max="764" width="14.453125" style="7" customWidth="1"/>
    <col min="765" max="765" width="7.36328125" style="7" customWidth="1"/>
    <col min="766" max="766" width="16.1796875" style="7" customWidth="1"/>
    <col min="767" max="767" width="8.6328125" style="7" customWidth="1"/>
    <col min="768" max="768" width="14" style="7" customWidth="1"/>
    <col min="769" max="769" width="13.453125" style="7" customWidth="1"/>
    <col min="770" max="770" width="11.453125" style="7" customWidth="1"/>
    <col min="771" max="771" width="13.453125" style="7" customWidth="1"/>
    <col min="772" max="1013" width="8.6328125" style="7"/>
    <col min="1014" max="1014" width="6" style="7" customWidth="1"/>
    <col min="1015" max="1015" width="10.1796875" style="7" customWidth="1"/>
    <col min="1016" max="1016" width="37.36328125" style="7" customWidth="1"/>
    <col min="1017" max="1017" width="7" style="7" customWidth="1"/>
    <col min="1018" max="1018" width="0" style="7" hidden="1" customWidth="1"/>
    <col min="1019" max="1019" width="14.1796875" style="7" customWidth="1"/>
    <col min="1020" max="1020" width="14.453125" style="7" customWidth="1"/>
    <col min="1021" max="1021" width="7.36328125" style="7" customWidth="1"/>
    <col min="1022" max="1022" width="16.1796875" style="7" customWidth="1"/>
    <col min="1023" max="1023" width="8.6328125" style="7" customWidth="1"/>
    <col min="1024" max="1024" width="14" style="7" customWidth="1"/>
    <col min="1025" max="1025" width="13.453125" style="7" customWidth="1"/>
    <col min="1026" max="1026" width="11.453125" style="7" customWidth="1"/>
    <col min="1027" max="1027" width="13.453125" style="7" customWidth="1"/>
    <col min="1028" max="1269" width="8.6328125" style="7"/>
    <col min="1270" max="1270" width="6" style="7" customWidth="1"/>
    <col min="1271" max="1271" width="10.1796875" style="7" customWidth="1"/>
    <col min="1272" max="1272" width="37.36328125" style="7" customWidth="1"/>
    <col min="1273" max="1273" width="7" style="7" customWidth="1"/>
    <col min="1274" max="1274" width="0" style="7" hidden="1" customWidth="1"/>
    <col min="1275" max="1275" width="14.1796875" style="7" customWidth="1"/>
    <col min="1276" max="1276" width="14.453125" style="7" customWidth="1"/>
    <col min="1277" max="1277" width="7.36328125" style="7" customWidth="1"/>
    <col min="1278" max="1278" width="16.1796875" style="7" customWidth="1"/>
    <col min="1279" max="1279" width="8.6328125" style="7" customWidth="1"/>
    <col min="1280" max="1280" width="14" style="7" customWidth="1"/>
    <col min="1281" max="1281" width="13.453125" style="7" customWidth="1"/>
    <col min="1282" max="1282" width="11.453125" style="7" customWidth="1"/>
    <col min="1283" max="1283" width="13.453125" style="7" customWidth="1"/>
    <col min="1284" max="1525" width="8.6328125" style="7"/>
    <col min="1526" max="1526" width="6" style="7" customWidth="1"/>
    <col min="1527" max="1527" width="10.1796875" style="7" customWidth="1"/>
    <col min="1528" max="1528" width="37.36328125" style="7" customWidth="1"/>
    <col min="1529" max="1529" width="7" style="7" customWidth="1"/>
    <col min="1530" max="1530" width="0" style="7" hidden="1" customWidth="1"/>
    <col min="1531" max="1531" width="14.1796875" style="7" customWidth="1"/>
    <col min="1532" max="1532" width="14.453125" style="7" customWidth="1"/>
    <col min="1533" max="1533" width="7.36328125" style="7" customWidth="1"/>
    <col min="1534" max="1534" width="16.1796875" style="7" customWidth="1"/>
    <col min="1535" max="1535" width="8.6328125" style="7" customWidth="1"/>
    <col min="1536" max="1536" width="14" style="7" customWidth="1"/>
    <col min="1537" max="1537" width="13.453125" style="7" customWidth="1"/>
    <col min="1538" max="1538" width="11.453125" style="7" customWidth="1"/>
    <col min="1539" max="1539" width="13.453125" style="7" customWidth="1"/>
    <col min="1540" max="1781" width="8.6328125" style="7"/>
    <col min="1782" max="1782" width="6" style="7" customWidth="1"/>
    <col min="1783" max="1783" width="10.1796875" style="7" customWidth="1"/>
    <col min="1784" max="1784" width="37.36328125" style="7" customWidth="1"/>
    <col min="1785" max="1785" width="7" style="7" customWidth="1"/>
    <col min="1786" max="1786" width="0" style="7" hidden="1" customWidth="1"/>
    <col min="1787" max="1787" width="14.1796875" style="7" customWidth="1"/>
    <col min="1788" max="1788" width="14.453125" style="7" customWidth="1"/>
    <col min="1789" max="1789" width="7.36328125" style="7" customWidth="1"/>
    <col min="1790" max="1790" width="16.1796875" style="7" customWidth="1"/>
    <col min="1791" max="1791" width="8.6328125" style="7" customWidth="1"/>
    <col min="1792" max="1792" width="14" style="7" customWidth="1"/>
    <col min="1793" max="1793" width="13.453125" style="7" customWidth="1"/>
    <col min="1794" max="1794" width="11.453125" style="7" customWidth="1"/>
    <col min="1795" max="1795" width="13.453125" style="7" customWidth="1"/>
    <col min="1796" max="2037" width="8.6328125" style="7"/>
    <col min="2038" max="2038" width="6" style="7" customWidth="1"/>
    <col min="2039" max="2039" width="10.1796875" style="7" customWidth="1"/>
    <col min="2040" max="2040" width="37.36328125" style="7" customWidth="1"/>
    <col min="2041" max="2041" width="7" style="7" customWidth="1"/>
    <col min="2042" max="2042" width="0" style="7" hidden="1" customWidth="1"/>
    <col min="2043" max="2043" width="14.1796875" style="7" customWidth="1"/>
    <col min="2044" max="2044" width="14.453125" style="7" customWidth="1"/>
    <col min="2045" max="2045" width="7.36328125" style="7" customWidth="1"/>
    <col min="2046" max="2046" width="16.1796875" style="7" customWidth="1"/>
    <col min="2047" max="2047" width="8.6328125" style="7" customWidth="1"/>
    <col min="2048" max="2048" width="14" style="7" customWidth="1"/>
    <col min="2049" max="2049" width="13.453125" style="7" customWidth="1"/>
    <col min="2050" max="2050" width="11.453125" style="7" customWidth="1"/>
    <col min="2051" max="2051" width="13.453125" style="7" customWidth="1"/>
    <col min="2052" max="2293" width="8.6328125" style="7"/>
    <col min="2294" max="2294" width="6" style="7" customWidth="1"/>
    <col min="2295" max="2295" width="10.1796875" style="7" customWidth="1"/>
    <col min="2296" max="2296" width="37.36328125" style="7" customWidth="1"/>
    <col min="2297" max="2297" width="7" style="7" customWidth="1"/>
    <col min="2298" max="2298" width="0" style="7" hidden="1" customWidth="1"/>
    <col min="2299" max="2299" width="14.1796875" style="7" customWidth="1"/>
    <col min="2300" max="2300" width="14.453125" style="7" customWidth="1"/>
    <col min="2301" max="2301" width="7.36328125" style="7" customWidth="1"/>
    <col min="2302" max="2302" width="16.1796875" style="7" customWidth="1"/>
    <col min="2303" max="2303" width="8.6328125" style="7" customWidth="1"/>
    <col min="2304" max="2304" width="14" style="7" customWidth="1"/>
    <col min="2305" max="2305" width="13.453125" style="7" customWidth="1"/>
    <col min="2306" max="2306" width="11.453125" style="7" customWidth="1"/>
    <col min="2307" max="2307" width="13.453125" style="7" customWidth="1"/>
    <col min="2308" max="2549" width="8.6328125" style="7"/>
    <col min="2550" max="2550" width="6" style="7" customWidth="1"/>
    <col min="2551" max="2551" width="10.1796875" style="7" customWidth="1"/>
    <col min="2552" max="2552" width="37.36328125" style="7" customWidth="1"/>
    <col min="2553" max="2553" width="7" style="7" customWidth="1"/>
    <col min="2554" max="2554" width="0" style="7" hidden="1" customWidth="1"/>
    <col min="2555" max="2555" width="14.1796875" style="7" customWidth="1"/>
    <col min="2556" max="2556" width="14.453125" style="7" customWidth="1"/>
    <col min="2557" max="2557" width="7.36328125" style="7" customWidth="1"/>
    <col min="2558" max="2558" width="16.1796875" style="7" customWidth="1"/>
    <col min="2559" max="2559" width="8.6328125" style="7" customWidth="1"/>
    <col min="2560" max="2560" width="14" style="7" customWidth="1"/>
    <col min="2561" max="2561" width="13.453125" style="7" customWidth="1"/>
    <col min="2562" max="2562" width="11.453125" style="7" customWidth="1"/>
    <col min="2563" max="2563" width="13.453125" style="7" customWidth="1"/>
    <col min="2564" max="2805" width="8.6328125" style="7"/>
    <col min="2806" max="2806" width="6" style="7" customWidth="1"/>
    <col min="2807" max="2807" width="10.1796875" style="7" customWidth="1"/>
    <col min="2808" max="2808" width="37.36328125" style="7" customWidth="1"/>
    <col min="2809" max="2809" width="7" style="7" customWidth="1"/>
    <col min="2810" max="2810" width="0" style="7" hidden="1" customWidth="1"/>
    <col min="2811" max="2811" width="14.1796875" style="7" customWidth="1"/>
    <col min="2812" max="2812" width="14.453125" style="7" customWidth="1"/>
    <col min="2813" max="2813" width="7.36328125" style="7" customWidth="1"/>
    <col min="2814" max="2814" width="16.1796875" style="7" customWidth="1"/>
    <col min="2815" max="2815" width="8.6328125" style="7" customWidth="1"/>
    <col min="2816" max="2816" width="14" style="7" customWidth="1"/>
    <col min="2817" max="2817" width="13.453125" style="7" customWidth="1"/>
    <col min="2818" max="2818" width="11.453125" style="7" customWidth="1"/>
    <col min="2819" max="2819" width="13.453125" style="7" customWidth="1"/>
    <col min="2820" max="3061" width="8.6328125" style="7"/>
    <col min="3062" max="3062" width="6" style="7" customWidth="1"/>
    <col min="3063" max="3063" width="10.1796875" style="7" customWidth="1"/>
    <col min="3064" max="3064" width="37.36328125" style="7" customWidth="1"/>
    <col min="3065" max="3065" width="7" style="7" customWidth="1"/>
    <col min="3066" max="3066" width="0" style="7" hidden="1" customWidth="1"/>
    <col min="3067" max="3067" width="14.1796875" style="7" customWidth="1"/>
    <col min="3068" max="3068" width="14.453125" style="7" customWidth="1"/>
    <col min="3069" max="3069" width="7.36328125" style="7" customWidth="1"/>
    <col min="3070" max="3070" width="16.1796875" style="7" customWidth="1"/>
    <col min="3071" max="3071" width="8.6328125" style="7" customWidth="1"/>
    <col min="3072" max="3072" width="14" style="7" customWidth="1"/>
    <col min="3073" max="3073" width="13.453125" style="7" customWidth="1"/>
    <col min="3074" max="3074" width="11.453125" style="7" customWidth="1"/>
    <col min="3075" max="3075" width="13.453125" style="7" customWidth="1"/>
    <col min="3076" max="3317" width="8.6328125" style="7"/>
    <col min="3318" max="3318" width="6" style="7" customWidth="1"/>
    <col min="3319" max="3319" width="10.1796875" style="7" customWidth="1"/>
    <col min="3320" max="3320" width="37.36328125" style="7" customWidth="1"/>
    <col min="3321" max="3321" width="7" style="7" customWidth="1"/>
    <col min="3322" max="3322" width="0" style="7" hidden="1" customWidth="1"/>
    <col min="3323" max="3323" width="14.1796875" style="7" customWidth="1"/>
    <col min="3324" max="3324" width="14.453125" style="7" customWidth="1"/>
    <col min="3325" max="3325" width="7.36328125" style="7" customWidth="1"/>
    <col min="3326" max="3326" width="16.1796875" style="7" customWidth="1"/>
    <col min="3327" max="3327" width="8.6328125" style="7" customWidth="1"/>
    <col min="3328" max="3328" width="14" style="7" customWidth="1"/>
    <col min="3329" max="3329" width="13.453125" style="7" customWidth="1"/>
    <col min="3330" max="3330" width="11.453125" style="7" customWidth="1"/>
    <col min="3331" max="3331" width="13.453125" style="7" customWidth="1"/>
    <col min="3332" max="3573" width="8.6328125" style="7"/>
    <col min="3574" max="3574" width="6" style="7" customWidth="1"/>
    <col min="3575" max="3575" width="10.1796875" style="7" customWidth="1"/>
    <col min="3576" max="3576" width="37.36328125" style="7" customWidth="1"/>
    <col min="3577" max="3577" width="7" style="7" customWidth="1"/>
    <col min="3578" max="3578" width="0" style="7" hidden="1" customWidth="1"/>
    <col min="3579" max="3579" width="14.1796875" style="7" customWidth="1"/>
    <col min="3580" max="3580" width="14.453125" style="7" customWidth="1"/>
    <col min="3581" max="3581" width="7.36328125" style="7" customWidth="1"/>
    <col min="3582" max="3582" width="16.1796875" style="7" customWidth="1"/>
    <col min="3583" max="3583" width="8.6328125" style="7" customWidth="1"/>
    <col min="3584" max="3584" width="14" style="7" customWidth="1"/>
    <col min="3585" max="3585" width="13.453125" style="7" customWidth="1"/>
    <col min="3586" max="3586" width="11.453125" style="7" customWidth="1"/>
    <col min="3587" max="3587" width="13.453125" style="7" customWidth="1"/>
    <col min="3588" max="3829" width="8.6328125" style="7"/>
    <col min="3830" max="3830" width="6" style="7" customWidth="1"/>
    <col min="3831" max="3831" width="10.1796875" style="7" customWidth="1"/>
    <col min="3832" max="3832" width="37.36328125" style="7" customWidth="1"/>
    <col min="3833" max="3833" width="7" style="7" customWidth="1"/>
    <col min="3834" max="3834" width="0" style="7" hidden="1" customWidth="1"/>
    <col min="3835" max="3835" width="14.1796875" style="7" customWidth="1"/>
    <col min="3836" max="3836" width="14.453125" style="7" customWidth="1"/>
    <col min="3837" max="3837" width="7.36328125" style="7" customWidth="1"/>
    <col min="3838" max="3838" width="16.1796875" style="7" customWidth="1"/>
    <col min="3839" max="3839" width="8.6328125" style="7" customWidth="1"/>
    <col min="3840" max="3840" width="14" style="7" customWidth="1"/>
    <col min="3841" max="3841" width="13.453125" style="7" customWidth="1"/>
    <col min="3842" max="3842" width="11.453125" style="7" customWidth="1"/>
    <col min="3843" max="3843" width="13.453125" style="7" customWidth="1"/>
    <col min="3844" max="4085" width="8.6328125" style="7"/>
    <col min="4086" max="4086" width="6" style="7" customWidth="1"/>
    <col min="4087" max="4087" width="10.1796875" style="7" customWidth="1"/>
    <col min="4088" max="4088" width="37.36328125" style="7" customWidth="1"/>
    <col min="4089" max="4089" width="7" style="7" customWidth="1"/>
    <col min="4090" max="4090" width="0" style="7" hidden="1" customWidth="1"/>
    <col min="4091" max="4091" width="14.1796875" style="7" customWidth="1"/>
    <col min="4092" max="4092" width="14.453125" style="7" customWidth="1"/>
    <col min="4093" max="4093" width="7.36328125" style="7" customWidth="1"/>
    <col min="4094" max="4094" width="16.1796875" style="7" customWidth="1"/>
    <col min="4095" max="4095" width="8.6328125" style="7" customWidth="1"/>
    <col min="4096" max="4096" width="14" style="7" customWidth="1"/>
    <col min="4097" max="4097" width="13.453125" style="7" customWidth="1"/>
    <col min="4098" max="4098" width="11.453125" style="7" customWidth="1"/>
    <col min="4099" max="4099" width="13.453125" style="7" customWidth="1"/>
    <col min="4100" max="4341" width="8.6328125" style="7"/>
    <col min="4342" max="4342" width="6" style="7" customWidth="1"/>
    <col min="4343" max="4343" width="10.1796875" style="7" customWidth="1"/>
    <col min="4344" max="4344" width="37.36328125" style="7" customWidth="1"/>
    <col min="4345" max="4345" width="7" style="7" customWidth="1"/>
    <col min="4346" max="4346" width="0" style="7" hidden="1" customWidth="1"/>
    <col min="4347" max="4347" width="14.1796875" style="7" customWidth="1"/>
    <col min="4348" max="4348" width="14.453125" style="7" customWidth="1"/>
    <col min="4349" max="4349" width="7.36328125" style="7" customWidth="1"/>
    <col min="4350" max="4350" width="16.1796875" style="7" customWidth="1"/>
    <col min="4351" max="4351" width="8.6328125" style="7" customWidth="1"/>
    <col min="4352" max="4352" width="14" style="7" customWidth="1"/>
    <col min="4353" max="4353" width="13.453125" style="7" customWidth="1"/>
    <col min="4354" max="4354" width="11.453125" style="7" customWidth="1"/>
    <col min="4355" max="4355" width="13.453125" style="7" customWidth="1"/>
    <col min="4356" max="4597" width="8.6328125" style="7"/>
    <col min="4598" max="4598" width="6" style="7" customWidth="1"/>
    <col min="4599" max="4599" width="10.1796875" style="7" customWidth="1"/>
    <col min="4600" max="4600" width="37.36328125" style="7" customWidth="1"/>
    <col min="4601" max="4601" width="7" style="7" customWidth="1"/>
    <col min="4602" max="4602" width="0" style="7" hidden="1" customWidth="1"/>
    <col min="4603" max="4603" width="14.1796875" style="7" customWidth="1"/>
    <col min="4604" max="4604" width="14.453125" style="7" customWidth="1"/>
    <col min="4605" max="4605" width="7.36328125" style="7" customWidth="1"/>
    <col min="4606" max="4606" width="16.1796875" style="7" customWidth="1"/>
    <col min="4607" max="4607" width="8.6328125" style="7" customWidth="1"/>
    <col min="4608" max="4608" width="14" style="7" customWidth="1"/>
    <col min="4609" max="4609" width="13.453125" style="7" customWidth="1"/>
    <col min="4610" max="4610" width="11.453125" style="7" customWidth="1"/>
    <col min="4611" max="4611" width="13.453125" style="7" customWidth="1"/>
    <col min="4612" max="4853" width="8.6328125" style="7"/>
    <col min="4854" max="4854" width="6" style="7" customWidth="1"/>
    <col min="4855" max="4855" width="10.1796875" style="7" customWidth="1"/>
    <col min="4856" max="4856" width="37.36328125" style="7" customWidth="1"/>
    <col min="4857" max="4857" width="7" style="7" customWidth="1"/>
    <col min="4858" max="4858" width="0" style="7" hidden="1" customWidth="1"/>
    <col min="4859" max="4859" width="14.1796875" style="7" customWidth="1"/>
    <col min="4860" max="4860" width="14.453125" style="7" customWidth="1"/>
    <col min="4861" max="4861" width="7.36328125" style="7" customWidth="1"/>
    <col min="4862" max="4862" width="16.1796875" style="7" customWidth="1"/>
    <col min="4863" max="4863" width="8.6328125" style="7" customWidth="1"/>
    <col min="4864" max="4864" width="14" style="7" customWidth="1"/>
    <col min="4865" max="4865" width="13.453125" style="7" customWidth="1"/>
    <col min="4866" max="4866" width="11.453125" style="7" customWidth="1"/>
    <col min="4867" max="4867" width="13.453125" style="7" customWidth="1"/>
    <col min="4868" max="5109" width="8.6328125" style="7"/>
    <col min="5110" max="5110" width="6" style="7" customWidth="1"/>
    <col min="5111" max="5111" width="10.1796875" style="7" customWidth="1"/>
    <col min="5112" max="5112" width="37.36328125" style="7" customWidth="1"/>
    <col min="5113" max="5113" width="7" style="7" customWidth="1"/>
    <col min="5114" max="5114" width="0" style="7" hidden="1" customWidth="1"/>
    <col min="5115" max="5115" width="14.1796875" style="7" customWidth="1"/>
    <col min="5116" max="5116" width="14.453125" style="7" customWidth="1"/>
    <col min="5117" max="5117" width="7.36328125" style="7" customWidth="1"/>
    <col min="5118" max="5118" width="16.1796875" style="7" customWidth="1"/>
    <col min="5119" max="5119" width="8.6328125" style="7" customWidth="1"/>
    <col min="5120" max="5120" width="14" style="7" customWidth="1"/>
    <col min="5121" max="5121" width="13.453125" style="7" customWidth="1"/>
    <col min="5122" max="5122" width="11.453125" style="7" customWidth="1"/>
    <col min="5123" max="5123" width="13.453125" style="7" customWidth="1"/>
    <col min="5124" max="5365" width="8.6328125" style="7"/>
    <col min="5366" max="5366" width="6" style="7" customWidth="1"/>
    <col min="5367" max="5367" width="10.1796875" style="7" customWidth="1"/>
    <col min="5368" max="5368" width="37.36328125" style="7" customWidth="1"/>
    <col min="5369" max="5369" width="7" style="7" customWidth="1"/>
    <col min="5370" max="5370" width="0" style="7" hidden="1" customWidth="1"/>
    <col min="5371" max="5371" width="14.1796875" style="7" customWidth="1"/>
    <col min="5372" max="5372" width="14.453125" style="7" customWidth="1"/>
    <col min="5373" max="5373" width="7.36328125" style="7" customWidth="1"/>
    <col min="5374" max="5374" width="16.1796875" style="7" customWidth="1"/>
    <col min="5375" max="5375" width="8.6328125" style="7" customWidth="1"/>
    <col min="5376" max="5376" width="14" style="7" customWidth="1"/>
    <col min="5377" max="5377" width="13.453125" style="7" customWidth="1"/>
    <col min="5378" max="5378" width="11.453125" style="7" customWidth="1"/>
    <col min="5379" max="5379" width="13.453125" style="7" customWidth="1"/>
    <col min="5380" max="5621" width="8.6328125" style="7"/>
    <col min="5622" max="5622" width="6" style="7" customWidth="1"/>
    <col min="5623" max="5623" width="10.1796875" style="7" customWidth="1"/>
    <col min="5624" max="5624" width="37.36328125" style="7" customWidth="1"/>
    <col min="5625" max="5625" width="7" style="7" customWidth="1"/>
    <col min="5626" max="5626" width="0" style="7" hidden="1" customWidth="1"/>
    <col min="5627" max="5627" width="14.1796875" style="7" customWidth="1"/>
    <col min="5628" max="5628" width="14.453125" style="7" customWidth="1"/>
    <col min="5629" max="5629" width="7.36328125" style="7" customWidth="1"/>
    <col min="5630" max="5630" width="16.1796875" style="7" customWidth="1"/>
    <col min="5631" max="5631" width="8.6328125" style="7" customWidth="1"/>
    <col min="5632" max="5632" width="14" style="7" customWidth="1"/>
    <col min="5633" max="5633" width="13.453125" style="7" customWidth="1"/>
    <col min="5634" max="5634" width="11.453125" style="7" customWidth="1"/>
    <col min="5635" max="5635" width="13.453125" style="7" customWidth="1"/>
    <col min="5636" max="5877" width="8.6328125" style="7"/>
    <col min="5878" max="5878" width="6" style="7" customWidth="1"/>
    <col min="5879" max="5879" width="10.1796875" style="7" customWidth="1"/>
    <col min="5880" max="5880" width="37.36328125" style="7" customWidth="1"/>
    <col min="5881" max="5881" width="7" style="7" customWidth="1"/>
    <col min="5882" max="5882" width="0" style="7" hidden="1" customWidth="1"/>
    <col min="5883" max="5883" width="14.1796875" style="7" customWidth="1"/>
    <col min="5884" max="5884" width="14.453125" style="7" customWidth="1"/>
    <col min="5885" max="5885" width="7.36328125" style="7" customWidth="1"/>
    <col min="5886" max="5886" width="16.1796875" style="7" customWidth="1"/>
    <col min="5887" max="5887" width="8.6328125" style="7" customWidth="1"/>
    <col min="5888" max="5888" width="14" style="7" customWidth="1"/>
    <col min="5889" max="5889" width="13.453125" style="7" customWidth="1"/>
    <col min="5890" max="5890" width="11.453125" style="7" customWidth="1"/>
    <col min="5891" max="5891" width="13.453125" style="7" customWidth="1"/>
    <col min="5892" max="6133" width="8.6328125" style="7"/>
    <col min="6134" max="6134" width="6" style="7" customWidth="1"/>
    <col min="6135" max="6135" width="10.1796875" style="7" customWidth="1"/>
    <col min="6136" max="6136" width="37.36328125" style="7" customWidth="1"/>
    <col min="6137" max="6137" width="7" style="7" customWidth="1"/>
    <col min="6138" max="6138" width="0" style="7" hidden="1" customWidth="1"/>
    <col min="6139" max="6139" width="14.1796875" style="7" customWidth="1"/>
    <col min="6140" max="6140" width="14.453125" style="7" customWidth="1"/>
    <col min="6141" max="6141" width="7.36328125" style="7" customWidth="1"/>
    <col min="6142" max="6142" width="16.1796875" style="7" customWidth="1"/>
    <col min="6143" max="6143" width="8.6328125" style="7" customWidth="1"/>
    <col min="6144" max="6144" width="14" style="7" customWidth="1"/>
    <col min="6145" max="6145" width="13.453125" style="7" customWidth="1"/>
    <col min="6146" max="6146" width="11.453125" style="7" customWidth="1"/>
    <col min="6147" max="6147" width="13.453125" style="7" customWidth="1"/>
    <col min="6148" max="6389" width="8.6328125" style="7"/>
    <col min="6390" max="6390" width="6" style="7" customWidth="1"/>
    <col min="6391" max="6391" width="10.1796875" style="7" customWidth="1"/>
    <col min="6392" max="6392" width="37.36328125" style="7" customWidth="1"/>
    <col min="6393" max="6393" width="7" style="7" customWidth="1"/>
    <col min="6394" max="6394" width="0" style="7" hidden="1" customWidth="1"/>
    <col min="6395" max="6395" width="14.1796875" style="7" customWidth="1"/>
    <col min="6396" max="6396" width="14.453125" style="7" customWidth="1"/>
    <col min="6397" max="6397" width="7.36328125" style="7" customWidth="1"/>
    <col min="6398" max="6398" width="16.1796875" style="7" customWidth="1"/>
    <col min="6399" max="6399" width="8.6328125" style="7" customWidth="1"/>
    <col min="6400" max="6400" width="14" style="7" customWidth="1"/>
    <col min="6401" max="6401" width="13.453125" style="7" customWidth="1"/>
    <col min="6402" max="6402" width="11.453125" style="7" customWidth="1"/>
    <col min="6403" max="6403" width="13.453125" style="7" customWidth="1"/>
    <col min="6404" max="6645" width="8.6328125" style="7"/>
    <col min="6646" max="6646" width="6" style="7" customWidth="1"/>
    <col min="6647" max="6647" width="10.1796875" style="7" customWidth="1"/>
    <col min="6648" max="6648" width="37.36328125" style="7" customWidth="1"/>
    <col min="6649" max="6649" width="7" style="7" customWidth="1"/>
    <col min="6650" max="6650" width="0" style="7" hidden="1" customWidth="1"/>
    <col min="6651" max="6651" width="14.1796875" style="7" customWidth="1"/>
    <col min="6652" max="6652" width="14.453125" style="7" customWidth="1"/>
    <col min="6653" max="6653" width="7.36328125" style="7" customWidth="1"/>
    <col min="6654" max="6654" width="16.1796875" style="7" customWidth="1"/>
    <col min="6655" max="6655" width="8.6328125" style="7" customWidth="1"/>
    <col min="6656" max="6656" width="14" style="7" customWidth="1"/>
    <col min="6657" max="6657" width="13.453125" style="7" customWidth="1"/>
    <col min="6658" max="6658" width="11.453125" style="7" customWidth="1"/>
    <col min="6659" max="6659" width="13.453125" style="7" customWidth="1"/>
    <col min="6660" max="6901" width="8.6328125" style="7"/>
    <col min="6902" max="6902" width="6" style="7" customWidth="1"/>
    <col min="6903" max="6903" width="10.1796875" style="7" customWidth="1"/>
    <col min="6904" max="6904" width="37.36328125" style="7" customWidth="1"/>
    <col min="6905" max="6905" width="7" style="7" customWidth="1"/>
    <col min="6906" max="6906" width="0" style="7" hidden="1" customWidth="1"/>
    <col min="6907" max="6907" width="14.1796875" style="7" customWidth="1"/>
    <col min="6908" max="6908" width="14.453125" style="7" customWidth="1"/>
    <col min="6909" max="6909" width="7.36328125" style="7" customWidth="1"/>
    <col min="6910" max="6910" width="16.1796875" style="7" customWidth="1"/>
    <col min="6911" max="6911" width="8.6328125" style="7" customWidth="1"/>
    <col min="6912" max="6912" width="14" style="7" customWidth="1"/>
    <col min="6913" max="6913" width="13.453125" style="7" customWidth="1"/>
    <col min="6914" max="6914" width="11.453125" style="7" customWidth="1"/>
    <col min="6915" max="6915" width="13.453125" style="7" customWidth="1"/>
    <col min="6916" max="7157" width="8.6328125" style="7"/>
    <col min="7158" max="7158" width="6" style="7" customWidth="1"/>
    <col min="7159" max="7159" width="10.1796875" style="7" customWidth="1"/>
    <col min="7160" max="7160" width="37.36328125" style="7" customWidth="1"/>
    <col min="7161" max="7161" width="7" style="7" customWidth="1"/>
    <col min="7162" max="7162" width="0" style="7" hidden="1" customWidth="1"/>
    <col min="7163" max="7163" width="14.1796875" style="7" customWidth="1"/>
    <col min="7164" max="7164" width="14.453125" style="7" customWidth="1"/>
    <col min="7165" max="7165" width="7.36328125" style="7" customWidth="1"/>
    <col min="7166" max="7166" width="16.1796875" style="7" customWidth="1"/>
    <col min="7167" max="7167" width="8.6328125" style="7" customWidth="1"/>
    <col min="7168" max="7168" width="14" style="7" customWidth="1"/>
    <col min="7169" max="7169" width="13.453125" style="7" customWidth="1"/>
    <col min="7170" max="7170" width="11.453125" style="7" customWidth="1"/>
    <col min="7171" max="7171" width="13.453125" style="7" customWidth="1"/>
    <col min="7172" max="7413" width="8.6328125" style="7"/>
    <col min="7414" max="7414" width="6" style="7" customWidth="1"/>
    <col min="7415" max="7415" width="10.1796875" style="7" customWidth="1"/>
    <col min="7416" max="7416" width="37.36328125" style="7" customWidth="1"/>
    <col min="7417" max="7417" width="7" style="7" customWidth="1"/>
    <col min="7418" max="7418" width="0" style="7" hidden="1" customWidth="1"/>
    <col min="7419" max="7419" width="14.1796875" style="7" customWidth="1"/>
    <col min="7420" max="7420" width="14.453125" style="7" customWidth="1"/>
    <col min="7421" max="7421" width="7.36328125" style="7" customWidth="1"/>
    <col min="7422" max="7422" width="16.1796875" style="7" customWidth="1"/>
    <col min="7423" max="7423" width="8.6328125" style="7" customWidth="1"/>
    <col min="7424" max="7424" width="14" style="7" customWidth="1"/>
    <col min="7425" max="7425" width="13.453125" style="7" customWidth="1"/>
    <col min="7426" max="7426" width="11.453125" style="7" customWidth="1"/>
    <col min="7427" max="7427" width="13.453125" style="7" customWidth="1"/>
    <col min="7428" max="7669" width="8.6328125" style="7"/>
    <col min="7670" max="7670" width="6" style="7" customWidth="1"/>
    <col min="7671" max="7671" width="10.1796875" style="7" customWidth="1"/>
    <col min="7672" max="7672" width="37.36328125" style="7" customWidth="1"/>
    <col min="7673" max="7673" width="7" style="7" customWidth="1"/>
    <col min="7674" max="7674" width="0" style="7" hidden="1" customWidth="1"/>
    <col min="7675" max="7675" width="14.1796875" style="7" customWidth="1"/>
    <col min="7676" max="7676" width="14.453125" style="7" customWidth="1"/>
    <col min="7677" max="7677" width="7.36328125" style="7" customWidth="1"/>
    <col min="7678" max="7678" width="16.1796875" style="7" customWidth="1"/>
    <col min="7679" max="7679" width="8.6328125" style="7" customWidth="1"/>
    <col min="7680" max="7680" width="14" style="7" customWidth="1"/>
    <col min="7681" max="7681" width="13.453125" style="7" customWidth="1"/>
    <col min="7682" max="7682" width="11.453125" style="7" customWidth="1"/>
    <col min="7683" max="7683" width="13.453125" style="7" customWidth="1"/>
    <col min="7684" max="7925" width="8.6328125" style="7"/>
    <col min="7926" max="7926" width="6" style="7" customWidth="1"/>
    <col min="7927" max="7927" width="10.1796875" style="7" customWidth="1"/>
    <col min="7928" max="7928" width="37.36328125" style="7" customWidth="1"/>
    <col min="7929" max="7929" width="7" style="7" customWidth="1"/>
    <col min="7930" max="7930" width="0" style="7" hidden="1" customWidth="1"/>
    <col min="7931" max="7931" width="14.1796875" style="7" customWidth="1"/>
    <col min="7932" max="7932" width="14.453125" style="7" customWidth="1"/>
    <col min="7933" max="7933" width="7.36328125" style="7" customWidth="1"/>
    <col min="7934" max="7934" width="16.1796875" style="7" customWidth="1"/>
    <col min="7935" max="7935" width="8.6328125" style="7" customWidth="1"/>
    <col min="7936" max="7936" width="14" style="7" customWidth="1"/>
    <col min="7937" max="7937" width="13.453125" style="7" customWidth="1"/>
    <col min="7938" max="7938" width="11.453125" style="7" customWidth="1"/>
    <col min="7939" max="7939" width="13.453125" style="7" customWidth="1"/>
    <col min="7940" max="8181" width="8.6328125" style="7"/>
    <col min="8182" max="8182" width="6" style="7" customWidth="1"/>
    <col min="8183" max="8183" width="10.1796875" style="7" customWidth="1"/>
    <col min="8184" max="8184" width="37.36328125" style="7" customWidth="1"/>
    <col min="8185" max="8185" width="7" style="7" customWidth="1"/>
    <col min="8186" max="8186" width="0" style="7" hidden="1" customWidth="1"/>
    <col min="8187" max="8187" width="14.1796875" style="7" customWidth="1"/>
    <col min="8188" max="8188" width="14.453125" style="7" customWidth="1"/>
    <col min="8189" max="8189" width="7.36328125" style="7" customWidth="1"/>
    <col min="8190" max="8190" width="16.1796875" style="7" customWidth="1"/>
    <col min="8191" max="8191" width="8.6328125" style="7" customWidth="1"/>
    <col min="8192" max="8192" width="14" style="7" customWidth="1"/>
    <col min="8193" max="8193" width="13.453125" style="7" customWidth="1"/>
    <col min="8194" max="8194" width="11.453125" style="7" customWidth="1"/>
    <col min="8195" max="8195" width="13.453125" style="7" customWidth="1"/>
    <col min="8196" max="8437" width="8.6328125" style="7"/>
    <col min="8438" max="8438" width="6" style="7" customWidth="1"/>
    <col min="8439" max="8439" width="10.1796875" style="7" customWidth="1"/>
    <col min="8440" max="8440" width="37.36328125" style="7" customWidth="1"/>
    <col min="8441" max="8441" width="7" style="7" customWidth="1"/>
    <col min="8442" max="8442" width="0" style="7" hidden="1" customWidth="1"/>
    <col min="8443" max="8443" width="14.1796875" style="7" customWidth="1"/>
    <col min="8444" max="8444" width="14.453125" style="7" customWidth="1"/>
    <col min="8445" max="8445" width="7.36328125" style="7" customWidth="1"/>
    <col min="8446" max="8446" width="16.1796875" style="7" customWidth="1"/>
    <col min="8447" max="8447" width="8.6328125" style="7" customWidth="1"/>
    <col min="8448" max="8448" width="14" style="7" customWidth="1"/>
    <col min="8449" max="8449" width="13.453125" style="7" customWidth="1"/>
    <col min="8450" max="8450" width="11.453125" style="7" customWidth="1"/>
    <col min="8451" max="8451" width="13.453125" style="7" customWidth="1"/>
    <col min="8452" max="8693" width="8.6328125" style="7"/>
    <col min="8694" max="8694" width="6" style="7" customWidth="1"/>
    <col min="8695" max="8695" width="10.1796875" style="7" customWidth="1"/>
    <col min="8696" max="8696" width="37.36328125" style="7" customWidth="1"/>
    <col min="8697" max="8697" width="7" style="7" customWidth="1"/>
    <col min="8698" max="8698" width="0" style="7" hidden="1" customWidth="1"/>
    <col min="8699" max="8699" width="14.1796875" style="7" customWidth="1"/>
    <col min="8700" max="8700" width="14.453125" style="7" customWidth="1"/>
    <col min="8701" max="8701" width="7.36328125" style="7" customWidth="1"/>
    <col min="8702" max="8702" width="16.1796875" style="7" customWidth="1"/>
    <col min="8703" max="8703" width="8.6328125" style="7" customWidth="1"/>
    <col min="8704" max="8704" width="14" style="7" customWidth="1"/>
    <col min="8705" max="8705" width="13.453125" style="7" customWidth="1"/>
    <col min="8706" max="8706" width="11.453125" style="7" customWidth="1"/>
    <col min="8707" max="8707" width="13.453125" style="7" customWidth="1"/>
    <col min="8708" max="8949" width="8.6328125" style="7"/>
    <col min="8950" max="8950" width="6" style="7" customWidth="1"/>
    <col min="8951" max="8951" width="10.1796875" style="7" customWidth="1"/>
    <col min="8952" max="8952" width="37.36328125" style="7" customWidth="1"/>
    <col min="8953" max="8953" width="7" style="7" customWidth="1"/>
    <col min="8954" max="8954" width="0" style="7" hidden="1" customWidth="1"/>
    <col min="8955" max="8955" width="14.1796875" style="7" customWidth="1"/>
    <col min="8956" max="8956" width="14.453125" style="7" customWidth="1"/>
    <col min="8957" max="8957" width="7.36328125" style="7" customWidth="1"/>
    <col min="8958" max="8958" width="16.1796875" style="7" customWidth="1"/>
    <col min="8959" max="8959" width="8.6328125" style="7" customWidth="1"/>
    <col min="8960" max="8960" width="14" style="7" customWidth="1"/>
    <col min="8961" max="8961" width="13.453125" style="7" customWidth="1"/>
    <col min="8962" max="8962" width="11.453125" style="7" customWidth="1"/>
    <col min="8963" max="8963" width="13.453125" style="7" customWidth="1"/>
    <col min="8964" max="9205" width="8.6328125" style="7"/>
    <col min="9206" max="9206" width="6" style="7" customWidth="1"/>
    <col min="9207" max="9207" width="10.1796875" style="7" customWidth="1"/>
    <col min="9208" max="9208" width="37.36328125" style="7" customWidth="1"/>
    <col min="9209" max="9209" width="7" style="7" customWidth="1"/>
    <col min="9210" max="9210" width="0" style="7" hidden="1" customWidth="1"/>
    <col min="9211" max="9211" width="14.1796875" style="7" customWidth="1"/>
    <col min="9212" max="9212" width="14.453125" style="7" customWidth="1"/>
    <col min="9213" max="9213" width="7.36328125" style="7" customWidth="1"/>
    <col min="9214" max="9214" width="16.1796875" style="7" customWidth="1"/>
    <col min="9215" max="9215" width="8.6328125" style="7" customWidth="1"/>
    <col min="9216" max="9216" width="14" style="7" customWidth="1"/>
    <col min="9217" max="9217" width="13.453125" style="7" customWidth="1"/>
    <col min="9218" max="9218" width="11.453125" style="7" customWidth="1"/>
    <col min="9219" max="9219" width="13.453125" style="7" customWidth="1"/>
    <col min="9220" max="9461" width="8.6328125" style="7"/>
    <col min="9462" max="9462" width="6" style="7" customWidth="1"/>
    <col min="9463" max="9463" width="10.1796875" style="7" customWidth="1"/>
    <col min="9464" max="9464" width="37.36328125" style="7" customWidth="1"/>
    <col min="9465" max="9465" width="7" style="7" customWidth="1"/>
    <col min="9466" max="9466" width="0" style="7" hidden="1" customWidth="1"/>
    <col min="9467" max="9467" width="14.1796875" style="7" customWidth="1"/>
    <col min="9468" max="9468" width="14.453125" style="7" customWidth="1"/>
    <col min="9469" max="9469" width="7.36328125" style="7" customWidth="1"/>
    <col min="9470" max="9470" width="16.1796875" style="7" customWidth="1"/>
    <col min="9471" max="9471" width="8.6328125" style="7" customWidth="1"/>
    <col min="9472" max="9472" width="14" style="7" customWidth="1"/>
    <col min="9473" max="9473" width="13.453125" style="7" customWidth="1"/>
    <col min="9474" max="9474" width="11.453125" style="7" customWidth="1"/>
    <col min="9475" max="9475" width="13.453125" style="7" customWidth="1"/>
    <col min="9476" max="9717" width="8.6328125" style="7"/>
    <col min="9718" max="9718" width="6" style="7" customWidth="1"/>
    <col min="9719" max="9719" width="10.1796875" style="7" customWidth="1"/>
    <col min="9720" max="9720" width="37.36328125" style="7" customWidth="1"/>
    <col min="9721" max="9721" width="7" style="7" customWidth="1"/>
    <col min="9722" max="9722" width="0" style="7" hidden="1" customWidth="1"/>
    <col min="9723" max="9723" width="14.1796875" style="7" customWidth="1"/>
    <col min="9724" max="9724" width="14.453125" style="7" customWidth="1"/>
    <col min="9725" max="9725" width="7.36328125" style="7" customWidth="1"/>
    <col min="9726" max="9726" width="16.1796875" style="7" customWidth="1"/>
    <col min="9727" max="9727" width="8.6328125" style="7" customWidth="1"/>
    <col min="9728" max="9728" width="14" style="7" customWidth="1"/>
    <col min="9729" max="9729" width="13.453125" style="7" customWidth="1"/>
    <col min="9730" max="9730" width="11.453125" style="7" customWidth="1"/>
    <col min="9731" max="9731" width="13.453125" style="7" customWidth="1"/>
    <col min="9732" max="9973" width="8.6328125" style="7"/>
    <col min="9974" max="9974" width="6" style="7" customWidth="1"/>
    <col min="9975" max="9975" width="10.1796875" style="7" customWidth="1"/>
    <col min="9976" max="9976" width="37.36328125" style="7" customWidth="1"/>
    <col min="9977" max="9977" width="7" style="7" customWidth="1"/>
    <col min="9978" max="9978" width="0" style="7" hidden="1" customWidth="1"/>
    <col min="9979" max="9979" width="14.1796875" style="7" customWidth="1"/>
    <col min="9980" max="9980" width="14.453125" style="7" customWidth="1"/>
    <col min="9981" max="9981" width="7.36328125" style="7" customWidth="1"/>
    <col min="9982" max="9982" width="16.1796875" style="7" customWidth="1"/>
    <col min="9983" max="9983" width="8.6328125" style="7" customWidth="1"/>
    <col min="9984" max="9984" width="14" style="7" customWidth="1"/>
    <col min="9985" max="9985" width="13.453125" style="7" customWidth="1"/>
    <col min="9986" max="9986" width="11.453125" style="7" customWidth="1"/>
    <col min="9987" max="9987" width="13.453125" style="7" customWidth="1"/>
    <col min="9988" max="10229" width="8.6328125" style="7"/>
    <col min="10230" max="10230" width="6" style="7" customWidth="1"/>
    <col min="10231" max="10231" width="10.1796875" style="7" customWidth="1"/>
    <col min="10232" max="10232" width="37.36328125" style="7" customWidth="1"/>
    <col min="10233" max="10233" width="7" style="7" customWidth="1"/>
    <col min="10234" max="10234" width="0" style="7" hidden="1" customWidth="1"/>
    <col min="10235" max="10235" width="14.1796875" style="7" customWidth="1"/>
    <col min="10236" max="10236" width="14.453125" style="7" customWidth="1"/>
    <col min="10237" max="10237" width="7.36328125" style="7" customWidth="1"/>
    <col min="10238" max="10238" width="16.1796875" style="7" customWidth="1"/>
    <col min="10239" max="10239" width="8.6328125" style="7" customWidth="1"/>
    <col min="10240" max="10240" width="14" style="7" customWidth="1"/>
    <col min="10241" max="10241" width="13.453125" style="7" customWidth="1"/>
    <col min="10242" max="10242" width="11.453125" style="7" customWidth="1"/>
    <col min="10243" max="10243" width="13.453125" style="7" customWidth="1"/>
    <col min="10244" max="10485" width="8.6328125" style="7"/>
    <col min="10486" max="10486" width="6" style="7" customWidth="1"/>
    <col min="10487" max="10487" width="10.1796875" style="7" customWidth="1"/>
    <col min="10488" max="10488" width="37.36328125" style="7" customWidth="1"/>
    <col min="10489" max="10489" width="7" style="7" customWidth="1"/>
    <col min="10490" max="10490" width="0" style="7" hidden="1" customWidth="1"/>
    <col min="10491" max="10491" width="14.1796875" style="7" customWidth="1"/>
    <col min="10492" max="10492" width="14.453125" style="7" customWidth="1"/>
    <col min="10493" max="10493" width="7.36328125" style="7" customWidth="1"/>
    <col min="10494" max="10494" width="16.1796875" style="7" customWidth="1"/>
    <col min="10495" max="10495" width="8.6328125" style="7" customWidth="1"/>
    <col min="10496" max="10496" width="14" style="7" customWidth="1"/>
    <col min="10497" max="10497" width="13.453125" style="7" customWidth="1"/>
    <col min="10498" max="10498" width="11.453125" style="7" customWidth="1"/>
    <col min="10499" max="10499" width="13.453125" style="7" customWidth="1"/>
    <col min="10500" max="10741" width="8.6328125" style="7"/>
    <col min="10742" max="10742" width="6" style="7" customWidth="1"/>
    <col min="10743" max="10743" width="10.1796875" style="7" customWidth="1"/>
    <col min="10744" max="10744" width="37.36328125" style="7" customWidth="1"/>
    <col min="10745" max="10745" width="7" style="7" customWidth="1"/>
    <col min="10746" max="10746" width="0" style="7" hidden="1" customWidth="1"/>
    <col min="10747" max="10747" width="14.1796875" style="7" customWidth="1"/>
    <col min="10748" max="10748" width="14.453125" style="7" customWidth="1"/>
    <col min="10749" max="10749" width="7.36328125" style="7" customWidth="1"/>
    <col min="10750" max="10750" width="16.1796875" style="7" customWidth="1"/>
    <col min="10751" max="10751" width="8.6328125" style="7" customWidth="1"/>
    <col min="10752" max="10752" width="14" style="7" customWidth="1"/>
    <col min="10753" max="10753" width="13.453125" style="7" customWidth="1"/>
    <col min="10754" max="10754" width="11.453125" style="7" customWidth="1"/>
    <col min="10755" max="10755" width="13.453125" style="7" customWidth="1"/>
    <col min="10756" max="10997" width="8.6328125" style="7"/>
    <col min="10998" max="10998" width="6" style="7" customWidth="1"/>
    <col min="10999" max="10999" width="10.1796875" style="7" customWidth="1"/>
    <col min="11000" max="11000" width="37.36328125" style="7" customWidth="1"/>
    <col min="11001" max="11001" width="7" style="7" customWidth="1"/>
    <col min="11002" max="11002" width="0" style="7" hidden="1" customWidth="1"/>
    <col min="11003" max="11003" width="14.1796875" style="7" customWidth="1"/>
    <col min="11004" max="11004" width="14.453125" style="7" customWidth="1"/>
    <col min="11005" max="11005" width="7.36328125" style="7" customWidth="1"/>
    <col min="11006" max="11006" width="16.1796875" style="7" customWidth="1"/>
    <col min="11007" max="11007" width="8.6328125" style="7" customWidth="1"/>
    <col min="11008" max="11008" width="14" style="7" customWidth="1"/>
    <col min="11009" max="11009" width="13.453125" style="7" customWidth="1"/>
    <col min="11010" max="11010" width="11.453125" style="7" customWidth="1"/>
    <col min="11011" max="11011" width="13.453125" style="7" customWidth="1"/>
    <col min="11012" max="11253" width="8.6328125" style="7"/>
    <col min="11254" max="11254" width="6" style="7" customWidth="1"/>
    <col min="11255" max="11255" width="10.1796875" style="7" customWidth="1"/>
    <col min="11256" max="11256" width="37.36328125" style="7" customWidth="1"/>
    <col min="11257" max="11257" width="7" style="7" customWidth="1"/>
    <col min="11258" max="11258" width="0" style="7" hidden="1" customWidth="1"/>
    <col min="11259" max="11259" width="14.1796875" style="7" customWidth="1"/>
    <col min="11260" max="11260" width="14.453125" style="7" customWidth="1"/>
    <col min="11261" max="11261" width="7.36328125" style="7" customWidth="1"/>
    <col min="11262" max="11262" width="16.1796875" style="7" customWidth="1"/>
    <col min="11263" max="11263" width="8.6328125" style="7" customWidth="1"/>
    <col min="11264" max="11264" width="14" style="7" customWidth="1"/>
    <col min="11265" max="11265" width="13.453125" style="7" customWidth="1"/>
    <col min="11266" max="11266" width="11.453125" style="7" customWidth="1"/>
    <col min="11267" max="11267" width="13.453125" style="7" customWidth="1"/>
    <col min="11268" max="11509" width="8.6328125" style="7"/>
    <col min="11510" max="11510" width="6" style="7" customWidth="1"/>
    <col min="11511" max="11511" width="10.1796875" style="7" customWidth="1"/>
    <col min="11512" max="11512" width="37.36328125" style="7" customWidth="1"/>
    <col min="11513" max="11513" width="7" style="7" customWidth="1"/>
    <col min="11514" max="11514" width="0" style="7" hidden="1" customWidth="1"/>
    <col min="11515" max="11515" width="14.1796875" style="7" customWidth="1"/>
    <col min="11516" max="11516" width="14.453125" style="7" customWidth="1"/>
    <col min="11517" max="11517" width="7.36328125" style="7" customWidth="1"/>
    <col min="11518" max="11518" width="16.1796875" style="7" customWidth="1"/>
    <col min="11519" max="11519" width="8.6328125" style="7" customWidth="1"/>
    <col min="11520" max="11520" width="14" style="7" customWidth="1"/>
    <col min="11521" max="11521" width="13.453125" style="7" customWidth="1"/>
    <col min="11522" max="11522" width="11.453125" style="7" customWidth="1"/>
    <col min="11523" max="11523" width="13.453125" style="7" customWidth="1"/>
    <col min="11524" max="11765" width="8.6328125" style="7"/>
    <col min="11766" max="11766" width="6" style="7" customWidth="1"/>
    <col min="11767" max="11767" width="10.1796875" style="7" customWidth="1"/>
    <col min="11768" max="11768" width="37.36328125" style="7" customWidth="1"/>
    <col min="11769" max="11769" width="7" style="7" customWidth="1"/>
    <col min="11770" max="11770" width="0" style="7" hidden="1" customWidth="1"/>
    <col min="11771" max="11771" width="14.1796875" style="7" customWidth="1"/>
    <col min="11772" max="11772" width="14.453125" style="7" customWidth="1"/>
    <col min="11773" max="11773" width="7.36328125" style="7" customWidth="1"/>
    <col min="11774" max="11774" width="16.1796875" style="7" customWidth="1"/>
    <col min="11775" max="11775" width="8.6328125" style="7" customWidth="1"/>
    <col min="11776" max="11776" width="14" style="7" customWidth="1"/>
    <col min="11777" max="11777" width="13.453125" style="7" customWidth="1"/>
    <col min="11778" max="11778" width="11.453125" style="7" customWidth="1"/>
    <col min="11779" max="11779" width="13.453125" style="7" customWidth="1"/>
    <col min="11780" max="12021" width="8.6328125" style="7"/>
    <col min="12022" max="12022" width="6" style="7" customWidth="1"/>
    <col min="12023" max="12023" width="10.1796875" style="7" customWidth="1"/>
    <col min="12024" max="12024" width="37.36328125" style="7" customWidth="1"/>
    <col min="12025" max="12025" width="7" style="7" customWidth="1"/>
    <col min="12026" max="12026" width="0" style="7" hidden="1" customWidth="1"/>
    <col min="12027" max="12027" width="14.1796875" style="7" customWidth="1"/>
    <col min="12028" max="12028" width="14.453125" style="7" customWidth="1"/>
    <col min="12029" max="12029" width="7.36328125" style="7" customWidth="1"/>
    <col min="12030" max="12030" width="16.1796875" style="7" customWidth="1"/>
    <col min="12031" max="12031" width="8.6328125" style="7" customWidth="1"/>
    <col min="12032" max="12032" width="14" style="7" customWidth="1"/>
    <col min="12033" max="12033" width="13.453125" style="7" customWidth="1"/>
    <col min="12034" max="12034" width="11.453125" style="7" customWidth="1"/>
    <col min="12035" max="12035" width="13.453125" style="7" customWidth="1"/>
    <col min="12036" max="12277" width="8.6328125" style="7"/>
    <col min="12278" max="12278" width="6" style="7" customWidth="1"/>
    <col min="12279" max="12279" width="10.1796875" style="7" customWidth="1"/>
    <col min="12280" max="12280" width="37.36328125" style="7" customWidth="1"/>
    <col min="12281" max="12281" width="7" style="7" customWidth="1"/>
    <col min="12282" max="12282" width="0" style="7" hidden="1" customWidth="1"/>
    <col min="12283" max="12283" width="14.1796875" style="7" customWidth="1"/>
    <col min="12284" max="12284" width="14.453125" style="7" customWidth="1"/>
    <col min="12285" max="12285" width="7.36328125" style="7" customWidth="1"/>
    <col min="12286" max="12286" width="16.1796875" style="7" customWidth="1"/>
    <col min="12287" max="12287" width="8.6328125" style="7" customWidth="1"/>
    <col min="12288" max="12288" width="14" style="7" customWidth="1"/>
    <col min="12289" max="12289" width="13.453125" style="7" customWidth="1"/>
    <col min="12290" max="12290" width="11.453125" style="7" customWidth="1"/>
    <col min="12291" max="12291" width="13.453125" style="7" customWidth="1"/>
    <col min="12292" max="12533" width="8.6328125" style="7"/>
    <col min="12534" max="12534" width="6" style="7" customWidth="1"/>
    <col min="12535" max="12535" width="10.1796875" style="7" customWidth="1"/>
    <col min="12536" max="12536" width="37.36328125" style="7" customWidth="1"/>
    <col min="12537" max="12537" width="7" style="7" customWidth="1"/>
    <col min="12538" max="12538" width="0" style="7" hidden="1" customWidth="1"/>
    <col min="12539" max="12539" width="14.1796875" style="7" customWidth="1"/>
    <col min="12540" max="12540" width="14.453125" style="7" customWidth="1"/>
    <col min="12541" max="12541" width="7.36328125" style="7" customWidth="1"/>
    <col min="12542" max="12542" width="16.1796875" style="7" customWidth="1"/>
    <col min="12543" max="12543" width="8.6328125" style="7" customWidth="1"/>
    <col min="12544" max="12544" width="14" style="7" customWidth="1"/>
    <col min="12545" max="12545" width="13.453125" style="7" customWidth="1"/>
    <col min="12546" max="12546" width="11.453125" style="7" customWidth="1"/>
    <col min="12547" max="12547" width="13.453125" style="7" customWidth="1"/>
    <col min="12548" max="12789" width="8.6328125" style="7"/>
    <col min="12790" max="12790" width="6" style="7" customWidth="1"/>
    <col min="12791" max="12791" width="10.1796875" style="7" customWidth="1"/>
    <col min="12792" max="12792" width="37.36328125" style="7" customWidth="1"/>
    <col min="12793" max="12793" width="7" style="7" customWidth="1"/>
    <col min="12794" max="12794" width="0" style="7" hidden="1" customWidth="1"/>
    <col min="12795" max="12795" width="14.1796875" style="7" customWidth="1"/>
    <col min="12796" max="12796" width="14.453125" style="7" customWidth="1"/>
    <col min="12797" max="12797" width="7.36328125" style="7" customWidth="1"/>
    <col min="12798" max="12798" width="16.1796875" style="7" customWidth="1"/>
    <col min="12799" max="12799" width="8.6328125" style="7" customWidth="1"/>
    <col min="12800" max="12800" width="14" style="7" customWidth="1"/>
    <col min="12801" max="12801" width="13.453125" style="7" customWidth="1"/>
    <col min="12802" max="12802" width="11.453125" style="7" customWidth="1"/>
    <col min="12803" max="12803" width="13.453125" style="7" customWidth="1"/>
    <col min="12804" max="13045" width="8.6328125" style="7"/>
    <col min="13046" max="13046" width="6" style="7" customWidth="1"/>
    <col min="13047" max="13047" width="10.1796875" style="7" customWidth="1"/>
    <col min="13048" max="13048" width="37.36328125" style="7" customWidth="1"/>
    <col min="13049" max="13049" width="7" style="7" customWidth="1"/>
    <col min="13050" max="13050" width="0" style="7" hidden="1" customWidth="1"/>
    <col min="13051" max="13051" width="14.1796875" style="7" customWidth="1"/>
    <col min="13052" max="13052" width="14.453125" style="7" customWidth="1"/>
    <col min="13053" max="13053" width="7.36328125" style="7" customWidth="1"/>
    <col min="13054" max="13054" width="16.1796875" style="7" customWidth="1"/>
    <col min="13055" max="13055" width="8.6328125" style="7" customWidth="1"/>
    <col min="13056" max="13056" width="14" style="7" customWidth="1"/>
    <col min="13057" max="13057" width="13.453125" style="7" customWidth="1"/>
    <col min="13058" max="13058" width="11.453125" style="7" customWidth="1"/>
    <col min="13059" max="13059" width="13.453125" style="7" customWidth="1"/>
    <col min="13060" max="13301" width="8.6328125" style="7"/>
    <col min="13302" max="13302" width="6" style="7" customWidth="1"/>
    <col min="13303" max="13303" width="10.1796875" style="7" customWidth="1"/>
    <col min="13304" max="13304" width="37.36328125" style="7" customWidth="1"/>
    <col min="13305" max="13305" width="7" style="7" customWidth="1"/>
    <col min="13306" max="13306" width="0" style="7" hidden="1" customWidth="1"/>
    <col min="13307" max="13307" width="14.1796875" style="7" customWidth="1"/>
    <col min="13308" max="13308" width="14.453125" style="7" customWidth="1"/>
    <col min="13309" max="13309" width="7.36328125" style="7" customWidth="1"/>
    <col min="13310" max="13310" width="16.1796875" style="7" customWidth="1"/>
    <col min="13311" max="13311" width="8.6328125" style="7" customWidth="1"/>
    <col min="13312" max="13312" width="14" style="7" customWidth="1"/>
    <col min="13313" max="13313" width="13.453125" style="7" customWidth="1"/>
    <col min="13314" max="13314" width="11.453125" style="7" customWidth="1"/>
    <col min="13315" max="13315" width="13.453125" style="7" customWidth="1"/>
    <col min="13316" max="13557" width="8.6328125" style="7"/>
    <col min="13558" max="13558" width="6" style="7" customWidth="1"/>
    <col min="13559" max="13559" width="10.1796875" style="7" customWidth="1"/>
    <col min="13560" max="13560" width="37.36328125" style="7" customWidth="1"/>
    <col min="13561" max="13561" width="7" style="7" customWidth="1"/>
    <col min="13562" max="13562" width="0" style="7" hidden="1" customWidth="1"/>
    <col min="13563" max="13563" width="14.1796875" style="7" customWidth="1"/>
    <col min="13564" max="13564" width="14.453125" style="7" customWidth="1"/>
    <col min="13565" max="13565" width="7.36328125" style="7" customWidth="1"/>
    <col min="13566" max="13566" width="16.1796875" style="7" customWidth="1"/>
    <col min="13567" max="13567" width="8.6328125" style="7" customWidth="1"/>
    <col min="13568" max="13568" width="14" style="7" customWidth="1"/>
    <col min="13569" max="13569" width="13.453125" style="7" customWidth="1"/>
    <col min="13570" max="13570" width="11.453125" style="7" customWidth="1"/>
    <col min="13571" max="13571" width="13.453125" style="7" customWidth="1"/>
    <col min="13572" max="13813" width="8.6328125" style="7"/>
    <col min="13814" max="13814" width="6" style="7" customWidth="1"/>
    <col min="13815" max="13815" width="10.1796875" style="7" customWidth="1"/>
    <col min="13816" max="13816" width="37.36328125" style="7" customWidth="1"/>
    <col min="13817" max="13817" width="7" style="7" customWidth="1"/>
    <col min="13818" max="13818" width="0" style="7" hidden="1" customWidth="1"/>
    <col min="13819" max="13819" width="14.1796875" style="7" customWidth="1"/>
    <col min="13820" max="13820" width="14.453125" style="7" customWidth="1"/>
    <col min="13821" max="13821" width="7.36328125" style="7" customWidth="1"/>
    <col min="13822" max="13822" width="16.1796875" style="7" customWidth="1"/>
    <col min="13823" max="13823" width="8.6328125" style="7" customWidth="1"/>
    <col min="13824" max="13824" width="14" style="7" customWidth="1"/>
    <col min="13825" max="13825" width="13.453125" style="7" customWidth="1"/>
    <col min="13826" max="13826" width="11.453125" style="7" customWidth="1"/>
    <col min="13827" max="13827" width="13.453125" style="7" customWidth="1"/>
    <col min="13828" max="14069" width="8.6328125" style="7"/>
    <col min="14070" max="14070" width="6" style="7" customWidth="1"/>
    <col min="14071" max="14071" width="10.1796875" style="7" customWidth="1"/>
    <col min="14072" max="14072" width="37.36328125" style="7" customWidth="1"/>
    <col min="14073" max="14073" width="7" style="7" customWidth="1"/>
    <col min="14074" max="14074" width="0" style="7" hidden="1" customWidth="1"/>
    <col min="14075" max="14075" width="14.1796875" style="7" customWidth="1"/>
    <col min="14076" max="14076" width="14.453125" style="7" customWidth="1"/>
    <col min="14077" max="14077" width="7.36328125" style="7" customWidth="1"/>
    <col min="14078" max="14078" width="16.1796875" style="7" customWidth="1"/>
    <col min="14079" max="14079" width="8.6328125" style="7" customWidth="1"/>
    <col min="14080" max="14080" width="14" style="7" customWidth="1"/>
    <col min="14081" max="14081" width="13.453125" style="7" customWidth="1"/>
    <col min="14082" max="14082" width="11.453125" style="7" customWidth="1"/>
    <col min="14083" max="14083" width="13.453125" style="7" customWidth="1"/>
    <col min="14084" max="14325" width="8.6328125" style="7"/>
    <col min="14326" max="14326" width="6" style="7" customWidth="1"/>
    <col min="14327" max="14327" width="10.1796875" style="7" customWidth="1"/>
    <col min="14328" max="14328" width="37.36328125" style="7" customWidth="1"/>
    <col min="14329" max="14329" width="7" style="7" customWidth="1"/>
    <col min="14330" max="14330" width="0" style="7" hidden="1" customWidth="1"/>
    <col min="14331" max="14331" width="14.1796875" style="7" customWidth="1"/>
    <col min="14332" max="14332" width="14.453125" style="7" customWidth="1"/>
    <col min="14333" max="14333" width="7.36328125" style="7" customWidth="1"/>
    <col min="14334" max="14334" width="16.1796875" style="7" customWidth="1"/>
    <col min="14335" max="14335" width="8.6328125" style="7" customWidth="1"/>
    <col min="14336" max="14336" width="14" style="7" customWidth="1"/>
    <col min="14337" max="14337" width="13.453125" style="7" customWidth="1"/>
    <col min="14338" max="14338" width="11.453125" style="7" customWidth="1"/>
    <col min="14339" max="14339" width="13.453125" style="7" customWidth="1"/>
    <col min="14340" max="14581" width="8.6328125" style="7"/>
    <col min="14582" max="14582" width="6" style="7" customWidth="1"/>
    <col min="14583" max="14583" width="10.1796875" style="7" customWidth="1"/>
    <col min="14584" max="14584" width="37.36328125" style="7" customWidth="1"/>
    <col min="14585" max="14585" width="7" style="7" customWidth="1"/>
    <col min="14586" max="14586" width="0" style="7" hidden="1" customWidth="1"/>
    <col min="14587" max="14587" width="14.1796875" style="7" customWidth="1"/>
    <col min="14588" max="14588" width="14.453125" style="7" customWidth="1"/>
    <col min="14589" max="14589" width="7.36328125" style="7" customWidth="1"/>
    <col min="14590" max="14590" width="16.1796875" style="7" customWidth="1"/>
    <col min="14591" max="14591" width="8.6328125" style="7" customWidth="1"/>
    <col min="14592" max="14592" width="14" style="7" customWidth="1"/>
    <col min="14593" max="14593" width="13.453125" style="7" customWidth="1"/>
    <col min="14594" max="14594" width="11.453125" style="7" customWidth="1"/>
    <col min="14595" max="14595" width="13.453125" style="7" customWidth="1"/>
    <col min="14596" max="14837" width="8.6328125" style="7"/>
    <col min="14838" max="14838" width="6" style="7" customWidth="1"/>
    <col min="14839" max="14839" width="10.1796875" style="7" customWidth="1"/>
    <col min="14840" max="14840" width="37.36328125" style="7" customWidth="1"/>
    <col min="14841" max="14841" width="7" style="7" customWidth="1"/>
    <col min="14842" max="14842" width="0" style="7" hidden="1" customWidth="1"/>
    <col min="14843" max="14843" width="14.1796875" style="7" customWidth="1"/>
    <col min="14844" max="14844" width="14.453125" style="7" customWidth="1"/>
    <col min="14845" max="14845" width="7.36328125" style="7" customWidth="1"/>
    <col min="14846" max="14846" width="16.1796875" style="7" customWidth="1"/>
    <col min="14847" max="14847" width="8.6328125" style="7" customWidth="1"/>
    <col min="14848" max="14848" width="14" style="7" customWidth="1"/>
    <col min="14849" max="14849" width="13.453125" style="7" customWidth="1"/>
    <col min="14850" max="14850" width="11.453125" style="7" customWidth="1"/>
    <col min="14851" max="14851" width="13.453125" style="7" customWidth="1"/>
    <col min="14852" max="15093" width="8.6328125" style="7"/>
    <col min="15094" max="15094" width="6" style="7" customWidth="1"/>
    <col min="15095" max="15095" width="10.1796875" style="7" customWidth="1"/>
    <col min="15096" max="15096" width="37.36328125" style="7" customWidth="1"/>
    <col min="15097" max="15097" width="7" style="7" customWidth="1"/>
    <col min="15098" max="15098" width="0" style="7" hidden="1" customWidth="1"/>
    <col min="15099" max="15099" width="14.1796875" style="7" customWidth="1"/>
    <col min="15100" max="15100" width="14.453125" style="7" customWidth="1"/>
    <col min="15101" max="15101" width="7.36328125" style="7" customWidth="1"/>
    <col min="15102" max="15102" width="16.1796875" style="7" customWidth="1"/>
    <col min="15103" max="15103" width="8.6328125" style="7" customWidth="1"/>
    <col min="15104" max="15104" width="14" style="7" customWidth="1"/>
    <col min="15105" max="15105" width="13.453125" style="7" customWidth="1"/>
    <col min="15106" max="15106" width="11.453125" style="7" customWidth="1"/>
    <col min="15107" max="15107" width="13.453125" style="7" customWidth="1"/>
    <col min="15108" max="15349" width="8.6328125" style="7"/>
    <col min="15350" max="15350" width="6" style="7" customWidth="1"/>
    <col min="15351" max="15351" width="10.1796875" style="7" customWidth="1"/>
    <col min="15352" max="15352" width="37.36328125" style="7" customWidth="1"/>
    <col min="15353" max="15353" width="7" style="7" customWidth="1"/>
    <col min="15354" max="15354" width="0" style="7" hidden="1" customWidth="1"/>
    <col min="15355" max="15355" width="14.1796875" style="7" customWidth="1"/>
    <col min="15356" max="15356" width="14.453125" style="7" customWidth="1"/>
    <col min="15357" max="15357" width="7.36328125" style="7" customWidth="1"/>
    <col min="15358" max="15358" width="16.1796875" style="7" customWidth="1"/>
    <col min="15359" max="15359" width="8.6328125" style="7" customWidth="1"/>
    <col min="15360" max="15360" width="14" style="7" customWidth="1"/>
    <col min="15361" max="15361" width="13.453125" style="7" customWidth="1"/>
    <col min="15362" max="15362" width="11.453125" style="7" customWidth="1"/>
    <col min="15363" max="15363" width="13.453125" style="7" customWidth="1"/>
    <col min="15364" max="15605" width="8.6328125" style="7"/>
    <col min="15606" max="15606" width="6" style="7" customWidth="1"/>
    <col min="15607" max="15607" width="10.1796875" style="7" customWidth="1"/>
    <col min="15608" max="15608" width="37.36328125" style="7" customWidth="1"/>
    <col min="15609" max="15609" width="7" style="7" customWidth="1"/>
    <col min="15610" max="15610" width="0" style="7" hidden="1" customWidth="1"/>
    <col min="15611" max="15611" width="14.1796875" style="7" customWidth="1"/>
    <col min="15612" max="15612" width="14.453125" style="7" customWidth="1"/>
    <col min="15613" max="15613" width="7.36328125" style="7" customWidth="1"/>
    <col min="15614" max="15614" width="16.1796875" style="7" customWidth="1"/>
    <col min="15615" max="15615" width="8.6328125" style="7" customWidth="1"/>
    <col min="15616" max="15616" width="14" style="7" customWidth="1"/>
    <col min="15617" max="15617" width="13.453125" style="7" customWidth="1"/>
    <col min="15618" max="15618" width="11.453125" style="7" customWidth="1"/>
    <col min="15619" max="15619" width="13.453125" style="7" customWidth="1"/>
    <col min="15620" max="15861" width="8.6328125" style="7"/>
    <col min="15862" max="15862" width="6" style="7" customWidth="1"/>
    <col min="15863" max="15863" width="10.1796875" style="7" customWidth="1"/>
    <col min="15864" max="15864" width="37.36328125" style="7" customWidth="1"/>
    <col min="15865" max="15865" width="7" style="7" customWidth="1"/>
    <col min="15866" max="15866" width="0" style="7" hidden="1" customWidth="1"/>
    <col min="15867" max="15867" width="14.1796875" style="7" customWidth="1"/>
    <col min="15868" max="15868" width="14.453125" style="7" customWidth="1"/>
    <col min="15869" max="15869" width="7.36328125" style="7" customWidth="1"/>
    <col min="15870" max="15870" width="16.1796875" style="7" customWidth="1"/>
    <col min="15871" max="15871" width="8.6328125" style="7" customWidth="1"/>
    <col min="15872" max="15872" width="14" style="7" customWidth="1"/>
    <col min="15873" max="15873" width="13.453125" style="7" customWidth="1"/>
    <col min="15874" max="15874" width="11.453125" style="7" customWidth="1"/>
    <col min="15875" max="15875" width="13.453125" style="7" customWidth="1"/>
    <col min="15876" max="16117" width="8.6328125" style="7"/>
    <col min="16118" max="16118" width="6" style="7" customWidth="1"/>
    <col min="16119" max="16119" width="10.1796875" style="7" customWidth="1"/>
    <col min="16120" max="16120" width="37.36328125" style="7" customWidth="1"/>
    <col min="16121" max="16121" width="7" style="7" customWidth="1"/>
    <col min="16122" max="16122" width="0" style="7" hidden="1" customWidth="1"/>
    <col min="16123" max="16123" width="14.1796875" style="7" customWidth="1"/>
    <col min="16124" max="16124" width="14.453125" style="7" customWidth="1"/>
    <col min="16125" max="16125" width="7.36328125" style="7" customWidth="1"/>
    <col min="16126" max="16126" width="16.1796875" style="7" customWidth="1"/>
    <col min="16127" max="16127" width="8.6328125" style="7" customWidth="1"/>
    <col min="16128" max="16128" width="14" style="7" customWidth="1"/>
    <col min="16129" max="16129" width="13.453125" style="7" customWidth="1"/>
    <col min="16130" max="16130" width="11.453125" style="7" customWidth="1"/>
    <col min="16131" max="16131" width="13.453125" style="7" customWidth="1"/>
    <col min="16132" max="16381" width="8.6328125" style="7"/>
    <col min="16382" max="16384" width="8.6328125" style="7" customWidth="1"/>
  </cols>
  <sheetData>
    <row r="1" spans="1:18" ht="47.4" customHeight="1">
      <c r="A1" s="101" t="s">
        <v>79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8" ht="36.6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8" ht="17.399999999999999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8" ht="7" customHeight="1">
      <c r="B4" s="9"/>
      <c r="C4" s="10"/>
      <c r="D4" s="10"/>
      <c r="E4" s="10"/>
      <c r="F4" s="11"/>
      <c r="G4" s="10"/>
      <c r="H4" s="10"/>
      <c r="I4" s="10"/>
      <c r="J4" s="10"/>
      <c r="K4" s="12"/>
      <c r="L4" s="12"/>
    </row>
    <row r="5" spans="1:18" s="13" customFormat="1" ht="19" customHeight="1">
      <c r="B5" s="103" t="s">
        <v>0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N5" s="14"/>
      <c r="O5" s="71"/>
    </row>
    <row r="6" spans="1:18" s="13" customFormat="1" ht="13.5" customHeight="1">
      <c r="B6" s="70" t="s">
        <v>45</v>
      </c>
      <c r="C6" s="2"/>
      <c r="D6" s="2"/>
      <c r="E6" s="2"/>
      <c r="F6" s="2"/>
      <c r="G6" s="3"/>
      <c r="H6" s="2"/>
      <c r="I6" s="1"/>
      <c r="J6" s="1"/>
      <c r="K6" s="16"/>
      <c r="L6" s="17"/>
      <c r="N6" s="14"/>
      <c r="O6" s="71"/>
    </row>
    <row r="7" spans="1:18" s="13" customFormat="1" ht="29" customHeight="1">
      <c r="B7" s="108" t="s">
        <v>78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N7" s="14"/>
      <c r="O7" s="71"/>
    </row>
    <row r="8" spans="1:18" s="13" customFormat="1" hidden="1">
      <c r="B8" s="15" t="s">
        <v>15</v>
      </c>
      <c r="C8" s="20"/>
      <c r="D8" s="20"/>
      <c r="E8" s="20"/>
      <c r="F8" s="21"/>
      <c r="G8" s="21"/>
      <c r="H8" s="15"/>
      <c r="I8" s="15"/>
      <c r="J8" s="15"/>
      <c r="K8" s="16"/>
      <c r="L8" s="22"/>
      <c r="N8" s="14"/>
      <c r="O8" s="71"/>
    </row>
    <row r="9" spans="1:18" ht="14" customHeight="1">
      <c r="B9" s="23" t="s">
        <v>12</v>
      </c>
      <c r="C9" s="24"/>
      <c r="D9" s="24"/>
      <c r="E9" s="24"/>
      <c r="F9" s="24"/>
      <c r="G9" s="9"/>
      <c r="H9" s="24"/>
      <c r="I9" s="24"/>
      <c r="J9" s="24"/>
      <c r="K9" s="25"/>
      <c r="L9" s="24"/>
      <c r="M9" s="26"/>
    </row>
    <row r="10" spans="1:18" ht="35" customHeight="1">
      <c r="B10" s="4" t="s">
        <v>1</v>
      </c>
      <c r="C10" s="4" t="s">
        <v>23</v>
      </c>
      <c r="D10" s="4" t="s">
        <v>20</v>
      </c>
      <c r="E10" s="4" t="s">
        <v>20</v>
      </c>
      <c r="F10" s="4" t="s">
        <v>2</v>
      </c>
      <c r="G10" s="4" t="s">
        <v>27</v>
      </c>
      <c r="H10" s="4" t="s">
        <v>3</v>
      </c>
      <c r="I10" s="4" t="s">
        <v>21</v>
      </c>
      <c r="J10" s="4" t="s">
        <v>25</v>
      </c>
      <c r="K10" s="4" t="s">
        <v>18</v>
      </c>
      <c r="L10" s="4" t="s">
        <v>19</v>
      </c>
      <c r="M10" s="27"/>
      <c r="N10" s="28"/>
      <c r="O10" s="72"/>
      <c r="P10" s="28"/>
      <c r="Q10" s="28"/>
      <c r="R10" s="28"/>
    </row>
    <row r="11" spans="1:18" ht="15" hidden="1">
      <c r="B11" s="75" t="s">
        <v>22</v>
      </c>
      <c r="C11" s="77"/>
      <c r="D11" s="78"/>
      <c r="E11" s="78"/>
      <c r="F11" s="85" t="s">
        <v>28</v>
      </c>
      <c r="G11" s="77"/>
      <c r="H11" s="79">
        <v>1</v>
      </c>
      <c r="I11" s="80"/>
      <c r="J11" s="80" t="s">
        <v>26</v>
      </c>
      <c r="K11" s="81">
        <v>460000000</v>
      </c>
      <c r="L11" s="81">
        <f t="shared" ref="L11" si="0">K11*H11</f>
        <v>460000000</v>
      </c>
      <c r="M11" s="29">
        <v>25473000</v>
      </c>
      <c r="N11" s="30">
        <v>0.1</v>
      </c>
      <c r="O11" s="31">
        <f>M11/(1-N11)</f>
        <v>28303333.333333332</v>
      </c>
      <c r="P11" s="29">
        <f>M11*H11</f>
        <v>25473000</v>
      </c>
      <c r="Q11" s="29"/>
      <c r="R11" s="32">
        <f>L11-P11</f>
        <v>434527000</v>
      </c>
    </row>
    <row r="12" spans="1:18" ht="15" hidden="1">
      <c r="B12" s="75" t="s">
        <v>35</v>
      </c>
      <c r="C12" s="77"/>
      <c r="D12" s="78"/>
      <c r="E12" s="78"/>
      <c r="F12" s="85" t="s">
        <v>29</v>
      </c>
      <c r="G12" s="77"/>
      <c r="H12" s="79">
        <v>1</v>
      </c>
      <c r="I12" s="80"/>
      <c r="J12" s="80"/>
      <c r="K12" s="81"/>
      <c r="L12" s="81"/>
      <c r="M12" s="29"/>
      <c r="N12" s="30"/>
      <c r="O12" s="31"/>
      <c r="P12" s="29"/>
      <c r="Q12" s="29"/>
      <c r="R12" s="32"/>
    </row>
    <row r="13" spans="1:18" ht="15" hidden="1">
      <c r="B13" s="75" t="s">
        <v>36</v>
      </c>
      <c r="C13" s="77"/>
      <c r="D13" s="78"/>
      <c r="E13" s="78"/>
      <c r="F13" s="85" t="s">
        <v>30</v>
      </c>
      <c r="G13" s="77"/>
      <c r="H13" s="79">
        <v>4</v>
      </c>
      <c r="I13" s="80"/>
      <c r="J13" s="80"/>
      <c r="K13" s="81"/>
      <c r="L13" s="81"/>
      <c r="M13" s="29"/>
      <c r="N13" s="30"/>
      <c r="O13" s="31"/>
      <c r="P13" s="29"/>
      <c r="Q13" s="29"/>
      <c r="R13" s="32"/>
    </row>
    <row r="14" spans="1:18" ht="15" hidden="1">
      <c r="B14" s="75" t="s">
        <v>37</v>
      </c>
      <c r="C14" s="77"/>
      <c r="D14" s="78"/>
      <c r="E14" s="78"/>
      <c r="F14" s="85" t="s">
        <v>31</v>
      </c>
      <c r="G14" s="77"/>
      <c r="H14" s="79">
        <v>2</v>
      </c>
      <c r="I14" s="80"/>
      <c r="J14" s="80"/>
      <c r="K14" s="81"/>
      <c r="L14" s="81"/>
      <c r="M14" s="29"/>
      <c r="N14" s="30"/>
      <c r="O14" s="31"/>
      <c r="P14" s="29"/>
      <c r="Q14" s="29"/>
      <c r="R14" s="32"/>
    </row>
    <row r="15" spans="1:18" ht="15" hidden="1">
      <c r="B15" s="75" t="s">
        <v>38</v>
      </c>
      <c r="C15" s="77"/>
      <c r="D15" s="78"/>
      <c r="E15" s="78"/>
      <c r="F15" s="85" t="s">
        <v>32</v>
      </c>
      <c r="G15" s="77"/>
      <c r="H15" s="79">
        <v>8</v>
      </c>
      <c r="I15" s="80"/>
      <c r="J15" s="80"/>
      <c r="K15" s="81"/>
      <c r="L15" s="81"/>
      <c r="M15" s="29"/>
      <c r="N15" s="30"/>
      <c r="O15" s="31"/>
      <c r="P15" s="29"/>
      <c r="Q15" s="29"/>
      <c r="R15" s="32"/>
    </row>
    <row r="16" spans="1:18" ht="15" hidden="1">
      <c r="B16" s="75" t="s">
        <v>39</v>
      </c>
      <c r="C16" s="77"/>
      <c r="D16" s="78"/>
      <c r="E16" s="78"/>
      <c r="F16" s="85" t="s">
        <v>33</v>
      </c>
      <c r="G16" s="77"/>
      <c r="H16" s="79">
        <v>1</v>
      </c>
      <c r="I16" s="80"/>
      <c r="J16" s="80"/>
      <c r="K16" s="81"/>
      <c r="L16" s="81"/>
      <c r="M16" s="29"/>
      <c r="N16" s="30"/>
      <c r="O16" s="31"/>
      <c r="P16" s="29"/>
      <c r="Q16" s="29"/>
      <c r="R16" s="32"/>
    </row>
    <row r="17" spans="1:18" ht="15" hidden="1">
      <c r="B17" s="75" t="s">
        <v>40</v>
      </c>
      <c r="C17" s="77"/>
      <c r="D17" s="78"/>
      <c r="E17" s="78"/>
      <c r="F17" s="85" t="s">
        <v>34</v>
      </c>
      <c r="G17" s="77"/>
      <c r="H17" s="79">
        <v>1</v>
      </c>
      <c r="I17" s="80"/>
      <c r="J17" s="80"/>
      <c r="K17" s="81"/>
      <c r="L17" s="81"/>
      <c r="M17" s="29"/>
      <c r="N17" s="30"/>
      <c r="O17" s="31"/>
      <c r="P17" s="29"/>
      <c r="Q17" s="29"/>
      <c r="R17" s="32"/>
    </row>
    <row r="18" spans="1:18" ht="15" hidden="1">
      <c r="B18" s="76">
        <v>2</v>
      </c>
      <c r="C18" s="77"/>
      <c r="D18" s="78"/>
      <c r="E18" s="78"/>
      <c r="F18" s="85" t="s">
        <v>41</v>
      </c>
      <c r="G18" s="77"/>
      <c r="H18" s="79">
        <v>2</v>
      </c>
      <c r="I18" s="80"/>
      <c r="J18" s="80"/>
      <c r="K18" s="81">
        <v>5000000</v>
      </c>
      <c r="L18" s="81">
        <f t="shared" ref="L18:L19" si="1">K18*H18</f>
        <v>10000000</v>
      </c>
      <c r="M18" s="29"/>
      <c r="N18" s="30"/>
      <c r="O18" s="31"/>
      <c r="P18" s="29"/>
      <c r="Q18" s="29"/>
      <c r="R18" s="32"/>
    </row>
    <row r="19" spans="1:18" ht="15" hidden="1">
      <c r="B19" s="75" t="s">
        <v>43</v>
      </c>
      <c r="C19" s="77"/>
      <c r="D19" s="78"/>
      <c r="E19" s="78"/>
      <c r="F19" s="85" t="s">
        <v>42</v>
      </c>
      <c r="G19" s="77"/>
      <c r="H19" s="79">
        <v>16</v>
      </c>
      <c r="I19" s="80"/>
      <c r="J19" s="80"/>
      <c r="K19" s="81">
        <v>1500000</v>
      </c>
      <c r="L19" s="81">
        <f t="shared" si="1"/>
        <v>24000000</v>
      </c>
      <c r="M19" s="29"/>
      <c r="N19" s="30"/>
      <c r="O19" s="31"/>
      <c r="P19" s="29"/>
      <c r="Q19" s="29"/>
      <c r="R19" s="32"/>
    </row>
    <row r="20" spans="1:18" ht="15" hidden="1">
      <c r="B20" s="75"/>
      <c r="C20" s="77"/>
      <c r="D20" s="78"/>
      <c r="E20" s="78"/>
      <c r="F20" s="85"/>
      <c r="G20" s="77"/>
      <c r="H20" s="79"/>
      <c r="I20" s="80"/>
      <c r="J20" s="80"/>
      <c r="K20" s="81"/>
      <c r="L20" s="81"/>
      <c r="M20" s="29"/>
      <c r="N20" s="30"/>
      <c r="O20" s="31"/>
      <c r="P20" s="29"/>
      <c r="Q20" s="29"/>
      <c r="R20" s="32"/>
    </row>
    <row r="21" spans="1:18" ht="24" customHeight="1">
      <c r="B21" s="75" t="s">
        <v>22</v>
      </c>
      <c r="C21" s="77"/>
      <c r="D21" s="78"/>
      <c r="E21" s="78"/>
      <c r="F21" s="85" t="s">
        <v>61</v>
      </c>
      <c r="G21" s="77"/>
      <c r="H21" s="79">
        <v>10</v>
      </c>
      <c r="I21" s="80"/>
      <c r="J21" s="80"/>
      <c r="K21" s="81">
        <v>1870000</v>
      </c>
      <c r="L21" s="81">
        <f>K21*H21</f>
        <v>18700000</v>
      </c>
      <c r="M21" s="29"/>
      <c r="N21" s="30"/>
      <c r="O21" s="89"/>
      <c r="P21" s="29"/>
      <c r="Q21" s="29"/>
      <c r="R21" s="32"/>
    </row>
    <row r="22" spans="1:18" ht="24" customHeight="1">
      <c r="B22" s="75" t="s">
        <v>46</v>
      </c>
      <c r="C22" s="77"/>
      <c r="D22" s="78"/>
      <c r="E22" s="78"/>
      <c r="F22" s="86" t="s">
        <v>69</v>
      </c>
      <c r="G22" s="77"/>
      <c r="H22" s="79">
        <v>1</v>
      </c>
      <c r="I22" s="80"/>
      <c r="J22" s="80"/>
      <c r="K22" s="81">
        <v>3100000</v>
      </c>
      <c r="L22" s="81">
        <f t="shared" ref="L22:L34" si="2">K22*H22</f>
        <v>3100000</v>
      </c>
      <c r="M22" s="29"/>
      <c r="N22" s="30"/>
      <c r="O22" s="31"/>
      <c r="P22" s="29"/>
      <c r="Q22" s="29"/>
      <c r="R22" s="32"/>
    </row>
    <row r="23" spans="1:18" ht="24" customHeight="1">
      <c r="B23" s="75" t="s">
        <v>43</v>
      </c>
      <c r="C23" s="77"/>
      <c r="D23" s="78"/>
      <c r="E23" s="78"/>
      <c r="F23" s="91" t="s">
        <v>74</v>
      </c>
      <c r="G23" s="77"/>
      <c r="H23" s="79">
        <v>1</v>
      </c>
      <c r="I23" s="80"/>
      <c r="J23" s="80"/>
      <c r="K23" s="81">
        <v>1700000</v>
      </c>
      <c r="L23" s="81">
        <f t="shared" si="2"/>
        <v>1700000</v>
      </c>
      <c r="M23" s="29"/>
      <c r="N23" s="30"/>
      <c r="O23" s="31"/>
      <c r="P23" s="29"/>
      <c r="Q23" s="29"/>
      <c r="R23" s="32"/>
    </row>
    <row r="24" spans="1:18" ht="24" customHeight="1">
      <c r="B24" s="75" t="s">
        <v>47</v>
      </c>
      <c r="C24" s="77"/>
      <c r="D24" s="78"/>
      <c r="E24" s="78"/>
      <c r="F24" s="91" t="s">
        <v>55</v>
      </c>
      <c r="G24" s="77"/>
      <c r="H24" s="79">
        <v>2</v>
      </c>
      <c r="I24" s="80"/>
      <c r="J24" s="80"/>
      <c r="K24" s="81">
        <v>150000</v>
      </c>
      <c r="L24" s="81">
        <f t="shared" si="2"/>
        <v>300000</v>
      </c>
      <c r="M24" s="97"/>
      <c r="N24" s="30"/>
      <c r="O24" s="31"/>
      <c r="P24" s="29"/>
      <c r="Q24" s="29"/>
      <c r="R24" s="32"/>
    </row>
    <row r="25" spans="1:18" ht="24" customHeight="1">
      <c r="B25" s="75" t="s">
        <v>48</v>
      </c>
      <c r="C25" s="77"/>
      <c r="D25" s="78"/>
      <c r="E25" s="78"/>
      <c r="F25" s="91" t="s">
        <v>70</v>
      </c>
      <c r="G25" s="77"/>
      <c r="H25" s="79">
        <v>1</v>
      </c>
      <c r="I25" s="80"/>
      <c r="J25" s="80"/>
      <c r="K25" s="81">
        <v>1825000</v>
      </c>
      <c r="L25" s="81">
        <f t="shared" si="2"/>
        <v>1825000</v>
      </c>
      <c r="M25" s="90"/>
      <c r="N25" s="30"/>
      <c r="O25" s="31"/>
      <c r="P25" s="29"/>
      <c r="Q25" s="29"/>
      <c r="R25" s="32"/>
    </row>
    <row r="26" spans="1:18" ht="24" customHeight="1">
      <c r="B26" s="75" t="s">
        <v>49</v>
      </c>
      <c r="C26" s="77"/>
      <c r="D26" s="78"/>
      <c r="E26" s="78"/>
      <c r="F26" s="91" t="s">
        <v>68</v>
      </c>
      <c r="G26" s="77"/>
      <c r="H26" s="79">
        <v>5</v>
      </c>
      <c r="I26" s="80"/>
      <c r="J26" s="80"/>
      <c r="K26" s="81">
        <v>265000</v>
      </c>
      <c r="L26" s="81">
        <f t="shared" si="2"/>
        <v>1325000</v>
      </c>
      <c r="M26" s="90"/>
      <c r="N26" s="30"/>
      <c r="O26" s="31"/>
      <c r="P26" s="29"/>
      <c r="Q26" s="29"/>
      <c r="R26" s="32"/>
    </row>
    <row r="27" spans="1:18" ht="24" customHeight="1">
      <c r="A27" s="75"/>
      <c r="B27" s="75" t="s">
        <v>50</v>
      </c>
      <c r="C27" s="77"/>
      <c r="D27" s="78"/>
      <c r="E27" s="78"/>
      <c r="F27" s="91" t="s">
        <v>66</v>
      </c>
      <c r="G27" s="77"/>
      <c r="H27" s="79">
        <v>10</v>
      </c>
      <c r="I27" s="80"/>
      <c r="J27" s="80"/>
      <c r="K27" s="81">
        <v>340000</v>
      </c>
      <c r="L27" s="81">
        <f t="shared" si="2"/>
        <v>3400000</v>
      </c>
      <c r="M27" s="29"/>
      <c r="N27" s="30"/>
      <c r="O27" s="89"/>
      <c r="P27" s="29"/>
      <c r="Q27" s="29"/>
      <c r="R27" s="32"/>
    </row>
    <row r="28" spans="1:18" ht="24" customHeight="1">
      <c r="B28" s="75" t="s">
        <v>51</v>
      </c>
      <c r="C28" s="77"/>
      <c r="D28" s="78"/>
      <c r="E28" s="78"/>
      <c r="F28" s="91" t="s">
        <v>67</v>
      </c>
      <c r="G28" s="77"/>
      <c r="H28" s="79">
        <v>5</v>
      </c>
      <c r="I28" s="80"/>
      <c r="J28" s="80"/>
      <c r="K28" s="81">
        <v>415000</v>
      </c>
      <c r="L28" s="81">
        <f t="shared" si="2"/>
        <v>2075000</v>
      </c>
      <c r="M28" s="29"/>
      <c r="N28" s="30"/>
      <c r="O28" s="89"/>
      <c r="P28" s="29"/>
      <c r="Q28" s="29"/>
      <c r="R28" s="32"/>
    </row>
    <row r="29" spans="1:18" ht="24" customHeight="1">
      <c r="B29" s="75" t="s">
        <v>52</v>
      </c>
      <c r="C29" s="77"/>
      <c r="D29" s="78"/>
      <c r="E29" s="78"/>
      <c r="F29" s="91" t="s">
        <v>60</v>
      </c>
      <c r="G29" s="77"/>
      <c r="H29" s="79">
        <v>1</v>
      </c>
      <c r="I29" s="80"/>
      <c r="J29" s="80"/>
      <c r="K29" s="81">
        <v>700000</v>
      </c>
      <c r="L29" s="81">
        <f t="shared" si="2"/>
        <v>700000</v>
      </c>
      <c r="M29" s="90"/>
      <c r="N29" s="30"/>
      <c r="O29" s="31"/>
      <c r="P29" s="29"/>
      <c r="Q29" s="29"/>
      <c r="R29" s="32"/>
    </row>
    <row r="30" spans="1:18" ht="24" customHeight="1">
      <c r="B30" s="75" t="s">
        <v>53</v>
      </c>
      <c r="C30" s="77"/>
      <c r="D30" s="78"/>
      <c r="E30" s="78"/>
      <c r="F30" s="91" t="s">
        <v>59</v>
      </c>
      <c r="G30" s="77"/>
      <c r="H30" s="79">
        <v>2</v>
      </c>
      <c r="I30" s="80"/>
      <c r="J30" s="80"/>
      <c r="K30" s="81">
        <v>320000</v>
      </c>
      <c r="L30" s="81">
        <f t="shared" si="2"/>
        <v>640000</v>
      </c>
      <c r="M30" s="90"/>
      <c r="N30" s="30"/>
      <c r="O30" s="31"/>
      <c r="P30" s="29"/>
      <c r="Q30" s="29"/>
      <c r="R30" s="32"/>
    </row>
    <row r="31" spans="1:18" ht="24" customHeight="1">
      <c r="B31" s="75" t="s">
        <v>54</v>
      </c>
      <c r="C31" s="77"/>
      <c r="D31" s="78"/>
      <c r="E31" s="78"/>
      <c r="F31" s="85" t="s">
        <v>63</v>
      </c>
      <c r="G31" s="77"/>
      <c r="H31" s="79">
        <v>2</v>
      </c>
      <c r="I31" s="80"/>
      <c r="J31" s="80"/>
      <c r="K31" s="81">
        <v>150000</v>
      </c>
      <c r="L31" s="81">
        <f t="shared" si="2"/>
        <v>300000</v>
      </c>
      <c r="M31" s="29"/>
      <c r="N31" s="30"/>
      <c r="O31" s="89"/>
      <c r="P31" s="29"/>
      <c r="Q31" s="29"/>
      <c r="R31" s="32"/>
    </row>
    <row r="32" spans="1:18" ht="34" customHeight="1">
      <c r="A32" s="87"/>
      <c r="B32" s="75" t="s">
        <v>56</v>
      </c>
      <c r="C32" s="77"/>
      <c r="D32" s="78"/>
      <c r="E32" s="78"/>
      <c r="F32" s="85" t="s">
        <v>71</v>
      </c>
      <c r="G32" s="77"/>
      <c r="H32" s="79">
        <v>5</v>
      </c>
      <c r="I32" s="80"/>
      <c r="J32" s="80"/>
      <c r="K32" s="81">
        <v>18070000</v>
      </c>
      <c r="L32" s="81">
        <f t="shared" si="2"/>
        <v>90350000</v>
      </c>
      <c r="M32" s="90"/>
      <c r="N32" s="30"/>
      <c r="O32" s="31"/>
      <c r="P32" s="29"/>
      <c r="Q32" s="29"/>
      <c r="R32" s="32"/>
    </row>
    <row r="33" spans="2:19" ht="96.5" customHeight="1">
      <c r="B33" s="75" t="s">
        <v>57</v>
      </c>
      <c r="C33" s="77"/>
      <c r="D33" s="78"/>
      <c r="E33" s="78"/>
      <c r="F33" s="88" t="s">
        <v>80</v>
      </c>
      <c r="G33" s="77"/>
      <c r="H33" s="79">
        <v>5</v>
      </c>
      <c r="I33" s="80"/>
      <c r="J33" s="80"/>
      <c r="K33" s="81">
        <v>14290000</v>
      </c>
      <c r="L33" s="81">
        <f t="shared" si="2"/>
        <v>71450000</v>
      </c>
      <c r="M33" s="95"/>
      <c r="N33" s="30"/>
      <c r="O33" s="31"/>
      <c r="P33" s="29"/>
      <c r="Q33" s="29"/>
      <c r="R33" s="32"/>
    </row>
    <row r="34" spans="2:19" ht="145.5" customHeight="1">
      <c r="B34" s="75" t="s">
        <v>58</v>
      </c>
      <c r="C34" s="77"/>
      <c r="D34" s="78"/>
      <c r="E34" s="78"/>
      <c r="F34" s="88" t="s">
        <v>73</v>
      </c>
      <c r="G34" s="77"/>
      <c r="H34" s="79">
        <v>1</v>
      </c>
      <c r="I34" s="80"/>
      <c r="J34" s="80"/>
      <c r="K34" s="81">
        <v>27800000</v>
      </c>
      <c r="L34" s="81">
        <f t="shared" si="2"/>
        <v>27800000</v>
      </c>
      <c r="M34" s="96"/>
      <c r="N34" s="92"/>
      <c r="O34" s="31"/>
      <c r="P34" s="29"/>
      <c r="Q34" s="29"/>
      <c r="R34" s="32"/>
    </row>
    <row r="35" spans="2:19" s="37" customFormat="1" ht="22.5" customHeight="1">
      <c r="B35" s="104" t="s">
        <v>75</v>
      </c>
      <c r="C35" s="104"/>
      <c r="D35" s="104"/>
      <c r="E35" s="104"/>
      <c r="F35" s="104"/>
      <c r="G35" s="104"/>
      <c r="H35" s="104"/>
      <c r="I35" s="104"/>
      <c r="J35" s="104"/>
      <c r="K35" s="104"/>
      <c r="L35" s="93">
        <f>SUM(L21:L34)</f>
        <v>223665000</v>
      </c>
      <c r="M35" s="33"/>
      <c r="N35" s="34"/>
      <c r="O35" s="73"/>
      <c r="P35" s="35"/>
      <c r="Q35" s="32"/>
      <c r="R35" s="5">
        <f>(L11-P11-R11)/1.25</f>
        <v>0</v>
      </c>
      <c r="S35" s="36"/>
    </row>
    <row r="36" spans="2:19" ht="0.5" customHeight="1">
      <c r="B36" s="38"/>
      <c r="C36" s="38"/>
      <c r="D36" s="38"/>
      <c r="E36" s="38"/>
      <c r="F36" s="38"/>
      <c r="G36" s="39"/>
      <c r="H36" s="38"/>
      <c r="I36" s="38"/>
      <c r="J36" s="38"/>
      <c r="K36" s="38"/>
      <c r="L36" s="38"/>
      <c r="M36" s="40"/>
    </row>
    <row r="37" spans="2:19" ht="22.5" customHeight="1">
      <c r="B37" s="109" t="s">
        <v>76</v>
      </c>
      <c r="C37" s="110"/>
      <c r="D37" s="110"/>
      <c r="E37" s="110"/>
      <c r="F37" s="110"/>
      <c r="G37" s="110"/>
      <c r="H37" s="110"/>
      <c r="I37" s="110"/>
      <c r="J37" s="110"/>
      <c r="K37" s="111"/>
      <c r="L37" s="94">
        <f>L35*0.08</f>
        <v>17893200</v>
      </c>
      <c r="M37" s="40"/>
    </row>
    <row r="38" spans="2:19" ht="22.5" customHeight="1">
      <c r="B38" s="109" t="s">
        <v>77</v>
      </c>
      <c r="C38" s="110"/>
      <c r="D38" s="110"/>
      <c r="E38" s="110"/>
      <c r="F38" s="110"/>
      <c r="G38" s="110"/>
      <c r="H38" s="110"/>
      <c r="I38" s="110"/>
      <c r="J38" s="110"/>
      <c r="K38" s="111"/>
      <c r="L38" s="94">
        <f>L35+L37</f>
        <v>241558200</v>
      </c>
      <c r="M38" s="40"/>
    </row>
    <row r="39" spans="2:19" s="13" customFormat="1">
      <c r="B39" s="17" t="s">
        <v>72</v>
      </c>
      <c r="C39" s="6"/>
      <c r="D39" s="6"/>
      <c r="E39" s="6"/>
      <c r="F39" s="42"/>
      <c r="G39" s="19"/>
      <c r="H39" s="6"/>
      <c r="I39" s="6"/>
      <c r="J39" s="6"/>
      <c r="K39" s="43"/>
      <c r="L39" s="6"/>
      <c r="N39" s="44"/>
      <c r="O39" s="71"/>
    </row>
    <row r="40" spans="2:19" s="13" customFormat="1">
      <c r="B40" s="17" t="s">
        <v>64</v>
      </c>
      <c r="C40" s="6"/>
      <c r="D40" s="6"/>
      <c r="E40" s="6"/>
      <c r="F40" s="19"/>
      <c r="G40" s="19"/>
      <c r="H40" s="6"/>
      <c r="I40" s="6"/>
      <c r="J40" s="6"/>
      <c r="K40" s="43"/>
      <c r="L40" s="6"/>
      <c r="N40" s="14"/>
      <c r="O40" s="71"/>
      <c r="R40" s="45"/>
    </row>
    <row r="41" spans="2:19" s="13" customFormat="1">
      <c r="B41" s="17" t="s">
        <v>65</v>
      </c>
      <c r="C41" s="6"/>
      <c r="D41" s="6"/>
      <c r="E41" s="6"/>
      <c r="F41" s="19"/>
      <c r="G41" s="19"/>
      <c r="H41" s="6"/>
      <c r="I41" s="6"/>
      <c r="J41" s="6"/>
      <c r="K41" s="43"/>
      <c r="L41" s="6"/>
      <c r="N41" s="14"/>
      <c r="O41" s="71"/>
      <c r="R41" s="45"/>
    </row>
    <row r="42" spans="2:19" s="13" customFormat="1">
      <c r="B42" s="17" t="s">
        <v>62</v>
      </c>
      <c r="C42" s="6"/>
      <c r="D42" s="6"/>
      <c r="E42" s="6"/>
      <c r="F42" s="42"/>
      <c r="G42" s="19"/>
      <c r="H42" s="6"/>
      <c r="I42" s="6"/>
      <c r="J42" s="6"/>
      <c r="K42" s="46"/>
      <c r="L42" s="6"/>
      <c r="M42" s="47"/>
      <c r="N42" s="14"/>
      <c r="O42" s="71"/>
    </row>
    <row r="43" spans="2:19" s="13" customFormat="1" hidden="1">
      <c r="B43" s="17"/>
      <c r="C43" s="6"/>
      <c r="D43" s="6"/>
      <c r="E43" s="6"/>
      <c r="F43" s="42"/>
      <c r="G43" s="19"/>
      <c r="H43" s="6"/>
      <c r="I43" s="6"/>
      <c r="J43" s="6"/>
      <c r="K43" s="46"/>
      <c r="L43" s="6"/>
      <c r="M43" s="47"/>
      <c r="N43" s="14"/>
      <c r="O43" s="71"/>
    </row>
    <row r="44" spans="2:19" s="13" customFormat="1" hidden="1">
      <c r="B44" s="17"/>
      <c r="C44" s="6"/>
      <c r="D44" s="6"/>
      <c r="E44" s="6"/>
      <c r="F44" s="42"/>
      <c r="G44" s="19"/>
      <c r="H44" s="6"/>
      <c r="I44" s="6"/>
      <c r="J44" s="6"/>
      <c r="K44" s="46"/>
      <c r="L44" s="6"/>
      <c r="M44" s="47"/>
      <c r="N44" s="14"/>
      <c r="O44" s="71"/>
    </row>
    <row r="45" spans="2:19" s="13" customFormat="1" hidden="1">
      <c r="B45" s="17"/>
      <c r="C45" s="6"/>
      <c r="D45" s="6"/>
      <c r="E45" s="6"/>
      <c r="F45" s="42"/>
      <c r="G45" s="19"/>
      <c r="H45" s="6"/>
      <c r="I45" s="6"/>
      <c r="J45" s="6"/>
      <c r="K45" s="46"/>
      <c r="L45" s="6"/>
      <c r="M45" s="47"/>
      <c r="N45" s="14"/>
      <c r="O45" s="71"/>
    </row>
    <row r="46" spans="2:19" s="13" customFormat="1" ht="13.75" hidden="1" customHeight="1">
      <c r="B46" s="17" t="s">
        <v>4</v>
      </c>
      <c r="C46" s="17"/>
      <c r="D46" s="17"/>
      <c r="E46" s="17"/>
      <c r="F46" s="17"/>
      <c r="G46" s="49"/>
      <c r="H46" s="17"/>
      <c r="I46" s="17"/>
      <c r="J46" s="17"/>
      <c r="K46" s="17"/>
      <c r="L46" s="17"/>
      <c r="M46" s="47"/>
      <c r="N46" s="50"/>
      <c r="O46" s="71"/>
    </row>
    <row r="47" spans="2:19" s="13" customFormat="1" ht="13.75" hidden="1" customHeight="1">
      <c r="B47" s="6"/>
      <c r="C47" s="6"/>
      <c r="D47" s="6"/>
      <c r="E47" s="6"/>
      <c r="F47" s="17"/>
      <c r="G47" s="49"/>
      <c r="H47" s="17"/>
      <c r="I47" s="17"/>
      <c r="J47" s="17"/>
      <c r="K47" s="17"/>
      <c r="L47" s="17"/>
      <c r="N47" s="14"/>
      <c r="O47" s="71"/>
    </row>
    <row r="48" spans="2:19" s="13" customFormat="1">
      <c r="B48" s="17" t="s">
        <v>44</v>
      </c>
      <c r="C48" s="17"/>
      <c r="D48" s="17"/>
      <c r="E48" s="17"/>
      <c r="F48" s="17"/>
      <c r="G48" s="49"/>
      <c r="H48" s="17"/>
      <c r="I48" s="17"/>
      <c r="J48" s="17"/>
      <c r="K48" s="17"/>
      <c r="L48" s="17"/>
      <c r="M48" s="51"/>
      <c r="N48" s="14"/>
      <c r="O48" s="71"/>
    </row>
    <row r="49" spans="1:15" s="13" customFormat="1" hidden="1">
      <c r="B49" s="17"/>
      <c r="C49" s="48"/>
      <c r="D49" s="17"/>
      <c r="E49" s="17"/>
      <c r="F49" s="17"/>
      <c r="G49" s="49"/>
      <c r="H49" s="17"/>
      <c r="I49" s="17"/>
      <c r="J49" s="17"/>
      <c r="K49" s="17"/>
      <c r="L49" s="17"/>
      <c r="M49" s="51"/>
      <c r="N49" s="14"/>
      <c r="O49" s="71"/>
    </row>
    <row r="50" spans="1:15" s="13" customFormat="1" hidden="1">
      <c r="B50" s="6"/>
      <c r="C50" s="6"/>
      <c r="D50" s="6"/>
      <c r="E50" s="6"/>
      <c r="F50" s="6"/>
      <c r="G50" s="18"/>
      <c r="H50" s="6"/>
      <c r="I50" s="6"/>
      <c r="J50" s="6"/>
      <c r="K50" s="6"/>
      <c r="L50" s="6"/>
      <c r="M50" s="51"/>
      <c r="N50" s="14"/>
      <c r="O50" s="71"/>
    </row>
    <row r="51" spans="1:15" s="13" customFormat="1" hidden="1">
      <c r="B51" s="6"/>
      <c r="C51" s="6"/>
      <c r="D51" s="6"/>
      <c r="E51" s="6"/>
      <c r="F51" s="6"/>
      <c r="G51" s="18"/>
      <c r="H51" s="6"/>
      <c r="I51" s="6"/>
      <c r="J51" s="6"/>
      <c r="K51" s="6"/>
      <c r="L51" s="6"/>
      <c r="M51" s="51"/>
      <c r="N51" s="14"/>
      <c r="O51" s="71"/>
    </row>
    <row r="52" spans="1:15" s="13" customFormat="1" hidden="1">
      <c r="B52" s="82" t="s">
        <v>16</v>
      </c>
      <c r="C52" s="53"/>
      <c r="D52" s="53"/>
      <c r="E52" s="53"/>
      <c r="F52" s="54"/>
      <c r="G52" s="55"/>
      <c r="H52" s="54"/>
      <c r="I52" s="54"/>
      <c r="J52" s="54"/>
      <c r="K52" s="54"/>
      <c r="L52" s="54"/>
      <c r="M52" s="51"/>
      <c r="N52" s="14"/>
      <c r="O52" s="71"/>
    </row>
    <row r="53" spans="1:15" s="13" customFormat="1">
      <c r="B53" s="17" t="s">
        <v>5</v>
      </c>
      <c r="C53" s="6"/>
      <c r="D53" s="6"/>
      <c r="E53" s="6"/>
      <c r="F53" s="42"/>
      <c r="G53" s="19"/>
      <c r="H53" s="6"/>
      <c r="I53" s="6"/>
      <c r="J53" s="6"/>
      <c r="K53" s="46"/>
      <c r="L53" s="6"/>
      <c r="N53" s="14"/>
      <c r="O53" s="71"/>
    </row>
    <row r="54" spans="1:15" s="56" customFormat="1" hidden="1">
      <c r="B54" s="54"/>
      <c r="C54" s="59"/>
      <c r="D54" s="59"/>
      <c r="E54" s="59"/>
      <c r="G54" s="57"/>
      <c r="H54" s="54"/>
      <c r="I54" s="54"/>
      <c r="J54" s="54"/>
      <c r="K54" s="58"/>
      <c r="L54" s="54"/>
      <c r="N54" s="57"/>
      <c r="O54" s="74"/>
    </row>
    <row r="55" spans="1:15" s="56" customFormat="1" ht="9" customHeight="1">
      <c r="B55" s="54"/>
      <c r="C55" s="59"/>
      <c r="D55" s="59"/>
      <c r="E55" s="59"/>
      <c r="G55" s="57"/>
      <c r="H55" s="42"/>
      <c r="I55" s="42"/>
      <c r="J55" s="42"/>
      <c r="K55" s="42"/>
      <c r="L55" s="42"/>
      <c r="N55" s="57"/>
      <c r="O55" s="74"/>
    </row>
    <row r="56" spans="1:15" s="13" customFormat="1">
      <c r="B56" s="42" t="s">
        <v>13</v>
      </c>
      <c r="C56" s="6"/>
      <c r="D56" s="6"/>
      <c r="E56" s="6"/>
      <c r="F56" s="6"/>
      <c r="G56" s="18"/>
      <c r="H56" s="6"/>
      <c r="I56" s="6"/>
      <c r="J56" s="6"/>
      <c r="K56" s="46"/>
      <c r="L56" s="6"/>
      <c r="N56" s="14"/>
      <c r="O56" s="71"/>
    </row>
    <row r="57" spans="1:15" s="13" customFormat="1">
      <c r="B57" s="42" t="s">
        <v>6</v>
      </c>
      <c r="C57" s="6"/>
      <c r="D57" s="6"/>
      <c r="E57" s="6"/>
      <c r="F57" s="6"/>
      <c r="G57" s="18"/>
      <c r="H57" s="6"/>
      <c r="I57" s="6"/>
      <c r="J57" s="6"/>
      <c r="K57" s="46"/>
      <c r="L57" s="6"/>
      <c r="N57" s="14"/>
      <c r="O57" s="71"/>
    </row>
    <row r="58" spans="1:15" s="13" customFormat="1" ht="13.25" customHeight="1">
      <c r="B58" s="17"/>
      <c r="C58" s="17"/>
      <c r="D58" s="17"/>
      <c r="E58" s="17"/>
      <c r="F58" s="17"/>
      <c r="G58" s="49"/>
      <c r="H58" s="17"/>
      <c r="I58" s="17"/>
      <c r="J58" s="17"/>
      <c r="K58" s="46"/>
      <c r="L58" s="49" t="s">
        <v>17</v>
      </c>
      <c r="N58" s="14"/>
      <c r="O58" s="71"/>
    </row>
    <row r="59" spans="1:15" s="13" customFormat="1">
      <c r="B59" s="60" t="s">
        <v>14</v>
      </c>
      <c r="C59" s="17"/>
      <c r="D59" s="17"/>
      <c r="E59" s="17"/>
      <c r="F59" s="17"/>
      <c r="G59" s="49"/>
      <c r="H59" s="17"/>
      <c r="I59" s="17"/>
      <c r="J59" s="17"/>
      <c r="K59" s="46"/>
      <c r="L59" s="6"/>
      <c r="N59" s="14"/>
      <c r="O59" s="71"/>
    </row>
    <row r="60" spans="1:15" s="13" customFormat="1">
      <c r="A60" s="83"/>
      <c r="B60" s="62"/>
      <c r="C60" s="84"/>
      <c r="D60" s="84"/>
      <c r="E60" s="84"/>
      <c r="F60" s="52"/>
      <c r="G60" s="49"/>
      <c r="H60" s="17"/>
      <c r="I60" s="17"/>
      <c r="J60" s="17"/>
      <c r="K60" s="63"/>
      <c r="L60" s="61"/>
      <c r="N60" s="14"/>
      <c r="O60" s="71"/>
    </row>
    <row r="61" spans="1:15" s="13" customFormat="1" ht="7.5" customHeight="1">
      <c r="A61" s="83"/>
      <c r="B61" s="62"/>
      <c r="C61" s="84"/>
      <c r="D61" s="84"/>
      <c r="E61" s="84"/>
      <c r="F61" s="52"/>
      <c r="G61" s="49"/>
      <c r="H61" s="17"/>
      <c r="I61" s="17"/>
      <c r="J61" s="17"/>
      <c r="K61" s="63"/>
      <c r="L61" s="61"/>
      <c r="N61" s="14"/>
      <c r="O61" s="71"/>
    </row>
    <row r="62" spans="1:15" s="13" customFormat="1" ht="19">
      <c r="A62" s="64"/>
      <c r="B62" s="106" t="s">
        <v>7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N62" s="14"/>
      <c r="O62" s="71"/>
    </row>
    <row r="63" spans="1:15" s="13" customFormat="1" ht="27.75" customHeight="1">
      <c r="B63" s="107" t="s">
        <v>24</v>
      </c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N63" s="14"/>
      <c r="O63" s="71"/>
    </row>
    <row r="64" spans="1:15" s="13" customFormat="1" ht="14.5" customHeight="1">
      <c r="B64" s="105" t="s">
        <v>8</v>
      </c>
      <c r="C64" s="105"/>
      <c r="D64" s="105"/>
      <c r="E64" s="105"/>
      <c r="F64" s="105"/>
      <c r="G64" s="105"/>
      <c r="H64" s="105"/>
      <c r="I64" s="65"/>
      <c r="J64" s="65"/>
      <c r="K64" s="99" t="s">
        <v>9</v>
      </c>
      <c r="L64" s="99"/>
      <c r="N64" s="14"/>
      <c r="O64" s="71"/>
    </row>
    <row r="65" spans="2:15" s="13" customFormat="1">
      <c r="B65" s="65"/>
      <c r="C65" s="65"/>
      <c r="D65" s="65"/>
      <c r="E65" s="65"/>
      <c r="F65" s="65"/>
      <c r="G65" s="18"/>
      <c r="H65" s="65"/>
      <c r="I65" s="65"/>
      <c r="J65" s="65"/>
      <c r="K65" s="66"/>
      <c r="N65" s="14"/>
      <c r="O65" s="71"/>
    </row>
    <row r="66" spans="2:15" s="13" customFormat="1" ht="14.5" customHeight="1">
      <c r="C66" s="65"/>
      <c r="D66" s="65"/>
      <c r="E66" s="65"/>
      <c r="F66" s="54"/>
      <c r="G66" s="55"/>
      <c r="H66" s="55"/>
      <c r="I66" s="55"/>
      <c r="J66" s="55"/>
      <c r="K66" s="98" t="s">
        <v>10</v>
      </c>
      <c r="L66" s="98"/>
      <c r="N66" s="14"/>
      <c r="O66" s="71"/>
    </row>
    <row r="67" spans="2:15" s="13" customFormat="1">
      <c r="C67" s="65"/>
      <c r="D67" s="65"/>
      <c r="E67" s="65"/>
      <c r="F67" s="54"/>
      <c r="G67" s="55"/>
      <c r="H67" s="55"/>
      <c r="I67" s="55"/>
      <c r="J67" s="55"/>
      <c r="N67" s="14"/>
      <c r="O67" s="71"/>
    </row>
    <row r="68" spans="2:15" s="13" customFormat="1">
      <c r="C68" s="65"/>
      <c r="D68" s="65"/>
      <c r="E68" s="65"/>
      <c r="F68" s="54"/>
      <c r="G68" s="55"/>
      <c r="H68" s="55"/>
      <c r="I68" s="55"/>
      <c r="J68" s="55"/>
      <c r="K68" s="6"/>
      <c r="L68" s="67"/>
      <c r="N68" s="14"/>
      <c r="O68" s="71"/>
    </row>
    <row r="69" spans="2:15" s="13" customFormat="1">
      <c r="C69" s="65"/>
      <c r="D69" s="65"/>
      <c r="E69" s="65"/>
      <c r="F69" s="54"/>
      <c r="G69" s="55"/>
      <c r="H69" s="55"/>
      <c r="I69" s="55"/>
      <c r="J69" s="55"/>
      <c r="K69" s="100" t="s">
        <v>11</v>
      </c>
      <c r="L69" s="100"/>
      <c r="N69" s="14"/>
      <c r="O69" s="71"/>
    </row>
    <row r="70" spans="2:15" s="13" customFormat="1">
      <c r="C70" s="65"/>
      <c r="D70" s="65"/>
      <c r="E70" s="65"/>
      <c r="F70" s="54"/>
      <c r="G70" s="55"/>
      <c r="H70" s="55"/>
      <c r="I70" s="55"/>
      <c r="J70" s="55"/>
      <c r="K70" s="6"/>
      <c r="L70" s="67"/>
      <c r="N70" s="14"/>
      <c r="O70" s="71"/>
    </row>
    <row r="71" spans="2:15" s="13" customFormat="1">
      <c r="C71" s="18"/>
      <c r="D71" s="18"/>
      <c r="E71" s="18"/>
      <c r="F71" s="54"/>
      <c r="G71" s="55"/>
      <c r="H71" s="55"/>
      <c r="I71" s="55"/>
      <c r="J71" s="55"/>
      <c r="L71" s="68"/>
      <c r="N71" s="14"/>
      <c r="O71" s="71"/>
    </row>
    <row r="72" spans="2:15" s="13" customFormat="1">
      <c r="G72" s="14"/>
      <c r="K72" s="66"/>
      <c r="N72" s="14"/>
      <c r="O72" s="71"/>
    </row>
  </sheetData>
  <mergeCells count="12">
    <mergeCell ref="K66:L66"/>
    <mergeCell ref="K64:L64"/>
    <mergeCell ref="K69:L69"/>
    <mergeCell ref="A1:L3"/>
    <mergeCell ref="B5:L5"/>
    <mergeCell ref="B35:K35"/>
    <mergeCell ref="B64:H64"/>
    <mergeCell ref="B62:L62"/>
    <mergeCell ref="B63:L63"/>
    <mergeCell ref="B7:L7"/>
    <mergeCell ref="B37:K37"/>
    <mergeCell ref="B38:K38"/>
  </mergeCells>
  <phoneticPr fontId="13" type="noConversion"/>
  <pageMargins left="0.45" right="0.45" top="0" bottom="0" header="0.3" footer="0.3"/>
  <pageSetup paperSize="9" fitToHeight="0" orientation="portrait" r:id="rId1"/>
  <drawing r:id="rId2"/>
</worksheet>
</file>

<file path=docMetadata/LabelInfo.xml><?xml version="1.0" encoding="utf-8"?>
<clbl:labelList xmlns:clbl="http://schemas.microsoft.com/office/2020/mipLabelMetadata">
  <clbl:label id="{2f173612-6f45-4520-9df8-32d7ba5f2c44}" enabled="0" method="" siteId="{2f173612-6f45-4520-9df8-32d7ba5f2c4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</vt:lpstr>
      <vt:lpstr>BT!Print_Area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Thao.Nguyen Thi /CMCSISG-QA Executive</dc:creator>
  <cp:keywords/>
  <dc:description/>
  <cp:lastModifiedBy>DELL</cp:lastModifiedBy>
  <cp:revision/>
  <cp:lastPrinted>2025-08-09T01:50:48Z</cp:lastPrinted>
  <dcterms:created xsi:type="dcterms:W3CDTF">2018-01-03T07:37:56Z</dcterms:created>
  <dcterms:modified xsi:type="dcterms:W3CDTF">2025-09-04T01:50:44Z</dcterms:modified>
  <cp:category/>
  <cp:contentStatus/>
</cp:coreProperties>
</file>