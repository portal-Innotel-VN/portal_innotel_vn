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00. AT\202310 VSIP II\CCTV\"/>
    </mc:Choice>
  </mc:AlternateContent>
  <xr:revisionPtr revIDLastSave="0" documentId="13_ncr:1_{118D4465-4F23-42A5-B47E-CAD40369334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G49" i="1"/>
  <c r="E47" i="1"/>
  <c r="G47" i="1" s="1"/>
  <c r="E46" i="1"/>
  <c r="G46" i="1" s="1"/>
  <c r="E45" i="1"/>
  <c r="G44" i="1"/>
  <c r="G43" i="1"/>
  <c r="G42" i="1"/>
  <c r="G41" i="1"/>
  <c r="G40" i="1"/>
  <c r="G39" i="1"/>
  <c r="G38" i="1"/>
  <c r="G33" i="1"/>
  <c r="G24" i="1"/>
  <c r="G17" i="1"/>
  <c r="G16" i="1"/>
  <c r="G15" i="1"/>
  <c r="G14" i="1"/>
  <c r="B3" i="1"/>
  <c r="B2" i="1"/>
  <c r="C1" i="1"/>
  <c r="E48" i="1" l="1"/>
  <c r="G48" i="1" s="1"/>
  <c r="G45" i="1"/>
  <c r="G52" i="1" s="1"/>
  <c r="A5" i="2" l="1"/>
  <c r="A6" i="2"/>
  <c r="A12" i="2"/>
  <c r="A9" i="2"/>
  <c r="A4" i="2"/>
  <c r="A8" i="2"/>
  <c r="A10" i="2"/>
  <c r="A11" i="2"/>
  <c r="A7" i="2"/>
  <c r="A2" i="2"/>
  <c r="A3" i="2"/>
  <c r="A13" i="2"/>
</calcChain>
</file>

<file path=xl/sharedStrings.xml><?xml version="1.0" encoding="utf-8"?>
<sst xmlns="http://schemas.openxmlformats.org/spreadsheetml/2006/main" count="177" uniqueCount="120">
  <si>
    <t>HẠNG MỤC: HỆ THỐNG ĐIỆN NHẸ</t>
  </si>
  <si>
    <t>STT</t>
  </si>
  <si>
    <t>Công tác thực hiện</t>
  </si>
  <si>
    <t>Đvt</t>
  </si>
  <si>
    <t>Khối lượng</t>
  </si>
  <si>
    <t>Đơn giá</t>
  </si>
  <si>
    <t>Thành tiền
(VNĐ)</t>
  </si>
  <si>
    <t>Ghi chú</t>
  </si>
  <si>
    <t>A</t>
  </si>
  <si>
    <t>HỆ THỐNG TEL-DATA</t>
  </si>
  <si>
    <t>m</t>
  </si>
  <si>
    <t>B</t>
  </si>
  <si>
    <t>HỆ THỐNG ÂM THANH CÔNG CỘNG</t>
  </si>
  <si>
    <t>bộ</t>
  </si>
  <si>
    <t>Phụ kiện và vật tư phụ</t>
  </si>
  <si>
    <t>HỆ THỐNG CCTV</t>
  </si>
  <si>
    <t>Camera màu IP dạng thân dài 2MPx (loại khoảng cách chùm tia hồng ngoại tối đa 30m)</t>
  </si>
  <si>
    <t>Cái</t>
  </si>
  <si>
    <t>Camera màu IP dạng thân dài 5MPx (loại khoảng cách chùm tia hồng ngoại tối đa 50m)</t>
  </si>
  <si>
    <t>Camera IP màu dạng dome 2MPx (loại khoảng cách chùm tia hồng ngoại tối đa 15m)</t>
  </si>
  <si>
    <t>Tủ Rack#1</t>
  </si>
  <si>
    <t>Tủ main Rack#2</t>
  </si>
  <si>
    <t>Tủ Rack#3</t>
  </si>
  <si>
    <t>Trạm quan sát kèm màn hình 40'' gắn tường</t>
  </si>
  <si>
    <t>Bộ</t>
  </si>
  <si>
    <t>Cáp nguồn CVV (3C 6mm²)</t>
  </si>
  <si>
    <t>Cáp nguồn CVV-2C-2.5mm2+E2.5mm2</t>
  </si>
  <si>
    <t>Cáp quang 4FO</t>
  </si>
  <si>
    <t>Cáp CAT6-4pair</t>
  </si>
  <si>
    <t>Ống PVC D20</t>
  </si>
  <si>
    <t>Ổ cắm đơn mạng dự liệu gắn tường</t>
  </si>
  <si>
    <t>Gói</t>
  </si>
  <si>
    <t>TỔNG CỘNG (CHƯA BAO GỒM VAT)</t>
  </si>
  <si>
    <t>V.13</t>
  </si>
  <si>
    <t>CCTV
Hệ Thống CCTV</t>
  </si>
  <si>
    <t>Cáp quang sợi đơn, ngoài trời vỏ HDPE</t>
  </si>
  <si>
    <t>Comscope (USA) / Nexans (aginode) (France) / Belden (USA)/ Panduit (USA) equ</t>
  </si>
  <si>
    <t>EU/USA</t>
  </si>
  <si>
    <t>Cáp mạng UTP CAT6 23 Awg LSZH</t>
  </si>
  <si>
    <t>Ống PVC Ø20</t>
  </si>
  <si>
    <t>Tien Phong, Baan, Sam Phu or equ</t>
  </si>
  <si>
    <t>Việt Nam</t>
  </si>
  <si>
    <t>Camera IP loại thân dài; Camera IP loại dome</t>
  </si>
  <si>
    <t xml:space="preserve">EU/Asia </t>
  </si>
  <si>
    <t>Tủ rack cho hệ thống Camera An ninh</t>
  </si>
  <si>
    <t>Agirack/Vietrack/Ekorack , equ</t>
  </si>
  <si>
    <t>ODF</t>
  </si>
  <si>
    <t>Comscope (USA) / Nexans (aginode), equ</t>
  </si>
  <si>
    <t>Switch</t>
  </si>
  <si>
    <t>TP-link/CISCO/Alcatel Lucent , equ</t>
  </si>
  <si>
    <t>China</t>
  </si>
  <si>
    <t>Đầu ghi</t>
  </si>
  <si>
    <t>TP-link, equ</t>
  </si>
  <si>
    <t xml:space="preserve">UPS </t>
  </si>
  <si>
    <t>Santak/ APC hoặc tương đương</t>
  </si>
  <si>
    <t>Trạm máy tính điều khiển</t>
  </si>
  <si>
    <t>Dell/ HP, equ</t>
  </si>
  <si>
    <t>Màn hình LCD</t>
  </si>
  <si>
    <t>Samsung/ LG, equ</t>
  </si>
  <si>
    <t>Vật tư phụ và phụ kiện cho hệ thống CCTV</t>
  </si>
  <si>
    <t>Bosch, Panasonic or equ</t>
  </si>
  <si>
    <t>Rack 15U</t>
  </si>
  <si>
    <t>Hộp nối quang ODF</t>
  </si>
  <si>
    <t>Khay nguồn Media converter</t>
  </si>
  <si>
    <t>Switch PoE 8 port</t>
  </si>
  <si>
    <t>UPS 4000VA</t>
  </si>
  <si>
    <t>Box điện đấu nối</t>
  </si>
  <si>
    <t>bao gồm 1 ODF  4FO SM, 1 dây nhảy quang, 1 bộ chuyển đổi quang.</t>
  </si>
  <si>
    <t>không bao gồm</t>
  </si>
  <si>
    <t>POE 8 port</t>
  </si>
  <si>
    <t>Rack 42U</t>
  </si>
  <si>
    <t>Hộp nối quang ODF 24 cores</t>
  </si>
  <si>
    <t>Khay nguồn Media converter 14 modules</t>
  </si>
  <si>
    <t>Core switch 24 port</t>
  </si>
  <si>
    <t xml:space="preserve">Đầu ghi hình camera IP - 32 kênh </t>
  </si>
  <si>
    <t>HDD 20TB</t>
  </si>
  <si>
    <t>UPS 3000VA</t>
  </si>
  <si>
    <t>bao gồm 1 ODF  48FO SM, 10 dây nhảy quang.</t>
  </si>
  <si>
    <t>Bao gồm 1 khay nguồn, 10 bộ chuyển đổi quang</t>
  </si>
  <si>
    <t>Core 24 port + POE 8 port</t>
  </si>
  <si>
    <t>1</t>
  </si>
  <si>
    <t>2</t>
  </si>
  <si>
    <t>3</t>
  </si>
  <si>
    <t>4</t>
  </si>
  <si>
    <t>4.1</t>
  </si>
  <si>
    <t>4.2</t>
  </si>
  <si>
    <t>4.3</t>
  </si>
  <si>
    <t>4.4</t>
  </si>
  <si>
    <t>4.5</t>
  </si>
  <si>
    <t>4.6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</si>
  <si>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</si>
  <si>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</si>
  <si>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</si>
  <si>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</si>
  <si>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</si>
  <si>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</si>
  <si>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</si>
  <si>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</si>
  <si>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</si>
  <si>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6</t>
  </si>
  <si>
    <t>6.1</t>
  </si>
  <si>
    <t>6.2</t>
  </si>
  <si>
    <t>6.3</t>
  </si>
  <si>
    <t>6.4</t>
  </si>
  <si>
    <t>7</t>
  </si>
  <si>
    <t>8</t>
  </si>
  <si>
    <t>9</t>
  </si>
  <si>
    <t>10</t>
  </si>
  <si>
    <t>11</t>
  </si>
  <si>
    <t>12</t>
  </si>
  <si>
    <t>13</t>
  </si>
  <si>
    <t>14</t>
  </si>
  <si>
    <t>Tủ Rack 1.1, 1.2,1.3,1.4,1.5,1.6,1.7,1.8</t>
  </si>
  <si>
    <t>Rack 6U</t>
  </si>
  <si>
    <t>Hộp nối quang</t>
  </si>
  <si>
    <t>7.1</t>
  </si>
  <si>
    <t>7.2</t>
  </si>
  <si>
    <t>7.3</t>
  </si>
  <si>
    <t>7.4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</si>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</sst>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* #,##0.0_);_(* \(#,##0.0\);_(* &quot;-&quot;??_);_(@_)"/>
    <numFmt numFmtId="167" formatCode="_(* #,##0_);_(* \(#,##0\);_(* &quot; - &quot;_);_(@_)"/>
    <numFmt numFmtId="168" formatCode="#,##0.00_);\-#,##0.00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0"/>
      <name val="VNI-Times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0"/>
      <color rgb="FF000000"/>
      <name val="Arial"/>
      <family val="2"/>
    </font>
    <font>
      <b/>
      <sz val="10"/>
      <name val="Times New Roman"/>
      <family val="1"/>
    </font>
    <font>
      <sz val="10"/>
      <name val="Helv"/>
      <family val="2"/>
    </font>
    <font>
      <b/>
      <sz val="13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6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5" fillId="0" borderId="0"/>
    <xf numFmtId="0" fontId="6" fillId="0" borderId="0"/>
    <xf numFmtId="164" fontId="6" fillId="0" borderId="0" applyFont="0" applyFill="0" applyBorder="0" applyAlignment="0" applyProtection="0"/>
    <xf numFmtId="0" fontId="1" fillId="0" borderId="0"/>
    <xf numFmtId="0" fontId="5" fillId="0" borderId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8" fontId="10" fillId="3" borderId="1">
      <alignment horizontal="center" vertical="center" wrapText="1"/>
    </xf>
    <xf numFmtId="0" fontId="11" fillId="0" borderId="0"/>
    <xf numFmtId="164" fontId="5" fillId="0" borderId="0" applyFont="0" applyFill="0" applyBorder="0" applyAlignment="0" applyProtection="0"/>
    <xf numFmtId="0" fontId="15" fillId="0" borderId="0"/>
    <xf numFmtId="0" fontId="1" fillId="0" borderId="0"/>
  </cellStyleXfs>
  <cellXfs count="8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/>
    </xf>
    <xf numFmtId="0" fontId="2" fillId="0" borderId="0" xfId="1" applyFont="1" applyAlignment="1">
      <alignment wrapText="1"/>
    </xf>
    <xf numFmtId="0" fontId="4" fillId="0" borderId="0" xfId="2" applyFont="1" applyAlignment="1">
      <alignment vertical="center"/>
    </xf>
    <xf numFmtId="165" fontId="2" fillId="0" borderId="0" xfId="3" applyNumberFormat="1" applyFont="1" applyAlignment="1">
      <alignment vertical="center" wrapText="1"/>
    </xf>
    <xf numFmtId="164" fontId="2" fillId="0" borderId="0" xfId="3" applyFont="1" applyAlignment="1">
      <alignment vertical="center" wrapText="1"/>
    </xf>
    <xf numFmtId="0" fontId="2" fillId="0" borderId="0" xfId="1" applyFont="1"/>
    <xf numFmtId="0" fontId="4" fillId="0" borderId="0" xfId="4" applyFont="1" applyAlignment="1">
      <alignment horizontal="left" vertical="center" wrapText="1"/>
    </xf>
    <xf numFmtId="0" fontId="2" fillId="0" borderId="0" xfId="5" applyFont="1" applyProtection="1">
      <protection locked="0"/>
    </xf>
    <xf numFmtId="0" fontId="7" fillId="0" borderId="0" xfId="5" applyFont="1" applyAlignment="1" applyProtection="1">
      <alignment horizontal="left" vertical="center"/>
      <protection locked="0"/>
    </xf>
    <xf numFmtId="0" fontId="8" fillId="0" borderId="0" xfId="5" applyFont="1" applyAlignment="1" applyProtection="1">
      <alignment horizontal="right"/>
      <protection locked="0"/>
    </xf>
    <xf numFmtId="0" fontId="4" fillId="0" borderId="0" xfId="5" applyFont="1"/>
    <xf numFmtId="4" fontId="2" fillId="0" borderId="0" xfId="5" applyNumberFormat="1" applyFont="1" applyProtection="1">
      <protection locked="0"/>
    </xf>
    <xf numFmtId="165" fontId="4" fillId="0" borderId="0" xfId="6" applyNumberFormat="1" applyFont="1" applyAlignment="1"/>
    <xf numFmtId="0" fontId="2" fillId="0" borderId="0" xfId="7" applyFont="1"/>
    <xf numFmtId="0" fontId="4" fillId="0" borderId="0" xfId="8" applyFont="1" applyAlignment="1" applyProtection="1">
      <alignment horizontal="left" vertical="center" wrapText="1"/>
      <protection locked="0"/>
    </xf>
    <xf numFmtId="0" fontId="4" fillId="0" borderId="0" xfId="8" applyFont="1" applyAlignment="1" applyProtection="1">
      <alignment horizontal="left" vertical="center"/>
      <protection locked="0"/>
    </xf>
    <xf numFmtId="164" fontId="2" fillId="0" borderId="0" xfId="9" applyFont="1" applyBorder="1" applyAlignment="1" applyProtection="1">
      <alignment horizontal="center" vertical="center"/>
      <protection locked="0"/>
    </xf>
    <xf numFmtId="166" fontId="2" fillId="0" borderId="0" xfId="9" applyNumberFormat="1" applyFont="1" applyFill="1" applyBorder="1" applyAlignment="1" applyProtection="1">
      <alignment horizontal="center" vertical="center"/>
      <protection locked="0"/>
    </xf>
    <xf numFmtId="165" fontId="2" fillId="0" borderId="0" xfId="9" applyNumberFormat="1" applyFont="1" applyFill="1" applyBorder="1" applyAlignment="1" applyProtection="1">
      <alignment horizontal="center" vertical="center"/>
      <protection locked="0"/>
    </xf>
    <xf numFmtId="49" fontId="12" fillId="4" borderId="3" xfId="12" applyNumberFormat="1" applyFont="1" applyFill="1" applyBorder="1" applyAlignment="1" applyProtection="1">
      <alignment horizontal="center" vertical="center"/>
      <protection locked="0"/>
    </xf>
    <xf numFmtId="49" fontId="12" fillId="4" borderId="3" xfId="12" applyNumberFormat="1" applyFont="1" applyFill="1" applyBorder="1" applyAlignment="1" applyProtection="1">
      <alignment horizontal="left" vertical="center" wrapText="1"/>
      <protection locked="0"/>
    </xf>
    <xf numFmtId="164" fontId="12" fillId="4" borderId="3" xfId="9" applyFont="1" applyFill="1" applyBorder="1" applyAlignment="1" applyProtection="1">
      <alignment horizontal="center" vertical="center"/>
      <protection locked="0"/>
    </xf>
    <xf numFmtId="164" fontId="4" fillId="4" borderId="3" xfId="9" applyFont="1" applyFill="1" applyBorder="1" applyAlignment="1" applyProtection="1">
      <alignment horizontal="center" vertical="center"/>
      <protection locked="0"/>
    </xf>
    <xf numFmtId="49" fontId="4" fillId="0" borderId="3" xfId="12" applyNumberFormat="1" applyFont="1" applyBorder="1" applyAlignment="1" applyProtection="1">
      <alignment horizontal="center" vertical="center"/>
      <protection locked="0"/>
    </xf>
    <xf numFmtId="166" fontId="2" fillId="0" borderId="3" xfId="9" applyNumberFormat="1" applyFont="1" applyFill="1" applyBorder="1" applyAlignment="1" applyProtection="1">
      <alignment horizontal="center" vertical="center"/>
      <protection locked="0"/>
    </xf>
    <xf numFmtId="49" fontId="4" fillId="0" borderId="3" xfId="12" applyNumberFormat="1" applyFont="1" applyBorder="1" applyAlignment="1" applyProtection="1">
      <alignment horizontal="left" vertical="center" wrapText="1"/>
      <protection locked="0"/>
    </xf>
    <xf numFmtId="165" fontId="2" fillId="0" borderId="3" xfId="9" applyNumberFormat="1" applyFont="1" applyFill="1" applyBorder="1" applyAlignment="1" applyProtection="1">
      <alignment horizontal="center" vertical="center"/>
      <protection locked="0"/>
    </xf>
    <xf numFmtId="164" fontId="4" fillId="0" borderId="3" xfId="9" applyFont="1" applyFill="1" applyBorder="1" applyAlignment="1" applyProtection="1">
      <alignment horizontal="center" vertical="center"/>
      <protection locked="0"/>
    </xf>
    <xf numFmtId="0" fontId="2" fillId="0" borderId="0" xfId="8" applyFont="1" applyAlignment="1" applyProtection="1">
      <alignment vertical="center"/>
      <protection locked="0"/>
    </xf>
    <xf numFmtId="165" fontId="13" fillId="0" borderId="3" xfId="13" applyNumberFormat="1" applyFont="1" applyBorder="1" applyAlignment="1" applyProtection="1">
      <alignment horizontal="center" vertical="center"/>
      <protection locked="0"/>
    </xf>
    <xf numFmtId="49" fontId="2" fillId="0" borderId="5" xfId="8" applyNumberFormat="1" applyFont="1" applyBorder="1" applyAlignment="1" applyProtection="1">
      <alignment horizontal="center" vertical="center" wrapText="1"/>
      <protection locked="0"/>
    </xf>
    <xf numFmtId="0" fontId="4" fillId="0" borderId="5" xfId="8" applyFont="1" applyBorder="1" applyAlignment="1" applyProtection="1">
      <alignment horizontal="left" vertical="center" wrapText="1"/>
      <protection locked="0"/>
    </xf>
    <xf numFmtId="164" fontId="2" fillId="0" borderId="5" xfId="13" applyFont="1" applyFill="1" applyBorder="1" applyAlignment="1" applyProtection="1">
      <alignment horizontal="center" vertical="center"/>
      <protection locked="0"/>
    </xf>
    <xf numFmtId="166" fontId="2" fillId="0" borderId="5" xfId="13" applyNumberFormat="1" applyFont="1" applyBorder="1" applyAlignment="1" applyProtection="1">
      <alignment horizontal="center" vertical="center"/>
      <protection locked="0"/>
    </xf>
    <xf numFmtId="165" fontId="2" fillId="0" borderId="5" xfId="13" applyNumberFormat="1" applyFont="1" applyBorder="1" applyAlignment="1" applyProtection="1">
      <alignment horizontal="center" vertical="center"/>
      <protection locked="0"/>
    </xf>
    <xf numFmtId="49" fontId="14" fillId="0" borderId="3" xfId="12" applyNumberFormat="1" applyFont="1" applyBorder="1" applyAlignment="1" applyProtection="1">
      <alignment horizontal="center" vertical="center"/>
      <protection locked="0"/>
    </xf>
    <xf numFmtId="49" fontId="13" fillId="0" borderId="3" xfId="12" applyNumberFormat="1" applyFont="1" applyBorder="1" applyAlignment="1" applyProtection="1">
      <alignment horizontal="left" vertical="center" wrapText="1"/>
      <protection locked="0"/>
    </xf>
    <xf numFmtId="164" fontId="13" fillId="0" borderId="3" xfId="9" applyFont="1" applyFill="1" applyBorder="1" applyAlignment="1" applyProtection="1">
      <alignment horizontal="center" vertical="center"/>
      <protection locked="0"/>
    </xf>
    <xf numFmtId="166" fontId="13" fillId="0" borderId="3" xfId="9" applyNumberFormat="1" applyFont="1" applyFill="1" applyBorder="1" applyAlignment="1" applyProtection="1">
      <alignment horizontal="center" vertical="center"/>
      <protection locked="0"/>
    </xf>
    <xf numFmtId="165" fontId="13" fillId="0" borderId="3" xfId="13" applyNumberFormat="1" applyFont="1" applyFill="1" applyBorder="1" applyAlignment="1" applyProtection="1">
      <alignment horizontal="center" vertical="center" wrapText="1"/>
      <protection locked="0"/>
    </xf>
    <xf numFmtId="165" fontId="13" fillId="0" borderId="3" xfId="6" applyNumberFormat="1" applyFont="1" applyFill="1" applyBorder="1" applyAlignment="1" applyProtection="1">
      <alignment horizontal="right" vertical="center"/>
      <protection locked="0"/>
    </xf>
    <xf numFmtId="4" fontId="13" fillId="0" borderId="3" xfId="8" applyNumberFormat="1" applyFont="1" applyBorder="1" applyAlignment="1" applyProtection="1">
      <alignment vertical="center" wrapText="1"/>
      <protection locked="0"/>
    </xf>
    <xf numFmtId="165" fontId="13" fillId="0" borderId="4" xfId="13" applyNumberFormat="1" applyFont="1" applyBorder="1" applyAlignment="1" applyProtection="1">
      <alignment horizontal="center" vertical="center"/>
      <protection locked="0"/>
    </xf>
    <xf numFmtId="165" fontId="13" fillId="0" borderId="4" xfId="3" applyNumberFormat="1" applyFont="1" applyBorder="1" applyAlignment="1">
      <alignment horizontal="right" vertical="center"/>
    </xf>
    <xf numFmtId="0" fontId="4" fillId="5" borderId="1" xfId="14" applyFont="1" applyFill="1" applyBorder="1"/>
    <xf numFmtId="49" fontId="4" fillId="5" borderId="1" xfId="12" applyNumberFormat="1" applyFont="1" applyFill="1" applyBorder="1" applyAlignment="1" applyProtection="1">
      <alignment horizontal="left" vertical="center" wrapText="1"/>
      <protection locked="0"/>
    </xf>
    <xf numFmtId="164" fontId="4" fillId="5" borderId="1" xfId="14" applyNumberFormat="1" applyFont="1" applyFill="1" applyBorder="1" applyAlignment="1">
      <alignment horizontal="center" vertical="center"/>
    </xf>
    <xf numFmtId="165" fontId="4" fillId="5" borderId="1" xfId="14" applyNumberFormat="1" applyFont="1" applyFill="1" applyBorder="1"/>
    <xf numFmtId="0" fontId="2" fillId="0" borderId="0" xfId="8" applyFont="1" applyAlignment="1" applyProtection="1">
      <alignment horizontal="left" vertical="center"/>
      <protection locked="0"/>
    </xf>
    <xf numFmtId="0" fontId="2" fillId="0" borderId="0" xfId="8" applyFont="1" applyAlignment="1" applyProtection="1">
      <alignment horizontal="left" vertical="center" wrapText="1"/>
      <protection locked="0"/>
    </xf>
    <xf numFmtId="164" fontId="2" fillId="0" borderId="0" xfId="13" applyFont="1" applyAlignment="1" applyProtection="1">
      <alignment horizontal="center" vertical="center"/>
      <protection locked="0"/>
    </xf>
    <xf numFmtId="166" fontId="2" fillId="0" borderId="0" xfId="13" applyNumberFormat="1" applyFont="1" applyAlignment="1" applyProtection="1">
      <alignment horizontal="center" vertical="center"/>
      <protection locked="0"/>
    </xf>
    <xf numFmtId="165" fontId="2" fillId="0" borderId="0" xfId="13" applyNumberFormat="1" applyFont="1" applyAlignment="1" applyProtection="1">
      <alignment horizontal="center" vertical="center"/>
      <protection locked="0"/>
    </xf>
    <xf numFmtId="0" fontId="16" fillId="6" borderId="3" xfId="15" applyFont="1" applyFill="1" applyBorder="1" applyAlignment="1">
      <alignment horizontal="center" vertical="center"/>
    </xf>
    <xf numFmtId="0" fontId="16" fillId="6" borderId="3" xfId="15" applyFont="1" applyFill="1" applyBorder="1" applyAlignment="1">
      <alignment vertical="center" wrapText="1"/>
    </xf>
    <xf numFmtId="0" fontId="17" fillId="7" borderId="4" xfId="15" quotePrefix="1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vertical="center" wrapText="1"/>
    </xf>
    <xf numFmtId="0" fontId="17" fillId="7" borderId="3" xfId="0" applyFont="1" applyFill="1" applyBorder="1" applyAlignment="1">
      <alignment vertical="center" wrapText="1"/>
    </xf>
    <xf numFmtId="0" fontId="17" fillId="7" borderId="6" xfId="15" applyFont="1" applyFill="1" applyBorder="1" applyAlignment="1">
      <alignment horizontal="left" vertical="center" wrapText="1"/>
    </xf>
    <xf numFmtId="0" fontId="17" fillId="7" borderId="7" xfId="15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4" applyFont="1" applyAlignment="1">
      <alignment horizontal="left" vertical="center" wrapText="1"/>
    </xf>
    <xf numFmtId="168" fontId="4" fillId="4" borderId="2" xfId="11" applyFont="1" applyFill="1" applyBorder="1" applyProtection="1">
      <alignment horizontal="center" vertical="center" wrapText="1"/>
      <protection locked="0"/>
    </xf>
    <xf numFmtId="168" fontId="4" fillId="4" borderId="3" xfId="11" applyFont="1" applyFill="1" applyBorder="1" applyProtection="1">
      <alignment horizontal="center" vertical="center" wrapText="1"/>
      <protection locked="0"/>
    </xf>
    <xf numFmtId="4" fontId="4" fillId="4" borderId="2" xfId="11" applyNumberFormat="1" applyFont="1" applyFill="1" applyBorder="1" applyProtection="1">
      <alignment horizontal="center" vertical="center" wrapText="1"/>
      <protection locked="0"/>
    </xf>
    <xf numFmtId="4" fontId="4" fillId="4" borderId="3" xfId="11" applyNumberFormat="1" applyFont="1" applyFill="1" applyBorder="1" applyProtection="1">
      <alignment horizontal="center" vertical="center" wrapText="1"/>
      <protection locked="0"/>
    </xf>
    <xf numFmtId="165" fontId="4" fillId="4" borderId="2" xfId="3" applyNumberFormat="1" applyFont="1" applyFill="1" applyBorder="1" applyAlignment="1">
      <alignment horizontal="center" vertical="center" wrapText="1"/>
    </xf>
    <xf numFmtId="165" fontId="4" fillId="4" borderId="3" xfId="3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4" fillId="0" borderId="0" xfId="4" applyFont="1" applyAlignment="1">
      <alignment vertical="center" wrapText="1"/>
    </xf>
    <xf numFmtId="0" fontId="4" fillId="0" borderId="0" xfId="5" applyFont="1" applyAlignment="1"/>
    <xf numFmtId="167" fontId="4" fillId="2" borderId="0" xfId="10" applyNumberFormat="1" applyFont="1" applyFill="1" applyBorder="1" applyAlignment="1" applyProtection="1">
      <alignment vertical="center" wrapText="1"/>
    </xf>
    <xf numFmtId="168" fontId="4" fillId="4" borderId="2" xfId="11" applyFont="1" applyFill="1" applyBorder="1" applyAlignment="1" applyProtection="1">
      <alignment vertical="center" wrapText="1"/>
      <protection locked="0"/>
    </xf>
    <xf numFmtId="168" fontId="4" fillId="4" borderId="3" xfId="11" applyFont="1" applyFill="1" applyBorder="1" applyAlignment="1" applyProtection="1">
      <alignment vertical="center" wrapText="1"/>
      <protection locked="0"/>
    </xf>
    <xf numFmtId="164" fontId="4" fillId="4" borderId="3" xfId="9" applyFont="1" applyFill="1" applyBorder="1" applyAlignment="1" applyProtection="1">
      <alignment vertical="center"/>
      <protection locked="0"/>
    </xf>
    <xf numFmtId="49" fontId="4" fillId="0" borderId="3" xfId="12" applyNumberFormat="1" applyFont="1" applyBorder="1" applyAlignment="1" applyProtection="1">
      <alignment vertical="center" wrapText="1"/>
      <protection locked="0"/>
    </xf>
    <xf numFmtId="3" fontId="2" fillId="0" borderId="5" xfId="8" applyNumberFormat="1" applyFont="1" applyBorder="1" applyAlignment="1" applyProtection="1">
      <alignment vertical="center" wrapText="1"/>
      <protection locked="0"/>
    </xf>
    <xf numFmtId="3" fontId="13" fillId="0" borderId="3" xfId="8" applyNumberFormat="1" applyFont="1" applyBorder="1" applyAlignment="1" applyProtection="1">
      <alignment vertical="center" wrapText="1"/>
      <protection locked="0"/>
    </xf>
    <xf numFmtId="165" fontId="4" fillId="5" borderId="1" xfId="14" applyNumberFormat="1" applyFont="1" applyFill="1" applyBorder="1" applyAlignment="1"/>
    <xf numFmtId="3" fontId="2" fillId="0" borderId="0" xfId="8" applyNumberFormat="1" applyFont="1" applyAlignment="1" applyProtection="1">
      <alignment vertical="center" wrapText="1"/>
      <protection locked="0"/>
    </xf>
  </cellXfs>
  <cellStyles count="16">
    <cellStyle name="Column Header" xfId="11" xr:uid="{81C7EAA3-311D-4F00-B178-8194E5A7D6B5}"/>
    <cellStyle name="Comma 10 10" xfId="13" xr:uid="{782A3639-064A-4AD3-BF96-68A4DAC8428F}"/>
    <cellStyle name="Comma 13 3" xfId="3" xr:uid="{5C9068C7-54EB-4FBC-80CB-75FC2D97A8FA}"/>
    <cellStyle name="Comma 2 2 2 10" xfId="10" xr:uid="{C08F5AE5-8A9E-4258-AEA6-AC58277C525C}"/>
    <cellStyle name="Comma 4 5" xfId="6" xr:uid="{07A86A76-CAAE-448D-A46C-36BB8049AECA}"/>
    <cellStyle name="Comma 5 2 2" xfId="9" xr:uid="{37F3866B-508A-4B26-9E94-6998268A181F}"/>
    <cellStyle name="Normal" xfId="0" builtinId="0"/>
    <cellStyle name="Normal - Style1 2 2" xfId="8" xr:uid="{B9F0DA33-AB3E-4418-A95F-C20E71B116C4}"/>
    <cellStyle name="Normal 10 3" xfId="15" xr:uid="{D483BFDB-9261-4781-80D8-ECE08BF8A3F3}"/>
    <cellStyle name="Normal 18 2" xfId="1" xr:uid="{0C6EDFC5-A7F7-4D9B-92C8-157741157EDC}"/>
    <cellStyle name="Normal 18 3" xfId="2" xr:uid="{71467B76-96D9-476D-BAF2-15CAB648C84F}"/>
    <cellStyle name="Normal 26" xfId="5" xr:uid="{6AA89F73-0169-473A-B072-B0D968ED6274}"/>
    <cellStyle name="Normal 3" xfId="14" xr:uid="{839080D5-8029-4581-A7F0-8C005CCD7AF7}"/>
    <cellStyle name="Normal 6 2 2" xfId="7" xr:uid="{4755AA17-00AF-415E-B9AA-0E55B2EFDAF8}"/>
    <cellStyle name="Normal_(b1)(R11- SHOW UNIT- SD10B&amp;12SU)SummaryOfTender(Preliminary) 2" xfId="4" xr:uid="{8ED713BF-ADBB-4E46-80FF-861F15112875}"/>
    <cellStyle name="Style 1" xfId="12" xr:uid="{DFC6520A-ED2F-4626-A525-B46AE828E5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0.%20AT\202310%20VSIP%20II\00.%20Tender%20Document\Form%20of%20quotation%20-%20VSIP.IIA_408%20(call%20tender).xls" TargetMode="External"/><Relationship Id="rId1" Type="http://schemas.openxmlformats.org/officeDocument/2006/relationships/externalLinkPath" Target="/00.%20AT/202310%20VSIP%20II/00.%20Tender%20Document/Form%20of%20quotation%20-%20VSIP.IIA_408%20(call%20tender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"/>
      <sheetName val="B0.PRELIM"/>
      <sheetName val="B1.NHÀ XƯỞNG"/>
      <sheetName val="B2.PHỤ TRỢ"/>
      <sheetName val="B3.1.ELEC"/>
      <sheetName val="B3.2. ELV"/>
      <sheetName val="B3.3. ACMV"/>
      <sheetName val="B3.4. PD"/>
      <sheetName val="B3.5. PCCC"/>
      <sheetName val="B3.1. ELEC"/>
      <sheetName val="B3.2 ELV"/>
      <sheetName val="B3.3 ACMV"/>
      <sheetName val="B3.4 PD"/>
      <sheetName val="B3.5 PCCC"/>
    </sheetNames>
    <sheetDataSet>
      <sheetData sheetId="0"/>
      <sheetData sheetId="1"/>
      <sheetData sheetId="2">
        <row r="2">
          <cell r="A2" t="str">
            <v>DỰ ÁN: DỰ ÁN PHÁT TRIỂN CÔNG NGHIỆP VÀ KHO VẬN VSIP II - A BÌNH DƯƠNG</v>
          </cell>
        </row>
        <row r="3">
          <cell r="A3" t="str">
            <v>ĐỊA ĐIỂM: SỐ 1A VSIP II-A, ĐƯỜNG SỐ 29, KCN VIỆT NAM- SINGAPORE II-A, P. VĨNH TÂN, HCM</v>
          </cell>
        </row>
      </sheetData>
      <sheetData sheetId="3"/>
      <sheetData sheetId="4">
        <row r="1">
          <cell r="A1" t="str">
            <v>DỰ TOÁN KHỐI LƯỢNG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2"/>
  <sheetViews>
    <sheetView tabSelected="1" zoomScale="55" zoomScaleNormal="55" workbookViewId="0">
      <selection activeCell="F46" sqref="F46"/>
    </sheetView>
  </sheetViews>
  <sheetFormatPr defaultRowHeight="15.6" outlineLevelCol="1" x14ac:dyDescent="0.3"/>
  <cols>
    <col min="1" max="1" width="4" style="30" customWidth="1"/>
    <col min="2" max="2" width="7.44140625" style="50" customWidth="1"/>
    <col min="3" max="3" width="67.33203125" style="51" customWidth="1"/>
    <col min="4" max="4" width="11" style="52" customWidth="1"/>
    <col min="5" max="5" width="12.109375" style="53" customWidth="1"/>
    <col min="6" max="6" width="25.5546875" style="54" customWidth="1" outlineLevel="1"/>
    <col min="7" max="7" width="25.88671875" style="54" customWidth="1" outlineLevel="1"/>
    <col min="8" max="8" width="25.88671875" style="82" customWidth="1"/>
    <col min="9" max="253" width="9.109375" style="30"/>
    <col min="254" max="254" width="4" style="30" customWidth="1"/>
    <col min="255" max="255" width="7.44140625" style="30" customWidth="1"/>
    <col min="256" max="256" width="67.33203125" style="30" customWidth="1"/>
    <col min="257" max="257" width="11" style="30" customWidth="1"/>
    <col min="258" max="260" width="13.33203125" style="30" customWidth="1"/>
    <col min="261" max="261" width="12.109375" style="30" customWidth="1"/>
    <col min="262" max="262" width="25.5546875" style="30" customWidth="1"/>
    <col min="263" max="264" width="25.88671875" style="30" customWidth="1"/>
    <col min="265" max="509" width="9.109375" style="30"/>
    <col min="510" max="510" width="4" style="30" customWidth="1"/>
    <col min="511" max="511" width="7.44140625" style="30" customWidth="1"/>
    <col min="512" max="512" width="67.33203125" style="30" customWidth="1"/>
    <col min="513" max="513" width="11" style="30" customWidth="1"/>
    <col min="514" max="516" width="13.33203125" style="30" customWidth="1"/>
    <col min="517" max="517" width="12.109375" style="30" customWidth="1"/>
    <col min="518" max="518" width="25.5546875" style="30" customWidth="1"/>
    <col min="519" max="520" width="25.88671875" style="30" customWidth="1"/>
    <col min="521" max="765" width="9.109375" style="30"/>
    <col min="766" max="766" width="4" style="30" customWidth="1"/>
    <col min="767" max="767" width="7.44140625" style="30" customWidth="1"/>
    <col min="768" max="768" width="67.33203125" style="30" customWidth="1"/>
    <col min="769" max="769" width="11" style="30" customWidth="1"/>
    <col min="770" max="772" width="13.33203125" style="30" customWidth="1"/>
    <col min="773" max="773" width="12.109375" style="30" customWidth="1"/>
    <col min="774" max="774" width="25.5546875" style="30" customWidth="1"/>
    <col min="775" max="776" width="25.88671875" style="30" customWidth="1"/>
    <col min="777" max="1021" width="9.109375" style="30"/>
    <col min="1022" max="1022" width="4" style="30" customWidth="1"/>
    <col min="1023" max="1023" width="7.44140625" style="30" customWidth="1"/>
    <col min="1024" max="1024" width="67.33203125" style="30" customWidth="1"/>
    <col min="1025" max="1025" width="11" style="30" customWidth="1"/>
    <col min="1026" max="1028" width="13.33203125" style="30" customWidth="1"/>
    <col min="1029" max="1029" width="12.109375" style="30" customWidth="1"/>
    <col min="1030" max="1030" width="25.5546875" style="30" customWidth="1"/>
    <col min="1031" max="1032" width="25.88671875" style="30" customWidth="1"/>
    <col min="1033" max="1277" width="9.109375" style="30"/>
    <col min="1278" max="1278" width="4" style="30" customWidth="1"/>
    <col min="1279" max="1279" width="7.44140625" style="30" customWidth="1"/>
    <col min="1280" max="1280" width="67.33203125" style="30" customWidth="1"/>
    <col min="1281" max="1281" width="11" style="30" customWidth="1"/>
    <col min="1282" max="1284" width="13.33203125" style="30" customWidth="1"/>
    <col min="1285" max="1285" width="12.109375" style="30" customWidth="1"/>
    <col min="1286" max="1286" width="25.5546875" style="30" customWidth="1"/>
    <col min="1287" max="1288" width="25.88671875" style="30" customWidth="1"/>
    <col min="1289" max="1533" width="9.109375" style="30"/>
    <col min="1534" max="1534" width="4" style="30" customWidth="1"/>
    <col min="1535" max="1535" width="7.44140625" style="30" customWidth="1"/>
    <col min="1536" max="1536" width="67.33203125" style="30" customWidth="1"/>
    <col min="1537" max="1537" width="11" style="30" customWidth="1"/>
    <col min="1538" max="1540" width="13.33203125" style="30" customWidth="1"/>
    <col min="1541" max="1541" width="12.109375" style="30" customWidth="1"/>
    <col min="1542" max="1542" width="25.5546875" style="30" customWidth="1"/>
    <col min="1543" max="1544" width="25.88671875" style="30" customWidth="1"/>
    <col min="1545" max="1789" width="9.109375" style="30"/>
    <col min="1790" max="1790" width="4" style="30" customWidth="1"/>
    <col min="1791" max="1791" width="7.44140625" style="30" customWidth="1"/>
    <col min="1792" max="1792" width="67.33203125" style="30" customWidth="1"/>
    <col min="1793" max="1793" width="11" style="30" customWidth="1"/>
    <col min="1794" max="1796" width="13.33203125" style="30" customWidth="1"/>
    <col min="1797" max="1797" width="12.109375" style="30" customWidth="1"/>
    <col min="1798" max="1798" width="25.5546875" style="30" customWidth="1"/>
    <col min="1799" max="1800" width="25.88671875" style="30" customWidth="1"/>
    <col min="1801" max="2045" width="9.109375" style="30"/>
    <col min="2046" max="2046" width="4" style="30" customWidth="1"/>
    <col min="2047" max="2047" width="7.44140625" style="30" customWidth="1"/>
    <col min="2048" max="2048" width="67.33203125" style="30" customWidth="1"/>
    <col min="2049" max="2049" width="11" style="30" customWidth="1"/>
    <col min="2050" max="2052" width="13.33203125" style="30" customWidth="1"/>
    <col min="2053" max="2053" width="12.109375" style="30" customWidth="1"/>
    <col min="2054" max="2054" width="25.5546875" style="30" customWidth="1"/>
    <col min="2055" max="2056" width="25.88671875" style="30" customWidth="1"/>
    <col min="2057" max="2301" width="9.109375" style="30"/>
    <col min="2302" max="2302" width="4" style="30" customWidth="1"/>
    <col min="2303" max="2303" width="7.44140625" style="30" customWidth="1"/>
    <col min="2304" max="2304" width="67.33203125" style="30" customWidth="1"/>
    <col min="2305" max="2305" width="11" style="30" customWidth="1"/>
    <col min="2306" max="2308" width="13.33203125" style="30" customWidth="1"/>
    <col min="2309" max="2309" width="12.109375" style="30" customWidth="1"/>
    <col min="2310" max="2310" width="25.5546875" style="30" customWidth="1"/>
    <col min="2311" max="2312" width="25.88671875" style="30" customWidth="1"/>
    <col min="2313" max="2557" width="9.109375" style="30"/>
    <col min="2558" max="2558" width="4" style="30" customWidth="1"/>
    <col min="2559" max="2559" width="7.44140625" style="30" customWidth="1"/>
    <col min="2560" max="2560" width="67.33203125" style="30" customWidth="1"/>
    <col min="2561" max="2561" width="11" style="30" customWidth="1"/>
    <col min="2562" max="2564" width="13.33203125" style="30" customWidth="1"/>
    <col min="2565" max="2565" width="12.109375" style="30" customWidth="1"/>
    <col min="2566" max="2566" width="25.5546875" style="30" customWidth="1"/>
    <col min="2567" max="2568" width="25.88671875" style="30" customWidth="1"/>
    <col min="2569" max="2813" width="9.109375" style="30"/>
    <col min="2814" max="2814" width="4" style="30" customWidth="1"/>
    <col min="2815" max="2815" width="7.44140625" style="30" customWidth="1"/>
    <col min="2816" max="2816" width="67.33203125" style="30" customWidth="1"/>
    <col min="2817" max="2817" width="11" style="30" customWidth="1"/>
    <col min="2818" max="2820" width="13.33203125" style="30" customWidth="1"/>
    <col min="2821" max="2821" width="12.109375" style="30" customWidth="1"/>
    <col min="2822" max="2822" width="25.5546875" style="30" customWidth="1"/>
    <col min="2823" max="2824" width="25.88671875" style="30" customWidth="1"/>
    <col min="2825" max="3069" width="9.109375" style="30"/>
    <col min="3070" max="3070" width="4" style="30" customWidth="1"/>
    <col min="3071" max="3071" width="7.44140625" style="30" customWidth="1"/>
    <col min="3072" max="3072" width="67.33203125" style="30" customWidth="1"/>
    <col min="3073" max="3073" width="11" style="30" customWidth="1"/>
    <col min="3074" max="3076" width="13.33203125" style="30" customWidth="1"/>
    <col min="3077" max="3077" width="12.109375" style="30" customWidth="1"/>
    <col min="3078" max="3078" width="25.5546875" style="30" customWidth="1"/>
    <col min="3079" max="3080" width="25.88671875" style="30" customWidth="1"/>
    <col min="3081" max="3325" width="9.109375" style="30"/>
    <col min="3326" max="3326" width="4" style="30" customWidth="1"/>
    <col min="3327" max="3327" width="7.44140625" style="30" customWidth="1"/>
    <col min="3328" max="3328" width="67.33203125" style="30" customWidth="1"/>
    <col min="3329" max="3329" width="11" style="30" customWidth="1"/>
    <col min="3330" max="3332" width="13.33203125" style="30" customWidth="1"/>
    <col min="3333" max="3333" width="12.109375" style="30" customWidth="1"/>
    <col min="3334" max="3334" width="25.5546875" style="30" customWidth="1"/>
    <col min="3335" max="3336" width="25.88671875" style="30" customWidth="1"/>
    <col min="3337" max="3581" width="9.109375" style="30"/>
    <col min="3582" max="3582" width="4" style="30" customWidth="1"/>
    <col min="3583" max="3583" width="7.44140625" style="30" customWidth="1"/>
    <col min="3584" max="3584" width="67.33203125" style="30" customWidth="1"/>
    <col min="3585" max="3585" width="11" style="30" customWidth="1"/>
    <col min="3586" max="3588" width="13.33203125" style="30" customWidth="1"/>
    <col min="3589" max="3589" width="12.109375" style="30" customWidth="1"/>
    <col min="3590" max="3590" width="25.5546875" style="30" customWidth="1"/>
    <col min="3591" max="3592" width="25.88671875" style="30" customWidth="1"/>
    <col min="3593" max="3837" width="9.109375" style="30"/>
    <col min="3838" max="3838" width="4" style="30" customWidth="1"/>
    <col min="3839" max="3839" width="7.44140625" style="30" customWidth="1"/>
    <col min="3840" max="3840" width="67.33203125" style="30" customWidth="1"/>
    <col min="3841" max="3841" width="11" style="30" customWidth="1"/>
    <col min="3842" max="3844" width="13.33203125" style="30" customWidth="1"/>
    <col min="3845" max="3845" width="12.109375" style="30" customWidth="1"/>
    <col min="3846" max="3846" width="25.5546875" style="30" customWidth="1"/>
    <col min="3847" max="3848" width="25.88671875" style="30" customWidth="1"/>
    <col min="3849" max="4093" width="9.109375" style="30"/>
    <col min="4094" max="4094" width="4" style="30" customWidth="1"/>
    <col min="4095" max="4095" width="7.44140625" style="30" customWidth="1"/>
    <col min="4096" max="4096" width="67.33203125" style="30" customWidth="1"/>
    <col min="4097" max="4097" width="11" style="30" customWidth="1"/>
    <col min="4098" max="4100" width="13.33203125" style="30" customWidth="1"/>
    <col min="4101" max="4101" width="12.109375" style="30" customWidth="1"/>
    <col min="4102" max="4102" width="25.5546875" style="30" customWidth="1"/>
    <col min="4103" max="4104" width="25.88671875" style="30" customWidth="1"/>
    <col min="4105" max="4349" width="9.109375" style="30"/>
    <col min="4350" max="4350" width="4" style="30" customWidth="1"/>
    <col min="4351" max="4351" width="7.44140625" style="30" customWidth="1"/>
    <col min="4352" max="4352" width="67.33203125" style="30" customWidth="1"/>
    <col min="4353" max="4353" width="11" style="30" customWidth="1"/>
    <col min="4354" max="4356" width="13.33203125" style="30" customWidth="1"/>
    <col min="4357" max="4357" width="12.109375" style="30" customWidth="1"/>
    <col min="4358" max="4358" width="25.5546875" style="30" customWidth="1"/>
    <col min="4359" max="4360" width="25.88671875" style="30" customWidth="1"/>
    <col min="4361" max="4605" width="9.109375" style="30"/>
    <col min="4606" max="4606" width="4" style="30" customWidth="1"/>
    <col min="4607" max="4607" width="7.44140625" style="30" customWidth="1"/>
    <col min="4608" max="4608" width="67.33203125" style="30" customWidth="1"/>
    <col min="4609" max="4609" width="11" style="30" customWidth="1"/>
    <col min="4610" max="4612" width="13.33203125" style="30" customWidth="1"/>
    <col min="4613" max="4613" width="12.109375" style="30" customWidth="1"/>
    <col min="4614" max="4614" width="25.5546875" style="30" customWidth="1"/>
    <col min="4615" max="4616" width="25.88671875" style="30" customWidth="1"/>
    <col min="4617" max="4861" width="9.109375" style="30"/>
    <col min="4862" max="4862" width="4" style="30" customWidth="1"/>
    <col min="4863" max="4863" width="7.44140625" style="30" customWidth="1"/>
    <col min="4864" max="4864" width="67.33203125" style="30" customWidth="1"/>
    <col min="4865" max="4865" width="11" style="30" customWidth="1"/>
    <col min="4866" max="4868" width="13.33203125" style="30" customWidth="1"/>
    <col min="4869" max="4869" width="12.109375" style="30" customWidth="1"/>
    <col min="4870" max="4870" width="25.5546875" style="30" customWidth="1"/>
    <col min="4871" max="4872" width="25.88671875" style="30" customWidth="1"/>
    <col min="4873" max="5117" width="9.109375" style="30"/>
    <col min="5118" max="5118" width="4" style="30" customWidth="1"/>
    <col min="5119" max="5119" width="7.44140625" style="30" customWidth="1"/>
    <col min="5120" max="5120" width="67.33203125" style="30" customWidth="1"/>
    <col min="5121" max="5121" width="11" style="30" customWidth="1"/>
    <col min="5122" max="5124" width="13.33203125" style="30" customWidth="1"/>
    <col min="5125" max="5125" width="12.109375" style="30" customWidth="1"/>
    <col min="5126" max="5126" width="25.5546875" style="30" customWidth="1"/>
    <col min="5127" max="5128" width="25.88671875" style="30" customWidth="1"/>
    <col min="5129" max="5373" width="9.109375" style="30"/>
    <col min="5374" max="5374" width="4" style="30" customWidth="1"/>
    <col min="5375" max="5375" width="7.44140625" style="30" customWidth="1"/>
    <col min="5376" max="5376" width="67.33203125" style="30" customWidth="1"/>
    <col min="5377" max="5377" width="11" style="30" customWidth="1"/>
    <col min="5378" max="5380" width="13.33203125" style="30" customWidth="1"/>
    <col min="5381" max="5381" width="12.109375" style="30" customWidth="1"/>
    <col min="5382" max="5382" width="25.5546875" style="30" customWidth="1"/>
    <col min="5383" max="5384" width="25.88671875" style="30" customWidth="1"/>
    <col min="5385" max="5629" width="9.109375" style="30"/>
    <col min="5630" max="5630" width="4" style="30" customWidth="1"/>
    <col min="5631" max="5631" width="7.44140625" style="30" customWidth="1"/>
    <col min="5632" max="5632" width="67.33203125" style="30" customWidth="1"/>
    <col min="5633" max="5633" width="11" style="30" customWidth="1"/>
    <col min="5634" max="5636" width="13.33203125" style="30" customWidth="1"/>
    <col min="5637" max="5637" width="12.109375" style="30" customWidth="1"/>
    <col min="5638" max="5638" width="25.5546875" style="30" customWidth="1"/>
    <col min="5639" max="5640" width="25.88671875" style="30" customWidth="1"/>
    <col min="5641" max="5885" width="9.109375" style="30"/>
    <col min="5886" max="5886" width="4" style="30" customWidth="1"/>
    <col min="5887" max="5887" width="7.44140625" style="30" customWidth="1"/>
    <col min="5888" max="5888" width="67.33203125" style="30" customWidth="1"/>
    <col min="5889" max="5889" width="11" style="30" customWidth="1"/>
    <col min="5890" max="5892" width="13.33203125" style="30" customWidth="1"/>
    <col min="5893" max="5893" width="12.109375" style="30" customWidth="1"/>
    <col min="5894" max="5894" width="25.5546875" style="30" customWidth="1"/>
    <col min="5895" max="5896" width="25.88671875" style="30" customWidth="1"/>
    <col min="5897" max="6141" width="9.109375" style="30"/>
    <col min="6142" max="6142" width="4" style="30" customWidth="1"/>
    <col min="6143" max="6143" width="7.44140625" style="30" customWidth="1"/>
    <col min="6144" max="6144" width="67.33203125" style="30" customWidth="1"/>
    <col min="6145" max="6145" width="11" style="30" customWidth="1"/>
    <col min="6146" max="6148" width="13.33203125" style="30" customWidth="1"/>
    <col min="6149" max="6149" width="12.109375" style="30" customWidth="1"/>
    <col min="6150" max="6150" width="25.5546875" style="30" customWidth="1"/>
    <col min="6151" max="6152" width="25.88671875" style="30" customWidth="1"/>
    <col min="6153" max="6397" width="9.109375" style="30"/>
    <col min="6398" max="6398" width="4" style="30" customWidth="1"/>
    <col min="6399" max="6399" width="7.44140625" style="30" customWidth="1"/>
    <col min="6400" max="6400" width="67.33203125" style="30" customWidth="1"/>
    <col min="6401" max="6401" width="11" style="30" customWidth="1"/>
    <col min="6402" max="6404" width="13.33203125" style="30" customWidth="1"/>
    <col min="6405" max="6405" width="12.109375" style="30" customWidth="1"/>
    <col min="6406" max="6406" width="25.5546875" style="30" customWidth="1"/>
    <col min="6407" max="6408" width="25.88671875" style="30" customWidth="1"/>
    <col min="6409" max="6653" width="9.109375" style="30"/>
    <col min="6654" max="6654" width="4" style="30" customWidth="1"/>
    <col min="6655" max="6655" width="7.44140625" style="30" customWidth="1"/>
    <col min="6656" max="6656" width="67.33203125" style="30" customWidth="1"/>
    <col min="6657" max="6657" width="11" style="30" customWidth="1"/>
    <col min="6658" max="6660" width="13.33203125" style="30" customWidth="1"/>
    <col min="6661" max="6661" width="12.109375" style="30" customWidth="1"/>
    <col min="6662" max="6662" width="25.5546875" style="30" customWidth="1"/>
    <col min="6663" max="6664" width="25.88671875" style="30" customWidth="1"/>
    <col min="6665" max="6909" width="9.109375" style="30"/>
    <col min="6910" max="6910" width="4" style="30" customWidth="1"/>
    <col min="6911" max="6911" width="7.44140625" style="30" customWidth="1"/>
    <col min="6912" max="6912" width="67.33203125" style="30" customWidth="1"/>
    <col min="6913" max="6913" width="11" style="30" customWidth="1"/>
    <col min="6914" max="6916" width="13.33203125" style="30" customWidth="1"/>
    <col min="6917" max="6917" width="12.109375" style="30" customWidth="1"/>
    <col min="6918" max="6918" width="25.5546875" style="30" customWidth="1"/>
    <col min="6919" max="6920" width="25.88671875" style="30" customWidth="1"/>
    <col min="6921" max="7165" width="9.109375" style="30"/>
    <col min="7166" max="7166" width="4" style="30" customWidth="1"/>
    <col min="7167" max="7167" width="7.44140625" style="30" customWidth="1"/>
    <col min="7168" max="7168" width="67.33203125" style="30" customWidth="1"/>
    <col min="7169" max="7169" width="11" style="30" customWidth="1"/>
    <col min="7170" max="7172" width="13.33203125" style="30" customWidth="1"/>
    <col min="7173" max="7173" width="12.109375" style="30" customWidth="1"/>
    <col min="7174" max="7174" width="25.5546875" style="30" customWidth="1"/>
    <col min="7175" max="7176" width="25.88671875" style="30" customWidth="1"/>
    <col min="7177" max="7421" width="9.109375" style="30"/>
    <col min="7422" max="7422" width="4" style="30" customWidth="1"/>
    <col min="7423" max="7423" width="7.44140625" style="30" customWidth="1"/>
    <col min="7424" max="7424" width="67.33203125" style="30" customWidth="1"/>
    <col min="7425" max="7425" width="11" style="30" customWidth="1"/>
    <col min="7426" max="7428" width="13.33203125" style="30" customWidth="1"/>
    <col min="7429" max="7429" width="12.109375" style="30" customWidth="1"/>
    <col min="7430" max="7430" width="25.5546875" style="30" customWidth="1"/>
    <col min="7431" max="7432" width="25.88671875" style="30" customWidth="1"/>
    <col min="7433" max="7677" width="9.109375" style="30"/>
    <col min="7678" max="7678" width="4" style="30" customWidth="1"/>
    <col min="7679" max="7679" width="7.44140625" style="30" customWidth="1"/>
    <col min="7680" max="7680" width="67.33203125" style="30" customWidth="1"/>
    <col min="7681" max="7681" width="11" style="30" customWidth="1"/>
    <col min="7682" max="7684" width="13.33203125" style="30" customWidth="1"/>
    <col min="7685" max="7685" width="12.109375" style="30" customWidth="1"/>
    <col min="7686" max="7686" width="25.5546875" style="30" customWidth="1"/>
    <col min="7687" max="7688" width="25.88671875" style="30" customWidth="1"/>
    <col min="7689" max="7933" width="9.109375" style="30"/>
    <col min="7934" max="7934" width="4" style="30" customWidth="1"/>
    <col min="7935" max="7935" width="7.44140625" style="30" customWidth="1"/>
    <col min="7936" max="7936" width="67.33203125" style="30" customWidth="1"/>
    <col min="7937" max="7937" width="11" style="30" customWidth="1"/>
    <col min="7938" max="7940" width="13.33203125" style="30" customWidth="1"/>
    <col min="7941" max="7941" width="12.109375" style="30" customWidth="1"/>
    <col min="7942" max="7942" width="25.5546875" style="30" customWidth="1"/>
    <col min="7943" max="7944" width="25.88671875" style="30" customWidth="1"/>
    <col min="7945" max="8189" width="9.109375" style="30"/>
    <col min="8190" max="8190" width="4" style="30" customWidth="1"/>
    <col min="8191" max="8191" width="7.44140625" style="30" customWidth="1"/>
    <col min="8192" max="8192" width="67.33203125" style="30" customWidth="1"/>
    <col min="8193" max="8193" width="11" style="30" customWidth="1"/>
    <col min="8194" max="8196" width="13.33203125" style="30" customWidth="1"/>
    <col min="8197" max="8197" width="12.109375" style="30" customWidth="1"/>
    <col min="8198" max="8198" width="25.5546875" style="30" customWidth="1"/>
    <col min="8199" max="8200" width="25.88671875" style="30" customWidth="1"/>
    <col min="8201" max="8445" width="9.109375" style="30"/>
    <col min="8446" max="8446" width="4" style="30" customWidth="1"/>
    <col min="8447" max="8447" width="7.44140625" style="30" customWidth="1"/>
    <col min="8448" max="8448" width="67.33203125" style="30" customWidth="1"/>
    <col min="8449" max="8449" width="11" style="30" customWidth="1"/>
    <col min="8450" max="8452" width="13.33203125" style="30" customWidth="1"/>
    <col min="8453" max="8453" width="12.109375" style="30" customWidth="1"/>
    <col min="8454" max="8454" width="25.5546875" style="30" customWidth="1"/>
    <col min="8455" max="8456" width="25.88671875" style="30" customWidth="1"/>
    <col min="8457" max="8701" width="9.109375" style="30"/>
    <col min="8702" max="8702" width="4" style="30" customWidth="1"/>
    <col min="8703" max="8703" width="7.44140625" style="30" customWidth="1"/>
    <col min="8704" max="8704" width="67.33203125" style="30" customWidth="1"/>
    <col min="8705" max="8705" width="11" style="30" customWidth="1"/>
    <col min="8706" max="8708" width="13.33203125" style="30" customWidth="1"/>
    <col min="8709" max="8709" width="12.109375" style="30" customWidth="1"/>
    <col min="8710" max="8710" width="25.5546875" style="30" customWidth="1"/>
    <col min="8711" max="8712" width="25.88671875" style="30" customWidth="1"/>
    <col min="8713" max="8957" width="9.109375" style="30"/>
    <col min="8958" max="8958" width="4" style="30" customWidth="1"/>
    <col min="8959" max="8959" width="7.44140625" style="30" customWidth="1"/>
    <col min="8960" max="8960" width="67.33203125" style="30" customWidth="1"/>
    <col min="8961" max="8961" width="11" style="30" customWidth="1"/>
    <col min="8962" max="8964" width="13.33203125" style="30" customWidth="1"/>
    <col min="8965" max="8965" width="12.109375" style="30" customWidth="1"/>
    <col min="8966" max="8966" width="25.5546875" style="30" customWidth="1"/>
    <col min="8967" max="8968" width="25.88671875" style="30" customWidth="1"/>
    <col min="8969" max="9213" width="9.109375" style="30"/>
    <col min="9214" max="9214" width="4" style="30" customWidth="1"/>
    <col min="9215" max="9215" width="7.44140625" style="30" customWidth="1"/>
    <col min="9216" max="9216" width="67.33203125" style="30" customWidth="1"/>
    <col min="9217" max="9217" width="11" style="30" customWidth="1"/>
    <col min="9218" max="9220" width="13.33203125" style="30" customWidth="1"/>
    <col min="9221" max="9221" width="12.109375" style="30" customWidth="1"/>
    <col min="9222" max="9222" width="25.5546875" style="30" customWidth="1"/>
    <col min="9223" max="9224" width="25.88671875" style="30" customWidth="1"/>
    <col min="9225" max="9469" width="9.109375" style="30"/>
    <col min="9470" max="9470" width="4" style="30" customWidth="1"/>
    <col min="9471" max="9471" width="7.44140625" style="30" customWidth="1"/>
    <col min="9472" max="9472" width="67.33203125" style="30" customWidth="1"/>
    <col min="9473" max="9473" width="11" style="30" customWidth="1"/>
    <col min="9474" max="9476" width="13.33203125" style="30" customWidth="1"/>
    <col min="9477" max="9477" width="12.109375" style="30" customWidth="1"/>
    <col min="9478" max="9478" width="25.5546875" style="30" customWidth="1"/>
    <col min="9479" max="9480" width="25.88671875" style="30" customWidth="1"/>
    <col min="9481" max="9725" width="9.109375" style="30"/>
    <col min="9726" max="9726" width="4" style="30" customWidth="1"/>
    <col min="9727" max="9727" width="7.44140625" style="30" customWidth="1"/>
    <col min="9728" max="9728" width="67.33203125" style="30" customWidth="1"/>
    <col min="9729" max="9729" width="11" style="30" customWidth="1"/>
    <col min="9730" max="9732" width="13.33203125" style="30" customWidth="1"/>
    <col min="9733" max="9733" width="12.109375" style="30" customWidth="1"/>
    <col min="9734" max="9734" width="25.5546875" style="30" customWidth="1"/>
    <col min="9735" max="9736" width="25.88671875" style="30" customWidth="1"/>
    <col min="9737" max="9981" width="9.109375" style="30"/>
    <col min="9982" max="9982" width="4" style="30" customWidth="1"/>
    <col min="9983" max="9983" width="7.44140625" style="30" customWidth="1"/>
    <col min="9984" max="9984" width="67.33203125" style="30" customWidth="1"/>
    <col min="9985" max="9985" width="11" style="30" customWidth="1"/>
    <col min="9986" max="9988" width="13.33203125" style="30" customWidth="1"/>
    <col min="9989" max="9989" width="12.109375" style="30" customWidth="1"/>
    <col min="9990" max="9990" width="25.5546875" style="30" customWidth="1"/>
    <col min="9991" max="9992" width="25.88671875" style="30" customWidth="1"/>
    <col min="9993" max="10237" width="9.109375" style="30"/>
    <col min="10238" max="10238" width="4" style="30" customWidth="1"/>
    <col min="10239" max="10239" width="7.44140625" style="30" customWidth="1"/>
    <col min="10240" max="10240" width="67.33203125" style="30" customWidth="1"/>
    <col min="10241" max="10241" width="11" style="30" customWidth="1"/>
    <col min="10242" max="10244" width="13.33203125" style="30" customWidth="1"/>
    <col min="10245" max="10245" width="12.109375" style="30" customWidth="1"/>
    <col min="10246" max="10246" width="25.5546875" style="30" customWidth="1"/>
    <col min="10247" max="10248" width="25.88671875" style="30" customWidth="1"/>
    <col min="10249" max="10493" width="9.109375" style="30"/>
    <col min="10494" max="10494" width="4" style="30" customWidth="1"/>
    <col min="10495" max="10495" width="7.44140625" style="30" customWidth="1"/>
    <col min="10496" max="10496" width="67.33203125" style="30" customWidth="1"/>
    <col min="10497" max="10497" width="11" style="30" customWidth="1"/>
    <col min="10498" max="10500" width="13.33203125" style="30" customWidth="1"/>
    <col min="10501" max="10501" width="12.109375" style="30" customWidth="1"/>
    <col min="10502" max="10502" width="25.5546875" style="30" customWidth="1"/>
    <col min="10503" max="10504" width="25.88671875" style="30" customWidth="1"/>
    <col min="10505" max="10749" width="9.109375" style="30"/>
    <col min="10750" max="10750" width="4" style="30" customWidth="1"/>
    <col min="10751" max="10751" width="7.44140625" style="30" customWidth="1"/>
    <col min="10752" max="10752" width="67.33203125" style="30" customWidth="1"/>
    <col min="10753" max="10753" width="11" style="30" customWidth="1"/>
    <col min="10754" max="10756" width="13.33203125" style="30" customWidth="1"/>
    <col min="10757" max="10757" width="12.109375" style="30" customWidth="1"/>
    <col min="10758" max="10758" width="25.5546875" style="30" customWidth="1"/>
    <col min="10759" max="10760" width="25.88671875" style="30" customWidth="1"/>
    <col min="10761" max="11005" width="9.109375" style="30"/>
    <col min="11006" max="11006" width="4" style="30" customWidth="1"/>
    <col min="11007" max="11007" width="7.44140625" style="30" customWidth="1"/>
    <col min="11008" max="11008" width="67.33203125" style="30" customWidth="1"/>
    <col min="11009" max="11009" width="11" style="30" customWidth="1"/>
    <col min="11010" max="11012" width="13.33203125" style="30" customWidth="1"/>
    <col min="11013" max="11013" width="12.109375" style="30" customWidth="1"/>
    <col min="11014" max="11014" width="25.5546875" style="30" customWidth="1"/>
    <col min="11015" max="11016" width="25.88671875" style="30" customWidth="1"/>
    <col min="11017" max="11261" width="9.109375" style="30"/>
    <col min="11262" max="11262" width="4" style="30" customWidth="1"/>
    <col min="11263" max="11263" width="7.44140625" style="30" customWidth="1"/>
    <col min="11264" max="11264" width="67.33203125" style="30" customWidth="1"/>
    <col min="11265" max="11265" width="11" style="30" customWidth="1"/>
    <col min="11266" max="11268" width="13.33203125" style="30" customWidth="1"/>
    <col min="11269" max="11269" width="12.109375" style="30" customWidth="1"/>
    <col min="11270" max="11270" width="25.5546875" style="30" customWidth="1"/>
    <col min="11271" max="11272" width="25.88671875" style="30" customWidth="1"/>
    <col min="11273" max="11517" width="9.109375" style="30"/>
    <col min="11518" max="11518" width="4" style="30" customWidth="1"/>
    <col min="11519" max="11519" width="7.44140625" style="30" customWidth="1"/>
    <col min="11520" max="11520" width="67.33203125" style="30" customWidth="1"/>
    <col min="11521" max="11521" width="11" style="30" customWidth="1"/>
    <col min="11522" max="11524" width="13.33203125" style="30" customWidth="1"/>
    <col min="11525" max="11525" width="12.109375" style="30" customWidth="1"/>
    <col min="11526" max="11526" width="25.5546875" style="30" customWidth="1"/>
    <col min="11527" max="11528" width="25.88671875" style="30" customWidth="1"/>
    <col min="11529" max="11773" width="9.109375" style="30"/>
    <col min="11774" max="11774" width="4" style="30" customWidth="1"/>
    <col min="11775" max="11775" width="7.44140625" style="30" customWidth="1"/>
    <col min="11776" max="11776" width="67.33203125" style="30" customWidth="1"/>
    <col min="11777" max="11777" width="11" style="30" customWidth="1"/>
    <col min="11778" max="11780" width="13.33203125" style="30" customWidth="1"/>
    <col min="11781" max="11781" width="12.109375" style="30" customWidth="1"/>
    <col min="11782" max="11782" width="25.5546875" style="30" customWidth="1"/>
    <col min="11783" max="11784" width="25.88671875" style="30" customWidth="1"/>
    <col min="11785" max="12029" width="9.109375" style="30"/>
    <col min="12030" max="12030" width="4" style="30" customWidth="1"/>
    <col min="12031" max="12031" width="7.44140625" style="30" customWidth="1"/>
    <col min="12032" max="12032" width="67.33203125" style="30" customWidth="1"/>
    <col min="12033" max="12033" width="11" style="30" customWidth="1"/>
    <col min="12034" max="12036" width="13.33203125" style="30" customWidth="1"/>
    <col min="12037" max="12037" width="12.109375" style="30" customWidth="1"/>
    <col min="12038" max="12038" width="25.5546875" style="30" customWidth="1"/>
    <col min="12039" max="12040" width="25.88671875" style="30" customWidth="1"/>
    <col min="12041" max="12285" width="9.109375" style="30"/>
    <col min="12286" max="12286" width="4" style="30" customWidth="1"/>
    <col min="12287" max="12287" width="7.44140625" style="30" customWidth="1"/>
    <col min="12288" max="12288" width="67.33203125" style="30" customWidth="1"/>
    <col min="12289" max="12289" width="11" style="30" customWidth="1"/>
    <col min="12290" max="12292" width="13.33203125" style="30" customWidth="1"/>
    <col min="12293" max="12293" width="12.109375" style="30" customWidth="1"/>
    <col min="12294" max="12294" width="25.5546875" style="30" customWidth="1"/>
    <col min="12295" max="12296" width="25.88671875" style="30" customWidth="1"/>
    <col min="12297" max="12541" width="9.109375" style="30"/>
    <col min="12542" max="12542" width="4" style="30" customWidth="1"/>
    <col min="12543" max="12543" width="7.44140625" style="30" customWidth="1"/>
    <col min="12544" max="12544" width="67.33203125" style="30" customWidth="1"/>
    <col min="12545" max="12545" width="11" style="30" customWidth="1"/>
    <col min="12546" max="12548" width="13.33203125" style="30" customWidth="1"/>
    <col min="12549" max="12549" width="12.109375" style="30" customWidth="1"/>
    <col min="12550" max="12550" width="25.5546875" style="30" customWidth="1"/>
    <col min="12551" max="12552" width="25.88671875" style="30" customWidth="1"/>
    <col min="12553" max="12797" width="9.109375" style="30"/>
    <col min="12798" max="12798" width="4" style="30" customWidth="1"/>
    <col min="12799" max="12799" width="7.44140625" style="30" customWidth="1"/>
    <col min="12800" max="12800" width="67.33203125" style="30" customWidth="1"/>
    <col min="12801" max="12801" width="11" style="30" customWidth="1"/>
    <col min="12802" max="12804" width="13.33203125" style="30" customWidth="1"/>
    <col min="12805" max="12805" width="12.109375" style="30" customWidth="1"/>
    <col min="12806" max="12806" width="25.5546875" style="30" customWidth="1"/>
    <col min="12807" max="12808" width="25.88671875" style="30" customWidth="1"/>
    <col min="12809" max="13053" width="9.109375" style="30"/>
    <col min="13054" max="13054" width="4" style="30" customWidth="1"/>
    <col min="13055" max="13055" width="7.44140625" style="30" customWidth="1"/>
    <col min="13056" max="13056" width="67.33203125" style="30" customWidth="1"/>
    <col min="13057" max="13057" width="11" style="30" customWidth="1"/>
    <col min="13058" max="13060" width="13.33203125" style="30" customWidth="1"/>
    <col min="13061" max="13061" width="12.109375" style="30" customWidth="1"/>
    <col min="13062" max="13062" width="25.5546875" style="30" customWidth="1"/>
    <col min="13063" max="13064" width="25.88671875" style="30" customWidth="1"/>
    <col min="13065" max="13309" width="9.109375" style="30"/>
    <col min="13310" max="13310" width="4" style="30" customWidth="1"/>
    <col min="13311" max="13311" width="7.44140625" style="30" customWidth="1"/>
    <col min="13312" max="13312" width="67.33203125" style="30" customWidth="1"/>
    <col min="13313" max="13313" width="11" style="30" customWidth="1"/>
    <col min="13314" max="13316" width="13.33203125" style="30" customWidth="1"/>
    <col min="13317" max="13317" width="12.109375" style="30" customWidth="1"/>
    <col min="13318" max="13318" width="25.5546875" style="30" customWidth="1"/>
    <col min="13319" max="13320" width="25.88671875" style="30" customWidth="1"/>
    <col min="13321" max="13565" width="9.109375" style="30"/>
    <col min="13566" max="13566" width="4" style="30" customWidth="1"/>
    <col min="13567" max="13567" width="7.44140625" style="30" customWidth="1"/>
    <col min="13568" max="13568" width="67.33203125" style="30" customWidth="1"/>
    <col min="13569" max="13569" width="11" style="30" customWidth="1"/>
    <col min="13570" max="13572" width="13.33203125" style="30" customWidth="1"/>
    <col min="13573" max="13573" width="12.109375" style="30" customWidth="1"/>
    <col min="13574" max="13574" width="25.5546875" style="30" customWidth="1"/>
    <col min="13575" max="13576" width="25.88671875" style="30" customWidth="1"/>
    <col min="13577" max="13821" width="9.109375" style="30"/>
    <col min="13822" max="13822" width="4" style="30" customWidth="1"/>
    <col min="13823" max="13823" width="7.44140625" style="30" customWidth="1"/>
    <col min="13824" max="13824" width="67.33203125" style="30" customWidth="1"/>
    <col min="13825" max="13825" width="11" style="30" customWidth="1"/>
    <col min="13826" max="13828" width="13.33203125" style="30" customWidth="1"/>
    <col min="13829" max="13829" width="12.109375" style="30" customWidth="1"/>
    <col min="13830" max="13830" width="25.5546875" style="30" customWidth="1"/>
    <col min="13831" max="13832" width="25.88671875" style="30" customWidth="1"/>
    <col min="13833" max="14077" width="9.109375" style="30"/>
    <col min="14078" max="14078" width="4" style="30" customWidth="1"/>
    <col min="14079" max="14079" width="7.44140625" style="30" customWidth="1"/>
    <col min="14080" max="14080" width="67.33203125" style="30" customWidth="1"/>
    <col min="14081" max="14081" width="11" style="30" customWidth="1"/>
    <col min="14082" max="14084" width="13.33203125" style="30" customWidth="1"/>
    <col min="14085" max="14085" width="12.109375" style="30" customWidth="1"/>
    <col min="14086" max="14086" width="25.5546875" style="30" customWidth="1"/>
    <col min="14087" max="14088" width="25.88671875" style="30" customWidth="1"/>
    <col min="14089" max="14333" width="9.109375" style="30"/>
    <col min="14334" max="14334" width="4" style="30" customWidth="1"/>
    <col min="14335" max="14335" width="7.44140625" style="30" customWidth="1"/>
    <col min="14336" max="14336" width="67.33203125" style="30" customWidth="1"/>
    <col min="14337" max="14337" width="11" style="30" customWidth="1"/>
    <col min="14338" max="14340" width="13.33203125" style="30" customWidth="1"/>
    <col min="14341" max="14341" width="12.109375" style="30" customWidth="1"/>
    <col min="14342" max="14342" width="25.5546875" style="30" customWidth="1"/>
    <col min="14343" max="14344" width="25.88671875" style="30" customWidth="1"/>
    <col min="14345" max="14589" width="9.109375" style="30"/>
    <col min="14590" max="14590" width="4" style="30" customWidth="1"/>
    <col min="14591" max="14591" width="7.44140625" style="30" customWidth="1"/>
    <col min="14592" max="14592" width="67.33203125" style="30" customWidth="1"/>
    <col min="14593" max="14593" width="11" style="30" customWidth="1"/>
    <col min="14594" max="14596" width="13.33203125" style="30" customWidth="1"/>
    <col min="14597" max="14597" width="12.109375" style="30" customWidth="1"/>
    <col min="14598" max="14598" width="25.5546875" style="30" customWidth="1"/>
    <col min="14599" max="14600" width="25.88671875" style="30" customWidth="1"/>
    <col min="14601" max="14845" width="9.109375" style="30"/>
    <col min="14846" max="14846" width="4" style="30" customWidth="1"/>
    <col min="14847" max="14847" width="7.44140625" style="30" customWidth="1"/>
    <col min="14848" max="14848" width="67.33203125" style="30" customWidth="1"/>
    <col min="14849" max="14849" width="11" style="30" customWidth="1"/>
    <col min="14850" max="14852" width="13.33203125" style="30" customWidth="1"/>
    <col min="14853" max="14853" width="12.109375" style="30" customWidth="1"/>
    <col min="14854" max="14854" width="25.5546875" style="30" customWidth="1"/>
    <col min="14855" max="14856" width="25.88671875" style="30" customWidth="1"/>
    <col min="14857" max="15101" width="9.109375" style="30"/>
    <col min="15102" max="15102" width="4" style="30" customWidth="1"/>
    <col min="15103" max="15103" width="7.44140625" style="30" customWidth="1"/>
    <col min="15104" max="15104" width="67.33203125" style="30" customWidth="1"/>
    <col min="15105" max="15105" width="11" style="30" customWidth="1"/>
    <col min="15106" max="15108" width="13.33203125" style="30" customWidth="1"/>
    <col min="15109" max="15109" width="12.109375" style="30" customWidth="1"/>
    <col min="15110" max="15110" width="25.5546875" style="30" customWidth="1"/>
    <col min="15111" max="15112" width="25.88671875" style="30" customWidth="1"/>
    <col min="15113" max="15357" width="9.109375" style="30"/>
    <col min="15358" max="15358" width="4" style="30" customWidth="1"/>
    <col min="15359" max="15359" width="7.44140625" style="30" customWidth="1"/>
    <col min="15360" max="15360" width="67.33203125" style="30" customWidth="1"/>
    <col min="15361" max="15361" width="11" style="30" customWidth="1"/>
    <col min="15362" max="15364" width="13.33203125" style="30" customWidth="1"/>
    <col min="15365" max="15365" width="12.109375" style="30" customWidth="1"/>
    <col min="15366" max="15366" width="25.5546875" style="30" customWidth="1"/>
    <col min="15367" max="15368" width="25.88671875" style="30" customWidth="1"/>
    <col min="15369" max="15613" width="9.109375" style="30"/>
    <col min="15614" max="15614" width="4" style="30" customWidth="1"/>
    <col min="15615" max="15615" width="7.44140625" style="30" customWidth="1"/>
    <col min="15616" max="15616" width="67.33203125" style="30" customWidth="1"/>
    <col min="15617" max="15617" width="11" style="30" customWidth="1"/>
    <col min="15618" max="15620" width="13.33203125" style="30" customWidth="1"/>
    <col min="15621" max="15621" width="12.109375" style="30" customWidth="1"/>
    <col min="15622" max="15622" width="25.5546875" style="30" customWidth="1"/>
    <col min="15623" max="15624" width="25.88671875" style="30" customWidth="1"/>
    <col min="15625" max="15869" width="9.109375" style="30"/>
    <col min="15870" max="15870" width="4" style="30" customWidth="1"/>
    <col min="15871" max="15871" width="7.44140625" style="30" customWidth="1"/>
    <col min="15872" max="15872" width="67.33203125" style="30" customWidth="1"/>
    <col min="15873" max="15873" width="11" style="30" customWidth="1"/>
    <col min="15874" max="15876" width="13.33203125" style="30" customWidth="1"/>
    <col min="15877" max="15877" width="12.109375" style="30" customWidth="1"/>
    <col min="15878" max="15878" width="25.5546875" style="30" customWidth="1"/>
    <col min="15879" max="15880" width="25.88671875" style="30" customWidth="1"/>
    <col min="15881" max="16125" width="9.109375" style="30"/>
    <col min="16126" max="16126" width="4" style="30" customWidth="1"/>
    <col min="16127" max="16127" width="7.44140625" style="30" customWidth="1"/>
    <col min="16128" max="16128" width="67.33203125" style="30" customWidth="1"/>
    <col min="16129" max="16129" width="11" style="30" customWidth="1"/>
    <col min="16130" max="16132" width="13.33203125" style="30" customWidth="1"/>
    <col min="16133" max="16133" width="12.109375" style="30" customWidth="1"/>
    <col min="16134" max="16134" width="25.5546875" style="30" customWidth="1"/>
    <col min="16135" max="16136" width="25.88671875" style="30" customWidth="1"/>
    <col min="16137" max="16384" width="9.109375" style="30"/>
  </cols>
  <sheetData>
    <row r="1" spans="2:8" s="1" customFormat="1" ht="22.8" x14ac:dyDescent="0.4">
      <c r="C1" s="63" t="str">
        <f>+'[1]B3.1.ELEC'!A1</f>
        <v>DỰ TOÁN KHỐI LƯỢNG</v>
      </c>
      <c r="D1" s="63"/>
      <c r="E1" s="2"/>
      <c r="H1" s="71"/>
    </row>
    <row r="2" spans="2:8" s="3" customFormat="1" x14ac:dyDescent="0.3">
      <c r="B2" s="4" t="str">
        <f>+'[1]B1.NHÀ XƯỞNG'!A2</f>
        <v>DỰ ÁN: DỰ ÁN PHÁT TRIỂN CÔNG NGHIỆP VÀ KHO VẬN VSIP II - A BÌNH DƯƠNG</v>
      </c>
      <c r="C2" s="4"/>
      <c r="D2" s="5"/>
      <c r="E2" s="6"/>
    </row>
    <row r="3" spans="2:8" s="7" customFormat="1" x14ac:dyDescent="0.3">
      <c r="B3" s="64" t="str">
        <f>+'[1]B1.NHÀ XƯỞNG'!A3</f>
        <v>ĐỊA ĐIỂM: SỐ 1A VSIP II-A, ĐƯỜNG SỐ 29, KCN VIỆT NAM- SINGAPORE II-A, P. VĨNH TÂN, HCM</v>
      </c>
      <c r="C3" s="64"/>
      <c r="D3" s="64"/>
      <c r="E3" s="64"/>
      <c r="F3" s="64"/>
      <c r="G3" s="64"/>
      <c r="H3" s="64"/>
    </row>
    <row r="4" spans="2:8" s="7" customFormat="1" x14ac:dyDescent="0.3">
      <c r="B4" s="8"/>
      <c r="C4" s="8"/>
      <c r="D4" s="8"/>
      <c r="E4" s="8"/>
      <c r="F4" s="8"/>
      <c r="G4" s="8"/>
      <c r="H4" s="72"/>
    </row>
    <row r="5" spans="2:8" s="9" customFormat="1" ht="16.2" x14ac:dyDescent="0.3">
      <c r="B5" s="10" t="s">
        <v>0</v>
      </c>
      <c r="C5" s="11"/>
      <c r="D5" s="12"/>
      <c r="E5" s="13"/>
      <c r="F5" s="14"/>
      <c r="G5" s="14"/>
      <c r="H5" s="73"/>
    </row>
    <row r="6" spans="2:8" s="15" customFormat="1" x14ac:dyDescent="0.3">
      <c r="B6" s="16"/>
      <c r="C6" s="17"/>
      <c r="D6" s="18"/>
      <c r="E6" s="19"/>
      <c r="F6" s="20"/>
      <c r="G6" s="20"/>
      <c r="H6" s="74"/>
    </row>
    <row r="7" spans="2:8" s="15" customFormat="1" x14ac:dyDescent="0.3">
      <c r="B7" s="65" t="s">
        <v>1</v>
      </c>
      <c r="C7" s="65" t="s">
        <v>2</v>
      </c>
      <c r="D7" s="65" t="s">
        <v>3</v>
      </c>
      <c r="E7" s="67" t="s">
        <v>4</v>
      </c>
      <c r="F7" s="69" t="s">
        <v>5</v>
      </c>
      <c r="G7" s="69" t="s">
        <v>6</v>
      </c>
      <c r="H7" s="75" t="s">
        <v>7</v>
      </c>
    </row>
    <row r="8" spans="2:8" s="15" customFormat="1" x14ac:dyDescent="0.3">
      <c r="B8" s="66"/>
      <c r="C8" s="66"/>
      <c r="D8" s="66"/>
      <c r="E8" s="68"/>
      <c r="F8" s="70"/>
      <c r="G8" s="70"/>
      <c r="H8" s="76"/>
    </row>
    <row r="9" spans="2:8" s="15" customFormat="1" ht="16.8" x14ac:dyDescent="0.3">
      <c r="B9" s="21" t="s">
        <v>8</v>
      </c>
      <c r="C9" s="22" t="s">
        <v>9</v>
      </c>
      <c r="D9" s="23"/>
      <c r="E9" s="24"/>
      <c r="F9" s="24"/>
      <c r="G9" s="24"/>
      <c r="H9" s="77"/>
    </row>
    <row r="10" spans="2:8" s="15" customFormat="1" x14ac:dyDescent="0.3">
      <c r="B10" s="25"/>
      <c r="C10" s="27"/>
      <c r="D10" s="29"/>
      <c r="E10" s="26"/>
      <c r="F10" s="28"/>
      <c r="G10" s="28"/>
      <c r="H10" s="78"/>
    </row>
    <row r="11" spans="2:8" s="15" customFormat="1" ht="16.8" x14ac:dyDescent="0.3">
      <c r="B11" s="21" t="s">
        <v>11</v>
      </c>
      <c r="C11" s="22" t="s">
        <v>12</v>
      </c>
      <c r="D11" s="23"/>
      <c r="E11" s="24"/>
      <c r="F11" s="24"/>
      <c r="G11" s="24"/>
      <c r="H11" s="77"/>
    </row>
    <row r="12" spans="2:8" x14ac:dyDescent="0.3">
      <c r="B12" s="32"/>
      <c r="C12" s="33"/>
      <c r="D12" s="34"/>
      <c r="E12" s="35"/>
      <c r="F12" s="36"/>
      <c r="G12" s="36"/>
      <c r="H12" s="79"/>
    </row>
    <row r="13" spans="2:8" s="15" customFormat="1" ht="16.8" x14ac:dyDescent="0.3">
      <c r="B13" s="21" t="s">
        <v>11</v>
      </c>
      <c r="C13" s="22" t="s">
        <v>15</v>
      </c>
      <c r="D13" s="23"/>
      <c r="E13" s="24"/>
      <c r="F13" s="24"/>
      <c r="G13" s="24"/>
      <c r="H13" s="77"/>
    </row>
    <row r="14" spans="2:8" ht="31.2" x14ac:dyDescent="0.3">
      <c r="B14" s="37" t="s">
        <v>80</v>
      </c>
      <c r="C14" s="38" t="s">
        <v>16</v>
      </c>
      <c r="D14" s="39" t="s">
        <v>17</v>
      </c>
      <c r="E14" s="40">
        <v>32</v>
      </c>
      <c r="F14" s="41"/>
      <c r="G14" s="42">
        <f t="shared" ref="G14:G50" si="0">E14*F14</f>
        <v>0</v>
      </c>
      <c r="H14" s="43"/>
    </row>
    <row r="15" spans="2:8" ht="31.2" x14ac:dyDescent="0.3">
      <c r="B15" s="37" t="s">
        <v>81</v>
      </c>
      <c r="C15" s="38" t="s">
        <v>18</v>
      </c>
      <c r="D15" s="39" t="s">
        <v>17</v>
      </c>
      <c r="E15" s="40">
        <v>6</v>
      </c>
      <c r="F15" s="41"/>
      <c r="G15" s="42">
        <f t="shared" si="0"/>
        <v>0</v>
      </c>
      <c r="H15" s="43"/>
    </row>
    <row r="16" spans="2:8" ht="31.2" x14ac:dyDescent="0.3">
      <c r="B16" s="37" t="s">
        <v>82</v>
      </c>
      <c r="C16" s="38" t="s">
        <v>19</v>
      </c>
      <c r="D16" s="39" t="s">
        <v>17</v>
      </c>
      <c r="E16" s="40">
        <v>4</v>
      </c>
      <c r="F16" s="41"/>
      <c r="G16" s="42">
        <f t="shared" si="0"/>
        <v>0</v>
      </c>
      <c r="H16" s="43"/>
    </row>
    <row r="17" spans="2:8" x14ac:dyDescent="0.3">
      <c r="B17" s="37" t="s">
        <v>83</v>
      </c>
      <c r="C17" s="38" t="s">
        <v>20</v>
      </c>
      <c r="D17" s="39" t="s">
        <v>17</v>
      </c>
      <c r="E17" s="40">
        <v>1</v>
      </c>
      <c r="F17" s="31"/>
      <c r="G17" s="42">
        <f>E17*F17</f>
        <v>0</v>
      </c>
      <c r="H17" s="80"/>
    </row>
    <row r="18" spans="2:8" x14ac:dyDescent="0.3">
      <c r="B18" s="37" t="s">
        <v>84</v>
      </c>
      <c r="C18" s="38" t="s">
        <v>61</v>
      </c>
      <c r="D18" s="39" t="s">
        <v>17</v>
      </c>
      <c r="E18" s="40">
        <v>1</v>
      </c>
      <c r="F18" s="31"/>
      <c r="G18" s="42"/>
      <c r="H18" s="80"/>
    </row>
    <row r="19" spans="2:8" ht="46.8" x14ac:dyDescent="0.3">
      <c r="B19" s="37" t="s">
        <v>85</v>
      </c>
      <c r="C19" s="38" t="s">
        <v>62</v>
      </c>
      <c r="D19" s="39" t="s">
        <v>17</v>
      </c>
      <c r="E19" s="40">
        <v>1</v>
      </c>
      <c r="F19" s="31"/>
      <c r="G19" s="42"/>
      <c r="H19" s="80" t="s">
        <v>67</v>
      </c>
    </row>
    <row r="20" spans="2:8" x14ac:dyDescent="0.3">
      <c r="B20" s="37" t="s">
        <v>86</v>
      </c>
      <c r="C20" s="38" t="s">
        <v>63</v>
      </c>
      <c r="D20" s="39" t="s">
        <v>17</v>
      </c>
      <c r="E20" s="40">
        <v>0</v>
      </c>
      <c r="F20" s="31"/>
      <c r="G20" s="42"/>
      <c r="H20" s="80" t="s">
        <v>68</v>
      </c>
    </row>
    <row r="21" spans="2:8" x14ac:dyDescent="0.3">
      <c r="B21" s="37" t="s">
        <v>87</v>
      </c>
      <c r="C21" s="38" t="s">
        <v>64</v>
      </c>
      <c r="D21" s="39" t="s">
        <v>24</v>
      </c>
      <c r="E21" s="40">
        <v>1</v>
      </c>
      <c r="F21" s="31"/>
      <c r="G21" s="42"/>
      <c r="H21" s="80" t="s">
        <v>69</v>
      </c>
    </row>
    <row r="22" spans="2:8" x14ac:dyDescent="0.3">
      <c r="B22" s="37" t="s">
        <v>88</v>
      </c>
      <c r="C22" s="38" t="s">
        <v>65</v>
      </c>
      <c r="D22" s="39" t="s">
        <v>24</v>
      </c>
      <c r="E22" s="40">
        <v>1</v>
      </c>
      <c r="F22" s="31"/>
      <c r="G22" s="42"/>
      <c r="H22" s="80"/>
    </row>
    <row r="23" spans="2:8" x14ac:dyDescent="0.3">
      <c r="B23" s="37" t="s">
        <v>89</v>
      </c>
      <c r="C23" s="38" t="s">
        <v>66</v>
      </c>
      <c r="D23" s="39" t="s">
        <v>24</v>
      </c>
      <c r="E23" s="40">
        <v>1</v>
      </c>
      <c r="F23" s="31"/>
      <c r="G23" s="42"/>
      <c r="H23" s="80"/>
    </row>
    <row r="24" spans="2:8" x14ac:dyDescent="0.3">
      <c r="B24" s="37" t="s">
        <v>90</v>
      </c>
      <c r="C24" s="38" t="s">
        <v>21</v>
      </c>
      <c r="D24" s="39" t="s">
        <v>17</v>
      </c>
      <c r="E24" s="40">
        <v>1</v>
      </c>
      <c r="F24" s="31"/>
      <c r="G24" s="42">
        <f t="shared" si="0"/>
        <v>0</v>
      </c>
      <c r="H24" s="80"/>
    </row>
    <row r="25" spans="2:8" x14ac:dyDescent="0.3">
      <c r="B25" s="37" t="s">
        <v>91</v>
      </c>
      <c r="C25" s="38" t="s">
        <v>70</v>
      </c>
      <c r="D25" s="39" t="s">
        <v>17</v>
      </c>
      <c r="E25" s="40">
        <v>1</v>
      </c>
      <c r="F25" s="31"/>
      <c r="G25" s="42"/>
      <c r="H25" s="80"/>
    </row>
    <row r="26" spans="2:8" ht="31.2" x14ac:dyDescent="0.3">
      <c r="B26" s="37" t="s">
        <v>92</v>
      </c>
      <c r="C26" s="38" t="s">
        <v>71</v>
      </c>
      <c r="D26" s="39" t="s">
        <v>17</v>
      </c>
      <c r="E26" s="40">
        <v>1</v>
      </c>
      <c r="F26" s="31"/>
      <c r="G26" s="42"/>
      <c r="H26" s="80" t="s">
        <v>77</v>
      </c>
    </row>
    <row r="27" spans="2:8" ht="31.2" x14ac:dyDescent="0.3">
      <c r="B27" s="37" t="s">
        <v>93</v>
      </c>
      <c r="C27" s="38" t="s">
        <v>72</v>
      </c>
      <c r="D27" s="39" t="s">
        <v>17</v>
      </c>
      <c r="E27" s="40">
        <v>1</v>
      </c>
      <c r="F27" s="31"/>
      <c r="G27" s="42"/>
      <c r="H27" s="80" t="s">
        <v>78</v>
      </c>
    </row>
    <row r="28" spans="2:8" x14ac:dyDescent="0.3">
      <c r="B28" s="37" t="s">
        <v>94</v>
      </c>
      <c r="C28" s="38" t="s">
        <v>73</v>
      </c>
      <c r="D28" s="39" t="s">
        <v>24</v>
      </c>
      <c r="E28" s="40">
        <v>1</v>
      </c>
      <c r="F28" s="31"/>
      <c r="G28" s="42"/>
      <c r="H28" s="80" t="s">
        <v>79</v>
      </c>
    </row>
    <row r="29" spans="2:8" x14ac:dyDescent="0.3">
      <c r="B29" s="37" t="s">
        <v>95</v>
      </c>
      <c r="C29" s="38" t="s">
        <v>74</v>
      </c>
      <c r="D29" s="39" t="s">
        <v>24</v>
      </c>
      <c r="E29" s="40">
        <v>2</v>
      </c>
      <c r="F29" s="31"/>
      <c r="G29" s="42"/>
      <c r="H29" s="80"/>
    </row>
    <row r="30" spans="2:8" x14ac:dyDescent="0.3">
      <c r="B30" s="37" t="s">
        <v>96</v>
      </c>
      <c r="C30" s="38" t="s">
        <v>75</v>
      </c>
      <c r="D30" s="39" t="s">
        <v>24</v>
      </c>
      <c r="E30" s="40">
        <v>1</v>
      </c>
      <c r="F30" s="31"/>
      <c r="G30" s="42"/>
      <c r="H30" s="80"/>
    </row>
    <row r="31" spans="2:8" x14ac:dyDescent="0.3">
      <c r="B31" s="37" t="s">
        <v>97</v>
      </c>
      <c r="C31" s="38" t="s">
        <v>76</v>
      </c>
      <c r="D31" s="39" t="s">
        <v>24</v>
      </c>
      <c r="E31" s="40">
        <v>0</v>
      </c>
      <c r="F31" s="31"/>
      <c r="G31" s="42"/>
      <c r="H31" s="80" t="s">
        <v>68</v>
      </c>
    </row>
    <row r="32" spans="2:8" x14ac:dyDescent="0.3">
      <c r="B32" s="37" t="s">
        <v>98</v>
      </c>
      <c r="C32" s="38" t="s">
        <v>66</v>
      </c>
      <c r="D32" s="39" t="s">
        <v>24</v>
      </c>
      <c r="E32" s="40">
        <v>0</v>
      </c>
      <c r="F32" s="31"/>
      <c r="G32" s="42"/>
      <c r="H32" s="80" t="s">
        <v>68</v>
      </c>
    </row>
    <row r="33" spans="2:8" x14ac:dyDescent="0.3">
      <c r="B33" s="37" t="s">
        <v>99</v>
      </c>
      <c r="C33" s="38" t="s">
        <v>22</v>
      </c>
      <c r="D33" s="39" t="s">
        <v>17</v>
      </c>
      <c r="E33" s="40">
        <v>1</v>
      </c>
      <c r="F33" s="31"/>
      <c r="G33" s="42">
        <f t="shared" si="0"/>
        <v>0</v>
      </c>
      <c r="H33" s="80"/>
    </row>
    <row r="34" spans="2:8" x14ac:dyDescent="0.3">
      <c r="B34" s="37" t="s">
        <v>100</v>
      </c>
      <c r="C34" s="38" t="s">
        <v>113</v>
      </c>
      <c r="D34" s="39" t="s">
        <v>17</v>
      </c>
      <c r="E34" s="40">
        <v>1</v>
      </c>
      <c r="F34" s="31"/>
      <c r="G34" s="42"/>
      <c r="H34" s="80"/>
    </row>
    <row r="35" spans="2:8" ht="46.8" x14ac:dyDescent="0.3">
      <c r="B35" s="37" t="s">
        <v>101</v>
      </c>
      <c r="C35" s="38" t="s">
        <v>62</v>
      </c>
      <c r="D35" s="39" t="s">
        <v>17</v>
      </c>
      <c r="E35" s="40">
        <v>1</v>
      </c>
      <c r="F35" s="31"/>
      <c r="G35" s="42"/>
      <c r="H35" s="80" t="s">
        <v>67</v>
      </c>
    </row>
    <row r="36" spans="2:8" x14ac:dyDescent="0.3">
      <c r="B36" s="37" t="s">
        <v>102</v>
      </c>
      <c r="C36" s="38" t="s">
        <v>63</v>
      </c>
      <c r="D36" s="39" t="s">
        <v>17</v>
      </c>
      <c r="E36" s="40">
        <v>0</v>
      </c>
      <c r="F36" s="31"/>
      <c r="G36" s="42"/>
      <c r="H36" s="80" t="s">
        <v>68</v>
      </c>
    </row>
    <row r="37" spans="2:8" x14ac:dyDescent="0.3">
      <c r="B37" s="37" t="s">
        <v>103</v>
      </c>
      <c r="C37" s="38" t="s">
        <v>64</v>
      </c>
      <c r="D37" s="39" t="s">
        <v>24</v>
      </c>
      <c r="E37" s="40">
        <v>1</v>
      </c>
      <c r="F37" s="31"/>
      <c r="G37" s="42"/>
      <c r="H37" s="80" t="s">
        <v>69</v>
      </c>
    </row>
    <row r="38" spans="2:8" x14ac:dyDescent="0.3">
      <c r="B38" s="37" t="s">
        <v>104</v>
      </c>
      <c r="C38" s="38" t="s">
        <v>112</v>
      </c>
      <c r="D38" s="39" t="s">
        <v>17</v>
      </c>
      <c r="E38" s="40">
        <v>1</v>
      </c>
      <c r="F38" s="31"/>
      <c r="G38" s="42">
        <f t="shared" si="0"/>
        <v>0</v>
      </c>
      <c r="H38" s="80"/>
    </row>
    <row r="39" spans="2:8" x14ac:dyDescent="0.3">
      <c r="B39" s="37" t="s">
        <v>115</v>
      </c>
      <c r="C39" s="38" t="s">
        <v>113</v>
      </c>
      <c r="D39" s="39" t="s">
        <v>17</v>
      </c>
      <c r="E39" s="40">
        <v>1</v>
      </c>
      <c r="F39" s="31"/>
      <c r="G39" s="42">
        <f t="shared" si="0"/>
        <v>0</v>
      </c>
      <c r="H39" s="80"/>
    </row>
    <row r="40" spans="2:8" ht="46.8" x14ac:dyDescent="0.3">
      <c r="B40" s="37" t="s">
        <v>116</v>
      </c>
      <c r="C40" s="38" t="s">
        <v>114</v>
      </c>
      <c r="D40" s="39" t="s">
        <v>17</v>
      </c>
      <c r="E40" s="40">
        <v>1</v>
      </c>
      <c r="F40" s="31"/>
      <c r="G40" s="42">
        <f t="shared" si="0"/>
        <v>0</v>
      </c>
      <c r="H40" s="80" t="s">
        <v>67</v>
      </c>
    </row>
    <row r="41" spans="2:8" x14ac:dyDescent="0.3">
      <c r="B41" s="37" t="s">
        <v>117</v>
      </c>
      <c r="C41" s="38" t="s">
        <v>63</v>
      </c>
      <c r="D41" s="39" t="s">
        <v>17</v>
      </c>
      <c r="E41" s="40">
        <v>1</v>
      </c>
      <c r="F41" s="31"/>
      <c r="G41" s="42">
        <f t="shared" si="0"/>
        <v>0</v>
      </c>
      <c r="H41" s="80" t="s">
        <v>68</v>
      </c>
    </row>
    <row r="42" spans="2:8" x14ac:dyDescent="0.3">
      <c r="B42" s="37" t="s">
        <v>118</v>
      </c>
      <c r="C42" s="38" t="s">
        <v>64</v>
      </c>
      <c r="D42" s="39" t="s">
        <v>24</v>
      </c>
      <c r="E42" s="40">
        <v>0</v>
      </c>
      <c r="F42" s="31"/>
      <c r="G42" s="42">
        <f t="shared" si="0"/>
        <v>0</v>
      </c>
      <c r="H42" s="80" t="s">
        <v>69</v>
      </c>
    </row>
    <row r="43" spans="2:8" x14ac:dyDescent="0.3">
      <c r="B43" s="37" t="s">
        <v>105</v>
      </c>
      <c r="C43" s="38" t="s">
        <v>23</v>
      </c>
      <c r="D43" s="39" t="s">
        <v>24</v>
      </c>
      <c r="E43" s="40">
        <v>3</v>
      </c>
      <c r="F43" s="31"/>
      <c r="G43" s="42">
        <f t="shared" si="0"/>
        <v>0</v>
      </c>
      <c r="H43" s="80"/>
    </row>
    <row r="44" spans="2:8" x14ac:dyDescent="0.3">
      <c r="B44" s="37" t="s">
        <v>106</v>
      </c>
      <c r="C44" s="38" t="s">
        <v>25</v>
      </c>
      <c r="D44" s="39" t="s">
        <v>10</v>
      </c>
      <c r="E44" s="40">
        <v>0</v>
      </c>
      <c r="F44" s="44"/>
      <c r="G44" s="42">
        <f t="shared" si="0"/>
        <v>0</v>
      </c>
      <c r="H44" s="80"/>
    </row>
    <row r="45" spans="2:8" x14ac:dyDescent="0.3">
      <c r="B45" s="37" t="s">
        <v>107</v>
      </c>
      <c r="C45" s="38" t="s">
        <v>26</v>
      </c>
      <c r="D45" s="39" t="s">
        <v>10</v>
      </c>
      <c r="E45" s="40">
        <f>702*1.1</f>
        <v>772.2</v>
      </c>
      <c r="F45" s="44"/>
      <c r="G45" s="42">
        <f t="shared" si="0"/>
        <v>0</v>
      </c>
      <c r="H45" s="80"/>
    </row>
    <row r="46" spans="2:8" x14ac:dyDescent="0.3">
      <c r="B46" s="37" t="s">
        <v>108</v>
      </c>
      <c r="C46" s="38" t="s">
        <v>27</v>
      </c>
      <c r="D46" s="39" t="s">
        <v>10</v>
      </c>
      <c r="E46" s="40">
        <f>1478*1.2</f>
        <v>1773.6</v>
      </c>
      <c r="F46" s="45"/>
      <c r="G46" s="42">
        <f t="shared" si="0"/>
        <v>0</v>
      </c>
      <c r="H46" s="80"/>
    </row>
    <row r="47" spans="2:8" x14ac:dyDescent="0.3">
      <c r="B47" s="37" t="s">
        <v>109</v>
      </c>
      <c r="C47" s="38" t="s">
        <v>28</v>
      </c>
      <c r="D47" s="39" t="s">
        <v>10</v>
      </c>
      <c r="E47" s="40">
        <f>1100*1.2</f>
        <v>1320</v>
      </c>
      <c r="F47" s="45"/>
      <c r="G47" s="42">
        <f t="shared" si="0"/>
        <v>0</v>
      </c>
      <c r="H47" s="80"/>
    </row>
    <row r="48" spans="2:8" x14ac:dyDescent="0.3">
      <c r="B48" s="37" t="s">
        <v>110</v>
      </c>
      <c r="C48" s="38" t="s">
        <v>29</v>
      </c>
      <c r="D48" s="39" t="s">
        <v>10</v>
      </c>
      <c r="E48" s="40">
        <f>E45+E46+E47</f>
        <v>3865.8</v>
      </c>
      <c r="F48" s="45"/>
      <c r="G48" s="42">
        <f t="shared" si="0"/>
        <v>0</v>
      </c>
      <c r="H48" s="80"/>
    </row>
    <row r="49" spans="2:8" x14ac:dyDescent="0.3">
      <c r="B49" s="37" t="s">
        <v>111</v>
      </c>
      <c r="C49" s="38" t="s">
        <v>30</v>
      </c>
      <c r="D49" s="39" t="s">
        <v>13</v>
      </c>
      <c r="E49" s="40">
        <v>7</v>
      </c>
      <c r="F49" s="45"/>
      <c r="G49" s="42">
        <f t="shared" si="0"/>
        <v>0</v>
      </c>
      <c r="H49" s="80"/>
    </row>
    <row r="50" spans="2:8" x14ac:dyDescent="0.3">
      <c r="B50" s="37" t="s">
        <v>119</v>
      </c>
      <c r="C50" s="38" t="s">
        <v>14</v>
      </c>
      <c r="D50" s="39" t="s">
        <v>31</v>
      </c>
      <c r="E50" s="40">
        <v>1</v>
      </c>
      <c r="F50" s="45"/>
      <c r="G50" s="42">
        <f t="shared" si="0"/>
        <v>0</v>
      </c>
      <c r="H50" s="80"/>
    </row>
    <row r="51" spans="2:8" x14ac:dyDescent="0.3">
      <c r="B51" s="32"/>
      <c r="C51" s="33"/>
      <c r="D51" s="34"/>
      <c r="E51" s="35"/>
      <c r="F51" s="36"/>
      <c r="G51" s="36"/>
      <c r="H51" s="79"/>
    </row>
    <row r="52" spans="2:8" x14ac:dyDescent="0.3">
      <c r="B52" s="46"/>
      <c r="C52" s="47" t="s">
        <v>32</v>
      </c>
      <c r="D52" s="46"/>
      <c r="E52" s="48"/>
      <c r="F52" s="49"/>
      <c r="G52" s="49">
        <f>SUBTOTAL(9,G10:G50)</f>
        <v>0</v>
      </c>
      <c r="H52" s="81"/>
    </row>
  </sheetData>
  <mergeCells count="9">
    <mergeCell ref="C1:D1"/>
    <mergeCell ref="B3:H3"/>
    <mergeCell ref="B7:B8"/>
    <mergeCell ref="C7:C8"/>
    <mergeCell ref="D7:D8"/>
    <mergeCell ref="E7:E8"/>
    <mergeCell ref="F7:F8"/>
    <mergeCell ref="G7:G8"/>
    <mergeCell ref="H7:H8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5AA3-12E3-43C5-B1B6-DB85BA3CCC07}">
  <dimension ref="A1:D13"/>
  <sheetViews>
    <sheetView workbookViewId="0">
      <selection activeCell="B8" sqref="B8"/>
    </sheetView>
  </sheetViews>
  <sheetFormatPr defaultRowHeight="14.4" x14ac:dyDescent="0.3"/>
  <cols>
    <col min="1" max="1" width="5.109375" bestFit="1" customWidth="1"/>
    <col min="2" max="2" width="40.77734375" customWidth="1"/>
    <col min="3" max="3" width="53.21875" customWidth="1"/>
    <col min="4" max="4" width="22.6640625" customWidth="1"/>
  </cols>
  <sheetData>
    <row r="1" spans="1:4" ht="31.2" x14ac:dyDescent="0.3">
      <c r="A1" s="55" t="s">
        <v>33</v>
      </c>
      <c r="B1" s="56" t="s">
        <v>34</v>
      </c>
      <c r="C1" s="55"/>
      <c r="D1" s="55"/>
    </row>
    <row r="2" spans="1:4" ht="31.2" x14ac:dyDescent="0.3">
      <c r="A2" s="57">
        <f ca="1">MAX($A1:A$3)+1</f>
        <v>75</v>
      </c>
      <c r="B2" s="58" t="s">
        <v>35</v>
      </c>
      <c r="C2" s="59" t="s">
        <v>36</v>
      </c>
      <c r="D2" s="60" t="s">
        <v>37</v>
      </c>
    </row>
    <row r="3" spans="1:4" ht="31.2" x14ac:dyDescent="0.3">
      <c r="A3" s="57">
        <f ca="1">MAX($A2:A$3)+1</f>
        <v>76</v>
      </c>
      <c r="B3" s="58" t="s">
        <v>38</v>
      </c>
      <c r="C3" s="59" t="s">
        <v>36</v>
      </c>
      <c r="D3" s="60" t="s">
        <v>37</v>
      </c>
    </row>
    <row r="4" spans="1:4" ht="15.6" x14ac:dyDescent="0.3">
      <c r="A4" s="57">
        <f ca="1">MAX($A$3:A3)+1</f>
        <v>77</v>
      </c>
      <c r="B4" s="58" t="s">
        <v>39</v>
      </c>
      <c r="C4" s="61" t="s">
        <v>40</v>
      </c>
      <c r="D4" s="60" t="s">
        <v>41</v>
      </c>
    </row>
    <row r="5" spans="1:4" ht="31.2" x14ac:dyDescent="0.3">
      <c r="A5" s="57">
        <f ca="1">MAX($A$3:A4)+1</f>
        <v>78</v>
      </c>
      <c r="B5" s="58" t="s">
        <v>42</v>
      </c>
      <c r="C5" s="62" t="s">
        <v>60</v>
      </c>
      <c r="D5" s="62" t="s">
        <v>43</v>
      </c>
    </row>
    <row r="6" spans="1:4" ht="15.6" x14ac:dyDescent="0.3">
      <c r="A6" s="57">
        <f ca="1">MAX($A$3:A5)+1</f>
        <v>79</v>
      </c>
      <c r="B6" s="58" t="s">
        <v>44</v>
      </c>
      <c r="C6" s="62" t="s">
        <v>45</v>
      </c>
      <c r="D6" s="60" t="s">
        <v>41</v>
      </c>
    </row>
    <row r="7" spans="1:4" ht="15.6" x14ac:dyDescent="0.3">
      <c r="A7" s="57">
        <f ca="1">MAX($A$3:A6)+1</f>
        <v>80</v>
      </c>
      <c r="B7" s="58" t="s">
        <v>46</v>
      </c>
      <c r="C7" s="62" t="s">
        <v>47</v>
      </c>
      <c r="D7" s="60" t="s">
        <v>37</v>
      </c>
    </row>
    <row r="8" spans="1:4" ht="15.6" x14ac:dyDescent="0.3">
      <c r="A8" s="57">
        <f ca="1">MAX($A$3:A7)+1</f>
        <v>81</v>
      </c>
      <c r="B8" s="58" t="s">
        <v>48</v>
      </c>
      <c r="C8" s="62" t="s">
        <v>49</v>
      </c>
      <c r="D8" s="62" t="s">
        <v>50</v>
      </c>
    </row>
    <row r="9" spans="1:4" ht="15.6" x14ac:dyDescent="0.3">
      <c r="A9" s="57">
        <f ca="1">MAX($A$3:A8)+1</f>
        <v>82</v>
      </c>
      <c r="B9" s="58" t="s">
        <v>51</v>
      </c>
      <c r="C9" s="62" t="s">
        <v>52</v>
      </c>
      <c r="D9" s="62" t="s">
        <v>50</v>
      </c>
    </row>
    <row r="10" spans="1:4" ht="15.6" x14ac:dyDescent="0.3">
      <c r="A10" s="57">
        <f ca="1">MAX($A$3:A9)+1</f>
        <v>83</v>
      </c>
      <c r="B10" s="58" t="s">
        <v>53</v>
      </c>
      <c r="C10" s="62" t="s">
        <v>54</v>
      </c>
      <c r="D10" s="62" t="s">
        <v>50</v>
      </c>
    </row>
    <row r="11" spans="1:4" ht="15.6" x14ac:dyDescent="0.3">
      <c r="A11" s="57">
        <f ca="1">MAX($A$3:A10)+1</f>
        <v>84</v>
      </c>
      <c r="B11" s="58" t="s">
        <v>55</v>
      </c>
      <c r="C11" s="62" t="s">
        <v>56</v>
      </c>
      <c r="D11" s="60" t="s">
        <v>41</v>
      </c>
    </row>
    <row r="12" spans="1:4" ht="15.6" x14ac:dyDescent="0.3">
      <c r="A12" s="57">
        <f ca="1">MAX($A$3:A11)+1</f>
        <v>85</v>
      </c>
      <c r="B12" s="58" t="s">
        <v>57</v>
      </c>
      <c r="C12" s="62" t="s">
        <v>58</v>
      </c>
      <c r="D12" s="60" t="s">
        <v>41</v>
      </c>
    </row>
    <row r="13" spans="1:4" ht="31.2" x14ac:dyDescent="0.3">
      <c r="A13" s="57">
        <f ca="1">MAX($A$3:A12)+1</f>
        <v>86</v>
      </c>
      <c r="B13" s="58" t="s">
        <v>59</v>
      </c>
      <c r="C13" s="62"/>
      <c r="D13" s="6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TuuNguyen.61</dc:creator>
  <cp:lastModifiedBy>extenduser#68</cp:lastModifiedBy>
  <dcterms:created xsi:type="dcterms:W3CDTF">2015-06-05T18:17:20Z</dcterms:created>
  <dcterms:modified xsi:type="dcterms:W3CDTF">2026-01-27T05:05:11Z</dcterms:modified>
</cp:coreProperties>
</file>