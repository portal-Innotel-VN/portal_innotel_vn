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Set up cai tao\FC3\"/>
    </mc:Choice>
  </mc:AlternateContent>
  <xr:revisionPtr revIDLastSave="0" documentId="13_ncr:1_{50282D9F-7E1B-4382-8D29-C0BC4E8385FD}" xr6:coauthVersionLast="47" xr6:coauthVersionMax="47" xr10:uidLastSave="{00000000-0000-0000-0000-000000000000}"/>
  <bookViews>
    <workbookView xWindow="-120" yWindow="-120" windowWidth="29040" windowHeight="15840" xr2:uid="{9EC924D7-6AC8-4606-BAEA-13DC0B74DBE1}"/>
  </bookViews>
  <sheets>
    <sheet name="TBVP" sheetId="2" r:id="rId1"/>
    <sheet name="Sheet1" sheetId="1" r:id="rId2"/>
  </sheets>
  <externalReferences>
    <externalReference r:id="rId3"/>
    <externalReference r:id="rId4"/>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ction1_">[2]DATA!$H$1:$J$19</definedName>
    <definedName name="action2_">[2]DATA!$I$1:$I$19</definedName>
    <definedName name="bk" hidden="1">{"'Sheet1'!$L$16"}</definedName>
    <definedName name="Catalogy">[2]Type!$A:$A</definedName>
    <definedName name="category1_">[2]DATA!$B$1:$E$19</definedName>
    <definedName name="category2_">[2]DATA!$C$1:$C$19</definedName>
    <definedName name="d" hidden="1">{"'Sheet1'!$L$16"}</definedName>
    <definedName name="data2_">[2]DATA!$1:$1</definedName>
    <definedName name="h" hidden="1">{"'Sheet1'!$L$16"}</definedName>
    <definedName name="Heä_soá_laép_xaø_H">1.7</definedName>
    <definedName name="HSCT3">0.1</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ocation_">[2]DATA!$A$1:$A$19</definedName>
    <definedName name="Material">[2]SPEC!$X$2:$BT$2</definedName>
    <definedName name="methods_">'[2]construction methods'!$A$1:$B$563</definedName>
    <definedName name="Name_uper">[2]Contractor!$A$2:$A$500</definedName>
    <definedName name="rate">14000</definedName>
    <definedName name="s" hidden="1">{"'Sheet1'!$L$16"}</definedName>
    <definedName name="TaxTV">10%</definedName>
    <definedName name="TaxXL">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 l="1"/>
  <c r="H6" i="2"/>
  <c r="H51" i="2" s="1"/>
  <c r="H52" i="2" l="1"/>
  <c r="H53" i="2" s="1"/>
  <c r="R9" i="1" l="1"/>
  <c r="S22" i="1" l="1"/>
  <c r="I9" i="1" l="1"/>
  <c r="I8" i="1"/>
  <c r="I7" i="1"/>
  <c r="Q23" i="1" l="1"/>
  <c r="Q24" i="1"/>
  <c r="S19" i="1"/>
  <c r="R19" i="1"/>
  <c r="O24" i="1"/>
  <c r="O23" i="1"/>
</calcChain>
</file>

<file path=xl/sharedStrings.xml><?xml version="1.0" encoding="utf-8"?>
<sst xmlns="http://schemas.openxmlformats.org/spreadsheetml/2006/main" count="208" uniqueCount="144">
  <si>
    <t>No.</t>
  </si>
  <si>
    <t>Hình ảnh</t>
  </si>
  <si>
    <t>Mã hàng</t>
  </si>
  <si>
    <t>Mô tả</t>
  </si>
  <si>
    <t>ĐVT</t>
  </si>
  <si>
    <t>SL</t>
  </si>
  <si>
    <t>Đơn giá
vnđ</t>
  </si>
  <si>
    <t>Thành tiền
vnđ</t>
  </si>
  <si>
    <t>Ghi chú</t>
  </si>
  <si>
    <t>I</t>
  </si>
  <si>
    <t>Ghế</t>
  </si>
  <si>
    <t>cái</t>
  </si>
  <si>
    <t>II</t>
  </si>
  <si>
    <t>Tivi</t>
  </si>
  <si>
    <t>Tivi phòng Cisco</t>
  </si>
  <si>
    <t>Smart Tivi Crystal Samsung UHD 4K 75 inch
UA75BU8000KXX</t>
  </si>
  <si>
    <t>III</t>
  </si>
  <si>
    <t>Thiết bị họp Cisco</t>
  </si>
  <si>
    <t>1.0</t>
  </si>
  <si>
    <t>CS-KIT-EQX-C-K9</t>
  </si>
  <si>
    <t>Cisco Room Kit EQX, Carbon Black</t>
  </si>
  <si>
    <t>1.0.1</t>
  </si>
  <si>
    <t>CON-SNT-CSKITEK9</t>
  </si>
  <si>
    <t>SNTC-8X5XNBD Cisco Room Kit EQX, Carbon Black</t>
  </si>
  <si>
    <t>36</t>
  </si>
  <si>
    <t/>
  </si>
  <si>
    <t>BH 36th</t>
  </si>
  <si>
    <t>1.1</t>
  </si>
  <si>
    <t>CS-KIT-EQX-FSK-C</t>
  </si>
  <si>
    <t>Cisco Room Kit EQX, Floor Stand, Carbon Black OPTION</t>
  </si>
  <si>
    <t>1.2</t>
  </si>
  <si>
    <t>PWR-CORD-EUR-F</t>
  </si>
  <si>
    <t>Power Cord for Europe 5m 10A</t>
  </si>
  <si>
    <t>1.3</t>
  </si>
  <si>
    <t>CAB-HDMI-MUL4K-9M</t>
  </si>
  <si>
    <t>Cisco Multi-head Cable 9 meters (4K, USB-C, HDMI, miniDP)</t>
  </si>
  <si>
    <t>1.4</t>
  </si>
  <si>
    <t>CS-MIC-ARRAY-T</t>
  </si>
  <si>
    <t>Cisco Table Microphone Pro (w/11m cable), First Light(White)</t>
  </si>
  <si>
    <t>1.4.0.1</t>
  </si>
  <si>
    <t>CON-SNT-CS3FYTMI</t>
  </si>
  <si>
    <t>Cisco Microphone Array for table and Webex Rooms SNTC-8X5XNB</t>
  </si>
  <si>
    <t>1.5</t>
  </si>
  <si>
    <t>CS-CODEC-EQ-K9-</t>
  </si>
  <si>
    <t>Cisco Codec EQ unit</t>
  </si>
  <si>
    <t>1.6</t>
  </si>
  <si>
    <t>CS-RQUADCAM-</t>
  </si>
  <si>
    <t>Quadcam used in Room Kit EQX</t>
  </si>
  <si>
    <t>1.7</t>
  </si>
  <si>
    <t>CS-PANO-DNAM4-</t>
  </si>
  <si>
    <t>Digital Natural Audio Module IV - amplifier</t>
  </si>
  <si>
    <t>1.8</t>
  </si>
  <si>
    <t>CS-EQX-SPK-</t>
  </si>
  <si>
    <t>Room Kit EQX top speaker unit</t>
  </si>
  <si>
    <t>1.9</t>
  </si>
  <si>
    <t>CS-EQX-BASS-</t>
  </si>
  <si>
    <t>Room Kit EQX Bass unit</t>
  </si>
  <si>
    <t>1.10</t>
  </si>
  <si>
    <t>CS-EQX-FAN-</t>
  </si>
  <si>
    <t>Room Kit EQX cooling fan unit</t>
  </si>
  <si>
    <t>1.11</t>
  </si>
  <si>
    <t>CS-EQX-CENTER-MOD-</t>
  </si>
  <si>
    <t>Room Kit EQX center module</t>
  </si>
  <si>
    <t>1.12</t>
  </si>
  <si>
    <t>CS-EQX-SIDE-MOD-</t>
  </si>
  <si>
    <t>Room Kit side wall module</t>
  </si>
  <si>
    <t>1.13</t>
  </si>
  <si>
    <t>CS-EQX-FRAME-C-</t>
  </si>
  <si>
    <t>Room Kit EQX front frame module Carbon Black</t>
  </si>
  <si>
    <t>1.14</t>
  </si>
  <si>
    <t>CS-EQX-VESA-</t>
  </si>
  <si>
    <t>Room Kit EQX VESA bracket for 75" and 65" screens</t>
  </si>
  <si>
    <t>1.15</t>
  </si>
  <si>
    <t>PSU-12VDC-120W-</t>
  </si>
  <si>
    <t>Powersupply - AC/DC, 12V, 120W</t>
  </si>
  <si>
    <t>1.16</t>
  </si>
  <si>
    <t>PSU-24VDC-270W-</t>
  </si>
  <si>
    <t>Powersupply - AC/DC, 24V, 270W</t>
  </si>
  <si>
    <t>1.17</t>
  </si>
  <si>
    <t>CS-EQX-ANT-</t>
  </si>
  <si>
    <t>Wifi and blutooth antenna kit for Roomkit EQX</t>
  </si>
  <si>
    <t>1.18</t>
  </si>
  <si>
    <t>CS-PWR-STRIP4-</t>
  </si>
  <si>
    <t>Power strip 1x C14 Inlet, 4x Outlet F</t>
  </si>
  <si>
    <t>1.19</t>
  </si>
  <si>
    <t>PWR-CAB-INT-3.0M-</t>
  </si>
  <si>
    <t>Power Jumper, C13 to C14, 10A, 3m</t>
  </si>
  <si>
    <t>1.20</t>
  </si>
  <si>
    <t>PWR-CAB-INT-0.22M-</t>
  </si>
  <si>
    <t>Power Jumper, C13 to C14, 10A, 0,22m</t>
  </si>
  <si>
    <t>1.21</t>
  </si>
  <si>
    <t>CAB-ETH-5M-GR-</t>
  </si>
  <si>
    <t>CAB (16,4 feet / 5m) GREY ETHERNET</t>
  </si>
  <si>
    <t>1.22</t>
  </si>
  <si>
    <t>CAB-2HDMI-1.5M-GR-</t>
  </si>
  <si>
    <t>1.5m GREY HDMI 2.0</t>
  </si>
  <si>
    <t>1.23</t>
  </si>
  <si>
    <t>CAB-ETH-1.5M-GR-</t>
  </si>
  <si>
    <t>CAB 1.5m GREY ETHERNET</t>
  </si>
  <si>
    <t>1.24</t>
  </si>
  <si>
    <t>CAB-EQX-SPKR-</t>
  </si>
  <si>
    <t>Speaker Cable for RoomKit EQX</t>
  </si>
  <si>
    <t>1.25</t>
  </si>
  <si>
    <t>PWR-CAB-INT-1.45M-</t>
  </si>
  <si>
    <t>Internal Power cable Room Kit EQX - Amp to camera</t>
  </si>
  <si>
    <t>1.26</t>
  </si>
  <si>
    <t>CAB-CAT5E-12M-</t>
  </si>
  <si>
    <t>Ethernet CAT5E Round Cable - 12 meter - Gray</t>
  </si>
  <si>
    <t>1.27</t>
  </si>
  <si>
    <t>CS-T10-TS-LX-</t>
  </si>
  <si>
    <t>Cisco Room Navigator-Table Stand, First Light (White)</t>
  </si>
  <si>
    <t>1.28</t>
  </si>
  <si>
    <t>CS-EQX-FSK-ST-C-</t>
  </si>
  <si>
    <t>EQX Floor Stand - Stand without rear covers - Carbon Black</t>
  </si>
  <si>
    <t>Xem lại , loại treo tường</t>
  </si>
  <si>
    <t>1.29</t>
  </si>
  <si>
    <t>CS-EQX-FSK-RC-C-</t>
  </si>
  <si>
    <t>EQX Floor Stand - Rear Covers for Stand - Carbon Black</t>
  </si>
  <si>
    <t>2.0</t>
  </si>
  <si>
    <t>CS-MIC-ARRAY-T=</t>
  </si>
  <si>
    <t>Cisco Table Microphone Pro (w/11m cable), First Light-SPARE</t>
  </si>
  <si>
    <t>2.0.1</t>
  </si>
  <si>
    <t>3.0</t>
  </si>
  <si>
    <t>C1200-8P-E-2G</t>
  </si>
  <si>
    <t>Catalyst 1200 8-port GE, PoE, Ext PS, 2x1G Combo</t>
  </si>
  <si>
    <t>3.0.1</t>
  </si>
  <si>
    <t>CON-SNC-C12008PG</t>
  </si>
  <si>
    <t>SNTC-NCD Catalyst 1200 8-port GE, PoE, Ext PS, 2x</t>
  </si>
  <si>
    <t>1</t>
  </si>
  <si>
    <t>3.1</t>
  </si>
  <si>
    <t>CAB-ACE</t>
  </si>
  <si>
    <t>AC Power Cord (Europe), C13, CEE 7, 1.5M</t>
  </si>
  <si>
    <t>4.0</t>
  </si>
  <si>
    <t>L-TP-RM</t>
  </si>
  <si>
    <t>Remote monitoring options for TelePresence Endpoints</t>
  </si>
  <si>
    <t>4.0.1</t>
  </si>
  <si>
    <t>CON-SNT-LT4SRMPR</t>
  </si>
  <si>
    <t>Remote monitoring options for TelePresence Endpoints SNTC-8X</t>
  </si>
  <si>
    <t>4.1</t>
  </si>
  <si>
    <t>L-KIT-RM</t>
  </si>
  <si>
    <t>Remote monitoring option for Room Kit systems</t>
  </si>
  <si>
    <t>Tổng</t>
  </si>
  <si>
    <t>Thuế GTGT 10%</t>
  </si>
  <si>
    <t>Tổng sau thuế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</si>
</sst>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7" formatCode="_(* #,##0_);_(* \(#,##0\);_(* &quot;-&quot;??_);_(@_)"/>
    <numFmt numFmtId="168" formatCode="_-* #,##0.00\ _₫_-;\-* #,##0.00\ _₫_-;_-* &quot;-&quot;??\ _₫_-;_-@_-"/>
    <numFmt numFmtId="169" formatCode="_-* #,##0\ _₫_-;\-* #,##0\ _₫_-;_-* &quot;-&quot;??\ _₫_-;_-@_-"/>
    <numFmt numFmtId="170" formatCode="#.0"/>
  </numFmts>
  <fonts count="17" x14ac:knownFonts="1">
    <font>
      <sz val="11"/>
      <color theme="1"/>
      <name val="Aptos Narrow"/>
      <family val="2"/>
      <scheme val="minor"/>
    </font>
    <font>
      <sz val="11"/>
      <color theme="1"/>
      <name val="Aptos Narrow"/>
      <family val="2"/>
      <scheme val="minor"/>
    </font>
    <font>
      <sz val="11"/>
      <color rgb="FF000000"/>
      <name val="Calibri"/>
      <family val="2"/>
    </font>
    <font>
      <b/>
      <sz val="10"/>
      <name val="Arial"/>
      <family val="2"/>
    </font>
    <font>
      <sz val="10"/>
      <name val="Arial"/>
      <family val="2"/>
    </font>
    <font>
      <sz val="11"/>
      <color indexed="8"/>
      <name val="Aptos Narrow"/>
      <family val="2"/>
      <scheme val="minor"/>
    </font>
    <font>
      <b/>
      <sz val="10"/>
      <color indexed="8"/>
      <name val="Arial"/>
      <family val="2"/>
    </font>
    <font>
      <sz val="10"/>
      <color rgb="FF000000"/>
      <name val="Arial"/>
      <family val="2"/>
    </font>
    <font>
      <b/>
      <sz val="10"/>
      <color rgb="FF000000"/>
      <name val="Arial"/>
      <family val="2"/>
    </font>
    <font>
      <b/>
      <sz val="9"/>
      <color indexed="8"/>
      <name val="Arial"/>
      <family val="2"/>
    </font>
    <font>
      <sz val="9"/>
      <color indexed="8"/>
      <name val="Arial"/>
      <family val="2"/>
    </font>
    <font>
      <sz val="9"/>
      <name val="Arial"/>
      <family val="2"/>
    </font>
    <font>
      <sz val="9"/>
      <color rgb="FF000000"/>
      <name val="Arial"/>
      <family val="2"/>
    </font>
    <font>
      <sz val="9"/>
      <color theme="1"/>
      <name val="Arial"/>
      <family val="2"/>
    </font>
    <font>
      <sz val="9"/>
      <color rgb="FFFF0000"/>
      <name val="Arial"/>
      <family val="2"/>
    </font>
    <font>
      <b/>
      <sz val="9"/>
      <name val="Arial"/>
      <family val="2"/>
    </font>
    <font>
      <b/>
      <sz val="10"/>
      <color theme="1"/>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hair">
        <color indexed="64"/>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auto="1"/>
      </left>
      <right style="thin">
        <color auto="1"/>
      </right>
      <top style="thin">
        <color auto="1"/>
      </top>
      <bottom style="hair">
        <color auto="1"/>
      </bottom>
      <diagonal/>
    </border>
  </borders>
  <cellStyleXfs count="8">
    <xf numFmtId="0" fontId="0" fillId="0" borderId="0"/>
    <xf numFmtId="43" fontId="1" fillId="0" borderId="0" applyFont="0" applyFill="0" applyBorder="0" applyAlignment="0" applyProtection="0"/>
    <xf numFmtId="0" fontId="2" fillId="0" borderId="0"/>
    <xf numFmtId="43" fontId="1" fillId="0" borderId="0" applyFont="0" applyFill="0" applyBorder="0" applyAlignment="0" applyProtection="0"/>
    <xf numFmtId="0" fontId="5" fillId="0" borderId="0"/>
    <xf numFmtId="168" fontId="2" fillId="0" borderId="0" applyFont="0" applyFill="0" applyBorder="0" applyAlignment="0" applyProtection="0"/>
    <xf numFmtId="0" fontId="1" fillId="0" borderId="0"/>
    <xf numFmtId="0" fontId="2" fillId="0" borderId="0"/>
  </cellStyleXfs>
  <cellXfs count="111">
    <xf numFmtId="0" fontId="0" fillId="0" borderId="0" xfId="0"/>
    <xf numFmtId="9" fontId="0" fillId="0" borderId="0" xfId="0" applyNumberFormat="1"/>
    <xf numFmtId="10" fontId="0" fillId="0" borderId="0" xfId="0" applyNumberFormat="1"/>
    <xf numFmtId="3" fontId="0" fillId="0" borderId="0" xfId="0" applyNumberFormat="1"/>
    <xf numFmtId="167" fontId="0" fillId="0" borderId="0" xfId="1" applyNumberFormat="1" applyFont="1"/>
    <xf numFmtId="0" fontId="6" fillId="2" borderId="1" xfId="4" applyFont="1" applyFill="1" applyBorder="1" applyAlignment="1">
      <alignment horizontal="center" vertical="center" wrapText="1"/>
    </xf>
    <xf numFmtId="0" fontId="3" fillId="2" borderId="1" xfId="4" applyFont="1" applyFill="1" applyBorder="1" applyAlignment="1">
      <alignment horizontal="center" vertical="center" wrapText="1"/>
    </xf>
    <xf numFmtId="169" fontId="3" fillId="2" borderId="1" xfId="5" applyNumberFormat="1" applyFont="1" applyFill="1" applyBorder="1" applyAlignment="1">
      <alignment horizontal="center" vertical="center" wrapText="1"/>
    </xf>
    <xf numFmtId="169" fontId="6" fillId="2" borderId="1" xfId="5" applyNumberFormat="1" applyFont="1" applyFill="1" applyBorder="1" applyAlignment="1">
      <alignment horizontal="center" vertical="center" wrapText="1"/>
    </xf>
    <xf numFmtId="0" fontId="7" fillId="0" borderId="0" xfId="2" applyFont="1"/>
    <xf numFmtId="0" fontId="8" fillId="3" borderId="2" xfId="2" applyFont="1" applyFill="1" applyBorder="1" applyAlignment="1">
      <alignment horizontal="center" vertical="center"/>
    </xf>
    <xf numFmtId="0" fontId="8" fillId="3" borderId="2" xfId="2" applyFont="1" applyFill="1" applyBorder="1" applyAlignment="1">
      <alignment horizontal="center" vertical="center" wrapText="1"/>
    </xf>
    <xf numFmtId="169" fontId="8" fillId="3" borderId="2" xfId="5" applyNumberFormat="1" applyFont="1" applyFill="1" applyBorder="1" applyAlignment="1">
      <alignment horizontal="right" vertical="center" wrapText="1"/>
    </xf>
    <xf numFmtId="0" fontId="8" fillId="0" borderId="0" xfId="2" applyFont="1" applyAlignment="1">
      <alignment horizontal="center" vertical="center"/>
    </xf>
    <xf numFmtId="0" fontId="7" fillId="0" borderId="0" xfId="2" applyFont="1" applyAlignment="1">
      <alignment vertical="center"/>
    </xf>
    <xf numFmtId="0" fontId="7" fillId="0" borderId="4" xfId="2" applyFont="1" applyBorder="1" applyAlignment="1">
      <alignment vertical="center"/>
    </xf>
    <xf numFmtId="0" fontId="7" fillId="0" borderId="4" xfId="2" applyFont="1" applyBorder="1" applyAlignment="1">
      <alignment vertical="center" wrapText="1"/>
    </xf>
    <xf numFmtId="169" fontId="7" fillId="0" borderId="4" xfId="5" applyNumberFormat="1" applyFont="1" applyBorder="1" applyAlignment="1">
      <alignment horizontal="right" vertical="center"/>
    </xf>
    <xf numFmtId="0" fontId="7" fillId="0" borderId="5" xfId="2" applyFont="1" applyBorder="1" applyAlignment="1">
      <alignment vertical="center"/>
    </xf>
    <xf numFmtId="0" fontId="7" fillId="0" borderId="5" xfId="2" applyFont="1" applyBorder="1" applyAlignment="1">
      <alignment vertical="center" wrapText="1"/>
    </xf>
    <xf numFmtId="169" fontId="7" fillId="0" borderId="5" xfId="5" applyNumberFormat="1" applyFont="1" applyBorder="1" applyAlignment="1">
      <alignment horizontal="right" vertical="center"/>
    </xf>
    <xf numFmtId="0" fontId="8" fillId="3" borderId="2" xfId="2" applyFont="1" applyFill="1" applyBorder="1" applyAlignment="1">
      <alignment horizontal="left" vertical="center"/>
    </xf>
    <xf numFmtId="170" fontId="9" fillId="0" borderId="1" xfId="4" applyNumberFormat="1" applyFont="1" applyBorder="1" applyAlignment="1">
      <alignment horizontal="left" vertical="center" wrapText="1"/>
    </xf>
    <xf numFmtId="0" fontId="9" fillId="0" borderId="1" xfId="4" applyFont="1" applyBorder="1" applyAlignment="1">
      <alignment horizontal="left" vertical="center" wrapText="1"/>
    </xf>
    <xf numFmtId="0" fontId="10" fillId="0" borderId="1" xfId="4" applyFont="1" applyBorder="1" applyAlignment="1">
      <alignment horizontal="left" vertical="center"/>
    </xf>
    <xf numFmtId="0" fontId="10" fillId="0" borderId="1" xfId="4" applyFont="1" applyBorder="1" applyAlignment="1">
      <alignment horizontal="center" vertical="center" wrapText="1"/>
    </xf>
    <xf numFmtId="3" fontId="11" fillId="0" borderId="1" xfId="4" applyNumberFormat="1" applyFont="1" applyBorder="1" applyAlignment="1">
      <alignment horizontal="right" vertical="center" wrapText="1"/>
    </xf>
    <xf numFmtId="169" fontId="11" fillId="0" borderId="1" xfId="5" applyNumberFormat="1" applyFont="1" applyBorder="1" applyAlignment="1">
      <alignment horizontal="right" vertical="center"/>
    </xf>
    <xf numFmtId="169" fontId="10" fillId="0" borderId="1" xfId="5" applyNumberFormat="1" applyFont="1" applyBorder="1" applyAlignment="1">
      <alignment horizontal="right" vertical="center" wrapText="1"/>
    </xf>
    <xf numFmtId="167" fontId="10" fillId="0" borderId="1" xfId="3" applyNumberFormat="1" applyFont="1" applyBorder="1" applyAlignment="1">
      <alignment horizontal="right" vertical="center" wrapText="1"/>
    </xf>
    <xf numFmtId="0" fontId="12" fillId="0" borderId="0" xfId="2" applyFont="1"/>
    <xf numFmtId="169" fontId="11" fillId="0" borderId="6" xfId="5" applyNumberFormat="1" applyFont="1" applyBorder="1" applyAlignment="1">
      <alignment horizontal="right" vertical="center" wrapText="1"/>
    </xf>
    <xf numFmtId="0" fontId="13" fillId="0" borderId="0" xfId="6" applyFont="1"/>
    <xf numFmtId="0" fontId="14" fillId="0" borderId="0" xfId="4" applyFont="1"/>
    <xf numFmtId="0" fontId="11" fillId="0" borderId="0" xfId="4" applyFont="1"/>
    <xf numFmtId="0" fontId="11" fillId="0" borderId="0" xfId="4" applyFont="1" applyAlignment="1">
      <alignment horizontal="center" vertical="center"/>
    </xf>
    <xf numFmtId="169" fontId="11" fillId="0" borderId="0" xfId="5" applyNumberFormat="1" applyFont="1" applyBorder="1" applyAlignment="1">
      <alignment horizontal="right"/>
    </xf>
    <xf numFmtId="170" fontId="15" fillId="0" borderId="1" xfId="4" applyNumberFormat="1" applyFont="1" applyBorder="1" applyAlignment="1">
      <alignment horizontal="left" vertical="center" wrapText="1"/>
    </xf>
    <xf numFmtId="0" fontId="15" fillId="0" borderId="1" xfId="4" applyFont="1" applyBorder="1" applyAlignment="1">
      <alignment horizontal="left" vertical="center" wrapText="1"/>
    </xf>
    <xf numFmtId="0" fontId="11" fillId="0" borderId="1" xfId="4" applyFont="1" applyBorder="1" applyAlignment="1">
      <alignment horizontal="left" vertical="center"/>
    </xf>
    <xf numFmtId="0" fontId="11" fillId="0" borderId="1" xfId="4" applyFont="1" applyBorder="1" applyAlignment="1">
      <alignment horizontal="center" vertical="center" wrapText="1"/>
    </xf>
    <xf numFmtId="4" fontId="11" fillId="0" borderId="1" xfId="4" applyNumberFormat="1" applyFont="1" applyBorder="1" applyAlignment="1">
      <alignment horizontal="right" vertical="center" wrapText="1"/>
    </xf>
    <xf numFmtId="167" fontId="11" fillId="0" borderId="1" xfId="3" applyNumberFormat="1" applyFont="1" applyBorder="1" applyAlignment="1">
      <alignment horizontal="right" vertical="center" wrapText="1"/>
    </xf>
    <xf numFmtId="0" fontId="11" fillId="0" borderId="0" xfId="2" applyFont="1"/>
    <xf numFmtId="4" fontId="11" fillId="0" borderId="6" xfId="4" applyNumberFormat="1" applyFont="1" applyBorder="1" applyAlignment="1">
      <alignment horizontal="right" vertical="center" wrapText="1"/>
    </xf>
    <xf numFmtId="0" fontId="11" fillId="0" borderId="6" xfId="4" applyFont="1" applyBorder="1" applyAlignment="1">
      <alignment horizontal="left" vertical="center" wrapText="1" indent="1"/>
    </xf>
    <xf numFmtId="0" fontId="11" fillId="0" borderId="6" xfId="4" applyFont="1" applyBorder="1" applyAlignment="1">
      <alignment horizontal="left" vertical="center"/>
    </xf>
    <xf numFmtId="0" fontId="11" fillId="0" borderId="6" xfId="4" applyFont="1" applyBorder="1" applyAlignment="1">
      <alignment horizontal="center" vertical="center" wrapText="1"/>
    </xf>
    <xf numFmtId="169" fontId="11" fillId="0" borderId="7" xfId="5" applyNumberFormat="1" applyFont="1" applyBorder="1" applyAlignment="1">
      <alignment horizontal="right" vertical="center" wrapText="1"/>
    </xf>
    <xf numFmtId="0" fontId="6" fillId="2" borderId="1" xfId="4" applyFont="1" applyFill="1" applyBorder="1"/>
    <xf numFmtId="0" fontId="3" fillId="2" borderId="1" xfId="4" applyFont="1" applyFill="1" applyBorder="1"/>
    <xf numFmtId="0" fontId="3" fillId="2" borderId="1" xfId="4" applyFont="1" applyFill="1" applyBorder="1" applyAlignment="1">
      <alignment horizontal="center" vertical="center"/>
    </xf>
    <xf numFmtId="169" fontId="3" fillId="2" borderId="1" xfId="5" applyNumberFormat="1" applyFont="1" applyFill="1" applyBorder="1" applyAlignment="1">
      <alignment horizontal="right"/>
    </xf>
    <xf numFmtId="0" fontId="8" fillId="2" borderId="1" xfId="2" applyFont="1" applyFill="1" applyBorder="1"/>
    <xf numFmtId="0" fontId="8" fillId="0" borderId="0" xfId="2" applyFont="1"/>
    <xf numFmtId="0" fontId="16" fillId="2" borderId="1" xfId="6" applyFont="1" applyFill="1" applyBorder="1"/>
    <xf numFmtId="169" fontId="8" fillId="2" borderId="1" xfId="5" applyNumberFormat="1" applyFont="1" applyFill="1" applyBorder="1" applyAlignment="1">
      <alignment horizontal="right"/>
    </xf>
    <xf numFmtId="0" fontId="3" fillId="0" borderId="0" xfId="7" applyFont="1" applyAlignment="1">
      <alignment horizontal="center" vertical="center"/>
    </xf>
    <xf numFmtId="0" fontId="4" fillId="0" borderId="0" xfId="7" applyFont="1" applyAlignment="1">
      <alignment horizontal="center" vertical="center" wrapText="1"/>
    </xf>
    <xf numFmtId="0" fontId="4" fillId="0" borderId="0" xfId="7" applyFont="1" applyAlignment="1">
      <alignment horizontal="center" vertical="center"/>
    </xf>
    <xf numFmtId="167" fontId="4" fillId="0" borderId="0" xfId="5" applyNumberFormat="1" applyFont="1" applyFill="1" applyAlignment="1">
      <alignment horizontal="center" vertical="center"/>
    </xf>
    <xf numFmtId="0" fontId="4" fillId="0" borderId="0" xfId="7" applyFont="1" applyAlignment="1">
      <alignment vertical="center"/>
    </xf>
    <xf numFmtId="0" fontId="4" fillId="0" borderId="0" xfId="7" applyFont="1" applyAlignment="1">
      <alignment horizontal="center" vertical="center" wrapText="1"/>
    </xf>
    <xf numFmtId="0" fontId="4" fillId="0" borderId="0" xfId="7" applyFont="1" applyAlignment="1">
      <alignment vertical="center" wrapText="1"/>
    </xf>
    <xf numFmtId="169" fontId="7" fillId="0" borderId="0" xfId="5" applyNumberFormat="1" applyFont="1" applyAlignment="1">
      <alignment horizontal="right"/>
    </xf>
    <xf numFmtId="4" fontId="10" fillId="0" borderId="8" xfId="4" applyNumberFormat="1" applyFont="1" applyBorder="1" applyAlignment="1">
      <alignment horizontal="right" vertical="center" wrapText="1"/>
    </xf>
    <xf numFmtId="0" fontId="10" fillId="0" borderId="8" xfId="4" applyFont="1" applyBorder="1" applyAlignment="1">
      <alignment horizontal="left" vertical="center" wrapText="1" indent="1"/>
    </xf>
    <xf numFmtId="0" fontId="10" fillId="0" borderId="8" xfId="4" applyFont="1" applyBorder="1" applyAlignment="1">
      <alignment horizontal="left" vertical="center"/>
    </xf>
    <xf numFmtId="0" fontId="10" fillId="0" borderId="8" xfId="4" applyFont="1" applyBorder="1" applyAlignment="1">
      <alignment horizontal="center" vertical="center" wrapText="1"/>
    </xf>
    <xf numFmtId="3" fontId="11" fillId="0" borderId="8" xfId="4" applyNumberFormat="1" applyFont="1" applyBorder="1" applyAlignment="1">
      <alignment horizontal="right" vertical="center" wrapText="1"/>
    </xf>
    <xf numFmtId="169" fontId="11" fillId="0" borderId="8" xfId="5" applyNumberFormat="1" applyFont="1" applyBorder="1" applyAlignment="1">
      <alignment horizontal="right" vertical="center" wrapText="1"/>
    </xf>
    <xf numFmtId="169" fontId="10" fillId="0" borderId="8" xfId="5" applyNumberFormat="1" applyFont="1" applyBorder="1" applyAlignment="1">
      <alignment horizontal="right" vertical="center" wrapText="1"/>
    </xf>
    <xf numFmtId="0" fontId="13" fillId="0" borderId="8" xfId="6" applyFont="1" applyBorder="1"/>
    <xf numFmtId="4" fontId="10" fillId="0" borderId="4" xfId="4" applyNumberFormat="1" applyFont="1" applyBorder="1" applyAlignment="1">
      <alignment horizontal="right" vertical="center" wrapText="1"/>
    </xf>
    <xf numFmtId="0" fontId="10" fillId="0" borderId="4" xfId="4" applyFont="1" applyBorder="1" applyAlignment="1">
      <alignment horizontal="left" vertical="center" wrapText="1" indent="1"/>
    </xf>
    <xf numFmtId="0" fontId="10" fillId="0" borderId="4" xfId="4" applyFont="1" applyBorder="1" applyAlignment="1">
      <alignment horizontal="left" vertical="center"/>
    </xf>
    <xf numFmtId="0" fontId="10" fillId="0" borderId="4" xfId="4" applyFont="1" applyBorder="1" applyAlignment="1">
      <alignment horizontal="center" vertical="center" wrapText="1"/>
    </xf>
    <xf numFmtId="3" fontId="11" fillId="0" borderId="4" xfId="4" applyNumberFormat="1" applyFont="1" applyBorder="1" applyAlignment="1">
      <alignment horizontal="right" vertical="center" wrapText="1"/>
    </xf>
    <xf numFmtId="169" fontId="11" fillId="0" borderId="4" xfId="5" applyNumberFormat="1" applyFont="1" applyBorder="1" applyAlignment="1">
      <alignment horizontal="right" vertical="center" wrapText="1"/>
    </xf>
    <xf numFmtId="169" fontId="10" fillId="0" borderId="4" xfId="5" applyNumberFormat="1" applyFont="1" applyBorder="1" applyAlignment="1">
      <alignment horizontal="right" vertical="center" wrapText="1"/>
    </xf>
    <xf numFmtId="0" fontId="13" fillId="0" borderId="4" xfId="6" applyFont="1" applyBorder="1"/>
    <xf numFmtId="4" fontId="11" fillId="0" borderId="4" xfId="4" applyNumberFormat="1" applyFont="1" applyBorder="1" applyAlignment="1">
      <alignment horizontal="right" vertical="center" wrapText="1"/>
    </xf>
    <xf numFmtId="0" fontId="10" fillId="0" borderId="4" xfId="4" applyFont="1" applyBorder="1" applyAlignment="1">
      <alignment horizontal="left" vertical="center" wrapText="1" indent="2"/>
    </xf>
    <xf numFmtId="0" fontId="12" fillId="0" borderId="4" xfId="2" applyFont="1" applyBorder="1"/>
    <xf numFmtId="0" fontId="11" fillId="0" borderId="4" xfId="4" applyFont="1" applyBorder="1" applyAlignment="1">
      <alignment horizontal="left" vertical="center" wrapText="1" indent="1"/>
    </xf>
    <xf numFmtId="0" fontId="11" fillId="0" borderId="4" xfId="4" applyFont="1" applyBorder="1" applyAlignment="1">
      <alignment horizontal="left" vertical="center"/>
    </xf>
    <xf numFmtId="0" fontId="11" fillId="0" borderId="4" xfId="4" applyFont="1" applyBorder="1" applyAlignment="1">
      <alignment horizontal="center" vertical="center" wrapText="1"/>
    </xf>
    <xf numFmtId="4" fontId="14" fillId="0" borderId="4" xfId="4" applyNumberFormat="1" applyFont="1" applyBorder="1" applyAlignment="1">
      <alignment horizontal="right" vertical="center" wrapText="1"/>
    </xf>
    <xf numFmtId="0" fontId="11" fillId="0" borderId="4" xfId="4" applyFont="1" applyBorder="1" applyAlignment="1">
      <alignment horizontal="center" wrapText="1"/>
    </xf>
    <xf numFmtId="0" fontId="14" fillId="0" borderId="5" xfId="4" applyFont="1" applyBorder="1"/>
    <xf numFmtId="0" fontId="11" fillId="0" borderId="5" xfId="4" applyFont="1" applyBorder="1"/>
    <xf numFmtId="0" fontId="11" fillId="0" borderId="5" xfId="4" applyFont="1" applyBorder="1" applyAlignment="1">
      <alignment horizontal="center" vertical="center"/>
    </xf>
    <xf numFmtId="169" fontId="11" fillId="0" borderId="5" xfId="5" applyNumberFormat="1" applyFont="1" applyBorder="1" applyAlignment="1">
      <alignment horizontal="right"/>
    </xf>
    <xf numFmtId="4" fontId="14" fillId="0" borderId="3" xfId="4" applyNumberFormat="1" applyFont="1" applyBorder="1" applyAlignment="1">
      <alignment horizontal="right" vertical="center" wrapText="1"/>
    </xf>
    <xf numFmtId="0" fontId="14" fillId="0" borderId="3" xfId="4" applyFont="1" applyBorder="1" applyAlignment="1">
      <alignment horizontal="left" vertical="center" wrapText="1" indent="1"/>
    </xf>
    <xf numFmtId="0" fontId="14" fillId="0" borderId="3" xfId="4" applyFont="1" applyBorder="1" applyAlignment="1">
      <alignment horizontal="left" vertical="center"/>
    </xf>
    <xf numFmtId="0" fontId="11" fillId="0" borderId="3" xfId="4" applyFont="1" applyBorder="1" applyAlignment="1">
      <alignment horizontal="center" vertical="center" wrapText="1"/>
    </xf>
    <xf numFmtId="4" fontId="11" fillId="0" borderId="3" xfId="4" applyNumberFormat="1" applyFont="1" applyBorder="1" applyAlignment="1">
      <alignment horizontal="right" vertical="center" wrapText="1"/>
    </xf>
    <xf numFmtId="169" fontId="11" fillId="0" borderId="3" xfId="5" applyNumberFormat="1" applyFont="1" applyBorder="1" applyAlignment="1">
      <alignment horizontal="right" vertical="center" wrapText="1"/>
    </xf>
    <xf numFmtId="0" fontId="13" fillId="0" borderId="3" xfId="6" applyFont="1" applyBorder="1"/>
    <xf numFmtId="0" fontId="11" fillId="0" borderId="4" xfId="4" applyFont="1" applyBorder="1"/>
    <xf numFmtId="0" fontId="10" fillId="0" borderId="5" xfId="4" applyFont="1" applyBorder="1"/>
    <xf numFmtId="4" fontId="10" fillId="0" borderId="3" xfId="4" applyNumberFormat="1" applyFont="1" applyBorder="1" applyAlignment="1">
      <alignment horizontal="right" vertical="center" wrapText="1"/>
    </xf>
    <xf numFmtId="0" fontId="10" fillId="0" borderId="3" xfId="4" applyFont="1" applyBorder="1" applyAlignment="1">
      <alignment horizontal="left" vertical="center" wrapText="1" indent="1"/>
    </xf>
    <xf numFmtId="0" fontId="11" fillId="0" borderId="3" xfId="4" applyFont="1" applyBorder="1" applyAlignment="1">
      <alignment horizontal="left" vertical="center"/>
    </xf>
    <xf numFmtId="4" fontId="10" fillId="0" borderId="5" xfId="4" applyNumberFormat="1" applyFont="1" applyBorder="1" applyAlignment="1">
      <alignment horizontal="right" vertical="center" wrapText="1"/>
    </xf>
    <xf numFmtId="0" fontId="10" fillId="0" borderId="5" xfId="4" applyFont="1" applyBorder="1" applyAlignment="1">
      <alignment horizontal="left" vertical="center" wrapText="1" indent="1"/>
    </xf>
    <xf numFmtId="0" fontId="11" fillId="0" borderId="5" xfId="4" applyFont="1" applyBorder="1" applyAlignment="1">
      <alignment horizontal="left" vertical="center"/>
    </xf>
    <xf numFmtId="0" fontId="11" fillId="0" borderId="5" xfId="4" applyFont="1" applyBorder="1" applyAlignment="1">
      <alignment horizontal="center" vertical="center" wrapText="1"/>
    </xf>
    <xf numFmtId="4" fontId="11" fillId="0" borderId="5" xfId="4" applyNumberFormat="1" applyFont="1" applyBorder="1" applyAlignment="1">
      <alignment horizontal="right" vertical="center" wrapText="1"/>
    </xf>
    <xf numFmtId="169" fontId="11" fillId="0" borderId="5" xfId="5" applyNumberFormat="1" applyFont="1" applyBorder="1" applyAlignment="1">
      <alignment horizontal="right" vertical="center" wrapText="1"/>
    </xf>
  </cellXfs>
  <cellStyles count="8">
    <cellStyle name="Comma" xfId="1" builtinId="3"/>
    <cellStyle name="Comma 2" xfId="5" xr:uid="{7A3026E7-0C51-4934-B55A-7199E6D3DCB8}"/>
    <cellStyle name="Comma 3 2" xfId="3" xr:uid="{39A5083F-7B48-4401-B3BF-C9F13607F38D}"/>
    <cellStyle name="Normal" xfId="0" builtinId="0"/>
    <cellStyle name="Normal 2" xfId="2" xr:uid="{E6E746AC-CAEA-4558-8347-B8B3F43C0058}"/>
    <cellStyle name="Normal 2 2" xfId="4" xr:uid="{22E44CE2-62AA-4223-B24E-A5F19A3A9B46}"/>
    <cellStyle name="Normal 2 3" xfId="6" xr:uid="{8DD26D6E-025D-43EB-9700-599896A0A34A}"/>
    <cellStyle name="Normal 5" xfId="7" xr:uid="{78BB4066-C183-4849-9208-A8734A242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Set%20up%20cai%20tao\FC3\TTr%20ph&#225;t%20sinh%20l&#7847;n%2024.xlsx" TargetMode="External"/><Relationship Id="rId1" Type="http://schemas.openxmlformats.org/officeDocument/2006/relationships/externalLinkPath" Target="TTr%20ph&#225;t%20sinh%20l&#7847;n%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uynlx7788@gmail.com/tool/excel/du%20toan%20khoi%20luong%20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Tr PS lần 24"/>
      <sheetName val="Fit"/>
      <sheetName val="Fur"/>
      <sheetName val="Chiết tính FitFur"/>
      <sheetName val="Điện"/>
      <sheetName val="TBVP"/>
      <sheetName val="Báo giá tham khảo"/>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methods"/>
      <sheetName val="Supplier"/>
      <sheetName val="ACCEPTANCE"/>
      <sheetName val="HANDOVER (3)"/>
      <sheetName val="FC3sq"/>
      <sheetName val="FC3dq"/>
      <sheetName val="FIT TMA2"/>
      <sheetName val="Investor"/>
      <sheetName val="Contractor"/>
      <sheetName val="Type"/>
      <sheetName val="SYNTHETIC"/>
      <sheetName val="SUMMARY QUANTITY"/>
      <sheetName val="HUEsq (4)"/>
      <sheetName val="HUEdq (4)"/>
      <sheetName val="DETAILS QUANTITY"/>
      <sheetName val="HANDOVER (2)"/>
      <sheetName val="DATA"/>
      <sheetName val="LIST"/>
      <sheetName val="SU- DATA"/>
      <sheetName val="SPEC"/>
      <sheetName val="detailed unit price"/>
      <sheetName val="240807.1sq"/>
      <sheetName val="240807.1dq"/>
      <sheetName val="240807.2sq"/>
      <sheetName val="240807.2dq"/>
      <sheetName val="240807.4sq"/>
      <sheetName val="240807.4dq"/>
      <sheetName val="240809.1sq"/>
      <sheetName val="240809.1dq"/>
      <sheetName val="240813.1sq"/>
      <sheetName val="240813.1dq"/>
      <sheetName val="240815.1sq"/>
      <sheetName val="240815.1dq"/>
      <sheetName val="240816.1sq"/>
      <sheetName val="240816.1dq"/>
      <sheetName val="HANDOVER"/>
      <sheetName val="240726.6sq"/>
      <sheetName val="240726.6dq"/>
      <sheetName val="240726.7sq"/>
      <sheetName val="240726.7dq"/>
      <sheetName val="240726.8sq"/>
      <sheetName val="240726.8dq"/>
      <sheetName val="240223.1sq"/>
      <sheetName val="240223.1dq"/>
      <sheetName val="240521.2sq"/>
      <sheetName val="240521.2dq"/>
      <sheetName val="240613.1sq"/>
      <sheetName val="240613.1dq"/>
      <sheetName val="240527.1sq"/>
      <sheetName val="240527.1dq"/>
      <sheetName val="240523.1sq"/>
      <sheetName val="240523.1dq"/>
      <sheetName val="240521.3sq"/>
      <sheetName val="240521.3dq"/>
      <sheetName val="240521.1sq"/>
      <sheetName val="240521.1dq"/>
      <sheetName val="240515.1sq"/>
      <sheetName val="240515.1dq"/>
      <sheetName val="240514.1sq"/>
      <sheetName val="240514.1dq"/>
      <sheetName val="240511.1sq"/>
      <sheetName val="240511.1dq"/>
      <sheetName val="240507.3sq"/>
      <sheetName val="240507.3dq"/>
      <sheetName val="240507.2sq"/>
      <sheetName val="240507.2dq"/>
      <sheetName val="240507.1sq"/>
      <sheetName val="240507.1dq"/>
      <sheetName val="240503.1sq"/>
      <sheetName val="240503.1dq"/>
      <sheetName val="240502.2sq"/>
      <sheetName val="240502.2dq"/>
      <sheetName val="240502.1sq"/>
      <sheetName val="240502.1dq"/>
      <sheetName val="240423.1sq"/>
      <sheetName val="240423.1dq"/>
      <sheetName val="240417.1sq"/>
      <sheetName val="240417.1dq"/>
      <sheetName val="240411.1sq"/>
      <sheetName val="240411.1dq"/>
      <sheetName val="240409.1sq"/>
      <sheetName val="240409.1dq"/>
      <sheetName val="240403.1sq"/>
      <sheetName val="240403.1dq"/>
      <sheetName val="240327.1sq"/>
      <sheetName val="240327.1dq"/>
      <sheetName val="240325.1sq"/>
      <sheetName val="240325.1dq"/>
      <sheetName val="240313.1sq"/>
      <sheetName val="240313.1dq"/>
      <sheetName val="240307.1sq"/>
      <sheetName val="240307.1dq"/>
      <sheetName val="240306.1sq"/>
      <sheetName val="240306.1dq"/>
      <sheetName val="240228.1sq"/>
      <sheetName val="240228.1dq"/>
      <sheetName val="240125.1sq"/>
      <sheetName val="240125.1dq"/>
      <sheetName val="240202.1sq"/>
      <sheetName val="240202.1dq"/>
      <sheetName val="240131.1sq"/>
      <sheetName val="240131.1dq"/>
      <sheetName val="231201.1sq"/>
      <sheetName val="231201.1dq"/>
      <sheetName val="231116.1sq"/>
      <sheetName val="231116.1dq"/>
      <sheetName val="230712.1sq"/>
      <sheetName val="230712.1dq"/>
      <sheetName val="cad"/>
      <sheetName val="240826.1sq"/>
      <sheetName val="240826.1dq"/>
      <sheetName val="240827.1sq"/>
      <sheetName val="240827.1dq"/>
      <sheetName val="240807.3sq"/>
      <sheetName val="240807.3dq"/>
      <sheetName val="240808.1sq"/>
      <sheetName val="240808.1dq"/>
      <sheetName val="240813.2sq"/>
      <sheetName val="240813.2dq"/>
      <sheetName val="240807.5sq"/>
      <sheetName val="240807.5sq (3)"/>
      <sheetName val="240807.5dq (3)"/>
      <sheetName val="240807.5dq"/>
      <sheetName val="du toan khoi luong ok"/>
      <sheetName val="240322.1sq"/>
      <sheetName val="240322.1dq"/>
      <sheetName val="240229.1sq"/>
      <sheetName val="240229.1dq"/>
      <sheetName val="240710.1sq"/>
      <sheetName val="240710.1dq"/>
      <sheetName val="240726.1sq"/>
      <sheetName val="240726.1dq"/>
      <sheetName val="240726.3sq"/>
      <sheetName val="240726.3dq"/>
      <sheetName val="240730.1sq"/>
      <sheetName val="240730.1dq"/>
      <sheetName val="240731.1sq"/>
      <sheetName val="240731.1dq"/>
      <sheetName val="240723.1asq"/>
      <sheetName val="240723.1adq"/>
      <sheetName val="240718.3sq"/>
      <sheetName val="240718.3dq"/>
      <sheetName val="240716.5sq"/>
      <sheetName val="240716.5dq"/>
      <sheetName val="240716.4sq"/>
      <sheetName val="240716.4dq"/>
      <sheetName val="240702.1sq"/>
      <sheetName val="240702.1dq"/>
      <sheetName val="240716.2sq"/>
      <sheetName val="240716.2dq"/>
      <sheetName val="240716.1sq"/>
      <sheetName val="240716.1dq"/>
      <sheetName val="240712.1sq"/>
      <sheetName val="240712.1dq"/>
      <sheetName val="240711.1sq"/>
      <sheetName val="240711.1dq"/>
    </sheetNames>
    <sheetDataSet>
      <sheetData sheetId="0">
        <row r="1">
          <cell r="A1" t="str">
            <v>ID</v>
          </cell>
          <cell r="B1" t="str">
            <v>Name</v>
          </cell>
        </row>
        <row r="2">
          <cell r="A2" t="str">
            <v>WA.PA7'.WA</v>
          </cell>
          <cell r="B2" t="str">
            <v xml:space="preserve">
+ GCLD giàn giáo ngoài
+ Thi công xử lý các vết nứt cục bộ trên bề mặt tường cũ bằng vật tư chống thấm chuyên dụng Wallcoat UVflex có gia cường lưới thủy tinh chống nứt
+ Thi công gia cường thêm lớp chống thấm thứ 3 toàn bộ bề mặt tường ngoài nhà bằng 01 lớp vật tư chống thấm tường chuyên dụng 1 thành phần kháng tia UV: Wallcoat UVflex để đảm bảo chống thấm tuyệt đối.
+ Thi công chống thấm toàn bộ bề mặt tường ngoài nhà bằng 02 lớp vật tư chống thấm tường chuyên dụng 1 thành phần kháng tia UV: Wallcoat UVflex</v>
          </cell>
        </row>
        <row r="3">
          <cell r="A3" t="str">
            <v>MD.WA.CEIN.WA</v>
          </cell>
          <cell r="B3" t="str">
            <v xml:space="preserve">
+ GCLD giàn giáo ngoài
+ Thi công chống thấm toàn bộ bề mặt tường gạch ngoài nhà bằng 02 lớp vật tư chống thấm thẩm thấu trong suốt chuyên dụng SikaGard 905W </v>
          </cell>
        </row>
        <row r="4">
          <cell r="A4" t="str">
            <v>WI.GL.WA</v>
          </cell>
          <cell r="B4" t="str">
            <v xml:space="preserve">
+ GCLD giàn giáo ngoài
+ Cạo bỏ phần silicol cũ bị bong rộp, chai cứng nứt nẻ
+ Bắn lại silicol mới ( loại sử dụng ngoài nhà)</v>
          </cell>
        </row>
        <row r="5">
          <cell r="A5" t="str">
            <v>WA.CO3</v>
          </cell>
          <cell r="B5" t="str">
            <v>Khoảng cách hàng vít nở 1m (chú ý cẩn thận trúng hệ thống MEP)</v>
          </cell>
        </row>
        <row r="6">
          <cell r="A6" t="str">
            <v>WS.PI00.WA</v>
          </cell>
          <cell r="B6" t="str">
            <v>. Các loại phụ gia chống thấm Sika Topseal 109, Sika flex, Sikalatex…</v>
          </cell>
        </row>
        <row r="7">
          <cell r="A7" t="str">
            <v>C1.FL.CL03</v>
          </cell>
          <cell r="B7" t="str">
            <v>. Quy cách 0.5x0.5m trải xoay chiều</v>
          </cell>
        </row>
        <row r="8">
          <cell r="A8" t="str">
            <v>C1.FL.CE03.WA</v>
          </cell>
          <cell r="B8" t="str">
            <v>. Chống thấm chân cửa, các roan nền và bề mặt khu WC bằng vật tư chống thấm trong suốt ( không đục bóc gạch)</v>
          </cell>
        </row>
        <row r="9">
          <cell r="A9" t="str">
            <v>C1.WA.BR10.FI</v>
          </cell>
          <cell r="B9" t="str">
            <v>. Trát tường trong, tường xây gạch thẻ nung bằng vữa thông thường chiều dày trát 1,5cm, vữa XM mác 75</v>
          </cell>
        </row>
        <row r="10">
          <cell r="A10" t="str">
            <v>CE.COM3.WA</v>
          </cell>
          <cell r="B10" t="str">
            <v>. Phương pháp bơm Foam xử lý ngược bằng máy chuyên dụng</v>
          </cell>
        </row>
        <row r="11">
          <cell r="A11" t="str">
            <v>CE.PL</v>
          </cell>
          <cell r="B11" t="str">
            <v>. Tấm thạch cao Gyproc dày 9mm,  khung Alpha Vĩnh Tường (thi công đúng chỉ dẫn của nhà cung cấp)</v>
          </cell>
        </row>
        <row r="12">
          <cell r="B12" t="str">
            <v>. Tấm thạch cao Gyproc dày 9mm,  khung Alpha Vĩnh Tường (thi công đúng chỉ dẫn của nhà cung cấp)
+Khoảng cách hàng vít nở 1m (chú ý cẩn thận trúng hệ thống MEP)</v>
          </cell>
        </row>
        <row r="14">
          <cell r="B14" t="str">
            <v>Chuẩn bị nguyên vật liệu sản xuất</v>
          </cell>
        </row>
        <row r="15">
          <cell r="B15" t="str">
            <v>Gia công sản xuất lắp đặt tại xưởng</v>
          </cell>
        </row>
        <row r="16">
          <cell r="B16" t="str">
            <v>Vận chuyển đến công trình</v>
          </cell>
        </row>
      </sheetData>
      <sheetData sheetId="1"/>
      <sheetData sheetId="2"/>
      <sheetData sheetId="3"/>
      <sheetData sheetId="4"/>
      <sheetData sheetId="5"/>
      <sheetData sheetId="6"/>
      <sheetData sheetId="7"/>
      <sheetData sheetId="8">
        <row r="1">
          <cell r="A1" t="str">
            <v>Nhà thầu:</v>
          </cell>
        </row>
        <row r="2">
          <cell r="A2" t="str">
            <v>FIT</v>
          </cell>
        </row>
        <row r="3">
          <cell r="A3" t="str">
            <v>FUR</v>
          </cell>
        </row>
        <row r="4">
          <cell r="A4" t="str">
            <v>Bàn nhân viên</v>
          </cell>
        </row>
        <row r="5">
          <cell r="A5" t="str">
            <v>Ghế văn phòng</v>
          </cell>
        </row>
        <row r="6">
          <cell r="A6" t="str">
            <v>Ghế ăn</v>
          </cell>
        </row>
        <row r="7">
          <cell r="A7" t="str">
            <v>CÔNG TY TNHH THƯƠNG MẠI VÀ SẢN XUẤT AN GIA PHÁT</v>
          </cell>
        </row>
        <row r="8">
          <cell r="A8" t="str">
            <v>CÔNG TY TNHH MTV XÂY DỰNG TRẦN ĐÌNH</v>
          </cell>
        </row>
        <row r="9">
          <cell r="A9" t="str">
            <v>CÔNG TY TNHH TMDV MỸ THUẬT KHẢI HOÀN</v>
          </cell>
        </row>
        <row r="10">
          <cell r="A10" t="str">
            <v>CÔNG TY TNHH NỘI THẤT CƯỜNG NGUYỄN</v>
          </cell>
        </row>
        <row r="11">
          <cell r="A11" t="str">
            <v>CÔNG TY CỔ PHẦN NỘI THẤT ÂN DƯƠNG MINH</v>
          </cell>
        </row>
        <row r="12">
          <cell r="A12" t="str">
            <v>CÔNG TY TNHH MTV XD&amp;TM THIỆN PHÚ MỸ</v>
          </cell>
        </row>
        <row r="13">
          <cell r="A13" t="str">
            <v>CÔNG TY TNHH MTV HOÀNG TRUNG PHƯƠNG</v>
          </cell>
        </row>
        <row r="14">
          <cell r="A14" t="str">
            <v>CÔNG TY TNHH HỘI TÂN CƯƠNG</v>
          </cell>
        </row>
        <row r="15">
          <cell r="A15" t="str">
            <v>CÔNG TY TNHH THIẾT KẾ XÂY DỰNG VÀ TRANG TRÍ NỘI THẤT ATP</v>
          </cell>
        </row>
        <row r="16">
          <cell r="A16" t="str">
            <v>CÔNG TY TNHH XD VT TÂN PHÁT</v>
          </cell>
        </row>
        <row r="17">
          <cell r="A17">
            <v>0</v>
          </cell>
        </row>
        <row r="18">
          <cell r="A18">
            <v>0</v>
          </cell>
        </row>
        <row r="19">
          <cell r="A19">
            <v>0</v>
          </cell>
        </row>
        <row r="20">
          <cell r="A20">
            <v>0</v>
          </cell>
        </row>
        <row r="21">
          <cell r="A21">
            <v>0</v>
          </cell>
        </row>
        <row r="22">
          <cell r="A22">
            <v>0</v>
          </cell>
        </row>
        <row r="23">
          <cell r="A23">
            <v>0</v>
          </cell>
        </row>
        <row r="24">
          <cell r="A24">
            <v>0</v>
          </cell>
        </row>
        <row r="25">
          <cell r="A25">
            <v>0</v>
          </cell>
        </row>
        <row r="26">
          <cell r="A26">
            <v>0</v>
          </cell>
        </row>
      </sheetData>
      <sheetData sheetId="9">
        <row r="1">
          <cell r="A1" t="str">
            <v>Catalogy</v>
          </cell>
        </row>
        <row r="2">
          <cell r="A2" t="str">
            <v>Setup Mica wall</v>
          </cell>
        </row>
        <row r="3">
          <cell r="A3" t="str">
            <v>Open meeting area</v>
          </cell>
        </row>
        <row r="4">
          <cell r="A4" t="str">
            <v>Setup plaster wall</v>
          </cell>
        </row>
        <row r="5">
          <cell r="A5" t="str">
            <v>Expanded mica wall</v>
          </cell>
        </row>
        <row r="6">
          <cell r="A6" t="str">
            <v>Install more staff desks</v>
          </cell>
        </row>
        <row r="7">
          <cell r="A7" t="str">
            <v>others</v>
          </cell>
        </row>
        <row r="8">
          <cell r="A8">
            <v>0</v>
          </cell>
        </row>
        <row r="9">
          <cell r="A9">
            <v>0</v>
          </cell>
        </row>
        <row r="10">
          <cell r="A10">
            <v>0</v>
          </cell>
        </row>
        <row r="11">
          <cell r="A11">
            <v>0</v>
          </cell>
        </row>
        <row r="12">
          <cell r="A12">
            <v>0</v>
          </cell>
        </row>
        <row r="13">
          <cell r="A13">
            <v>0</v>
          </cell>
        </row>
        <row r="14">
          <cell r="A14">
            <v>0</v>
          </cell>
        </row>
        <row r="15">
          <cell r="A15">
            <v>0</v>
          </cell>
        </row>
        <row r="16">
          <cell r="A16">
            <v>0</v>
          </cell>
        </row>
        <row r="17">
          <cell r="A17">
            <v>0</v>
          </cell>
        </row>
        <row r="18">
          <cell r="A18">
            <v>0</v>
          </cell>
        </row>
        <row r="19">
          <cell r="A19">
            <v>0</v>
          </cell>
        </row>
        <row r="20">
          <cell r="A20">
            <v>0</v>
          </cell>
        </row>
        <row r="21">
          <cell r="A21">
            <v>0</v>
          </cell>
        </row>
        <row r="22">
          <cell r="A22">
            <v>0</v>
          </cell>
        </row>
        <row r="23">
          <cell r="A23">
            <v>0</v>
          </cell>
        </row>
        <row r="24">
          <cell r="A24">
            <v>0</v>
          </cell>
        </row>
        <row r="25">
          <cell r="A25">
            <v>0</v>
          </cell>
        </row>
        <row r="26">
          <cell r="A26">
            <v>0</v>
          </cell>
        </row>
        <row r="27">
          <cell r="A27">
            <v>0</v>
          </cell>
        </row>
        <row r="28">
          <cell r="A28">
            <v>0</v>
          </cell>
        </row>
        <row r="29">
          <cell r="A29">
            <v>0</v>
          </cell>
        </row>
        <row r="30">
          <cell r="A30">
            <v>0</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row r="101">
          <cell r="A101">
            <v>0</v>
          </cell>
        </row>
        <row r="102">
          <cell r="A102">
            <v>0</v>
          </cell>
        </row>
        <row r="103">
          <cell r="A103">
            <v>0</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row r="154">
          <cell r="A154">
            <v>0</v>
          </cell>
        </row>
        <row r="155">
          <cell r="A155">
            <v>0</v>
          </cell>
        </row>
        <row r="156">
          <cell r="A156">
            <v>0</v>
          </cell>
        </row>
        <row r="157">
          <cell r="A157">
            <v>0</v>
          </cell>
        </row>
        <row r="158">
          <cell r="A158">
            <v>0</v>
          </cell>
        </row>
        <row r="159">
          <cell r="A159">
            <v>0</v>
          </cell>
        </row>
        <row r="160">
          <cell r="A160">
            <v>0</v>
          </cell>
        </row>
        <row r="161">
          <cell r="A161">
            <v>0</v>
          </cell>
        </row>
        <row r="162">
          <cell r="A162">
            <v>0</v>
          </cell>
        </row>
        <row r="163">
          <cell r="A163">
            <v>0</v>
          </cell>
        </row>
        <row r="164">
          <cell r="A164">
            <v>0</v>
          </cell>
        </row>
        <row r="165">
          <cell r="A165">
            <v>0</v>
          </cell>
        </row>
        <row r="166">
          <cell r="A166">
            <v>0</v>
          </cell>
        </row>
        <row r="167">
          <cell r="A167">
            <v>0</v>
          </cell>
        </row>
        <row r="168">
          <cell r="A168">
            <v>0</v>
          </cell>
        </row>
        <row r="169">
          <cell r="A169">
            <v>0</v>
          </cell>
        </row>
        <row r="170">
          <cell r="A170">
            <v>0</v>
          </cell>
        </row>
        <row r="171">
          <cell r="A171">
            <v>0</v>
          </cell>
        </row>
        <row r="172">
          <cell r="A172">
            <v>0</v>
          </cell>
        </row>
        <row r="173">
          <cell r="A173">
            <v>0</v>
          </cell>
        </row>
        <row r="174">
          <cell r="A174">
            <v>0</v>
          </cell>
        </row>
        <row r="175">
          <cell r="A175">
            <v>0</v>
          </cell>
        </row>
        <row r="176">
          <cell r="A176">
            <v>0</v>
          </cell>
        </row>
        <row r="177">
          <cell r="A177">
            <v>0</v>
          </cell>
        </row>
        <row r="178">
          <cell r="A178">
            <v>0</v>
          </cell>
        </row>
        <row r="179">
          <cell r="A179">
            <v>0</v>
          </cell>
        </row>
        <row r="180">
          <cell r="A180">
            <v>0</v>
          </cell>
        </row>
        <row r="181">
          <cell r="A181">
            <v>0</v>
          </cell>
        </row>
        <row r="183">
          <cell r="A183">
            <v>0</v>
          </cell>
        </row>
        <row r="184">
          <cell r="A184">
            <v>0</v>
          </cell>
        </row>
        <row r="187">
          <cell r="A187">
            <v>0</v>
          </cell>
        </row>
        <row r="188">
          <cell r="A188">
            <v>0</v>
          </cell>
        </row>
        <row r="189">
          <cell r="A189">
            <v>0</v>
          </cell>
        </row>
        <row r="190">
          <cell r="A190">
            <v>0</v>
          </cell>
        </row>
        <row r="191">
          <cell r="A191">
            <v>0</v>
          </cell>
        </row>
        <row r="192">
          <cell r="A192">
            <v>0</v>
          </cell>
        </row>
        <row r="193">
          <cell r="A193">
            <v>0</v>
          </cell>
        </row>
        <row r="194">
          <cell r="A194">
            <v>0</v>
          </cell>
        </row>
        <row r="195">
          <cell r="A195">
            <v>0</v>
          </cell>
        </row>
        <row r="196">
          <cell r="A196">
            <v>0</v>
          </cell>
        </row>
        <row r="197">
          <cell r="A197">
            <v>0</v>
          </cell>
        </row>
        <row r="198">
          <cell r="A198">
            <v>0</v>
          </cell>
        </row>
        <row r="199">
          <cell r="A199">
            <v>0</v>
          </cell>
        </row>
        <row r="200">
          <cell r="A200">
            <v>0</v>
          </cell>
        </row>
        <row r="201">
          <cell r="A201">
            <v>0</v>
          </cell>
        </row>
        <row r="202">
          <cell r="A202">
            <v>0</v>
          </cell>
        </row>
        <row r="203">
          <cell r="A203">
            <v>0</v>
          </cell>
        </row>
        <row r="204">
          <cell r="A204">
            <v>0</v>
          </cell>
        </row>
        <row r="205">
          <cell r="A205">
            <v>0</v>
          </cell>
        </row>
        <row r="206">
          <cell r="A206">
            <v>0</v>
          </cell>
        </row>
        <row r="207">
          <cell r="A207">
            <v>0</v>
          </cell>
        </row>
        <row r="208">
          <cell r="A208">
            <v>0</v>
          </cell>
        </row>
        <row r="209">
          <cell r="A209">
            <v>0</v>
          </cell>
        </row>
        <row r="210">
          <cell r="A210">
            <v>0</v>
          </cell>
        </row>
        <row r="211">
          <cell r="A211">
            <v>0</v>
          </cell>
        </row>
        <row r="212">
          <cell r="A212">
            <v>0</v>
          </cell>
        </row>
        <row r="213">
          <cell r="A213">
            <v>0</v>
          </cell>
        </row>
        <row r="214">
          <cell r="A214">
            <v>0</v>
          </cell>
        </row>
        <row r="215">
          <cell r="A215">
            <v>0</v>
          </cell>
        </row>
        <row r="216">
          <cell r="A216">
            <v>0</v>
          </cell>
        </row>
        <row r="217">
          <cell r="A217">
            <v>0</v>
          </cell>
        </row>
        <row r="218">
          <cell r="A218">
            <v>0</v>
          </cell>
        </row>
        <row r="219">
          <cell r="A219">
            <v>0</v>
          </cell>
        </row>
        <row r="220">
          <cell r="A220">
            <v>0</v>
          </cell>
        </row>
        <row r="221">
          <cell r="A221">
            <v>0</v>
          </cell>
        </row>
        <row r="222">
          <cell r="A222">
            <v>0</v>
          </cell>
        </row>
        <row r="223">
          <cell r="A223">
            <v>0</v>
          </cell>
        </row>
        <row r="224">
          <cell r="A224">
            <v>0</v>
          </cell>
        </row>
        <row r="225">
          <cell r="A225">
            <v>0</v>
          </cell>
        </row>
        <row r="226">
          <cell r="A226">
            <v>0</v>
          </cell>
        </row>
        <row r="227">
          <cell r="A227">
            <v>0</v>
          </cell>
        </row>
        <row r="228">
          <cell r="A228">
            <v>0</v>
          </cell>
        </row>
        <row r="229">
          <cell r="A229">
            <v>0</v>
          </cell>
        </row>
        <row r="231">
          <cell r="A231">
            <v>0</v>
          </cell>
        </row>
        <row r="234">
          <cell r="A234">
            <v>0</v>
          </cell>
        </row>
        <row r="235">
          <cell r="A235">
            <v>0</v>
          </cell>
        </row>
        <row r="236">
          <cell r="A236">
            <v>0</v>
          </cell>
        </row>
        <row r="237">
          <cell r="A237">
            <v>0</v>
          </cell>
        </row>
        <row r="238">
          <cell r="A238">
            <v>0</v>
          </cell>
        </row>
        <row r="239">
          <cell r="A239">
            <v>0</v>
          </cell>
        </row>
        <row r="240">
          <cell r="A240">
            <v>0</v>
          </cell>
        </row>
        <row r="241">
          <cell r="A241">
            <v>0</v>
          </cell>
        </row>
        <row r="242">
          <cell r="A242">
            <v>0</v>
          </cell>
        </row>
        <row r="243">
          <cell r="A243">
            <v>0</v>
          </cell>
        </row>
        <row r="244">
          <cell r="A244">
            <v>0</v>
          </cell>
        </row>
        <row r="245">
          <cell r="A245">
            <v>0</v>
          </cell>
        </row>
        <row r="246">
          <cell r="A246">
            <v>0</v>
          </cell>
        </row>
        <row r="247">
          <cell r="A247">
            <v>0</v>
          </cell>
        </row>
        <row r="248">
          <cell r="A248">
            <v>0</v>
          </cell>
        </row>
        <row r="249">
          <cell r="A249">
            <v>0</v>
          </cell>
        </row>
        <row r="250">
          <cell r="A250">
            <v>0</v>
          </cell>
        </row>
        <row r="251">
          <cell r="A251">
            <v>0</v>
          </cell>
        </row>
        <row r="252">
          <cell r="A252">
            <v>0</v>
          </cell>
        </row>
        <row r="253">
          <cell r="A253">
            <v>0</v>
          </cell>
        </row>
        <row r="254">
          <cell r="A254">
            <v>0</v>
          </cell>
        </row>
        <row r="255">
          <cell r="A255">
            <v>0</v>
          </cell>
        </row>
        <row r="256">
          <cell r="A256">
            <v>0</v>
          </cell>
        </row>
        <row r="257">
          <cell r="A257">
            <v>0</v>
          </cell>
        </row>
        <row r="258">
          <cell r="A258">
            <v>0</v>
          </cell>
        </row>
        <row r="259">
          <cell r="A259">
            <v>0</v>
          </cell>
        </row>
        <row r="262">
          <cell r="A262">
            <v>0</v>
          </cell>
        </row>
        <row r="263">
          <cell r="A263">
            <v>0</v>
          </cell>
        </row>
        <row r="264">
          <cell r="A264">
            <v>0</v>
          </cell>
        </row>
        <row r="265">
          <cell r="A265">
            <v>0</v>
          </cell>
        </row>
        <row r="266">
          <cell r="A266">
            <v>0</v>
          </cell>
        </row>
        <row r="267">
          <cell r="A267">
            <v>0</v>
          </cell>
        </row>
        <row r="268">
          <cell r="A268">
            <v>0</v>
          </cell>
        </row>
        <row r="269">
          <cell r="A269">
            <v>0</v>
          </cell>
        </row>
        <row r="270">
          <cell r="A270">
            <v>0</v>
          </cell>
        </row>
        <row r="271">
          <cell r="A271">
            <v>0</v>
          </cell>
        </row>
        <row r="272">
          <cell r="A272">
            <v>0</v>
          </cell>
        </row>
        <row r="273">
          <cell r="A273">
            <v>0</v>
          </cell>
        </row>
        <row r="274">
          <cell r="A274">
            <v>0</v>
          </cell>
        </row>
        <row r="275">
          <cell r="A275">
            <v>0</v>
          </cell>
        </row>
        <row r="276">
          <cell r="A276">
            <v>0</v>
          </cell>
        </row>
        <row r="277">
          <cell r="A277">
            <v>0</v>
          </cell>
        </row>
        <row r="278">
          <cell r="A278">
            <v>0</v>
          </cell>
        </row>
        <row r="279">
          <cell r="A279">
            <v>0</v>
          </cell>
        </row>
        <row r="280">
          <cell r="A280">
            <v>0</v>
          </cell>
        </row>
        <row r="281">
          <cell r="A281">
            <v>0</v>
          </cell>
        </row>
        <row r="282">
          <cell r="A282">
            <v>0</v>
          </cell>
        </row>
        <row r="283">
          <cell r="A283">
            <v>0</v>
          </cell>
        </row>
        <row r="297">
          <cell r="A297">
            <v>0</v>
          </cell>
        </row>
        <row r="298">
          <cell r="A298">
            <v>0</v>
          </cell>
        </row>
        <row r="299">
          <cell r="A299">
            <v>0</v>
          </cell>
        </row>
        <row r="300">
          <cell r="A300">
            <v>0</v>
          </cell>
        </row>
        <row r="301">
          <cell r="A301">
            <v>0</v>
          </cell>
        </row>
        <row r="307">
          <cell r="A307">
            <v>0</v>
          </cell>
        </row>
        <row r="308">
          <cell r="A308">
            <v>0</v>
          </cell>
        </row>
        <row r="314">
          <cell r="A314">
            <v>0</v>
          </cell>
        </row>
        <row r="315">
          <cell r="A315">
            <v>0</v>
          </cell>
        </row>
        <row r="316">
          <cell r="A316">
            <v>0</v>
          </cell>
        </row>
        <row r="317">
          <cell r="A317">
            <v>0</v>
          </cell>
        </row>
        <row r="321">
          <cell r="A321">
            <v>0</v>
          </cell>
        </row>
        <row r="328">
          <cell r="A328">
            <v>0</v>
          </cell>
        </row>
        <row r="329">
          <cell r="A329">
            <v>0</v>
          </cell>
        </row>
        <row r="330">
          <cell r="A330">
            <v>0</v>
          </cell>
        </row>
        <row r="331">
          <cell r="A331">
            <v>0</v>
          </cell>
        </row>
        <row r="333">
          <cell r="A333">
            <v>0</v>
          </cell>
        </row>
        <row r="334">
          <cell r="A334">
            <v>0</v>
          </cell>
        </row>
        <row r="335">
          <cell r="A335">
            <v>0</v>
          </cell>
        </row>
        <row r="336">
          <cell r="A336">
            <v>0</v>
          </cell>
        </row>
        <row r="337">
          <cell r="A337">
            <v>0</v>
          </cell>
        </row>
        <row r="338">
          <cell r="A338">
            <v>0</v>
          </cell>
        </row>
        <row r="339">
          <cell r="A339">
            <v>0</v>
          </cell>
        </row>
        <row r="340">
          <cell r="A340">
            <v>0</v>
          </cell>
        </row>
        <row r="344">
          <cell r="A344">
            <v>0</v>
          </cell>
        </row>
        <row r="345">
          <cell r="A345">
            <v>0</v>
          </cell>
        </row>
        <row r="346">
          <cell r="A346">
            <v>0</v>
          </cell>
        </row>
        <row r="355">
          <cell r="A355">
            <v>0</v>
          </cell>
        </row>
        <row r="358">
          <cell r="A358">
            <v>0</v>
          </cell>
        </row>
        <row r="359">
          <cell r="A359">
            <v>0</v>
          </cell>
        </row>
        <row r="362">
          <cell r="A362">
            <v>0</v>
          </cell>
        </row>
        <row r="363">
          <cell r="A363">
            <v>0</v>
          </cell>
        </row>
        <row r="367">
          <cell r="A367">
            <v>0</v>
          </cell>
        </row>
        <row r="368">
          <cell r="A368">
            <v>0</v>
          </cell>
        </row>
        <row r="369">
          <cell r="A369">
            <v>0</v>
          </cell>
        </row>
        <row r="370">
          <cell r="A370">
            <v>0</v>
          </cell>
        </row>
        <row r="371">
          <cell r="A371">
            <v>0</v>
          </cell>
        </row>
        <row r="372">
          <cell r="A372">
            <v>0</v>
          </cell>
        </row>
        <row r="373">
          <cell r="A373">
            <v>0</v>
          </cell>
        </row>
        <row r="374">
          <cell r="A374">
            <v>0</v>
          </cell>
        </row>
        <row r="376">
          <cell r="A376">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8">
          <cell r="A388">
            <v>0</v>
          </cell>
        </row>
        <row r="389">
          <cell r="A389">
            <v>0</v>
          </cell>
        </row>
        <row r="390">
          <cell r="A390">
            <v>0</v>
          </cell>
        </row>
        <row r="391">
          <cell r="A391">
            <v>0</v>
          </cell>
        </row>
        <row r="395">
          <cell r="A395">
            <v>0</v>
          </cell>
        </row>
        <row r="398">
          <cell r="A398">
            <v>0</v>
          </cell>
        </row>
        <row r="399">
          <cell r="A399">
            <v>0</v>
          </cell>
        </row>
        <row r="402">
          <cell r="A402">
            <v>0</v>
          </cell>
        </row>
        <row r="403">
          <cell r="A403">
            <v>0</v>
          </cell>
        </row>
        <row r="404">
          <cell r="A404">
            <v>0</v>
          </cell>
        </row>
        <row r="407">
          <cell r="A407">
            <v>0</v>
          </cell>
        </row>
        <row r="410">
          <cell r="A410">
            <v>0</v>
          </cell>
        </row>
        <row r="411">
          <cell r="A411">
            <v>0</v>
          </cell>
        </row>
        <row r="413">
          <cell r="A413">
            <v>0</v>
          </cell>
        </row>
        <row r="414">
          <cell r="A414">
            <v>0</v>
          </cell>
        </row>
        <row r="415">
          <cell r="A415">
            <v>0</v>
          </cell>
        </row>
        <row r="416">
          <cell r="A416">
            <v>0</v>
          </cell>
        </row>
        <row r="417">
          <cell r="A417">
            <v>0</v>
          </cell>
        </row>
      </sheetData>
      <sheetData sheetId="10">
        <row r="1">
          <cell r="A1" t="str">
            <v>SYNTHETIC</v>
          </cell>
        </row>
      </sheetData>
      <sheetData sheetId="11"/>
      <sheetData sheetId="12"/>
      <sheetData sheetId="13"/>
      <sheetData sheetId="14"/>
      <sheetData sheetId="15"/>
      <sheetData sheetId="16">
        <row r="1">
          <cell r="A1" t="str">
            <v>Location</v>
          </cell>
          <cell r="B1">
            <v>0</v>
          </cell>
          <cell r="C1" t="str">
            <v>category</v>
          </cell>
          <cell r="D1">
            <v>0</v>
          </cell>
          <cell r="E1">
            <v>0</v>
          </cell>
          <cell r="F1" t="str">
            <v>material</v>
          </cell>
          <cell r="G1">
            <v>0</v>
          </cell>
          <cell r="H1">
            <v>0</v>
          </cell>
          <cell r="I1" t="str">
            <v>action</v>
          </cell>
          <cell r="J1">
            <v>0</v>
          </cell>
          <cell r="K1">
            <v>0</v>
          </cell>
          <cell r="L1" t="str">
            <v>Space</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cell r="AC1">
            <v>0</v>
          </cell>
          <cell r="AD1">
            <v>0</v>
          </cell>
          <cell r="AE1">
            <v>0</v>
          </cell>
          <cell r="AF1">
            <v>0</v>
          </cell>
          <cell r="AG1">
            <v>0</v>
          </cell>
          <cell r="AH1">
            <v>0</v>
          </cell>
          <cell r="AI1">
            <v>0</v>
          </cell>
          <cell r="AJ1">
            <v>0</v>
          </cell>
          <cell r="AK1">
            <v>0</v>
          </cell>
          <cell r="AL1">
            <v>0</v>
          </cell>
          <cell r="AM1">
            <v>0</v>
          </cell>
          <cell r="AN1">
            <v>0</v>
          </cell>
          <cell r="AO1">
            <v>0</v>
          </cell>
          <cell r="AP1">
            <v>0</v>
          </cell>
          <cell r="AQ1">
            <v>0</v>
          </cell>
          <cell r="AR1">
            <v>0</v>
          </cell>
          <cell r="AS1">
            <v>0</v>
          </cell>
          <cell r="AT1">
            <v>0</v>
          </cell>
          <cell r="AU1">
            <v>0</v>
          </cell>
          <cell r="AV1">
            <v>0</v>
          </cell>
          <cell r="AW1">
            <v>0</v>
          </cell>
          <cell r="AX1">
            <v>0</v>
          </cell>
          <cell r="AY1">
            <v>0</v>
          </cell>
        </row>
        <row r="2">
          <cell r="A2" t="str">
            <v>C.</v>
          </cell>
          <cell r="B2" t="str">
            <v>WA.</v>
          </cell>
          <cell r="C2" t="str">
            <v xml:space="preserve">wall </v>
          </cell>
          <cell r="D2" t="str">
            <v>vách</v>
          </cell>
          <cell r="E2" t="str">
            <v>WO</v>
          </cell>
          <cell r="H2" t="str">
            <v>ST</v>
          </cell>
          <cell r="I2" t="str">
            <v xml:space="preserve">Storage </v>
          </cell>
          <cell r="J2" t="str">
            <v>Lưu kho và đánh mã</v>
          </cell>
        </row>
        <row r="3">
          <cell r="A3" t="str">
            <v>C1.</v>
          </cell>
          <cell r="B3" t="str">
            <v>FL.</v>
          </cell>
          <cell r="C3" t="str">
            <v xml:space="preserve">floor of </v>
          </cell>
          <cell r="D3" t="str">
            <v>sàn</v>
          </cell>
          <cell r="E3" t="str">
            <v>GL</v>
          </cell>
          <cell r="H3" t="str">
            <v>M</v>
          </cell>
          <cell r="I3" t="str">
            <v xml:space="preserve">was moved </v>
          </cell>
          <cell r="J3" t="str">
            <v>Di chuyển sang vị trí mới</v>
          </cell>
        </row>
        <row r="4">
          <cell r="A4" t="str">
            <v>C2.</v>
          </cell>
          <cell r="B4" t="str">
            <v>CE.</v>
          </cell>
          <cell r="C4" t="str">
            <v xml:space="preserve">ceilings </v>
          </cell>
          <cell r="D4" t="str">
            <v>trần</v>
          </cell>
          <cell r="E4" t="str">
            <v>BR</v>
          </cell>
          <cell r="H4" t="str">
            <v>D</v>
          </cell>
          <cell r="I4" t="str">
            <v xml:space="preserve">was demolished </v>
          </cell>
          <cell r="J4" t="str">
            <v>Phá dỡ, đổ thải</v>
          </cell>
        </row>
        <row r="5">
          <cell r="A5" t="str">
            <v>C3.</v>
          </cell>
          <cell r="B5" t="str">
            <v>DO.</v>
          </cell>
          <cell r="C5" t="str">
            <v xml:space="preserve">door </v>
          </cell>
          <cell r="D5" t="str">
            <v>cửa</v>
          </cell>
          <cell r="E5" t="str">
            <v>PA</v>
          </cell>
          <cell r="H5" t="str">
            <v>R</v>
          </cell>
          <cell r="I5" t="str">
            <v xml:space="preserve">Reinstall </v>
          </cell>
          <cell r="J5" t="str">
            <v>Lắp đặt lại</v>
          </cell>
        </row>
        <row r="6">
          <cell r="A6" t="str">
            <v>MD.</v>
          </cell>
          <cell r="B6" t="str">
            <v>DE.</v>
          </cell>
          <cell r="C6" t="str">
            <v xml:space="preserve">desk </v>
          </cell>
          <cell r="D6" t="str">
            <v>bàn</v>
          </cell>
          <cell r="E6" t="str">
            <v>MG</v>
          </cell>
          <cell r="H6" t="str">
            <v>CLU</v>
          </cell>
          <cell r="I6" t="str">
            <v xml:space="preserve">Clean up </v>
          </cell>
          <cell r="J6" t="str">
            <v>Vệ sinh sau setup</v>
          </cell>
        </row>
        <row r="7">
          <cell r="A7" t="str">
            <v>TK.</v>
          </cell>
          <cell r="B7" t="str">
            <v>CNC.</v>
          </cell>
          <cell r="C7" t="str">
            <v>CNC cutting</v>
          </cell>
          <cell r="D7" t="str">
            <v>CNC</v>
          </cell>
          <cell r="E7" t="str">
            <v>DO</v>
          </cell>
          <cell r="H7" t="str">
            <v>RE</v>
          </cell>
          <cell r="I7" t="str">
            <v xml:space="preserve">was reinforced </v>
          </cell>
          <cell r="J7" t="str">
            <v>Gia cường</v>
          </cell>
        </row>
        <row r="8">
          <cell r="A8" t="str">
            <v>APT.</v>
          </cell>
          <cell r="B8" t="str">
            <v>TA.</v>
          </cell>
          <cell r="C8" t="str">
            <v xml:space="preserve">table </v>
          </cell>
          <cell r="D8" t="str">
            <v>bàn</v>
          </cell>
          <cell r="E8" t="str">
            <v>PL</v>
          </cell>
          <cell r="H8" t="str">
            <v/>
          </cell>
          <cell r="I8" t="str">
            <v xml:space="preserve">buy new </v>
          </cell>
          <cell r="J8" t="str">
            <v>Mua mới</v>
          </cell>
        </row>
        <row r="9">
          <cell r="A9" t="str">
            <v>TMA.</v>
          </cell>
          <cell r="B9" t="str">
            <v>CH.</v>
          </cell>
          <cell r="C9" t="str">
            <v xml:space="preserve">chair </v>
          </cell>
          <cell r="D9" t="str">
            <v>ghế</v>
          </cell>
          <cell r="E9" t="str">
            <v>CL</v>
          </cell>
          <cell r="H9" t="str">
            <v>FI</v>
          </cell>
          <cell r="I9" t="str">
            <v xml:space="preserve">fixes </v>
          </cell>
          <cell r="J9" t="str">
            <v>Sửa chữa</v>
          </cell>
        </row>
        <row r="10">
          <cell r="A10" t="str">
            <v>L32THD.</v>
          </cell>
          <cell r="B10" t="str">
            <v>CA.</v>
          </cell>
          <cell r="C10" t="str">
            <v xml:space="preserve">cabinets </v>
          </cell>
          <cell r="D10" t="str">
            <v>tủ</v>
          </cell>
          <cell r="E10" t="str">
            <v>MT</v>
          </cell>
          <cell r="H10" t="str">
            <v>WA</v>
          </cell>
          <cell r="I10" t="str">
            <v>waterproofing</v>
          </cell>
          <cell r="J10" t="str">
            <v>Chống thấm</v>
          </cell>
        </row>
        <row r="11">
          <cell r="A11" t="str">
            <v>00.</v>
          </cell>
          <cell r="B11" t="str">
            <v>CB.</v>
          </cell>
          <cell r="C11" t="str">
            <v xml:space="preserve">currently belongings </v>
          </cell>
          <cell r="D11" t="str">
            <v>đồ đạc hiện trạng</v>
          </cell>
          <cell r="E11" t="str">
            <v>ST</v>
          </cell>
          <cell r="H11" t="str">
            <v>DR</v>
          </cell>
          <cell r="I11" t="str">
            <v xml:space="preserve">drill </v>
          </cell>
          <cell r="J11" t="str">
            <v>Đục</v>
          </cell>
        </row>
        <row r="12">
          <cell r="A12" t="str">
            <v>HU.</v>
          </cell>
          <cell r="B12" t="str">
            <v>BL.</v>
          </cell>
          <cell r="C12" t="str">
            <v xml:space="preserve">blinds </v>
          </cell>
          <cell r="D12" t="str">
            <v>rèm</v>
          </cell>
          <cell r="E12" t="str">
            <v>CT</v>
          </cell>
          <cell r="H12" t="str">
            <v/>
          </cell>
          <cell r="I12" t="str">
            <v>provide installation</v>
          </cell>
          <cell r="J12" t="str">
            <v>CCLĐ</v>
          </cell>
        </row>
        <row r="13">
          <cell r="A13" t="str">
            <v>TYPE1.</v>
          </cell>
          <cell r="B13" t="str">
            <v>SI.</v>
          </cell>
          <cell r="C13" t="str">
            <v xml:space="preserve">signs </v>
          </cell>
          <cell r="D13" t="str">
            <v>bảng hiệu</v>
          </cell>
          <cell r="E13">
            <v>0</v>
          </cell>
          <cell r="H13" t="str">
            <v>DI</v>
          </cell>
          <cell r="I13" t="str">
            <v>disassemble</v>
          </cell>
          <cell r="J13" t="str">
            <v>Tháo rời</v>
          </cell>
        </row>
        <row r="14">
          <cell r="A14" t="str">
            <v>TYPE2.</v>
          </cell>
          <cell r="B14" t="str">
            <v>WI.</v>
          </cell>
          <cell r="C14" t="str">
            <v xml:space="preserve">windows </v>
          </cell>
          <cell r="D14" t="str">
            <v>cửa sổ</v>
          </cell>
          <cell r="E14">
            <v>0</v>
          </cell>
          <cell r="H14">
            <v>0</v>
          </cell>
          <cell r="I14" t="str">
            <v>liquidation</v>
          </cell>
          <cell r="J14" t="str">
            <v>Thanh lý</v>
          </cell>
        </row>
        <row r="15">
          <cell r="A15" t="str">
            <v>TYPE3.</v>
          </cell>
          <cell r="B15" t="str">
            <v>OE.</v>
          </cell>
          <cell r="C15" t="str">
            <v>office equipment</v>
          </cell>
          <cell r="D15" t="str">
            <v>thiết bị văn phòng</v>
          </cell>
          <cell r="E15">
            <v>0</v>
          </cell>
          <cell r="H15">
            <v>0</v>
          </cell>
          <cell r="I15">
            <v>0</v>
          </cell>
          <cell r="J15">
            <v>0</v>
          </cell>
        </row>
        <row r="16">
          <cell r="A16">
            <v>0</v>
          </cell>
          <cell r="B16" t="str">
            <v>LA.</v>
          </cell>
          <cell r="C16" t="str">
            <v>landscape</v>
          </cell>
          <cell r="D16" t="str">
            <v>thiết bị cảnh quan</v>
          </cell>
          <cell r="E16">
            <v>0</v>
          </cell>
          <cell r="H16">
            <v>0</v>
          </cell>
          <cell r="I16">
            <v>0</v>
          </cell>
          <cell r="J16">
            <v>0</v>
          </cell>
        </row>
        <row r="17">
          <cell r="A17">
            <v>0</v>
          </cell>
          <cell r="B17" t="str">
            <v>LI.</v>
          </cell>
          <cell r="C17" t="str">
            <v>lights</v>
          </cell>
          <cell r="D17" t="str">
            <v>đèn</v>
          </cell>
          <cell r="E17">
            <v>0</v>
          </cell>
          <cell r="H17">
            <v>0</v>
          </cell>
          <cell r="I17">
            <v>0</v>
          </cell>
          <cell r="J17">
            <v>0</v>
          </cell>
        </row>
        <row r="18">
          <cell r="A18">
            <v>0</v>
          </cell>
          <cell r="B18" t="str">
            <v>AR.</v>
          </cell>
          <cell r="C18" t="str">
            <v>Artwork</v>
          </cell>
          <cell r="D18" t="str">
            <v>chi tiết trang trí</v>
          </cell>
          <cell r="E18">
            <v>0</v>
          </cell>
          <cell r="H18">
            <v>0</v>
          </cell>
          <cell r="I18">
            <v>0</v>
          </cell>
          <cell r="J18">
            <v>0</v>
          </cell>
        </row>
        <row r="19">
          <cell r="A19">
            <v>0</v>
          </cell>
          <cell r="B19" t="str">
            <v>WS.</v>
          </cell>
          <cell r="C19" t="str">
            <v xml:space="preserve">water supply system </v>
          </cell>
          <cell r="D19" t="str">
            <v>hệ thống nước</v>
          </cell>
          <cell r="E19">
            <v>0</v>
          </cell>
          <cell r="H19">
            <v>0</v>
          </cell>
          <cell r="I19">
            <v>0</v>
          </cell>
          <cell r="J19">
            <v>0</v>
          </cell>
        </row>
      </sheetData>
      <sheetData sheetId="17">
        <row r="1">
          <cell r="A1" t="str">
            <v>ID</v>
          </cell>
        </row>
      </sheetData>
      <sheetData sheetId="18">
        <row r="1">
          <cell r="A1" t="str">
            <v>DỰ TOÁN: CẢI TẠO CÁC KHU VỰC TẦNG 2 FC3</v>
          </cell>
        </row>
      </sheetData>
      <sheetData sheetId="19">
        <row r="2">
          <cell r="A2" t="str">
            <v>No.
Số TT</v>
          </cell>
          <cell r="X2" t="str">
            <v>Plastique</v>
          </cell>
          <cell r="Y2" t="str">
            <v>Artwork</v>
          </cell>
          <cell r="Z2" t="str">
            <v>Blings</v>
          </cell>
          <cell r="AA2" t="str">
            <v>Cable</v>
          </cell>
          <cell r="AB2" t="str">
            <v>Carpet</v>
          </cell>
          <cell r="AC2" t="str">
            <v>Cement</v>
          </cell>
          <cell r="AD2" t="str">
            <v>Compact</v>
          </cell>
          <cell r="AE2" t="str">
            <v>construction_machines</v>
          </cell>
          <cell r="AF2" t="str">
            <v>construction_methods</v>
          </cell>
          <cell r="AG2" t="str">
            <v>Decals</v>
          </cell>
          <cell r="AH2" t="str">
            <v>Door_Accessories</v>
          </cell>
          <cell r="AI2" t="str">
            <v>Fabric</v>
          </cell>
          <cell r="AJ2" t="str">
            <v>Fur_Accessories</v>
          </cell>
          <cell r="AK2" t="str">
            <v>Glass</v>
          </cell>
          <cell r="AL2" t="str">
            <v>Laminate</v>
          </cell>
          <cell r="AM2" t="str">
            <v>Labor</v>
          </cell>
          <cell r="AN2" t="str">
            <v>Lamps</v>
          </cell>
          <cell r="AO2" t="str">
            <v>Landscape</v>
          </cell>
          <cell r="AP2" t="str">
            <v>Lining_material</v>
          </cell>
          <cell r="AQ2" t="str">
            <v>Logo</v>
          </cell>
          <cell r="AR2" t="str">
            <v>Melamine</v>
          </cell>
          <cell r="AS2" t="str">
            <v>Metal</v>
          </cell>
          <cell r="AT2" t="str">
            <v>Oil_painting</v>
          </cell>
          <cell r="AU2" t="str">
            <v>Sand</v>
          </cell>
          <cell r="AV2" t="str">
            <v>Simili</v>
          </cell>
          <cell r="AW2" t="str">
            <v>Skirting_wool</v>
          </cell>
          <cell r="AX2" t="str">
            <v>Special_materials</v>
          </cell>
          <cell r="AY2" t="str">
            <v>Stone</v>
          </cell>
          <cell r="AZ2" t="str">
            <v>Tiles</v>
          </cell>
          <cell r="BA2" t="str">
            <v>Veneer</v>
          </cell>
          <cell r="BB2" t="str">
            <v>Wallpaper</v>
          </cell>
          <cell r="BC2" t="str">
            <v>Water_paint</v>
          </cell>
          <cell r="BD2" t="str">
            <v>Wood_floor</v>
          </cell>
          <cell r="BE2" t="str">
            <v>Woods</v>
          </cell>
        </row>
      </sheetData>
      <sheetData sheetId="20">
        <row r="1">
          <cell r="C1" t="str">
            <v>ĐƠN GIÁ XÂY DỰNG CHI TIẾT HẠNG MỤC CÔNG TRÌNH</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ow r="9">
          <cell r="B9" t="str">
            <v>00.FL.COSA.R</v>
          </cell>
        </row>
      </sheetData>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D449A-92BD-42AB-AA3C-D12B9D7F424D}">
  <dimension ref="A2:J58"/>
  <sheetViews>
    <sheetView tabSelected="1" zoomScaleNormal="100" workbookViewId="0">
      <selection activeCell="D18" sqref="D18"/>
    </sheetView>
  </sheetViews>
  <sheetFormatPr defaultColWidth="8.7109375" defaultRowHeight="12.75" x14ac:dyDescent="0.2"/>
  <cols>
    <col min="1" max="1" width="5.85546875" style="9" bestFit="1" customWidth="1"/>
    <col min="2" max="2" width="9.140625" style="9" customWidth="1"/>
    <col min="3" max="3" width="19.28515625" style="9" bestFit="1" customWidth="1"/>
    <col min="4" max="4" width="51.28515625" style="9" customWidth="1"/>
    <col min="5" max="5" width="4.42578125" style="9" bestFit="1" customWidth="1"/>
    <col min="6" max="6" width="6.5703125" style="9" customWidth="1"/>
    <col min="7" max="7" width="14.140625" style="64" customWidth="1"/>
    <col min="8" max="8" width="15.28515625" style="64" bestFit="1" customWidth="1"/>
    <col min="9" max="9" width="18.42578125" style="9" bestFit="1" customWidth="1"/>
    <col min="10" max="16384" width="8.7109375" style="9"/>
  </cols>
  <sheetData>
    <row r="2" spans="1:9" ht="25.5" x14ac:dyDescent="0.2">
      <c r="A2" s="5" t="s">
        <v>0</v>
      </c>
      <c r="B2" s="5" t="s">
        <v>1</v>
      </c>
      <c r="C2" s="5" t="s">
        <v>2</v>
      </c>
      <c r="D2" s="5" t="s">
        <v>3</v>
      </c>
      <c r="E2" s="5" t="s">
        <v>4</v>
      </c>
      <c r="F2" s="6" t="s">
        <v>5</v>
      </c>
      <c r="G2" s="7" t="s">
        <v>6</v>
      </c>
      <c r="H2" s="8" t="s">
        <v>7</v>
      </c>
      <c r="I2" s="5" t="s">
        <v>8</v>
      </c>
    </row>
    <row r="3" spans="1:9" s="13" customFormat="1" ht="15.75" customHeight="1" x14ac:dyDescent="0.25">
      <c r="A3" s="10" t="s">
        <v>9</v>
      </c>
      <c r="B3" s="10" t="s">
        <v>10</v>
      </c>
      <c r="C3" s="11"/>
      <c r="D3" s="10"/>
      <c r="E3" s="10"/>
      <c r="F3" s="10"/>
      <c r="G3" s="12"/>
      <c r="H3" s="12"/>
      <c r="I3" s="10"/>
    </row>
    <row r="4" spans="1:9" s="14" customFormat="1" x14ac:dyDescent="0.25">
      <c r="A4" s="15"/>
      <c r="B4" s="15"/>
      <c r="C4" s="16"/>
      <c r="D4" s="16"/>
      <c r="E4" s="15"/>
      <c r="F4" s="15"/>
      <c r="G4" s="17"/>
      <c r="H4" s="17"/>
      <c r="I4" s="16"/>
    </row>
    <row r="5" spans="1:9" s="13" customFormat="1" x14ac:dyDescent="0.25">
      <c r="A5" s="10" t="s">
        <v>12</v>
      </c>
      <c r="B5" s="10" t="s">
        <v>13</v>
      </c>
      <c r="C5" s="11"/>
      <c r="D5" s="10"/>
      <c r="E5" s="10"/>
      <c r="F5" s="10"/>
      <c r="G5" s="12"/>
      <c r="H5" s="12"/>
      <c r="I5" s="11"/>
    </row>
    <row r="6" spans="1:9" s="14" customFormat="1" ht="25.5" x14ac:dyDescent="0.25">
      <c r="A6" s="15">
        <v>6</v>
      </c>
      <c r="B6" s="18"/>
      <c r="C6" s="19" t="s">
        <v>14</v>
      </c>
      <c r="D6" s="19" t="s">
        <v>15</v>
      </c>
      <c r="E6" s="18" t="s">
        <v>11</v>
      </c>
      <c r="F6" s="18">
        <v>2</v>
      </c>
      <c r="G6" s="20"/>
      <c r="H6" s="20">
        <f t="shared" ref="H6" si="0">G6*F6</f>
        <v>0</v>
      </c>
      <c r="I6" s="18"/>
    </row>
    <row r="7" spans="1:9" s="13" customFormat="1" x14ac:dyDescent="0.25">
      <c r="A7" s="10" t="s">
        <v>16</v>
      </c>
      <c r="B7" s="21" t="s">
        <v>17</v>
      </c>
      <c r="C7" s="11"/>
      <c r="D7" s="10"/>
      <c r="E7" s="10"/>
      <c r="F7" s="10"/>
      <c r="G7" s="12"/>
      <c r="H7" s="12"/>
      <c r="I7" s="11"/>
    </row>
    <row r="8" spans="1:9" s="30" customFormat="1" ht="12" x14ac:dyDescent="0.2">
      <c r="A8" s="22" t="s">
        <v>18</v>
      </c>
      <c r="B8" s="22"/>
      <c r="C8" s="23" t="s">
        <v>19</v>
      </c>
      <c r="D8" s="24" t="s">
        <v>20</v>
      </c>
      <c r="E8" s="25" t="s">
        <v>11</v>
      </c>
      <c r="F8" s="26">
        <v>1</v>
      </c>
      <c r="G8" s="27"/>
      <c r="H8" s="28">
        <f>G8*F8</f>
        <v>0</v>
      </c>
      <c r="I8" s="29"/>
    </row>
    <row r="9" spans="1:9" s="30" customFormat="1" ht="12" x14ac:dyDescent="0.2">
      <c r="A9" s="65" t="s">
        <v>21</v>
      </c>
      <c r="B9" s="65"/>
      <c r="C9" s="66" t="s">
        <v>22</v>
      </c>
      <c r="D9" s="67" t="s">
        <v>23</v>
      </c>
      <c r="E9" s="68" t="s">
        <v>24</v>
      </c>
      <c r="F9" s="69">
        <v>1</v>
      </c>
      <c r="G9" s="70"/>
      <c r="H9" s="71"/>
      <c r="I9" s="72" t="s">
        <v>26</v>
      </c>
    </row>
    <row r="10" spans="1:9" s="30" customFormat="1" ht="12" x14ac:dyDescent="0.2">
      <c r="A10" s="73" t="s">
        <v>27</v>
      </c>
      <c r="B10" s="73"/>
      <c r="C10" s="74" t="s">
        <v>28</v>
      </c>
      <c r="D10" s="75" t="s">
        <v>29</v>
      </c>
      <c r="E10" s="76"/>
      <c r="F10" s="77">
        <v>1</v>
      </c>
      <c r="G10" s="78"/>
      <c r="H10" s="79"/>
      <c r="I10" s="80"/>
    </row>
    <row r="11" spans="1:9" s="30" customFormat="1" ht="12" x14ac:dyDescent="0.2">
      <c r="A11" s="73" t="s">
        <v>30</v>
      </c>
      <c r="B11" s="73"/>
      <c r="C11" s="74" t="s">
        <v>31</v>
      </c>
      <c r="D11" s="75" t="s">
        <v>32</v>
      </c>
      <c r="E11" s="76"/>
      <c r="F11" s="77">
        <v>1</v>
      </c>
      <c r="G11" s="78" t="s">
        <v>25</v>
      </c>
      <c r="H11" s="79"/>
      <c r="I11" s="80"/>
    </row>
    <row r="12" spans="1:9" s="30" customFormat="1" ht="24" x14ac:dyDescent="0.2">
      <c r="A12" s="73" t="s">
        <v>33</v>
      </c>
      <c r="B12" s="73"/>
      <c r="C12" s="74" t="s">
        <v>34</v>
      </c>
      <c r="D12" s="75" t="s">
        <v>35</v>
      </c>
      <c r="E12" s="76"/>
      <c r="F12" s="77">
        <v>1</v>
      </c>
      <c r="G12" s="78" t="s">
        <v>25</v>
      </c>
      <c r="H12" s="79"/>
      <c r="I12" s="80"/>
    </row>
    <row r="13" spans="1:9" s="30" customFormat="1" ht="12" x14ac:dyDescent="0.2">
      <c r="A13" s="73" t="s">
        <v>36</v>
      </c>
      <c r="B13" s="73"/>
      <c r="C13" s="74" t="s">
        <v>37</v>
      </c>
      <c r="D13" s="75" t="s">
        <v>38</v>
      </c>
      <c r="E13" s="76"/>
      <c r="F13" s="81">
        <v>3</v>
      </c>
      <c r="G13" s="78" t="s">
        <v>25</v>
      </c>
      <c r="H13" s="79"/>
      <c r="I13" s="80"/>
    </row>
    <row r="14" spans="1:9" s="30" customFormat="1" ht="24" x14ac:dyDescent="0.2">
      <c r="A14" s="73" t="s">
        <v>39</v>
      </c>
      <c r="B14" s="73"/>
      <c r="C14" s="82" t="s">
        <v>40</v>
      </c>
      <c r="D14" s="75" t="s">
        <v>41</v>
      </c>
      <c r="E14" s="76" t="s">
        <v>24</v>
      </c>
      <c r="F14" s="81">
        <v>3</v>
      </c>
      <c r="G14" s="78" t="s">
        <v>25</v>
      </c>
      <c r="H14" s="79"/>
      <c r="I14" s="80" t="s">
        <v>26</v>
      </c>
    </row>
    <row r="15" spans="1:9" s="30" customFormat="1" ht="12" x14ac:dyDescent="0.2">
      <c r="A15" s="73" t="s">
        <v>42</v>
      </c>
      <c r="B15" s="73"/>
      <c r="C15" s="74" t="s">
        <v>43</v>
      </c>
      <c r="D15" s="75" t="s">
        <v>44</v>
      </c>
      <c r="E15" s="76"/>
      <c r="F15" s="81">
        <v>1</v>
      </c>
      <c r="G15" s="78" t="s">
        <v>25</v>
      </c>
      <c r="H15" s="79"/>
      <c r="I15" s="80"/>
    </row>
    <row r="16" spans="1:9" s="30" customFormat="1" ht="12" x14ac:dyDescent="0.2">
      <c r="A16" s="73" t="s">
        <v>45</v>
      </c>
      <c r="B16" s="73"/>
      <c r="C16" s="74" t="s">
        <v>46</v>
      </c>
      <c r="D16" s="75" t="s">
        <v>47</v>
      </c>
      <c r="E16" s="76"/>
      <c r="F16" s="81">
        <v>1</v>
      </c>
      <c r="G16" s="78" t="s">
        <v>25</v>
      </c>
      <c r="H16" s="79"/>
      <c r="I16" s="80"/>
    </row>
    <row r="17" spans="1:9" s="30" customFormat="1" ht="12" x14ac:dyDescent="0.2">
      <c r="A17" s="73" t="s">
        <v>48</v>
      </c>
      <c r="B17" s="73"/>
      <c r="C17" s="74" t="s">
        <v>49</v>
      </c>
      <c r="D17" s="75" t="s">
        <v>50</v>
      </c>
      <c r="E17" s="76"/>
      <c r="F17" s="81">
        <v>1</v>
      </c>
      <c r="G17" s="78" t="s">
        <v>25</v>
      </c>
      <c r="H17" s="79"/>
      <c r="I17" s="80"/>
    </row>
    <row r="18" spans="1:9" s="30" customFormat="1" ht="12" x14ac:dyDescent="0.2">
      <c r="A18" s="73" t="s">
        <v>51</v>
      </c>
      <c r="B18" s="73"/>
      <c r="C18" s="74" t="s">
        <v>52</v>
      </c>
      <c r="D18" s="75" t="s">
        <v>53</v>
      </c>
      <c r="E18" s="76"/>
      <c r="F18" s="81">
        <v>6</v>
      </c>
      <c r="G18" s="78" t="s">
        <v>25</v>
      </c>
      <c r="H18" s="79"/>
      <c r="I18" s="80"/>
    </row>
    <row r="19" spans="1:9" s="30" customFormat="1" ht="12" x14ac:dyDescent="0.2">
      <c r="A19" s="73" t="s">
        <v>54</v>
      </c>
      <c r="B19" s="73"/>
      <c r="C19" s="74" t="s">
        <v>55</v>
      </c>
      <c r="D19" s="75" t="s">
        <v>56</v>
      </c>
      <c r="E19" s="76"/>
      <c r="F19" s="81">
        <v>1</v>
      </c>
      <c r="G19" s="78" t="s">
        <v>25</v>
      </c>
      <c r="H19" s="79"/>
      <c r="I19" s="80"/>
    </row>
    <row r="20" spans="1:9" s="30" customFormat="1" ht="12" x14ac:dyDescent="0.2">
      <c r="A20" s="73" t="s">
        <v>57</v>
      </c>
      <c r="B20" s="73"/>
      <c r="C20" s="74" t="s">
        <v>58</v>
      </c>
      <c r="D20" s="75" t="s">
        <v>59</v>
      </c>
      <c r="E20" s="76"/>
      <c r="F20" s="81">
        <v>2</v>
      </c>
      <c r="G20" s="78" t="s">
        <v>25</v>
      </c>
      <c r="H20" s="79"/>
      <c r="I20" s="80"/>
    </row>
    <row r="21" spans="1:9" s="30" customFormat="1" ht="24" x14ac:dyDescent="0.2">
      <c r="A21" s="73" t="s">
        <v>60</v>
      </c>
      <c r="B21" s="73"/>
      <c r="C21" s="74" t="s">
        <v>61</v>
      </c>
      <c r="D21" s="75" t="s">
        <v>62</v>
      </c>
      <c r="E21" s="76"/>
      <c r="F21" s="81">
        <v>1</v>
      </c>
      <c r="G21" s="78" t="s">
        <v>25</v>
      </c>
      <c r="H21" s="79"/>
      <c r="I21" s="80"/>
    </row>
    <row r="22" spans="1:9" s="30" customFormat="1" ht="12" x14ac:dyDescent="0.2">
      <c r="A22" s="73" t="s">
        <v>63</v>
      </c>
      <c r="B22" s="73"/>
      <c r="C22" s="74" t="s">
        <v>64</v>
      </c>
      <c r="D22" s="75" t="s">
        <v>65</v>
      </c>
      <c r="E22" s="76"/>
      <c r="F22" s="81">
        <v>2</v>
      </c>
      <c r="G22" s="78" t="s">
        <v>25</v>
      </c>
      <c r="H22" s="79"/>
      <c r="I22" s="83"/>
    </row>
    <row r="23" spans="1:9" s="30" customFormat="1" ht="12" x14ac:dyDescent="0.2">
      <c r="A23" s="73" t="s">
        <v>66</v>
      </c>
      <c r="B23" s="73"/>
      <c r="C23" s="74" t="s">
        <v>67</v>
      </c>
      <c r="D23" s="75" t="s">
        <v>68</v>
      </c>
      <c r="E23" s="76"/>
      <c r="F23" s="81">
        <v>1</v>
      </c>
      <c r="G23" s="78" t="s">
        <v>25</v>
      </c>
      <c r="H23" s="79"/>
      <c r="I23" s="83"/>
    </row>
    <row r="24" spans="1:9" s="30" customFormat="1" ht="12" x14ac:dyDescent="0.2">
      <c r="A24" s="73" t="s">
        <v>69</v>
      </c>
      <c r="B24" s="73"/>
      <c r="C24" s="74" t="s">
        <v>70</v>
      </c>
      <c r="D24" s="75" t="s">
        <v>71</v>
      </c>
      <c r="E24" s="76"/>
      <c r="F24" s="81">
        <v>2</v>
      </c>
      <c r="G24" s="78" t="s">
        <v>25</v>
      </c>
      <c r="H24" s="79"/>
      <c r="I24" s="83"/>
    </row>
    <row r="25" spans="1:9" s="30" customFormat="1" ht="12" x14ac:dyDescent="0.2">
      <c r="A25" s="73" t="s">
        <v>72</v>
      </c>
      <c r="B25" s="73"/>
      <c r="C25" s="74" t="s">
        <v>73</v>
      </c>
      <c r="D25" s="75" t="s">
        <v>74</v>
      </c>
      <c r="E25" s="76"/>
      <c r="F25" s="81">
        <v>1</v>
      </c>
      <c r="G25" s="78" t="s">
        <v>25</v>
      </c>
      <c r="H25" s="79"/>
      <c r="I25" s="83"/>
    </row>
    <row r="26" spans="1:9" s="30" customFormat="1" ht="12" x14ac:dyDescent="0.2">
      <c r="A26" s="73" t="s">
        <v>75</v>
      </c>
      <c r="B26" s="73"/>
      <c r="C26" s="74" t="s">
        <v>76</v>
      </c>
      <c r="D26" s="75" t="s">
        <v>77</v>
      </c>
      <c r="E26" s="76"/>
      <c r="F26" s="81">
        <v>1</v>
      </c>
      <c r="G26" s="78" t="s">
        <v>25</v>
      </c>
      <c r="H26" s="79"/>
      <c r="I26" s="83"/>
    </row>
    <row r="27" spans="1:9" s="30" customFormat="1" ht="12" x14ac:dyDescent="0.2">
      <c r="A27" s="73" t="s">
        <v>78</v>
      </c>
      <c r="B27" s="73"/>
      <c r="C27" s="74" t="s">
        <v>79</v>
      </c>
      <c r="D27" s="75" t="s">
        <v>80</v>
      </c>
      <c r="E27" s="76"/>
      <c r="F27" s="81">
        <v>1</v>
      </c>
      <c r="G27" s="78" t="s">
        <v>25</v>
      </c>
      <c r="H27" s="79"/>
      <c r="I27" s="83"/>
    </row>
    <row r="28" spans="1:9" s="30" customFormat="1" ht="12" x14ac:dyDescent="0.2">
      <c r="A28" s="73" t="s">
        <v>81</v>
      </c>
      <c r="B28" s="73"/>
      <c r="C28" s="74" t="s">
        <v>82</v>
      </c>
      <c r="D28" s="75" t="s">
        <v>83</v>
      </c>
      <c r="E28" s="76"/>
      <c r="F28" s="81">
        <v>1</v>
      </c>
      <c r="G28" s="78" t="s">
        <v>25</v>
      </c>
      <c r="H28" s="79"/>
      <c r="I28" s="83"/>
    </row>
    <row r="29" spans="1:9" s="30" customFormat="1" ht="12" x14ac:dyDescent="0.2">
      <c r="A29" s="73" t="s">
        <v>84</v>
      </c>
      <c r="B29" s="73"/>
      <c r="C29" s="74" t="s">
        <v>85</v>
      </c>
      <c r="D29" s="75" t="s">
        <v>86</v>
      </c>
      <c r="E29" s="76"/>
      <c r="F29" s="81">
        <v>1</v>
      </c>
      <c r="G29" s="78" t="s">
        <v>25</v>
      </c>
      <c r="H29" s="79"/>
      <c r="I29" s="83"/>
    </row>
    <row r="30" spans="1:9" s="30" customFormat="1" ht="24" x14ac:dyDescent="0.2">
      <c r="A30" s="73" t="s">
        <v>87</v>
      </c>
      <c r="B30" s="73"/>
      <c r="C30" s="74" t="s">
        <v>88</v>
      </c>
      <c r="D30" s="75" t="s">
        <v>89</v>
      </c>
      <c r="E30" s="76"/>
      <c r="F30" s="81">
        <v>2</v>
      </c>
      <c r="G30" s="78" t="s">
        <v>25</v>
      </c>
      <c r="H30" s="79"/>
      <c r="I30" s="83"/>
    </row>
    <row r="31" spans="1:9" s="30" customFormat="1" ht="12" x14ac:dyDescent="0.2">
      <c r="A31" s="73" t="s">
        <v>90</v>
      </c>
      <c r="B31" s="73"/>
      <c r="C31" s="74" t="s">
        <v>91</v>
      </c>
      <c r="D31" s="75" t="s">
        <v>92</v>
      </c>
      <c r="E31" s="76"/>
      <c r="F31" s="81">
        <v>1</v>
      </c>
      <c r="G31" s="78" t="s">
        <v>25</v>
      </c>
      <c r="H31" s="79"/>
      <c r="I31" s="83"/>
    </row>
    <row r="32" spans="1:9" s="30" customFormat="1" ht="24" x14ac:dyDescent="0.2">
      <c r="A32" s="73" t="s">
        <v>93</v>
      </c>
      <c r="B32" s="73"/>
      <c r="C32" s="74" t="s">
        <v>94</v>
      </c>
      <c r="D32" s="75" t="s">
        <v>95</v>
      </c>
      <c r="E32" s="76"/>
      <c r="F32" s="81">
        <v>1</v>
      </c>
      <c r="G32" s="78" t="s">
        <v>25</v>
      </c>
      <c r="H32" s="79"/>
      <c r="I32" s="83"/>
    </row>
    <row r="33" spans="1:9" s="30" customFormat="1" ht="12" x14ac:dyDescent="0.2">
      <c r="A33" s="73" t="s">
        <v>96</v>
      </c>
      <c r="B33" s="73"/>
      <c r="C33" s="74" t="s">
        <v>97</v>
      </c>
      <c r="D33" s="75" t="s">
        <v>98</v>
      </c>
      <c r="E33" s="76"/>
      <c r="F33" s="81">
        <v>2</v>
      </c>
      <c r="G33" s="78" t="s">
        <v>25</v>
      </c>
      <c r="H33" s="79"/>
      <c r="I33" s="83"/>
    </row>
    <row r="34" spans="1:9" s="30" customFormat="1" ht="12" x14ac:dyDescent="0.2">
      <c r="A34" s="73" t="s">
        <v>99</v>
      </c>
      <c r="B34" s="73"/>
      <c r="C34" s="74" t="s">
        <v>100</v>
      </c>
      <c r="D34" s="75" t="s">
        <v>101</v>
      </c>
      <c r="E34" s="76"/>
      <c r="F34" s="81">
        <v>1</v>
      </c>
      <c r="G34" s="78" t="s">
        <v>25</v>
      </c>
      <c r="H34" s="79"/>
      <c r="I34" s="83"/>
    </row>
    <row r="35" spans="1:9" s="30" customFormat="1" ht="24" x14ac:dyDescent="0.2">
      <c r="A35" s="73" t="s">
        <v>102</v>
      </c>
      <c r="B35" s="73"/>
      <c r="C35" s="74" t="s">
        <v>103</v>
      </c>
      <c r="D35" s="75" t="s">
        <v>104</v>
      </c>
      <c r="E35" s="76"/>
      <c r="F35" s="81">
        <v>1</v>
      </c>
      <c r="G35" s="78" t="s">
        <v>25</v>
      </c>
      <c r="H35" s="79"/>
      <c r="I35" s="83"/>
    </row>
    <row r="36" spans="1:9" s="30" customFormat="1" ht="12" x14ac:dyDescent="0.2">
      <c r="A36" s="73" t="s">
        <v>105</v>
      </c>
      <c r="B36" s="73"/>
      <c r="C36" s="74" t="s">
        <v>106</v>
      </c>
      <c r="D36" s="75" t="s">
        <v>107</v>
      </c>
      <c r="E36" s="76"/>
      <c r="F36" s="81">
        <v>1</v>
      </c>
      <c r="G36" s="78" t="s">
        <v>25</v>
      </c>
      <c r="H36" s="79"/>
      <c r="I36" s="83"/>
    </row>
    <row r="37" spans="1:9" s="30" customFormat="1" x14ac:dyDescent="0.2">
      <c r="A37" s="73" t="s">
        <v>108</v>
      </c>
      <c r="B37" s="73"/>
      <c r="C37" s="74" t="s">
        <v>109</v>
      </c>
      <c r="D37" s="75" t="s">
        <v>110</v>
      </c>
      <c r="E37" s="76"/>
      <c r="F37" s="81">
        <v>1</v>
      </c>
      <c r="G37" s="78" t="s">
        <v>25</v>
      </c>
      <c r="H37" s="79"/>
      <c r="I37" s="83"/>
    </row>
    <row r="38" spans="1:9" s="30" customFormat="1" ht="12" x14ac:dyDescent="0.2">
      <c r="A38" s="81" t="s">
        <v>111</v>
      </c>
      <c r="B38" s="81"/>
      <c r="C38" s="84" t="s">
        <v>112</v>
      </c>
      <c r="D38" s="85" t="s">
        <v>113</v>
      </c>
      <c r="E38" s="86"/>
      <c r="F38" s="87">
        <v>1</v>
      </c>
      <c r="G38" s="78" t="s">
        <v>25</v>
      </c>
      <c r="H38" s="78"/>
      <c r="I38" s="88" t="s">
        <v>114</v>
      </c>
    </row>
    <row r="39" spans="1:9" s="30" customFormat="1" ht="12" x14ac:dyDescent="0.2">
      <c r="A39" s="81" t="s">
        <v>115</v>
      </c>
      <c r="B39" s="81"/>
      <c r="C39" s="84" t="s">
        <v>116</v>
      </c>
      <c r="D39" s="85" t="s">
        <v>117</v>
      </c>
      <c r="E39" s="86"/>
      <c r="F39" s="87">
        <v>1</v>
      </c>
      <c r="G39" s="78" t="s">
        <v>25</v>
      </c>
      <c r="H39" s="78"/>
      <c r="I39" s="88"/>
    </row>
    <row r="40" spans="1:9" s="30" customFormat="1" ht="12" x14ac:dyDescent="0.2">
      <c r="A40" s="89" t="s">
        <v>25</v>
      </c>
      <c r="B40" s="89"/>
      <c r="C40" s="89" t="s">
        <v>25</v>
      </c>
      <c r="D40" s="90" t="s">
        <v>25</v>
      </c>
      <c r="E40" s="91" t="s">
        <v>25</v>
      </c>
      <c r="F40" s="90"/>
      <c r="G40" s="92" t="s">
        <v>25</v>
      </c>
      <c r="H40" s="92" t="s">
        <v>25</v>
      </c>
      <c r="I40" s="90"/>
    </row>
    <row r="41" spans="1:9" s="43" customFormat="1" ht="12" x14ac:dyDescent="0.2">
      <c r="A41" s="37" t="s">
        <v>118</v>
      </c>
      <c r="B41" s="37"/>
      <c r="C41" s="38" t="s">
        <v>119</v>
      </c>
      <c r="D41" s="39" t="s">
        <v>120</v>
      </c>
      <c r="E41" s="40"/>
      <c r="F41" s="41">
        <v>3</v>
      </c>
      <c r="G41" s="27"/>
      <c r="H41" s="28"/>
      <c r="I41" s="42"/>
    </row>
    <row r="42" spans="1:9" s="43" customFormat="1" ht="12" x14ac:dyDescent="0.2">
      <c r="A42" s="44" t="s">
        <v>121</v>
      </c>
      <c r="B42" s="44"/>
      <c r="C42" s="45" t="s">
        <v>40</v>
      </c>
      <c r="D42" s="46" t="s">
        <v>41</v>
      </c>
      <c r="E42" s="47" t="s">
        <v>24</v>
      </c>
      <c r="F42" s="44">
        <v>3</v>
      </c>
      <c r="G42" s="31"/>
      <c r="H42" s="48"/>
      <c r="I42" s="32" t="s">
        <v>26</v>
      </c>
    </row>
    <row r="43" spans="1:9" s="30" customFormat="1" ht="12" x14ac:dyDescent="0.2">
      <c r="A43" s="33" t="s">
        <v>25</v>
      </c>
      <c r="B43" s="33"/>
      <c r="C43" s="33" t="s">
        <v>25</v>
      </c>
      <c r="D43" s="34" t="s">
        <v>25</v>
      </c>
      <c r="E43" s="35" t="s">
        <v>25</v>
      </c>
      <c r="F43" s="34" t="s">
        <v>25</v>
      </c>
      <c r="G43" s="36"/>
      <c r="H43" s="36"/>
      <c r="I43" s="34"/>
    </row>
    <row r="44" spans="1:9" s="30" customFormat="1" ht="12" x14ac:dyDescent="0.2">
      <c r="A44" s="22" t="s">
        <v>122</v>
      </c>
      <c r="B44" s="22"/>
      <c r="C44" s="23" t="s">
        <v>123</v>
      </c>
      <c r="D44" s="39" t="s">
        <v>124</v>
      </c>
      <c r="E44" s="40"/>
      <c r="F44" s="41">
        <v>1</v>
      </c>
      <c r="G44" s="27"/>
      <c r="H44" s="28"/>
      <c r="I44" s="42"/>
    </row>
    <row r="45" spans="1:9" s="30" customFormat="1" ht="24" x14ac:dyDescent="0.2">
      <c r="A45" s="93" t="s">
        <v>125</v>
      </c>
      <c r="B45" s="93"/>
      <c r="C45" s="94" t="s">
        <v>126</v>
      </c>
      <c r="D45" s="95" t="s">
        <v>127</v>
      </c>
      <c r="E45" s="96" t="s">
        <v>24</v>
      </c>
      <c r="F45" s="97" t="s">
        <v>128</v>
      </c>
      <c r="G45" s="98"/>
      <c r="H45" s="98"/>
      <c r="I45" s="99" t="s">
        <v>26</v>
      </c>
    </row>
    <row r="46" spans="1:9" s="30" customFormat="1" ht="12" x14ac:dyDescent="0.2">
      <c r="A46" s="73" t="s">
        <v>129</v>
      </c>
      <c r="B46" s="73"/>
      <c r="C46" s="74" t="s">
        <v>130</v>
      </c>
      <c r="D46" s="85" t="s">
        <v>131</v>
      </c>
      <c r="E46" s="86"/>
      <c r="F46" s="81" t="s">
        <v>128</v>
      </c>
      <c r="G46" s="78"/>
      <c r="H46" s="78"/>
      <c r="I46" s="100"/>
    </row>
    <row r="47" spans="1:9" s="30" customFormat="1" ht="12" x14ac:dyDescent="0.2">
      <c r="A47" s="101" t="s">
        <v>25</v>
      </c>
      <c r="B47" s="101"/>
      <c r="C47" s="101" t="s">
        <v>25</v>
      </c>
      <c r="D47" s="90" t="s">
        <v>25</v>
      </c>
      <c r="E47" s="91" t="s">
        <v>25</v>
      </c>
      <c r="F47" s="90" t="s">
        <v>25</v>
      </c>
      <c r="G47" s="92"/>
      <c r="H47" s="92"/>
      <c r="I47" s="90"/>
    </row>
    <row r="48" spans="1:9" s="30" customFormat="1" ht="12" x14ac:dyDescent="0.2">
      <c r="A48" s="22" t="s">
        <v>132</v>
      </c>
      <c r="B48" s="22"/>
      <c r="C48" s="23" t="s">
        <v>133</v>
      </c>
      <c r="D48" s="39" t="s">
        <v>134</v>
      </c>
      <c r="E48" s="40"/>
      <c r="F48" s="41" t="s">
        <v>128</v>
      </c>
      <c r="G48" s="27"/>
      <c r="H48" s="28"/>
      <c r="I48" s="42"/>
    </row>
    <row r="49" spans="1:10" s="30" customFormat="1" ht="24" x14ac:dyDescent="0.2">
      <c r="A49" s="102" t="s">
        <v>135</v>
      </c>
      <c r="B49" s="102"/>
      <c r="C49" s="103" t="s">
        <v>136</v>
      </c>
      <c r="D49" s="104" t="s">
        <v>137</v>
      </c>
      <c r="E49" s="96" t="s">
        <v>24</v>
      </c>
      <c r="F49" s="97" t="s">
        <v>128</v>
      </c>
      <c r="G49" s="98"/>
      <c r="H49" s="98"/>
      <c r="I49" s="99" t="s">
        <v>26</v>
      </c>
    </row>
    <row r="50" spans="1:10" s="30" customFormat="1" ht="12" x14ac:dyDescent="0.2">
      <c r="A50" s="105" t="s">
        <v>138</v>
      </c>
      <c r="B50" s="105"/>
      <c r="C50" s="106" t="s">
        <v>139</v>
      </c>
      <c r="D50" s="107" t="s">
        <v>140</v>
      </c>
      <c r="E50" s="108"/>
      <c r="F50" s="109" t="s">
        <v>128</v>
      </c>
      <c r="G50" s="110"/>
      <c r="H50" s="110"/>
      <c r="I50" s="90"/>
    </row>
    <row r="51" spans="1:10" s="54" customFormat="1" ht="18.75" customHeight="1" x14ac:dyDescent="0.2">
      <c r="A51" s="49" t="s">
        <v>25</v>
      </c>
      <c r="B51" s="49" t="s">
        <v>25</v>
      </c>
      <c r="C51" s="50" t="s">
        <v>141</v>
      </c>
      <c r="D51" s="51" t="s">
        <v>25</v>
      </c>
      <c r="E51" s="50" t="s">
        <v>25</v>
      </c>
      <c r="F51" s="50" t="s">
        <v>25</v>
      </c>
      <c r="G51" s="52"/>
      <c r="H51" s="52">
        <f>SUM(H3:H50)</f>
        <v>0</v>
      </c>
      <c r="I51" s="53"/>
    </row>
    <row r="52" spans="1:10" s="54" customFormat="1" x14ac:dyDescent="0.2">
      <c r="A52" s="55"/>
      <c r="B52" s="55"/>
      <c r="C52" s="50" t="s">
        <v>142</v>
      </c>
      <c r="D52" s="51"/>
      <c r="E52" s="55"/>
      <c r="F52" s="55"/>
      <c r="G52" s="52"/>
      <c r="H52" s="52">
        <f>H51*10%</f>
        <v>0</v>
      </c>
      <c r="I52" s="53"/>
    </row>
    <row r="53" spans="1:10" s="54" customFormat="1" x14ac:dyDescent="0.2">
      <c r="A53" s="53"/>
      <c r="B53" s="53"/>
      <c r="C53" s="53" t="s">
        <v>143</v>
      </c>
      <c r="D53" s="53"/>
      <c r="E53" s="53"/>
      <c r="F53" s="53"/>
      <c r="G53" s="56"/>
      <c r="H53" s="56">
        <f>H51+H52</f>
        <v>0</v>
      </c>
      <c r="I53" s="53"/>
    </row>
    <row r="55" spans="1:10" s="61" customFormat="1" x14ac:dyDescent="0.25">
      <c r="A55" s="57"/>
      <c r="B55" s="58"/>
      <c r="C55" s="58"/>
      <c r="D55" s="59"/>
      <c r="E55" s="59"/>
      <c r="F55" s="59"/>
      <c r="G55" s="59"/>
      <c r="H55" s="60"/>
      <c r="I55" s="60"/>
      <c r="J55" s="60"/>
    </row>
    <row r="56" spans="1:10" s="61" customFormat="1" x14ac:dyDescent="0.25">
      <c r="A56" s="57"/>
      <c r="B56" s="62"/>
      <c r="C56" s="63"/>
      <c r="D56" s="59"/>
      <c r="E56" s="59"/>
      <c r="F56" s="59"/>
      <c r="G56" s="59"/>
      <c r="H56" s="60"/>
      <c r="I56" s="60"/>
      <c r="J56" s="60"/>
    </row>
    <row r="57" spans="1:10" s="61" customFormat="1" x14ac:dyDescent="0.25">
      <c r="A57" s="57"/>
      <c r="B57" s="62"/>
      <c r="C57" s="63"/>
      <c r="D57" s="59"/>
      <c r="E57" s="59"/>
      <c r="F57" s="59"/>
      <c r="G57" s="59"/>
      <c r="H57" s="60"/>
      <c r="I57" s="60"/>
      <c r="J57" s="60"/>
    </row>
    <row r="58" spans="1:10" s="61" customFormat="1" x14ac:dyDescent="0.25">
      <c r="A58" s="57"/>
      <c r="B58" s="58"/>
      <c r="C58" s="58"/>
      <c r="D58" s="59"/>
      <c r="E58" s="59"/>
      <c r="F58" s="59"/>
      <c r="G58" s="59"/>
      <c r="H58" s="60"/>
      <c r="I58" s="60"/>
      <c r="J58" s="60"/>
    </row>
  </sheetData>
  <mergeCells count="3">
    <mergeCell ref="B58:C58"/>
    <mergeCell ref="I38:I39"/>
    <mergeCell ref="B55:C55"/>
  </mergeCells>
  <pageMargins left="0.25" right="0.25" top="0.5" bottom="0.2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50FB-7906-40CC-988D-8E05C5BF4D59}">
  <dimension ref="I7:S26"/>
  <sheetViews>
    <sheetView topLeftCell="A4" workbookViewId="0">
      <selection activeCell="K33" sqref="K33"/>
    </sheetView>
  </sheetViews>
  <sheetFormatPr defaultRowHeight="15" x14ac:dyDescent="0.25"/>
  <cols>
    <col min="9" max="9" width="21.28515625" customWidth="1"/>
    <col min="18" max="18" width="20.42578125" customWidth="1"/>
  </cols>
  <sheetData>
    <row r="7" spans="9:18" x14ac:dyDescent="0.25">
      <c r="I7" s="3">
        <f>1*10^9</f>
        <v>1000000000</v>
      </c>
      <c r="R7" s="3">
        <v>405877585</v>
      </c>
    </row>
    <row r="8" spans="9:18" x14ac:dyDescent="0.25">
      <c r="I8" s="3">
        <f>+I7*0.25</f>
        <v>250000000</v>
      </c>
      <c r="R8" s="3">
        <v>531410731</v>
      </c>
    </row>
    <row r="9" spans="9:18" x14ac:dyDescent="0.25">
      <c r="I9" s="4">
        <f>+I8*25000</f>
        <v>6250000000000</v>
      </c>
      <c r="R9" s="3">
        <f>+R7+R8</f>
        <v>937288316</v>
      </c>
    </row>
    <row r="19" spans="12:19" x14ac:dyDescent="0.25">
      <c r="R19">
        <f>70*12</f>
        <v>840</v>
      </c>
      <c r="S19">
        <f>9*50</f>
        <v>450</v>
      </c>
    </row>
    <row r="22" spans="12:19" x14ac:dyDescent="0.25">
      <c r="S22">
        <f>280*6%</f>
        <v>16.8</v>
      </c>
    </row>
    <row r="23" spans="12:19" x14ac:dyDescent="0.25">
      <c r="M23">
        <v>800</v>
      </c>
      <c r="N23">
        <v>50</v>
      </c>
      <c r="O23" s="2">
        <f>+N23/M23</f>
        <v>6.25E-2</v>
      </c>
      <c r="P23" s="1">
        <v>1</v>
      </c>
      <c r="Q23">
        <f>+P23/O23</f>
        <v>16</v>
      </c>
    </row>
    <row r="24" spans="12:19" x14ac:dyDescent="0.25">
      <c r="M24">
        <v>350</v>
      </c>
      <c r="N24">
        <v>20</v>
      </c>
      <c r="O24" s="2">
        <f>+N24/M24</f>
        <v>5.7142857142857141E-2</v>
      </c>
      <c r="P24" s="1">
        <v>1</v>
      </c>
      <c r="Q24">
        <f>+P24/O24</f>
        <v>17.5</v>
      </c>
    </row>
    <row r="26" spans="12:19" x14ac:dyDescent="0.25">
      <c r="L26">
        <v>150</v>
      </c>
      <c r="M26">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TBVP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Nguyen Thi Giang</dc:creator>
  <cp:lastModifiedBy>Thuy Nguyen Thi Giang</cp:lastModifiedBy>
  <dcterms:created xsi:type="dcterms:W3CDTF">2024-10-02T07:19:00Z</dcterms:created>
  <dcterms:modified xsi:type="dcterms:W3CDTF">2024-10-08T02:24:02Z</dcterms:modified>
</cp:coreProperties>
</file>