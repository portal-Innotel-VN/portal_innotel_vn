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8. 25.09.09_BCKS_ DA Bai Dai_HSMT CCLD bo sung Wifi everywhere\"/>
    </mc:Choice>
  </mc:AlternateContent>
  <xr:revisionPtr revIDLastSave="0" documentId="13_ncr:1_{BC1E8C34-6127-4B80-A66F-353F6AA1A896}" xr6:coauthVersionLast="47" xr6:coauthVersionMax="47" xr10:uidLastSave="{00000000-0000-0000-0000-000000000000}"/>
  <bookViews>
    <workbookView xWindow="-120" yWindow="-120" windowWidth="20730" windowHeight="11160" activeTab="2" xr2:uid="{C2A26E8B-4AA2-46A4-A37C-FBFE733D6D38}"/>
  </bookViews>
  <sheets>
    <sheet name="Thi công lắp đặt" sheetId="5" r:id="rId1"/>
    <sheet name="GD 1" sheetId="8" r:id="rId2"/>
    <sheet name="GD 2" sheetId="9" r:id="rId3"/>
  </sheets>
  <definedNames>
    <definedName name="_xlnm.Print_Area" localSheetId="0">'Thi công lắp đặt'!$A$1:$G$25</definedName>
    <definedName name="_xlnm.Print_Titles" localSheetId="1">'GD 1'!$2:$3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12" i="5"/>
  <c r="F13" i="5"/>
  <c r="F14" i="5"/>
  <c r="F15" i="5"/>
  <c r="F4" i="5"/>
  <c r="E12" i="9"/>
  <c r="C6" i="9"/>
  <c r="C7" i="9"/>
  <c r="C8" i="9"/>
  <c r="E8" i="9" s="1"/>
  <c r="C9" i="9"/>
  <c r="C5" i="9"/>
  <c r="E5" i="9" s="1"/>
  <c r="E13" i="9"/>
  <c r="E11" i="9"/>
  <c r="E7" i="9"/>
  <c r="E21" i="8"/>
  <c r="E20" i="8"/>
  <c r="E19" i="8"/>
  <c r="E18" i="8"/>
  <c r="E17" i="8"/>
  <c r="E15" i="8"/>
  <c r="E14" i="8"/>
  <c r="E13" i="8"/>
  <c r="E12" i="8"/>
  <c r="E11" i="8"/>
  <c r="E9" i="8"/>
  <c r="E8" i="8"/>
  <c r="E7" i="8"/>
  <c r="E6" i="8"/>
  <c r="E5" i="8"/>
  <c r="D22" i="8" s="1" a="1"/>
  <c r="D22" i="8" s="1"/>
  <c r="D23" i="8" s="1"/>
  <c r="D24" i="8" s="1"/>
  <c r="E9" i="9" l="1"/>
  <c r="E6" i="9"/>
  <c r="D14" i="9" l="1"/>
  <c r="D15" i="9" l="1"/>
  <c r="D16" i="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<sst xmlns="http://schemas.openxmlformats.org/spreadsheetml/2006/main" count="100" uniqueCount="57">
  <si>
    <t>Product</t>
  </si>
  <si>
    <t>Qty</t>
  </si>
  <si>
    <t>Price</t>
  </si>
  <si>
    <t>Amount</t>
  </si>
  <si>
    <t>Remark</t>
  </si>
  <si>
    <r>
      <t xml:space="preserve">Đề xuất / </t>
    </r>
    <r>
      <rPr>
        <b/>
        <i/>
        <sz val="12"/>
        <color theme="1"/>
        <rFont val="Calibri"/>
        <family val="2"/>
        <scheme val="minor"/>
      </rPr>
      <t>Proposal</t>
    </r>
  </si>
  <si>
    <t>Specification</t>
  </si>
  <si>
    <r>
      <t xml:space="preserve">Tổng thành tiền 
</t>
    </r>
    <r>
      <rPr>
        <b/>
        <i/>
        <sz val="12"/>
        <color theme="1"/>
        <rFont val="Calibri"/>
        <family val="2"/>
        <scheme val="minor"/>
      </rPr>
      <t>Total amount</t>
    </r>
  </si>
  <si>
    <t>Tổng thành tiền đã bao gồm thuế
Total amount include VAT</t>
  </si>
  <si>
    <r>
      <t xml:space="preserve">Điều khoản thanh toán
</t>
    </r>
    <r>
      <rPr>
        <b/>
        <i/>
        <sz val="12"/>
        <color theme="1"/>
        <rFont val="Calibri"/>
        <family val="2"/>
        <scheme val="minor"/>
      </rPr>
      <t>Payment term</t>
    </r>
  </si>
  <si>
    <r>
      <t xml:space="preserve">Điều khoản giao hàng
</t>
    </r>
    <r>
      <rPr>
        <b/>
        <i/>
        <sz val="12"/>
        <color theme="1"/>
        <rFont val="Calibri"/>
        <family val="2"/>
        <scheme val="minor"/>
      </rPr>
      <t>Delivery term</t>
    </r>
  </si>
  <si>
    <r>
      <t xml:space="preserve">Điều khoản bảo hành
</t>
    </r>
    <r>
      <rPr>
        <b/>
        <i/>
        <sz val="12"/>
        <color theme="1"/>
        <rFont val="Calibri"/>
        <family val="2"/>
        <scheme val="minor"/>
      </rPr>
      <t>Waranty term</t>
    </r>
  </si>
  <si>
    <t>Unit</t>
  </si>
  <si>
    <t>Cáp quang luồn ống 4 sợi, đơn mode, có lớp kẽm, chống gặm nhấm, côn trùng, 7.9mm</t>
  </si>
  <si>
    <t>ODF 4FO FTTH (đầy đủ PK, đã bao gồm dây nối SC/UPC) Ko Khay</t>
  </si>
  <si>
    <t>APTEK Media Converter SFP Slot Gigabit PoE, gắn SFP Single, Output: DC 52V, Max. 30 Watts (Cấp nguồn PoE)</t>
  </si>
  <si>
    <t>Module quang YTPD-G39-20LD1.25G SFP SM
1310nm FP 20KM LC with DDM</t>
  </si>
  <si>
    <t>Dây nhảy quang SC/UPC-LC/UPC, SM, DX, 2.0mm, 1.5Mt</t>
  </si>
  <si>
    <t>Dây cáp điện dẹp 2x1.5mm Lucky star</t>
  </si>
  <si>
    <t>Cáp mạng U/UTP CAT6, 23AWG, lõi đồng đặc, 4 đôi, 305m, vỏ PVC, màu xám (Premium-Line)</t>
  </si>
  <si>
    <t>Trụ WIFI cao 4,5M mạ kẽm nhúng nóng, phi D90, bích đế vuông 250*250, tâm bulon M16*200*200mm + 4 gân tăng cường
Khung móng: tâm bulong M16*200*200*500;</t>
  </si>
  <si>
    <t>Ống xoắn nhựa HDPE phi 32/25 chuyên dụng ngoài trời</t>
  </si>
  <si>
    <t>Tủ nhựa ngoài trời 20x30x16cm</t>
  </si>
  <si>
    <t>Vỏ tủ điện composite 760 x 500 x 340mm</t>
  </si>
  <si>
    <t>Dịch vụ thi công lắp đặt trọn gói hệ thống WiFi Anywhere bao gồm vật tư phụ:
- Thi công cáp quang, luồn ống, đào đất chôn cáp: 4.120 mét
- Cắt đường bê tông: tổng 57,5m
- Lát gạch, hoàn trả mặt bằng
- Hàn đấu nối cáp quang: 288 mối hàn
- Đổ bê tông, trồng 19 trụ kẽm Wifi
- Lắp đặt 36 thiết bị Wifi
- Lắp đặt tủ thiết bị 23 tủ nhỏ và 1 tủ lớn
- Vật tư phụ kèm theo: xi măng, cát đá, ống ruột gà, đầu nối RJ45, băng keo, vít, hộp nhựa, phích cắm điện, đầu bảo vệ cáp, nhãn label,...</t>
  </si>
  <si>
    <t>M</t>
  </si>
  <si>
    <t>Box</t>
  </si>
  <si>
    <t>Pcs</t>
  </si>
  <si>
    <t>Pkg</t>
  </si>
  <si>
    <t>I</t>
  </si>
  <si>
    <t>AP ngoài trời -AP-565</t>
  </si>
  <si>
    <t>HPE Aruba Networking - AP-565  (RW) 802.11ax Dual 2x2 Radio Integrated Omni Antennas Outdoor AP</t>
  </si>
  <si>
    <t>HPE Aruba Networking AP-270-MNT-H1 Outdoor AP Hanging One-Way Tilt Pole/Wall Mounting Bracket</t>
  </si>
  <si>
    <t>HPE Aruba Networking LIC-AP Controller per AP Capacity License E-LTU</t>
  </si>
  <si>
    <t>Aruba 1Y FC NBD Exch AP-565 Otdr SVC  [for R4W43A]</t>
  </si>
  <si>
    <t>Aruba 1Y FC SW Cntrl per AP Cpty E-L SVC  [for JW472AAE]</t>
  </si>
  <si>
    <t>II</t>
  </si>
  <si>
    <t>AP trong phòng - AP-505</t>
  </si>
  <si>
    <t>HPE Aruba Networking AP-505 (RW) Dual Radio 2x2 802.11ax Internal Antennas Unified Campus AP</t>
  </si>
  <si>
    <t>Aruba 1Y FC NBD Exch AP-505 SVC  [for R2H28A]</t>
  </si>
  <si>
    <t>HPE Aruba Networking AP-MNT-D Campus AP mount bracket kit (individual) type D: solid surface</t>
  </si>
  <si>
    <t>III</t>
  </si>
  <si>
    <t>AP trong phòng họp AP-535</t>
  </si>
  <si>
    <t>HPE Aruba Networking AP-535 (RW) Dual Radio 4x4 802.11ax Internal Antennas Unified Campus AP</t>
  </si>
  <si>
    <t>Aruba 1Y FC NBD Exch AP 535 SVC  [for JZ336A]</t>
  </si>
  <si>
    <t>IV</t>
  </si>
  <si>
    <t>POE SWITCH - CONDOTEL</t>
  </si>
  <si>
    <t>HPE Aruba Networking CX 6200F 48G Class4 PoE 4SFP+ 740W Switch</t>
  </si>
  <si>
    <t xml:space="preserve">  INCLUDED: Power Cord - Europe localization</t>
  </si>
  <si>
    <t>Aruba 1Y FC NBD Exch 6200F 48G CL4 4SFP+ 740W SVC  [for JL728B]</t>
  </si>
  <si>
    <r>
      <t xml:space="preserve">Tổng thành tiền chưa bao gồm VAT
</t>
    </r>
    <r>
      <rPr>
        <b/>
        <i/>
        <sz val="12"/>
        <color theme="1"/>
        <rFont val="Calibri"/>
        <family val="2"/>
        <scheme val="minor"/>
      </rPr>
      <t>Total amount exclude VAT (VND)</t>
    </r>
  </si>
  <si>
    <t>VAT</t>
  </si>
  <si>
    <t>Tổng thành tiền bao gồm VAT
Total amount INclude VAT (VND)</t>
  </si>
  <si>
    <t>8%thuế giá trị gia tăng
8% VAT</t>
  </si>
  <si>
    <t>Công ty:
Liên hệ</t>
  </si>
  <si>
    <t>Đơn giá</t>
  </si>
  <si>
    <t>Công Ty:
Liên 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</si>
</sst>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5" fontId="2" fillId="0" borderId="2" xfId="1" applyNumberFormat="1" applyFont="1" applyFill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quotePrefix="1" applyFont="1" applyBorder="1" applyAlignment="1">
      <alignment vertical="top" wrapText="1"/>
    </xf>
    <xf numFmtId="0" fontId="4" fillId="0" borderId="3" xfId="0" quotePrefix="1" applyFont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165" fontId="2" fillId="0" borderId="0" xfId="0" applyNumberFormat="1" applyFont="1" applyAlignment="1">
      <alignment vertical="center"/>
    </xf>
    <xf numFmtId="0" fontId="3" fillId="0" borderId="5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5" fontId="3" fillId="0" borderId="3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vertical="top"/>
    </xf>
    <xf numFmtId="3" fontId="2" fillId="0" borderId="4" xfId="0" applyNumberFormat="1" applyFont="1" applyBorder="1" applyAlignment="1">
      <alignment horizontal="left" vertical="center" wrapText="1"/>
    </xf>
    <xf numFmtId="3" fontId="2" fillId="0" borderId="9" xfId="0" applyNumberFormat="1" applyFont="1" applyBorder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2" fillId="0" borderId="2" xfId="1" applyNumberFormat="1" applyFont="1" applyFill="1" applyBorder="1" applyAlignment="1">
      <alignment vertical="top"/>
    </xf>
    <xf numFmtId="3" fontId="2" fillId="0" borderId="4" xfId="0" applyNumberFormat="1" applyFont="1" applyBorder="1" applyAlignment="1">
      <alignment horizontal="right" vertical="center" wrapText="1"/>
    </xf>
    <xf numFmtId="3" fontId="2" fillId="0" borderId="9" xfId="0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165" fontId="2" fillId="0" borderId="3" xfId="1" applyNumberFormat="1" applyFont="1" applyFill="1" applyBorder="1" applyAlignment="1">
      <alignment vertical="top"/>
    </xf>
    <xf numFmtId="165" fontId="2" fillId="0" borderId="3" xfId="1" applyNumberFormat="1" applyFont="1" applyFill="1" applyBorder="1" applyAlignment="1">
      <alignment vertical="center" wrapText="1"/>
    </xf>
    <xf numFmtId="165" fontId="3" fillId="0" borderId="4" xfId="1" applyNumberFormat="1" applyFont="1" applyFill="1" applyBorder="1" applyAlignment="1">
      <alignment vertical="center" wrapText="1"/>
    </xf>
    <xf numFmtId="165" fontId="2" fillId="0" borderId="6" xfId="1" applyNumberFormat="1" applyFont="1" applyFill="1" applyBorder="1" applyAlignment="1">
      <alignment horizontal="left" vertical="center" wrapText="1"/>
    </xf>
    <xf numFmtId="165" fontId="2" fillId="0" borderId="3" xfId="1" applyNumberFormat="1" applyFont="1" applyFill="1" applyBorder="1" applyAlignment="1">
      <alignment horizontal="left" vertical="center" wrapText="1"/>
    </xf>
    <xf numFmtId="165" fontId="2" fillId="0" borderId="6" xfId="1" applyNumberFormat="1" applyFont="1" applyFill="1" applyBorder="1" applyAlignment="1">
      <alignment horizontal="left" vertical="top" wrapText="1"/>
    </xf>
    <xf numFmtId="165" fontId="2" fillId="0" borderId="3" xfId="1" applyNumberFormat="1" applyFont="1" applyFill="1" applyBorder="1" applyAlignment="1">
      <alignment horizontal="left" vertical="top" wrapText="1"/>
    </xf>
    <xf numFmtId="165" fontId="2" fillId="0" borderId="3" xfId="1" applyNumberFormat="1" applyFont="1" applyFill="1" applyBorder="1" applyAlignment="1">
      <alignment horizontal="left" vertical="top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5" fontId="3" fillId="0" borderId="4" xfId="1" applyNumberFormat="1" applyFont="1" applyFill="1" applyBorder="1" applyAlignment="1">
      <alignment horizontal="left" vertical="center" wrapText="1"/>
    </xf>
    <xf numFmtId="165" fontId="3" fillId="0" borderId="5" xfId="1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65" fontId="2" fillId="0" borderId="2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left" vertical="center" wrapText="1"/>
    </xf>
    <xf numFmtId="165" fontId="2" fillId="0" borderId="2" xfId="1" applyNumberFormat="1" applyFont="1" applyFill="1" applyBorder="1" applyAlignment="1">
      <alignment horizontal="left" vertical="top" wrapText="1"/>
    </xf>
    <xf numFmtId="165" fontId="2" fillId="0" borderId="6" xfId="1" applyNumberFormat="1" applyFont="1" applyFill="1" applyBorder="1" applyAlignment="1">
      <alignment horizontal="left" vertical="center"/>
    </xf>
    <xf numFmtId="165" fontId="2" fillId="0" borderId="9" xfId="1" applyNumberFormat="1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30480</xdr:rowOff>
    </xdr:from>
    <xdr:to>
      <xdr:col>0</xdr:col>
      <xdr:colOff>2061754</xdr:colOff>
      <xdr:row>0</xdr:row>
      <xdr:rowOff>685499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BCB9F-5955-46E5-967C-D7AECEA64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1" y="30480"/>
          <a:ext cx="2057399" cy="655019"/>
        </a:xfrm>
        <a:prstGeom prst="rect">
          <a:avLst/>
        </a:prstGeom>
      </xdr:spPr>
    </xdr:pic>
    <xdr:clientData/>
  </xdr:twoCellAnchor>
  <xdr:twoCellAnchor>
    <xdr:from>
      <xdr:col>1</xdr:col>
      <xdr:colOff>408216</xdr:colOff>
      <xdr:row>0</xdr:row>
      <xdr:rowOff>76200</xdr:rowOff>
    </xdr:from>
    <xdr:to>
      <xdr:col>4</xdr:col>
      <xdr:colOff>1006929</xdr:colOff>
      <xdr:row>0</xdr:row>
      <xdr:rowOff>925286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C9B731-6457-4E2C-82D4-A3C53D73CDF3}"/>
            </a:ext>
          </a:extLst>
        </xdr:cNvPr>
        <xdr:cNvSpPr txBox="1"/>
      </xdr:nvSpPr>
      <xdr:spPr>
        <a:xfrm>
          <a:off x="3483430" y="76200"/>
          <a:ext cx="4653642" cy="8490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BẢNG KHỐI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LƯỢNG</a:t>
          </a: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BILL OF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QUANTITY</a:t>
          </a:r>
          <a:endParaRPr lang="en-US" sz="1600">
            <a:effectLst/>
          </a:endParaRPr>
        </a:p>
        <a:p>
          <a:r>
            <a:rPr lang="en-US" sz="1200"/>
            <a:t>Package:</a:t>
          </a:r>
          <a:r>
            <a:rPr lang="en-US" sz="1200" baseline="0"/>
            <a:t> Wifi everywhere project for Operation</a:t>
          </a:r>
        </a:p>
        <a:p>
          <a:r>
            <a:rPr lang="en-US" sz="1200" baseline="0"/>
            <a:t>Date:  25 July , 2025</a:t>
          </a:r>
          <a:r>
            <a:rPr lang="en-US" sz="1200"/>
            <a:t> </a:t>
          </a:r>
        </a:p>
      </xdr:txBody>
    </xdr:sp>
    <xdr:clientData/>
  </xdr:twoCellAnchor>
  <xdr:twoCellAnchor>
    <xdr:from>
      <xdr:col>6</xdr:col>
      <xdr:colOff>-1</xdr:colOff>
      <xdr:row>0</xdr:row>
      <xdr:rowOff>58780</xdr:rowOff>
    </xdr:from>
    <xdr:to>
      <xdr:col>6</xdr:col>
      <xdr:colOff>2843892</xdr:colOff>
      <xdr:row>0</xdr:row>
      <xdr:rowOff>1455964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DC20F2-970F-48DD-9F82-425A1726FC15}"/>
            </a:ext>
          </a:extLst>
        </xdr:cNvPr>
        <xdr:cNvSpPr txBox="1"/>
      </xdr:nvSpPr>
      <xdr:spPr>
        <a:xfrm>
          <a:off x="9593035" y="58780"/>
          <a:ext cx="2843893" cy="13971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Khu Nghỉ Dưỡng MPCR</a:t>
          </a:r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-</a:t>
          </a:r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Chi nhánh Công Ty Cổ Phần Đầu Tư Du lịch EUROWINDOW NHA TRANG</a:t>
          </a:r>
          <a:endParaRPr lang="en-US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Add: Lô D12a, D12b và D12c, Khu 4 thuộc Khu du lịch Bắc bán đảo Cam Ranh, Xã Cam Hải Đông, Huyện Cam Lâm, Tỉnh Khánh Hòa, Việt Nam.</a:t>
          </a:r>
        </a:p>
      </xdr:txBody>
    </xdr:sp>
    <xdr:clientData/>
  </xdr:twoCellAnchor>
  <xdr:twoCellAnchor>
    <xdr:from>
      <xdr:col>0</xdr:col>
      <xdr:colOff>76200</xdr:colOff>
      <xdr:row>23</xdr:row>
      <xdr:rowOff>555172</xdr:rowOff>
    </xdr:from>
    <xdr:to>
      <xdr:col>6</xdr:col>
      <xdr:colOff>1970314</xdr:colOff>
      <xdr:row>23</xdr:row>
      <xdr:rowOff>566058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8BE3BBA-0932-5E2A-EABD-C009FC00877B}"/>
            </a:ext>
          </a:extLst>
        </xdr:cNvPr>
        <xdr:cNvCxnSpPr/>
      </xdr:nvCxnSpPr>
      <xdr:spPr>
        <a:xfrm>
          <a:off x="76200" y="9416143"/>
          <a:ext cx="13813971" cy="1088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125731</xdr:colOff>
      <xdr:row>0</xdr:row>
      <xdr:rowOff>112123</xdr:rowOff>
    </xdr:from>
    <xdr:to>
      <xdr:col>1</xdr:col>
      <xdr:colOff>669925</xdr:colOff>
      <xdr:row>0</xdr:row>
      <xdr:rowOff>767142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F0D57-25C7-448A-BD1A-50ED7495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1" y="112123"/>
          <a:ext cx="2000158" cy="655019"/>
        </a:xfrm>
        <a:prstGeom prst="rect">
          <a:avLst/>
        </a:prstGeom>
      </xdr:spPr>
    </xdr:pic>
    <xdr:clientData/>
  </xdr:twoCellAnchor>
  <xdr:twoCellAnchor>
    <xdr:from>
      <xdr:col>1</xdr:col>
      <xdr:colOff>1661160</xdr:colOff>
      <xdr:row>0</xdr:row>
      <xdr:rowOff>76200</xdr:rowOff>
    </xdr:from>
    <xdr:to>
      <xdr:col>5</xdr:col>
      <xdr:colOff>0</xdr:colOff>
      <xdr:row>0</xdr:row>
      <xdr:rowOff>805543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17E9C9-CA47-46BD-AD07-E8449E8A4D4E}"/>
            </a:ext>
          </a:extLst>
        </xdr:cNvPr>
        <xdr:cNvSpPr txBox="1"/>
      </xdr:nvSpPr>
      <xdr:spPr>
        <a:xfrm>
          <a:off x="3118485" y="76200"/>
          <a:ext cx="6663690" cy="7293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BẢNG KHỐI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LƯỢNG</a:t>
          </a: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BILL OF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QUANTITY</a:t>
          </a:r>
          <a:endParaRPr lang="en-US" sz="1600" b="1"/>
        </a:p>
        <a:p>
          <a:r>
            <a:rPr lang="en-US" sz="1200"/>
            <a:t>Package:</a:t>
          </a:r>
          <a:r>
            <a:rPr lang="en-US" sz="1200" baseline="0"/>
            <a:t> Wifi Everywhere Project equipment Phase 1</a:t>
          </a:r>
        </a:p>
        <a:p>
          <a:r>
            <a:rPr lang="en-US" sz="1200" baseline="0"/>
            <a:t>Date: 25 July, 2025</a:t>
          </a:r>
          <a:endParaRPr lang="en-US" sz="1200"/>
        </a:p>
      </xdr:txBody>
    </xdr:sp>
    <xdr:clientData/>
  </xdr:twoCellAnchor>
  <xdr:twoCellAnchor>
    <xdr:from>
      <xdr:col>5</xdr:col>
      <xdr:colOff>0</xdr:colOff>
      <xdr:row>0</xdr:row>
      <xdr:rowOff>58780</xdr:rowOff>
    </xdr:from>
    <xdr:to>
      <xdr:col>5</xdr:col>
      <xdr:colOff>4191000</xdr:colOff>
      <xdr:row>0</xdr:row>
      <xdr:rowOff>1132114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9E7065-CDE8-4E96-86AE-044FCDED1C0B}"/>
            </a:ext>
          </a:extLst>
        </xdr:cNvPr>
        <xdr:cNvSpPr txBox="1"/>
      </xdr:nvSpPr>
      <xdr:spPr>
        <a:xfrm>
          <a:off x="8300357" y="58780"/>
          <a:ext cx="4191000" cy="10733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Khu Nghỉ Dưỡng MPCR</a:t>
          </a:r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-</a:t>
          </a:r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Chi nhánh Công Ty Cổ Phần Đầu Tư Du lịch EUROWINDOW NHA TRANG</a:t>
          </a:r>
          <a:endParaRPr lang="en-US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Add: Lô D12a, D12b và D12c, Khu 4 thuộc Khu du lịch Bắc bán đảo Cam Ranh, Xã Cam Hải Đông, Huyện Cam Lâm, Tỉnh Khánh Hòa, Việt Nam.</a:t>
          </a:r>
        </a:p>
      </xdr:txBody>
    </xdr:sp>
    <xdr:clientData/>
  </xdr:twoCellAnchor>
  <xdr:twoCellAnchor>
    <xdr:from>
      <xdr:col>0</xdr:col>
      <xdr:colOff>76200</xdr:colOff>
      <xdr:row>29</xdr:row>
      <xdr:rowOff>555172</xdr:rowOff>
    </xdr:from>
    <xdr:to>
      <xdr:col>5</xdr:col>
      <xdr:colOff>1970314</xdr:colOff>
      <xdr:row>29</xdr:row>
      <xdr:rowOff>566058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0D8E815-A6BD-4A11-9981-903D0815577C}"/>
            </a:ext>
          </a:extLst>
        </xdr:cNvPr>
        <xdr:cNvCxnSpPr/>
      </xdr:nvCxnSpPr>
      <xdr:spPr>
        <a:xfrm>
          <a:off x="76200" y="24443872"/>
          <a:ext cx="14171839" cy="1088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30480</xdr:rowOff>
    </xdr:from>
    <xdr:to>
      <xdr:col>1</xdr:col>
      <xdr:colOff>574675</xdr:colOff>
      <xdr:row>0</xdr:row>
      <xdr:rowOff>685499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897FB-569B-4851-B734-AF55B3ED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6" y="32385"/>
          <a:ext cx="1997709" cy="653114"/>
        </a:xfrm>
        <a:prstGeom prst="rect">
          <a:avLst/>
        </a:prstGeom>
      </xdr:spPr>
    </xdr:pic>
    <xdr:clientData/>
  </xdr:twoCellAnchor>
  <xdr:twoCellAnchor>
    <xdr:from>
      <xdr:col>1</xdr:col>
      <xdr:colOff>1661160</xdr:colOff>
      <xdr:row>0</xdr:row>
      <xdr:rowOff>76200</xdr:rowOff>
    </xdr:from>
    <xdr:to>
      <xdr:col>5</xdr:col>
      <xdr:colOff>0</xdr:colOff>
      <xdr:row>0</xdr:row>
      <xdr:rowOff>805543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C0B660-E97C-4B81-BF10-73058274A6A6}"/>
            </a:ext>
          </a:extLst>
        </xdr:cNvPr>
        <xdr:cNvSpPr txBox="1"/>
      </xdr:nvSpPr>
      <xdr:spPr>
        <a:xfrm>
          <a:off x="3120390" y="76200"/>
          <a:ext cx="6671310" cy="7274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BẢNG KHỐI</a:t>
          </a:r>
          <a:r>
            <a:rPr lang="en-US" sz="1600" b="1" baseline="0"/>
            <a:t> LƯỢNG</a:t>
          </a:r>
          <a:r>
            <a:rPr lang="en-US" sz="1600" b="1"/>
            <a:t> - BILL OF</a:t>
          </a:r>
          <a:r>
            <a:rPr lang="en-US" sz="1600" b="1" baseline="0"/>
            <a:t> QUANTITY</a:t>
          </a:r>
          <a:endParaRPr lang="en-US" sz="1600" b="1"/>
        </a:p>
        <a:p>
          <a:r>
            <a:rPr lang="en-US" sz="1200"/>
            <a:t>Package:</a:t>
          </a:r>
          <a:r>
            <a:rPr lang="en-US" sz="1200" baseline="0"/>
            <a:t> Wifi Everywhere Project equipment Phase 2</a:t>
          </a:r>
        </a:p>
        <a:p>
          <a:r>
            <a:rPr lang="en-US" sz="1200" baseline="0"/>
            <a:t>Date: 25 July, 2025</a:t>
          </a:r>
          <a:endParaRPr lang="en-US" sz="1200"/>
        </a:p>
      </xdr:txBody>
    </xdr:sp>
    <xdr:clientData/>
  </xdr:twoCellAnchor>
  <xdr:twoCellAnchor>
    <xdr:from>
      <xdr:col>5</xdr:col>
      <xdr:colOff>-1</xdr:colOff>
      <xdr:row>0</xdr:row>
      <xdr:rowOff>58780</xdr:rowOff>
    </xdr:from>
    <xdr:to>
      <xdr:col>5</xdr:col>
      <xdr:colOff>3687534</xdr:colOff>
      <xdr:row>0</xdr:row>
      <xdr:rowOff>1132114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F9EA6C-889B-41A5-A3AA-61FFED2196D3}"/>
            </a:ext>
          </a:extLst>
        </xdr:cNvPr>
        <xdr:cNvSpPr txBox="1"/>
      </xdr:nvSpPr>
      <xdr:spPr>
        <a:xfrm>
          <a:off x="7293428" y="58780"/>
          <a:ext cx="3687535" cy="10733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Khu Nghỉ Dưỡng MPCR</a:t>
          </a:r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-</a:t>
          </a:r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1200">
              <a:latin typeface="Calibri" panose="020F0502020204030204" pitchFamily="34" charset="0"/>
              <a:cs typeface="Calibri" panose="020F0502020204030204" pitchFamily="34" charset="0"/>
            </a:rPr>
            <a:t>Chi nhánh Công Ty Cổ Phần Đầu Tư Du lịch EUROWINDOW NHA TRANG</a:t>
          </a:r>
          <a:endParaRPr lang="en-US" sz="12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200">
              <a:latin typeface="Calibri" panose="020F0502020204030204" pitchFamily="34" charset="0"/>
              <a:cs typeface="Calibri" panose="020F0502020204030204" pitchFamily="34" charset="0"/>
            </a:rPr>
            <a:t>Add: Lô D12a, D12b và D12c, Khu 4 thuộc Khu du lịch Bắc bán đảo Cam Ranh, Xã Cam Hải Đông, Huyện Cam Lâm, Tỉnh Khánh Hòa, Việt Nam.</a:t>
          </a:r>
        </a:p>
      </xdr:txBody>
    </xdr:sp>
    <xdr:clientData/>
  </xdr:twoCellAnchor>
  <xdr:twoCellAnchor>
    <xdr:from>
      <xdr:col>0</xdr:col>
      <xdr:colOff>76200</xdr:colOff>
      <xdr:row>21</xdr:row>
      <xdr:rowOff>555172</xdr:rowOff>
    </xdr:from>
    <xdr:to>
      <xdr:col>5</xdr:col>
      <xdr:colOff>1970314</xdr:colOff>
      <xdr:row>21</xdr:row>
      <xdr:rowOff>566058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08DB4C7-69A0-4CB1-B3F5-8284BB3E92BF}"/>
            </a:ext>
          </a:extLst>
        </xdr:cNvPr>
        <xdr:cNvCxnSpPr/>
      </xdr:nvCxnSpPr>
      <xdr:spPr>
        <a:xfrm>
          <a:off x="76200" y="26025022"/>
          <a:ext cx="14187079" cy="898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05B0-7B4F-4CDB-A137-9C1B09E08C2D}">
  <sheetPr>
    <pageSetUpPr fitToPage="1"/>
  </sheetPr>
  <dimension ref="A1:J73"/>
  <sheetViews>
    <sheetView view="pageBreakPreview" zoomScale="70" zoomScaleNormal="70" zoomScaleSheetLayoutView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18" sqref="A18:D18"/>
    </sheetView>
  </sheetViews>
  <sheetFormatPr defaultColWidth="8.85546875" defaultRowHeight="90" customHeight="1" x14ac:dyDescent="0.25"/>
  <cols>
    <col min="1" max="1" width="46.140625" style="2" customWidth="1"/>
    <col min="2" max="2" width="43.140625" style="2" customWidth="1"/>
    <col min="3" max="3" width="8.28515625" style="2" customWidth="1"/>
    <col min="4" max="4" width="9.42578125" style="5" customWidth="1"/>
    <col min="5" max="5" width="18.140625" style="27" customWidth="1"/>
    <col min="6" max="6" width="18.7109375" style="6" customWidth="1"/>
    <col min="7" max="7" width="43.42578125" style="4" customWidth="1"/>
    <col min="8" max="8" width="16.85546875" style="2" bestFit="1" customWidth="1"/>
    <col min="9" max="9" width="14.85546875" style="2" bestFit="1" customWidth="1"/>
    <col min="10" max="10" width="12.42578125" style="2" bestFit="1" customWidth="1"/>
    <col min="11" max="11" width="8.85546875" style="2"/>
    <col min="12" max="12" width="12.42578125" style="2" bestFit="1" customWidth="1"/>
    <col min="13" max="16384" width="8.85546875" style="2"/>
  </cols>
  <sheetData>
    <row r="1" spans="1:9" ht="117.75" customHeight="1" x14ac:dyDescent="0.25"/>
    <row r="2" spans="1:9" s="7" customFormat="1" ht="42" customHeight="1" x14ac:dyDescent="0.25">
      <c r="A2" s="47" t="s">
        <v>0</v>
      </c>
      <c r="B2" s="47" t="s">
        <v>6</v>
      </c>
      <c r="C2" s="47" t="s">
        <v>12</v>
      </c>
      <c r="D2" s="47" t="s">
        <v>1</v>
      </c>
      <c r="E2" s="40" t="s">
        <v>54</v>
      </c>
      <c r="F2" s="41"/>
      <c r="G2" s="48" t="s">
        <v>4</v>
      </c>
    </row>
    <row r="3" spans="1:9" s="1" customFormat="1" ht="48" customHeight="1" x14ac:dyDescent="0.25">
      <c r="A3" s="47"/>
      <c r="B3" s="47"/>
      <c r="C3" s="47"/>
      <c r="D3" s="47"/>
      <c r="E3" s="23" t="s">
        <v>55</v>
      </c>
      <c r="F3" s="8" t="s">
        <v>3</v>
      </c>
      <c r="G3" s="49"/>
    </row>
    <row r="4" spans="1:9" ht="50.25" customHeight="1" x14ac:dyDescent="0.25">
      <c r="A4" s="11" t="s">
        <v>13</v>
      </c>
      <c r="B4" s="12"/>
      <c r="C4" s="16" t="s">
        <v>25</v>
      </c>
      <c r="D4" s="18">
        <v>4120</v>
      </c>
      <c r="E4" s="24"/>
      <c r="F4" s="28">
        <f>E4*D4</f>
        <v>0</v>
      </c>
      <c r="G4" s="13"/>
    </row>
    <row r="5" spans="1:9" ht="50.25" customHeight="1" x14ac:dyDescent="0.25">
      <c r="A5" s="11" t="s">
        <v>14</v>
      </c>
      <c r="B5" s="12"/>
      <c r="C5" s="16" t="s">
        <v>27</v>
      </c>
      <c r="D5" s="18">
        <v>72</v>
      </c>
      <c r="E5" s="24"/>
      <c r="F5" s="28">
        <f t="shared" ref="F5:F15" si="0">E5*D5</f>
        <v>0</v>
      </c>
      <c r="G5" s="13"/>
    </row>
    <row r="6" spans="1:9" ht="69.75" customHeight="1" x14ac:dyDescent="0.25">
      <c r="A6" s="11" t="s">
        <v>15</v>
      </c>
      <c r="B6" s="12"/>
      <c r="C6" s="16" t="s">
        <v>27</v>
      </c>
      <c r="D6" s="18">
        <v>36</v>
      </c>
      <c r="E6" s="24"/>
      <c r="F6" s="28">
        <f t="shared" si="0"/>
        <v>0</v>
      </c>
      <c r="G6" s="13"/>
    </row>
    <row r="7" spans="1:9" ht="44.25" customHeight="1" x14ac:dyDescent="0.25">
      <c r="A7" s="11" t="s">
        <v>16</v>
      </c>
      <c r="B7" s="12"/>
      <c r="C7" s="16" t="s">
        <v>27</v>
      </c>
      <c r="D7" s="18">
        <v>72</v>
      </c>
      <c r="E7" s="24"/>
      <c r="F7" s="28">
        <f t="shared" si="0"/>
        <v>0</v>
      </c>
      <c r="G7" s="13"/>
    </row>
    <row r="8" spans="1:9" ht="48.75" customHeight="1" x14ac:dyDescent="0.25">
      <c r="A8" s="11" t="s">
        <v>17</v>
      </c>
      <c r="B8" s="12"/>
      <c r="C8" s="16" t="s">
        <v>27</v>
      </c>
      <c r="D8" s="18">
        <v>72</v>
      </c>
      <c r="E8" s="24"/>
      <c r="F8" s="28">
        <f t="shared" si="0"/>
        <v>0</v>
      </c>
      <c r="G8" s="13"/>
    </row>
    <row r="9" spans="1:9" ht="36.75" customHeight="1" x14ac:dyDescent="0.25">
      <c r="A9" s="11" t="s">
        <v>18</v>
      </c>
      <c r="B9" s="12"/>
      <c r="C9" s="16" t="s">
        <v>25</v>
      </c>
      <c r="D9" s="18">
        <v>2590</v>
      </c>
      <c r="E9" s="24"/>
      <c r="F9" s="28">
        <f t="shared" si="0"/>
        <v>0</v>
      </c>
      <c r="G9" s="13"/>
    </row>
    <row r="10" spans="1:9" ht="36.75" customHeight="1" x14ac:dyDescent="0.25">
      <c r="A10" s="11" t="s">
        <v>19</v>
      </c>
      <c r="B10" s="12"/>
      <c r="C10" s="16" t="s">
        <v>26</v>
      </c>
      <c r="D10" s="18">
        <v>1</v>
      </c>
      <c r="E10" s="24"/>
      <c r="F10" s="28">
        <f t="shared" si="0"/>
        <v>0</v>
      </c>
      <c r="G10" s="13"/>
    </row>
    <row r="11" spans="1:9" ht="69" customHeight="1" x14ac:dyDescent="0.25">
      <c r="A11" s="11" t="s">
        <v>20</v>
      </c>
      <c r="B11" s="12"/>
      <c r="C11" s="16" t="s">
        <v>27</v>
      </c>
      <c r="D11" s="18">
        <v>19</v>
      </c>
      <c r="E11" s="24"/>
      <c r="F11" s="28">
        <f t="shared" si="0"/>
        <v>0</v>
      </c>
      <c r="G11" s="13"/>
    </row>
    <row r="12" spans="1:9" ht="36.75" customHeight="1" x14ac:dyDescent="0.25">
      <c r="A12" s="11" t="s">
        <v>21</v>
      </c>
      <c r="B12" s="12"/>
      <c r="C12" s="16" t="s">
        <v>25</v>
      </c>
      <c r="D12" s="18">
        <v>3612</v>
      </c>
      <c r="E12" s="24"/>
      <c r="F12" s="28">
        <f t="shared" si="0"/>
        <v>0</v>
      </c>
      <c r="G12" s="13"/>
    </row>
    <row r="13" spans="1:9" ht="24" customHeight="1" x14ac:dyDescent="0.25">
      <c r="A13" s="11" t="s">
        <v>22</v>
      </c>
      <c r="B13" s="12"/>
      <c r="C13" s="16" t="s">
        <v>27</v>
      </c>
      <c r="D13" s="18">
        <v>23</v>
      </c>
      <c r="E13" s="24"/>
      <c r="F13" s="28">
        <f t="shared" si="0"/>
        <v>0</v>
      </c>
      <c r="G13" s="13"/>
    </row>
    <row r="14" spans="1:9" ht="24" customHeight="1" x14ac:dyDescent="0.25">
      <c r="A14" s="11" t="s">
        <v>23</v>
      </c>
      <c r="B14" s="12"/>
      <c r="C14" s="16" t="s">
        <v>27</v>
      </c>
      <c r="D14" s="18">
        <v>1</v>
      </c>
      <c r="E14" s="24"/>
      <c r="F14" s="28">
        <f t="shared" si="0"/>
        <v>0</v>
      </c>
      <c r="G14" s="13"/>
    </row>
    <row r="15" spans="1:9" ht="214.5" customHeight="1" x14ac:dyDescent="0.25">
      <c r="A15" s="11" t="s">
        <v>24</v>
      </c>
      <c r="B15" s="12"/>
      <c r="C15" s="16" t="s">
        <v>28</v>
      </c>
      <c r="D15" s="18">
        <v>1</v>
      </c>
      <c r="E15" s="24"/>
      <c r="F15" s="28">
        <f t="shared" si="0"/>
        <v>0</v>
      </c>
      <c r="G15" s="13"/>
    </row>
    <row r="16" spans="1:9" s="7" customFormat="1" ht="37.9" customHeight="1" x14ac:dyDescent="0.25">
      <c r="A16" s="42" t="s">
        <v>7</v>
      </c>
      <c r="B16" s="43"/>
      <c r="C16" s="43"/>
      <c r="D16" s="44"/>
      <c r="E16" s="29"/>
      <c r="F16" s="28"/>
      <c r="G16" s="14"/>
      <c r="I16" s="15"/>
    </row>
    <row r="17" spans="1:10" s="7" customFormat="1" ht="36.6" customHeight="1" x14ac:dyDescent="0.25">
      <c r="A17" s="50" t="s">
        <v>53</v>
      </c>
      <c r="B17" s="51"/>
      <c r="C17" s="51"/>
      <c r="D17" s="52"/>
      <c r="E17" s="30"/>
      <c r="F17" s="28"/>
      <c r="G17" s="10"/>
    </row>
    <row r="18" spans="1:10" s="7" customFormat="1" ht="40.15" customHeight="1" x14ac:dyDescent="0.25">
      <c r="A18" s="50" t="s">
        <v>8</v>
      </c>
      <c r="B18" s="51"/>
      <c r="C18" s="51"/>
      <c r="D18" s="52"/>
      <c r="E18" s="30"/>
      <c r="F18" s="28"/>
      <c r="G18" s="10"/>
      <c r="H18" s="15"/>
    </row>
    <row r="19" spans="1:10" s="7" customFormat="1" ht="53.25" customHeight="1" x14ac:dyDescent="0.25">
      <c r="A19" s="50" t="s">
        <v>9</v>
      </c>
      <c r="B19" s="51"/>
      <c r="C19" s="51"/>
      <c r="D19" s="52"/>
      <c r="E19" s="26"/>
      <c r="F19" s="38"/>
      <c r="G19" s="10"/>
      <c r="H19" s="15"/>
      <c r="I19" s="15"/>
    </row>
    <row r="20" spans="1:10" s="7" customFormat="1" ht="33" customHeight="1" x14ac:dyDescent="0.25">
      <c r="A20" s="50" t="s">
        <v>10</v>
      </c>
      <c r="B20" s="51"/>
      <c r="C20" s="51"/>
      <c r="D20" s="52"/>
      <c r="E20" s="26"/>
      <c r="F20" s="36"/>
      <c r="G20" s="10"/>
    </row>
    <row r="21" spans="1:10" s="7" customFormat="1" ht="32.450000000000003" customHeight="1" x14ac:dyDescent="0.25">
      <c r="A21" s="50" t="s">
        <v>11</v>
      </c>
      <c r="B21" s="51"/>
      <c r="C21" s="51"/>
      <c r="D21" s="52"/>
      <c r="E21" s="26"/>
      <c r="F21" s="36"/>
      <c r="G21" s="10"/>
      <c r="I21" s="15"/>
    </row>
    <row r="22" spans="1:10" ht="21.75" customHeight="1" x14ac:dyDescent="0.25">
      <c r="A22" s="42" t="s">
        <v>5</v>
      </c>
      <c r="B22" s="43"/>
      <c r="C22" s="43"/>
      <c r="D22" s="44"/>
      <c r="E22" s="25"/>
      <c r="F22" s="45"/>
      <c r="G22" s="46"/>
    </row>
    <row r="23" spans="1:10" s="4" customFormat="1" ht="90" customHeight="1" x14ac:dyDescent="0.25">
      <c r="D23" s="5"/>
      <c r="E23" s="27"/>
      <c r="F23" s="3"/>
      <c r="H23" s="2"/>
      <c r="I23" s="2"/>
      <c r="J23" s="2"/>
    </row>
    <row r="24" spans="1:10" s="4" customFormat="1" ht="90" customHeight="1" x14ac:dyDescent="0.25">
      <c r="D24" s="5"/>
      <c r="E24" s="27"/>
      <c r="F24" s="3"/>
      <c r="H24" s="2"/>
      <c r="I24" s="2"/>
      <c r="J24" s="2"/>
    </row>
    <row r="25" spans="1:10" s="4" customFormat="1" ht="90" customHeight="1" x14ac:dyDescent="0.25">
      <c r="D25" s="5"/>
      <c r="E25" s="27"/>
      <c r="F25" s="3"/>
      <c r="H25" s="2"/>
      <c r="I25" s="2"/>
      <c r="J25" s="2"/>
    </row>
    <row r="26" spans="1:10" s="4" customFormat="1" ht="90" customHeight="1" x14ac:dyDescent="0.25">
      <c r="D26" s="5"/>
      <c r="E26" s="27"/>
      <c r="F26" s="3"/>
      <c r="H26" s="2"/>
      <c r="I26" s="2"/>
      <c r="J26" s="2"/>
    </row>
    <row r="27" spans="1:10" s="4" customFormat="1" ht="90" customHeight="1" x14ac:dyDescent="0.25">
      <c r="A27" s="2"/>
      <c r="B27" s="2"/>
      <c r="C27" s="2"/>
      <c r="D27" s="5"/>
      <c r="E27" s="27"/>
      <c r="F27" s="3"/>
      <c r="H27" s="2"/>
      <c r="I27" s="2"/>
      <c r="J27" s="2"/>
    </row>
    <row r="28" spans="1:10" s="4" customFormat="1" ht="90" customHeight="1" x14ac:dyDescent="0.25">
      <c r="A28" s="2"/>
      <c r="B28" s="2"/>
      <c r="C28" s="2"/>
      <c r="D28" s="5"/>
      <c r="E28" s="27"/>
      <c r="F28" s="3"/>
      <c r="H28" s="2"/>
      <c r="I28" s="2"/>
      <c r="J28" s="2"/>
    </row>
    <row r="29" spans="1:10" s="4" customFormat="1" ht="90" customHeight="1" x14ac:dyDescent="0.25">
      <c r="B29" s="2"/>
      <c r="C29" s="2"/>
      <c r="D29" s="5"/>
      <c r="E29" s="27"/>
      <c r="F29" s="3"/>
      <c r="H29" s="2"/>
      <c r="I29" s="2"/>
      <c r="J29" s="2"/>
    </row>
    <row r="30" spans="1:10" s="4" customFormat="1" ht="90" customHeight="1" x14ac:dyDescent="0.25">
      <c r="B30" s="2"/>
      <c r="C30" s="2"/>
      <c r="D30" s="5"/>
      <c r="E30" s="27"/>
      <c r="F30" s="3"/>
      <c r="H30" s="2"/>
      <c r="I30" s="2"/>
      <c r="J30" s="2"/>
    </row>
    <row r="31" spans="1:10" s="4" customFormat="1" ht="90" customHeight="1" x14ac:dyDescent="0.25">
      <c r="B31" s="2"/>
      <c r="C31" s="2"/>
      <c r="D31" s="5"/>
      <c r="E31" s="27"/>
      <c r="F31" s="3"/>
      <c r="H31" s="2"/>
      <c r="I31" s="2"/>
      <c r="J31" s="2"/>
    </row>
    <row r="32" spans="1:10" s="4" customFormat="1" ht="90" customHeight="1" x14ac:dyDescent="0.25">
      <c r="B32" s="2"/>
      <c r="C32" s="2"/>
      <c r="D32" s="5"/>
      <c r="E32" s="27"/>
      <c r="F32" s="3"/>
      <c r="H32" s="2"/>
      <c r="I32" s="2"/>
      <c r="J32" s="2"/>
    </row>
    <row r="33" spans="1:10" s="4" customFormat="1" ht="90" customHeight="1" x14ac:dyDescent="0.25">
      <c r="B33" s="2"/>
      <c r="C33" s="2"/>
      <c r="D33" s="5"/>
      <c r="E33" s="27"/>
      <c r="F33" s="3"/>
      <c r="H33" s="2"/>
      <c r="I33" s="2"/>
      <c r="J33" s="2"/>
    </row>
    <row r="34" spans="1:10" s="4" customFormat="1" ht="90" customHeight="1" x14ac:dyDescent="0.25">
      <c r="B34" s="2"/>
      <c r="C34" s="2"/>
      <c r="D34" s="5"/>
      <c r="E34" s="27"/>
      <c r="F34" s="3"/>
      <c r="H34" s="2"/>
      <c r="I34" s="2"/>
      <c r="J34" s="2"/>
    </row>
    <row r="35" spans="1:10" s="4" customFormat="1" ht="90" customHeight="1" x14ac:dyDescent="0.25">
      <c r="A35" s="2"/>
      <c r="B35" s="2"/>
      <c r="C35" s="2"/>
      <c r="D35" s="5"/>
      <c r="E35" s="27"/>
      <c r="F35" s="3"/>
      <c r="H35" s="2"/>
      <c r="I35" s="2"/>
      <c r="J35" s="2"/>
    </row>
    <row r="36" spans="1:10" s="4" customFormat="1" ht="90" customHeight="1" x14ac:dyDescent="0.25">
      <c r="A36" s="2"/>
      <c r="B36" s="2"/>
      <c r="C36" s="2"/>
      <c r="D36" s="5"/>
      <c r="E36" s="27"/>
      <c r="F36" s="3"/>
      <c r="H36" s="2"/>
      <c r="I36" s="2"/>
      <c r="J36" s="2"/>
    </row>
    <row r="37" spans="1:10" s="4" customFormat="1" ht="90" customHeight="1" x14ac:dyDescent="0.25">
      <c r="D37" s="5"/>
      <c r="E37" s="27"/>
      <c r="F37" s="3"/>
      <c r="H37" s="2"/>
      <c r="I37" s="2"/>
      <c r="J37" s="2"/>
    </row>
    <row r="38" spans="1:10" s="4" customFormat="1" ht="90" customHeight="1" x14ac:dyDescent="0.25">
      <c r="D38" s="5"/>
      <c r="E38" s="27"/>
      <c r="F38" s="3"/>
      <c r="H38" s="2"/>
      <c r="I38" s="2"/>
      <c r="J38" s="2"/>
    </row>
    <row r="39" spans="1:10" s="4" customFormat="1" ht="90" customHeight="1" x14ac:dyDescent="0.25">
      <c r="D39" s="5"/>
      <c r="E39" s="27"/>
      <c r="F39" s="3"/>
      <c r="H39" s="2"/>
      <c r="I39" s="2"/>
      <c r="J39" s="2"/>
    </row>
    <row r="40" spans="1:10" s="4" customFormat="1" ht="90" customHeight="1" x14ac:dyDescent="0.25">
      <c r="D40" s="5"/>
      <c r="E40" s="27"/>
      <c r="F40" s="3"/>
      <c r="H40" s="2"/>
      <c r="I40" s="2"/>
      <c r="J40" s="2"/>
    </row>
    <row r="41" spans="1:10" s="4" customFormat="1" ht="90" customHeight="1" x14ac:dyDescent="0.25">
      <c r="D41" s="5"/>
      <c r="E41" s="27"/>
      <c r="F41" s="3"/>
      <c r="H41" s="2"/>
      <c r="I41" s="2"/>
      <c r="J41" s="2"/>
    </row>
    <row r="42" spans="1:10" s="4" customFormat="1" ht="90" customHeight="1" x14ac:dyDescent="0.25">
      <c r="D42" s="5"/>
      <c r="E42" s="27"/>
      <c r="F42" s="3"/>
      <c r="H42" s="2"/>
      <c r="I42" s="2"/>
      <c r="J42" s="2"/>
    </row>
    <row r="43" spans="1:10" s="4" customFormat="1" ht="90" customHeight="1" x14ac:dyDescent="0.25">
      <c r="A43" s="2"/>
      <c r="B43" s="2"/>
      <c r="C43" s="2"/>
      <c r="D43" s="5"/>
      <c r="E43" s="27"/>
      <c r="F43" s="3"/>
      <c r="H43" s="2"/>
      <c r="I43" s="2"/>
      <c r="J43" s="2"/>
    </row>
    <row r="44" spans="1:10" s="4" customFormat="1" ht="90" customHeight="1" x14ac:dyDescent="0.25">
      <c r="A44" s="2"/>
      <c r="B44" s="2"/>
      <c r="C44" s="2"/>
      <c r="D44" s="5"/>
      <c r="E44" s="27"/>
      <c r="F44" s="3"/>
      <c r="H44" s="2"/>
      <c r="I44" s="2"/>
      <c r="J44" s="2"/>
    </row>
    <row r="45" spans="1:10" s="4" customFormat="1" ht="90" customHeight="1" x14ac:dyDescent="0.25">
      <c r="A45" s="2"/>
      <c r="B45" s="2"/>
      <c r="C45" s="2"/>
      <c r="D45" s="5"/>
      <c r="E45" s="27"/>
      <c r="F45" s="3"/>
      <c r="H45" s="2"/>
      <c r="I45" s="2"/>
      <c r="J45" s="2"/>
    </row>
    <row r="46" spans="1:10" s="4" customFormat="1" ht="90" customHeight="1" x14ac:dyDescent="0.25">
      <c r="A46" s="2"/>
      <c r="B46" s="2"/>
      <c r="C46" s="2"/>
      <c r="D46" s="5"/>
      <c r="E46" s="27"/>
      <c r="F46" s="3"/>
      <c r="H46" s="2"/>
      <c r="I46" s="2"/>
      <c r="J46" s="2"/>
    </row>
    <row r="47" spans="1:10" s="4" customFormat="1" ht="90" customHeight="1" x14ac:dyDescent="0.25">
      <c r="A47" s="2"/>
      <c r="B47" s="2"/>
      <c r="C47" s="2"/>
      <c r="D47" s="5"/>
      <c r="E47" s="27"/>
      <c r="F47" s="3"/>
      <c r="H47" s="2"/>
      <c r="I47" s="2"/>
      <c r="J47" s="2"/>
    </row>
    <row r="48" spans="1:10" s="4" customFormat="1" ht="90" customHeight="1" x14ac:dyDescent="0.25">
      <c r="A48" s="2"/>
      <c r="B48" s="2"/>
      <c r="C48" s="2"/>
      <c r="D48" s="5"/>
      <c r="E48" s="27"/>
      <c r="F48" s="3"/>
      <c r="H48" s="2"/>
      <c r="I48" s="2"/>
      <c r="J48" s="2"/>
    </row>
    <row r="49" spans="1:10" s="4" customFormat="1" ht="90" customHeight="1" x14ac:dyDescent="0.25">
      <c r="A49" s="2"/>
      <c r="B49" s="2"/>
      <c r="C49" s="2"/>
      <c r="D49" s="5"/>
      <c r="E49" s="27"/>
      <c r="F49" s="3"/>
      <c r="H49" s="2"/>
      <c r="I49" s="2"/>
      <c r="J49" s="2"/>
    </row>
    <row r="50" spans="1:10" s="4" customFormat="1" ht="90" customHeight="1" x14ac:dyDescent="0.25">
      <c r="A50" s="2"/>
      <c r="B50" s="2"/>
      <c r="C50" s="2"/>
      <c r="D50" s="5"/>
      <c r="E50" s="27"/>
      <c r="F50" s="3"/>
      <c r="H50" s="2"/>
      <c r="I50" s="2"/>
      <c r="J50" s="2"/>
    </row>
    <row r="51" spans="1:10" s="4" customFormat="1" ht="90" customHeight="1" x14ac:dyDescent="0.25">
      <c r="A51" s="2"/>
      <c r="B51" s="2"/>
      <c r="C51" s="2"/>
      <c r="D51" s="5"/>
      <c r="E51" s="27"/>
      <c r="F51" s="3"/>
      <c r="H51" s="2"/>
      <c r="I51" s="2"/>
      <c r="J51" s="2"/>
    </row>
    <row r="52" spans="1:10" s="4" customFormat="1" ht="90" customHeight="1" x14ac:dyDescent="0.25">
      <c r="A52" s="2"/>
      <c r="B52" s="2"/>
      <c r="C52" s="2"/>
      <c r="D52" s="5"/>
      <c r="E52" s="27"/>
      <c r="F52" s="3"/>
      <c r="H52" s="2"/>
      <c r="I52" s="2"/>
      <c r="J52" s="2"/>
    </row>
    <row r="53" spans="1:10" s="4" customFormat="1" ht="90" customHeight="1" x14ac:dyDescent="0.25">
      <c r="A53" s="2"/>
      <c r="B53" s="2"/>
      <c r="C53" s="2"/>
      <c r="D53" s="5"/>
      <c r="E53" s="27"/>
      <c r="F53" s="3"/>
      <c r="H53" s="2"/>
      <c r="I53" s="2"/>
      <c r="J53" s="2"/>
    </row>
    <row r="54" spans="1:10" s="4" customFormat="1" ht="90" customHeight="1" x14ac:dyDescent="0.25">
      <c r="A54" s="2"/>
      <c r="B54" s="2"/>
      <c r="C54" s="2"/>
      <c r="D54" s="5"/>
      <c r="E54" s="27"/>
      <c r="F54" s="3"/>
      <c r="H54" s="2"/>
      <c r="I54" s="2"/>
      <c r="J54" s="2"/>
    </row>
    <row r="55" spans="1:10" s="4" customFormat="1" ht="90" customHeight="1" x14ac:dyDescent="0.25">
      <c r="A55" s="2"/>
      <c r="B55" s="2"/>
      <c r="C55" s="2"/>
      <c r="D55" s="5"/>
      <c r="E55" s="27"/>
      <c r="F55" s="3"/>
      <c r="H55" s="2"/>
      <c r="I55" s="2"/>
      <c r="J55" s="2"/>
    </row>
    <row r="56" spans="1:10" s="4" customFormat="1" ht="90" customHeight="1" x14ac:dyDescent="0.25">
      <c r="A56" s="2"/>
      <c r="B56" s="2"/>
      <c r="C56" s="2"/>
      <c r="D56" s="5"/>
      <c r="E56" s="27"/>
      <c r="F56" s="3"/>
      <c r="H56" s="2"/>
      <c r="I56" s="2"/>
      <c r="J56" s="2"/>
    </row>
    <row r="57" spans="1:10" s="4" customFormat="1" ht="90" customHeight="1" x14ac:dyDescent="0.25">
      <c r="A57" s="2"/>
      <c r="B57" s="2"/>
      <c r="C57" s="2"/>
      <c r="D57" s="5"/>
      <c r="E57" s="27"/>
      <c r="F57" s="3"/>
      <c r="H57" s="2"/>
      <c r="I57" s="2"/>
      <c r="J57" s="2"/>
    </row>
    <row r="58" spans="1:10" s="4" customFormat="1" ht="90" customHeight="1" x14ac:dyDescent="0.25">
      <c r="A58" s="2"/>
      <c r="B58" s="2"/>
      <c r="C58" s="2"/>
      <c r="D58" s="5"/>
      <c r="E58" s="27"/>
      <c r="F58" s="3"/>
      <c r="H58" s="2"/>
      <c r="I58" s="2"/>
      <c r="J58" s="2"/>
    </row>
    <row r="59" spans="1:10" s="4" customFormat="1" ht="90" customHeight="1" x14ac:dyDescent="0.25">
      <c r="A59" s="2"/>
      <c r="B59" s="2"/>
      <c r="C59" s="2"/>
      <c r="D59" s="5"/>
      <c r="E59" s="27"/>
      <c r="F59" s="3"/>
      <c r="H59" s="2"/>
      <c r="I59" s="2"/>
      <c r="J59" s="2"/>
    </row>
    <row r="60" spans="1:10" s="4" customFormat="1" ht="90" customHeight="1" x14ac:dyDescent="0.25">
      <c r="A60" s="2"/>
      <c r="B60" s="2"/>
      <c r="C60" s="2"/>
      <c r="D60" s="5"/>
      <c r="E60" s="27"/>
      <c r="F60" s="3"/>
      <c r="H60" s="2"/>
      <c r="I60" s="2"/>
      <c r="J60" s="2"/>
    </row>
    <row r="61" spans="1:10" s="4" customFormat="1" ht="90" customHeight="1" x14ac:dyDescent="0.25">
      <c r="A61" s="2"/>
      <c r="B61" s="2"/>
      <c r="C61" s="2"/>
      <c r="D61" s="5"/>
      <c r="E61" s="27"/>
      <c r="F61" s="3"/>
      <c r="H61" s="2"/>
      <c r="I61" s="2"/>
      <c r="J61" s="2"/>
    </row>
    <row r="62" spans="1:10" s="4" customFormat="1" ht="90" customHeight="1" x14ac:dyDescent="0.25">
      <c r="A62" s="2"/>
      <c r="B62" s="2"/>
      <c r="C62" s="2"/>
      <c r="D62" s="5"/>
      <c r="E62" s="27"/>
      <c r="F62" s="3"/>
      <c r="H62" s="2"/>
      <c r="I62" s="2"/>
      <c r="J62" s="2"/>
    </row>
    <row r="63" spans="1:10" s="4" customFormat="1" ht="90" customHeight="1" x14ac:dyDescent="0.25">
      <c r="A63" s="2"/>
      <c r="B63" s="2"/>
      <c r="C63" s="2"/>
      <c r="D63" s="5"/>
      <c r="E63" s="27"/>
      <c r="F63" s="3"/>
      <c r="H63" s="2"/>
      <c r="I63" s="2"/>
      <c r="J63" s="2"/>
    </row>
    <row r="64" spans="1:10" s="4" customFormat="1" ht="90" customHeight="1" x14ac:dyDescent="0.25">
      <c r="A64" s="2"/>
      <c r="B64" s="2"/>
      <c r="C64" s="2"/>
      <c r="D64" s="5"/>
      <c r="E64" s="27"/>
      <c r="F64" s="3"/>
      <c r="H64" s="2"/>
      <c r="I64" s="2"/>
      <c r="J64" s="2"/>
    </row>
    <row r="65" spans="1:10" s="4" customFormat="1" ht="90" customHeight="1" x14ac:dyDescent="0.25">
      <c r="A65" s="2"/>
      <c r="B65" s="2"/>
      <c r="C65" s="2"/>
      <c r="D65" s="5"/>
      <c r="E65" s="27"/>
      <c r="F65" s="3"/>
      <c r="H65" s="2"/>
      <c r="I65" s="2"/>
      <c r="J65" s="2"/>
    </row>
    <row r="66" spans="1:10" s="4" customFormat="1" ht="90" customHeight="1" x14ac:dyDescent="0.25">
      <c r="A66" s="2"/>
      <c r="B66" s="2"/>
      <c r="C66" s="2"/>
      <c r="D66" s="5"/>
      <c r="E66" s="27"/>
      <c r="F66" s="3"/>
      <c r="H66" s="2"/>
      <c r="I66" s="2"/>
      <c r="J66" s="2"/>
    </row>
    <row r="67" spans="1:10" s="4" customFormat="1" ht="90" customHeight="1" x14ac:dyDescent="0.25">
      <c r="A67" s="2"/>
      <c r="B67" s="2"/>
      <c r="C67" s="2"/>
      <c r="D67" s="5"/>
      <c r="E67" s="27"/>
      <c r="F67" s="3"/>
      <c r="H67" s="2"/>
      <c r="I67" s="2"/>
      <c r="J67" s="2"/>
    </row>
    <row r="68" spans="1:10" s="4" customFormat="1" ht="90" customHeight="1" x14ac:dyDescent="0.25">
      <c r="A68" s="2"/>
      <c r="B68" s="2"/>
      <c r="C68" s="2"/>
      <c r="D68" s="5"/>
      <c r="E68" s="27"/>
      <c r="F68" s="3"/>
      <c r="H68" s="2"/>
      <c r="I68" s="2"/>
      <c r="J68" s="2"/>
    </row>
    <row r="69" spans="1:10" s="4" customFormat="1" ht="90" customHeight="1" x14ac:dyDescent="0.25">
      <c r="A69" s="2"/>
      <c r="B69" s="2"/>
      <c r="C69" s="2"/>
      <c r="D69" s="5"/>
      <c r="E69" s="27"/>
      <c r="F69" s="3"/>
      <c r="H69" s="2"/>
      <c r="I69" s="2"/>
      <c r="J69" s="2"/>
    </row>
    <row r="70" spans="1:10" s="4" customFormat="1" ht="90" customHeight="1" x14ac:dyDescent="0.25">
      <c r="A70" s="2"/>
      <c r="B70" s="2"/>
      <c r="C70" s="2"/>
      <c r="D70" s="5"/>
      <c r="E70" s="27"/>
      <c r="F70" s="3"/>
      <c r="H70" s="2"/>
      <c r="I70" s="2"/>
      <c r="J70" s="2"/>
    </row>
    <row r="71" spans="1:10" s="4" customFormat="1" ht="90" customHeight="1" x14ac:dyDescent="0.25">
      <c r="A71" s="2"/>
      <c r="B71" s="2"/>
      <c r="C71" s="2"/>
      <c r="D71" s="5"/>
      <c r="E71" s="27"/>
      <c r="F71" s="3"/>
      <c r="H71" s="2"/>
      <c r="I71" s="2"/>
      <c r="J71" s="2"/>
    </row>
    <row r="72" spans="1:10" s="4" customFormat="1" ht="90" customHeight="1" x14ac:dyDescent="0.25">
      <c r="A72" s="2"/>
      <c r="B72" s="2"/>
      <c r="C72" s="2"/>
      <c r="D72" s="5"/>
      <c r="E72" s="27"/>
      <c r="F72" s="3"/>
      <c r="H72" s="2"/>
      <c r="I72" s="2"/>
      <c r="J72" s="2"/>
    </row>
    <row r="73" spans="1:10" s="4" customFormat="1" ht="90" customHeight="1" x14ac:dyDescent="0.25">
      <c r="A73" s="2"/>
      <c r="B73" s="2"/>
      <c r="C73" s="2"/>
      <c r="D73" s="5"/>
      <c r="E73" s="27"/>
      <c r="F73" s="3"/>
      <c r="H73" s="2"/>
      <c r="I73" s="2"/>
      <c r="J73" s="2"/>
    </row>
  </sheetData>
  <mergeCells count="14">
    <mergeCell ref="E2:F2"/>
    <mergeCell ref="A22:D22"/>
    <mergeCell ref="F22:G22"/>
    <mergeCell ref="A2:A3"/>
    <mergeCell ref="B2:B3"/>
    <mergeCell ref="D2:D3"/>
    <mergeCell ref="G2:G3"/>
    <mergeCell ref="A16:D16"/>
    <mergeCell ref="A17:D17"/>
    <mergeCell ref="A18:D18"/>
    <mergeCell ref="A19:D19"/>
    <mergeCell ref="A20:D20"/>
    <mergeCell ref="C2:C3"/>
    <mergeCell ref="A21:D21"/>
  </mergeCells>
  <phoneticPr fontId="5" type="noConversion"/>
  <printOptions horizontalCentered="1"/>
  <pageMargins left="0.17" right="0.17" top="0.1" bottom="0" header="0.11" footer="0"/>
  <pageSetup paperSize="9" scale="77" fitToHeight="0" orientation="landscape" r:id="rId1"/>
  <customProperties>
    <customPr name="QAA_DRILLPATH_NODE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F43E-4570-4103-8E9E-97F7BC6E233F}">
  <sheetPr>
    <pageSetUpPr fitToPage="1"/>
  </sheetPr>
  <dimension ref="A1:H79"/>
  <sheetViews>
    <sheetView zoomScale="70" zoomScaleNormal="70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D6" sqref="D6"/>
    </sheetView>
  </sheetViews>
  <sheetFormatPr defaultColWidth="8.85546875" defaultRowHeight="90" customHeight="1" x14ac:dyDescent="0.25"/>
  <cols>
    <col min="1" max="1" width="21.85546875" style="2" customWidth="1"/>
    <col min="2" max="2" width="40.5703125" style="2" customWidth="1"/>
    <col min="3" max="3" width="9.42578125" style="5" bestFit="1" customWidth="1"/>
    <col min="4" max="4" width="23.7109375" style="6" customWidth="1"/>
    <col min="5" max="5" width="29" style="6" customWidth="1"/>
    <col min="6" max="6" width="63.42578125" style="4" customWidth="1"/>
    <col min="7" max="7" width="14" style="2" bestFit="1" customWidth="1"/>
    <col min="8" max="8" width="11.140625" style="2" bestFit="1" customWidth="1"/>
    <col min="9" max="16384" width="8.85546875" style="2"/>
  </cols>
  <sheetData>
    <row r="1" spans="1:7" ht="93" customHeight="1" x14ac:dyDescent="0.25"/>
    <row r="2" spans="1:7" s="7" customFormat="1" ht="55.5" customHeight="1" x14ac:dyDescent="0.25">
      <c r="A2" s="47" t="s">
        <v>0</v>
      </c>
      <c r="B2" s="47" t="s">
        <v>6</v>
      </c>
      <c r="C2" s="47" t="s">
        <v>1</v>
      </c>
      <c r="D2" s="40" t="s">
        <v>56</v>
      </c>
      <c r="E2" s="61"/>
      <c r="F2" s="48" t="s">
        <v>4</v>
      </c>
    </row>
    <row r="3" spans="1:7" s="1" customFormat="1" ht="24" customHeight="1" x14ac:dyDescent="0.25">
      <c r="A3" s="47"/>
      <c r="B3" s="47"/>
      <c r="C3" s="47"/>
      <c r="D3" s="9" t="s">
        <v>2</v>
      </c>
      <c r="E3" s="8" t="s">
        <v>3</v>
      </c>
      <c r="F3" s="49"/>
    </row>
    <row r="4" spans="1:7" s="1" customFormat="1" ht="24" customHeight="1" x14ac:dyDescent="0.25">
      <c r="A4" s="17" t="s">
        <v>29</v>
      </c>
      <c r="B4" s="58" t="s">
        <v>30</v>
      </c>
      <c r="C4" s="59"/>
      <c r="D4" s="59"/>
      <c r="E4" s="59"/>
      <c r="F4" s="60"/>
    </row>
    <row r="5" spans="1:7" s="5" customFormat="1" ht="47.25" x14ac:dyDescent="0.25">
      <c r="A5" s="19">
        <v>1</v>
      </c>
      <c r="B5" s="20" t="s">
        <v>31</v>
      </c>
      <c r="C5" s="19">
        <v>36</v>
      </c>
      <c r="D5" s="21"/>
      <c r="E5" s="8">
        <f>D5*C5</f>
        <v>0</v>
      </c>
      <c r="F5" s="22"/>
    </row>
    <row r="6" spans="1:7" s="5" customFormat="1" ht="47.25" x14ac:dyDescent="0.25">
      <c r="A6" s="19">
        <v>2</v>
      </c>
      <c r="B6" s="20" t="s">
        <v>32</v>
      </c>
      <c r="C6" s="19">
        <v>36</v>
      </c>
      <c r="D6" s="21"/>
      <c r="E6" s="8">
        <f t="shared" ref="E6:E9" si="0">D6*C6</f>
        <v>0</v>
      </c>
      <c r="F6" s="22"/>
    </row>
    <row r="7" spans="1:7" s="5" customFormat="1" ht="31.5" x14ac:dyDescent="0.25">
      <c r="A7" s="19">
        <v>3</v>
      </c>
      <c r="B7" s="20" t="s">
        <v>33</v>
      </c>
      <c r="C7" s="19">
        <v>36</v>
      </c>
      <c r="D7" s="21"/>
      <c r="E7" s="8">
        <f t="shared" si="0"/>
        <v>0</v>
      </c>
      <c r="F7" s="22"/>
    </row>
    <row r="8" spans="1:7" s="5" customFormat="1" ht="31.5" x14ac:dyDescent="0.25">
      <c r="A8" s="19">
        <v>4</v>
      </c>
      <c r="B8" s="20" t="s">
        <v>34</v>
      </c>
      <c r="C8" s="19">
        <v>36</v>
      </c>
      <c r="D8" s="21"/>
      <c r="E8" s="8">
        <f t="shared" si="0"/>
        <v>0</v>
      </c>
      <c r="F8" s="22"/>
    </row>
    <row r="9" spans="1:7" s="5" customFormat="1" ht="31.5" x14ac:dyDescent="0.25">
      <c r="A9" s="19">
        <v>5</v>
      </c>
      <c r="B9" s="20" t="s">
        <v>35</v>
      </c>
      <c r="C9" s="19">
        <v>36</v>
      </c>
      <c r="D9" s="21"/>
      <c r="E9" s="8">
        <f t="shared" si="0"/>
        <v>0</v>
      </c>
      <c r="F9" s="22"/>
      <c r="G9" s="31"/>
    </row>
    <row r="10" spans="1:7" s="5" customFormat="1" ht="15.75" x14ac:dyDescent="0.25">
      <c r="A10" s="17" t="s">
        <v>36</v>
      </c>
      <c r="B10" s="50" t="s">
        <v>37</v>
      </c>
      <c r="C10" s="51"/>
      <c r="D10" s="51"/>
      <c r="E10" s="51"/>
      <c r="F10" s="52"/>
    </row>
    <row r="11" spans="1:7" s="5" customFormat="1" ht="47.25" x14ac:dyDescent="0.25">
      <c r="A11" s="19">
        <v>1</v>
      </c>
      <c r="B11" s="20" t="s">
        <v>38</v>
      </c>
      <c r="C11" s="19">
        <v>27</v>
      </c>
      <c r="D11" s="21"/>
      <c r="E11" s="8">
        <f>D11*C11</f>
        <v>0</v>
      </c>
      <c r="F11" s="22"/>
    </row>
    <row r="12" spans="1:7" s="5" customFormat="1" ht="31.5" x14ac:dyDescent="0.25">
      <c r="A12" s="19">
        <v>2</v>
      </c>
      <c r="B12" s="20" t="s">
        <v>39</v>
      </c>
      <c r="C12" s="19">
        <v>27</v>
      </c>
      <c r="D12" s="21"/>
      <c r="E12" s="8">
        <f t="shared" ref="E12:E15" si="1">D12*C12</f>
        <v>0</v>
      </c>
      <c r="F12" s="22"/>
    </row>
    <row r="13" spans="1:7" s="5" customFormat="1" ht="47.25" x14ac:dyDescent="0.25">
      <c r="A13" s="19">
        <v>3</v>
      </c>
      <c r="B13" s="20" t="s">
        <v>40</v>
      </c>
      <c r="C13" s="19">
        <v>27</v>
      </c>
      <c r="D13" s="21"/>
      <c r="E13" s="8">
        <f t="shared" si="1"/>
        <v>0</v>
      </c>
      <c r="F13" s="22"/>
    </row>
    <row r="14" spans="1:7" s="5" customFormat="1" ht="31.5" x14ac:dyDescent="0.25">
      <c r="A14" s="19">
        <v>4</v>
      </c>
      <c r="B14" s="20" t="s">
        <v>33</v>
      </c>
      <c r="C14" s="19">
        <v>27</v>
      </c>
      <c r="D14" s="21"/>
      <c r="E14" s="8">
        <f t="shared" si="1"/>
        <v>0</v>
      </c>
      <c r="F14" s="22"/>
    </row>
    <row r="15" spans="1:7" s="5" customFormat="1" ht="31.5" x14ac:dyDescent="0.25">
      <c r="A15" s="19">
        <v>5</v>
      </c>
      <c r="B15" s="20" t="s">
        <v>35</v>
      </c>
      <c r="C15" s="19">
        <v>27</v>
      </c>
      <c r="D15" s="21"/>
      <c r="E15" s="8">
        <f t="shared" si="1"/>
        <v>0</v>
      </c>
      <c r="F15" s="22"/>
    </row>
    <row r="16" spans="1:7" s="5" customFormat="1" ht="15.75" x14ac:dyDescent="0.25">
      <c r="A16" s="17" t="s">
        <v>41</v>
      </c>
      <c r="B16" s="50" t="s">
        <v>42</v>
      </c>
      <c r="C16" s="51"/>
      <c r="D16" s="51"/>
      <c r="E16" s="51"/>
      <c r="F16" s="52"/>
    </row>
    <row r="17" spans="1:8" s="5" customFormat="1" ht="47.25" x14ac:dyDescent="0.25">
      <c r="A17" s="19">
        <v>1</v>
      </c>
      <c r="B17" s="20" t="s">
        <v>43</v>
      </c>
      <c r="C17" s="19">
        <v>2</v>
      </c>
      <c r="D17" s="21"/>
      <c r="E17" s="8">
        <f>D17*C17</f>
        <v>0</v>
      </c>
      <c r="F17" s="22"/>
    </row>
    <row r="18" spans="1:8" s="5" customFormat="1" ht="47.25" x14ac:dyDescent="0.25">
      <c r="A18" s="19">
        <v>2</v>
      </c>
      <c r="B18" s="20" t="s">
        <v>40</v>
      </c>
      <c r="C18" s="19">
        <v>2</v>
      </c>
      <c r="D18" s="21"/>
      <c r="E18" s="8">
        <f t="shared" ref="E18:E21" si="2">D18*C18</f>
        <v>0</v>
      </c>
      <c r="F18" s="22"/>
    </row>
    <row r="19" spans="1:8" s="5" customFormat="1" ht="31.5" x14ac:dyDescent="0.25">
      <c r="A19" s="19">
        <v>3</v>
      </c>
      <c r="B19" s="20" t="s">
        <v>33</v>
      </c>
      <c r="C19" s="19">
        <v>2</v>
      </c>
      <c r="D19" s="21"/>
      <c r="E19" s="8">
        <f t="shared" si="2"/>
        <v>0</v>
      </c>
      <c r="F19" s="22"/>
    </row>
    <row r="20" spans="1:8" s="5" customFormat="1" ht="31.5" x14ac:dyDescent="0.25">
      <c r="A20" s="19">
        <v>4</v>
      </c>
      <c r="B20" s="20" t="s">
        <v>44</v>
      </c>
      <c r="C20" s="19">
        <v>2</v>
      </c>
      <c r="D20" s="21"/>
      <c r="E20" s="8">
        <f t="shared" si="2"/>
        <v>0</v>
      </c>
      <c r="F20" s="22"/>
    </row>
    <row r="21" spans="1:8" s="5" customFormat="1" ht="31.5" x14ac:dyDescent="0.25">
      <c r="A21" s="19">
        <v>5</v>
      </c>
      <c r="B21" s="20" t="s">
        <v>35</v>
      </c>
      <c r="C21" s="19">
        <v>2</v>
      </c>
      <c r="D21" s="21"/>
      <c r="E21" s="8">
        <f t="shared" si="2"/>
        <v>0</v>
      </c>
      <c r="F21" s="22"/>
    </row>
    <row r="22" spans="1:8" s="7" customFormat="1" ht="40.15" customHeight="1" x14ac:dyDescent="0.25">
      <c r="A22" s="42" t="s">
        <v>50</v>
      </c>
      <c r="B22" s="43"/>
      <c r="C22" s="44"/>
      <c r="D22" s="62" cm="1">
        <f t="array" ref="D22">SUM(E5:E9+E11:E15+E17:E21)</f>
        <v>0</v>
      </c>
      <c r="E22" s="63"/>
      <c r="F22" s="10"/>
    </row>
    <row r="23" spans="1:8" s="7" customFormat="1" ht="15.75" x14ac:dyDescent="0.25">
      <c r="A23" s="50" t="s">
        <v>51</v>
      </c>
      <c r="B23" s="51"/>
      <c r="C23" s="52"/>
      <c r="D23" s="56">
        <f>D22*0.1</f>
        <v>0</v>
      </c>
      <c r="E23" s="57"/>
      <c r="F23" s="10"/>
    </row>
    <row r="24" spans="1:8" s="7" customFormat="1" ht="40.15" customHeight="1" x14ac:dyDescent="0.25">
      <c r="A24" s="50" t="s">
        <v>52</v>
      </c>
      <c r="B24" s="51"/>
      <c r="C24" s="52"/>
      <c r="D24" s="56">
        <f>SUM(D22:E23)</f>
        <v>0</v>
      </c>
      <c r="E24" s="57"/>
      <c r="F24" s="10"/>
    </row>
    <row r="25" spans="1:8" s="7" customFormat="1" ht="86.25" customHeight="1" x14ac:dyDescent="0.25">
      <c r="A25" s="50" t="s">
        <v>9</v>
      </c>
      <c r="B25" s="51"/>
      <c r="C25" s="51"/>
      <c r="D25" s="55"/>
      <c r="E25" s="55"/>
      <c r="F25" s="32"/>
      <c r="H25" s="15"/>
    </row>
    <row r="26" spans="1:8" s="7" customFormat="1" ht="33" customHeight="1" x14ac:dyDescent="0.25">
      <c r="A26" s="50" t="s">
        <v>10</v>
      </c>
      <c r="B26" s="51"/>
      <c r="C26" s="51"/>
      <c r="D26" s="53"/>
      <c r="E26" s="53"/>
      <c r="F26" s="33"/>
    </row>
    <row r="27" spans="1:8" s="7" customFormat="1" ht="32.450000000000003" customHeight="1" x14ac:dyDescent="0.25">
      <c r="A27" s="50" t="s">
        <v>11</v>
      </c>
      <c r="B27" s="51"/>
      <c r="C27" s="51"/>
      <c r="D27" s="53"/>
      <c r="E27" s="53"/>
      <c r="F27" s="33"/>
      <c r="H27" s="15"/>
    </row>
    <row r="28" spans="1:8" ht="21.75" customHeight="1" x14ac:dyDescent="0.25">
      <c r="A28" s="50" t="s">
        <v>5</v>
      </c>
      <c r="B28" s="51"/>
      <c r="C28" s="51"/>
      <c r="D28" s="54"/>
      <c r="E28" s="54"/>
      <c r="F28" s="34"/>
    </row>
    <row r="29" spans="1:8" s="4" customFormat="1" ht="90" customHeight="1" x14ac:dyDescent="0.25">
      <c r="C29" s="5"/>
      <c r="D29" s="3"/>
      <c r="E29" s="3"/>
      <c r="G29" s="2"/>
      <c r="H29" s="2"/>
    </row>
    <row r="30" spans="1:8" s="4" customFormat="1" ht="90" customHeight="1" x14ac:dyDescent="0.25">
      <c r="C30" s="5"/>
      <c r="D30" s="3"/>
      <c r="E30" s="3"/>
      <c r="G30" s="2"/>
      <c r="H30" s="2"/>
    </row>
    <row r="31" spans="1:8" s="4" customFormat="1" ht="90" customHeight="1" x14ac:dyDescent="0.25">
      <c r="C31" s="5"/>
      <c r="D31" s="3"/>
      <c r="E31" s="3"/>
      <c r="G31" s="2"/>
      <c r="H31" s="2"/>
    </row>
    <row r="32" spans="1:8" s="4" customFormat="1" ht="90" customHeight="1" x14ac:dyDescent="0.25">
      <c r="C32" s="5"/>
      <c r="D32" s="3"/>
      <c r="E32" s="3"/>
      <c r="G32" s="2"/>
      <c r="H32" s="2"/>
    </row>
    <row r="33" spans="1:8" s="4" customFormat="1" ht="90" customHeight="1" x14ac:dyDescent="0.25">
      <c r="A33" s="2"/>
      <c r="B33" s="2"/>
      <c r="C33" s="5"/>
      <c r="D33" s="3"/>
      <c r="E33" s="3"/>
      <c r="G33" s="2"/>
      <c r="H33" s="2"/>
    </row>
    <row r="34" spans="1:8" s="4" customFormat="1" ht="90" customHeight="1" x14ac:dyDescent="0.25">
      <c r="A34" s="2"/>
      <c r="B34" s="2"/>
      <c r="C34" s="5"/>
      <c r="D34" s="3"/>
      <c r="E34" s="3"/>
      <c r="G34" s="2"/>
      <c r="H34" s="2"/>
    </row>
    <row r="35" spans="1:8" s="4" customFormat="1" ht="90" customHeight="1" x14ac:dyDescent="0.25">
      <c r="B35" s="2"/>
      <c r="C35" s="5"/>
      <c r="D35" s="3"/>
      <c r="E35" s="3"/>
      <c r="G35" s="2"/>
      <c r="H35" s="2"/>
    </row>
    <row r="36" spans="1:8" s="4" customFormat="1" ht="90" customHeight="1" x14ac:dyDescent="0.25">
      <c r="B36" s="2"/>
      <c r="C36" s="5"/>
      <c r="D36" s="3"/>
      <c r="E36" s="3"/>
      <c r="G36" s="2"/>
      <c r="H36" s="2"/>
    </row>
    <row r="37" spans="1:8" s="4" customFormat="1" ht="90" customHeight="1" x14ac:dyDescent="0.25">
      <c r="B37" s="2"/>
      <c r="C37" s="5"/>
      <c r="D37" s="3"/>
      <c r="E37" s="3"/>
      <c r="G37" s="2"/>
      <c r="H37" s="2"/>
    </row>
    <row r="38" spans="1:8" s="4" customFormat="1" ht="90" customHeight="1" x14ac:dyDescent="0.25">
      <c r="B38" s="2"/>
      <c r="C38" s="5"/>
      <c r="D38" s="3"/>
      <c r="E38" s="3"/>
      <c r="G38" s="2"/>
      <c r="H38" s="2"/>
    </row>
    <row r="39" spans="1:8" s="4" customFormat="1" ht="90" customHeight="1" x14ac:dyDescent="0.25">
      <c r="B39" s="2"/>
      <c r="C39" s="5"/>
      <c r="D39" s="3"/>
      <c r="E39" s="3"/>
      <c r="G39" s="2"/>
      <c r="H39" s="2"/>
    </row>
    <row r="40" spans="1:8" s="4" customFormat="1" ht="90" customHeight="1" x14ac:dyDescent="0.25">
      <c r="B40" s="2"/>
      <c r="C40" s="5"/>
      <c r="D40" s="3"/>
      <c r="E40" s="3"/>
      <c r="G40" s="2"/>
      <c r="H40" s="2"/>
    </row>
    <row r="41" spans="1:8" s="4" customFormat="1" ht="90" customHeight="1" x14ac:dyDescent="0.25">
      <c r="A41" s="2"/>
      <c r="B41" s="2"/>
      <c r="C41" s="5"/>
      <c r="D41" s="3"/>
      <c r="E41" s="3"/>
      <c r="G41" s="2"/>
      <c r="H41" s="2"/>
    </row>
    <row r="42" spans="1:8" s="4" customFormat="1" ht="90" customHeight="1" x14ac:dyDescent="0.25">
      <c r="A42" s="2"/>
      <c r="B42" s="2"/>
      <c r="C42" s="5"/>
      <c r="D42" s="3"/>
      <c r="E42" s="3"/>
      <c r="G42" s="2"/>
      <c r="H42" s="2"/>
    </row>
    <row r="43" spans="1:8" s="4" customFormat="1" ht="90" customHeight="1" x14ac:dyDescent="0.25">
      <c r="C43" s="5"/>
      <c r="D43" s="3"/>
      <c r="E43" s="3"/>
      <c r="G43" s="2"/>
      <c r="H43" s="2"/>
    </row>
    <row r="44" spans="1:8" s="4" customFormat="1" ht="90" customHeight="1" x14ac:dyDescent="0.25">
      <c r="C44" s="5"/>
      <c r="D44" s="3"/>
      <c r="E44" s="3"/>
      <c r="G44" s="2"/>
      <c r="H44" s="2"/>
    </row>
    <row r="45" spans="1:8" s="4" customFormat="1" ht="90" customHeight="1" x14ac:dyDescent="0.25">
      <c r="C45" s="5"/>
      <c r="D45" s="3"/>
      <c r="E45" s="3"/>
      <c r="G45" s="2"/>
      <c r="H45" s="2"/>
    </row>
    <row r="46" spans="1:8" s="4" customFormat="1" ht="90" customHeight="1" x14ac:dyDescent="0.25">
      <c r="C46" s="5"/>
      <c r="D46" s="3"/>
      <c r="E46" s="3"/>
      <c r="G46" s="2"/>
      <c r="H46" s="2"/>
    </row>
    <row r="47" spans="1:8" s="4" customFormat="1" ht="90" customHeight="1" x14ac:dyDescent="0.25">
      <c r="C47" s="5"/>
      <c r="D47" s="3"/>
      <c r="E47" s="3"/>
      <c r="G47" s="2"/>
      <c r="H47" s="2"/>
    </row>
    <row r="48" spans="1:8" s="4" customFormat="1" ht="90" customHeight="1" x14ac:dyDescent="0.25">
      <c r="C48" s="5"/>
      <c r="D48" s="3"/>
      <c r="E48" s="3"/>
      <c r="G48" s="2"/>
      <c r="H48" s="2"/>
    </row>
    <row r="49" spans="1:8" s="4" customFormat="1" ht="90" customHeight="1" x14ac:dyDescent="0.25">
      <c r="A49" s="2"/>
      <c r="B49" s="2"/>
      <c r="C49" s="5"/>
      <c r="D49" s="3"/>
      <c r="E49" s="3"/>
      <c r="G49" s="2"/>
      <c r="H49" s="2"/>
    </row>
    <row r="50" spans="1:8" s="4" customFormat="1" ht="90" customHeight="1" x14ac:dyDescent="0.25">
      <c r="A50" s="2"/>
      <c r="B50" s="2"/>
      <c r="C50" s="5"/>
      <c r="D50" s="3"/>
      <c r="E50" s="3"/>
      <c r="G50" s="2"/>
      <c r="H50" s="2"/>
    </row>
    <row r="51" spans="1:8" s="4" customFormat="1" ht="90" customHeight="1" x14ac:dyDescent="0.25">
      <c r="A51" s="2"/>
      <c r="B51" s="2"/>
      <c r="C51" s="5"/>
      <c r="D51" s="3"/>
      <c r="E51" s="3"/>
      <c r="G51" s="2"/>
      <c r="H51" s="2"/>
    </row>
    <row r="52" spans="1:8" s="4" customFormat="1" ht="90" customHeight="1" x14ac:dyDescent="0.25">
      <c r="A52" s="2"/>
      <c r="B52" s="2"/>
      <c r="C52" s="5"/>
      <c r="D52" s="3"/>
      <c r="E52" s="3"/>
      <c r="G52" s="2"/>
      <c r="H52" s="2"/>
    </row>
    <row r="53" spans="1:8" s="4" customFormat="1" ht="90" customHeight="1" x14ac:dyDescent="0.25">
      <c r="A53" s="2"/>
      <c r="B53" s="2"/>
      <c r="C53" s="5"/>
      <c r="D53" s="3"/>
      <c r="E53" s="3"/>
      <c r="G53" s="2"/>
      <c r="H53" s="2"/>
    </row>
    <row r="54" spans="1:8" s="4" customFormat="1" ht="90" customHeight="1" x14ac:dyDescent="0.25">
      <c r="A54" s="2"/>
      <c r="B54" s="2"/>
      <c r="C54" s="5"/>
      <c r="D54" s="3"/>
      <c r="E54" s="3"/>
      <c r="G54" s="2"/>
      <c r="H54" s="2"/>
    </row>
    <row r="55" spans="1:8" s="4" customFormat="1" ht="90" customHeight="1" x14ac:dyDescent="0.25">
      <c r="A55" s="2"/>
      <c r="B55" s="2"/>
      <c r="C55" s="5"/>
      <c r="D55" s="3"/>
      <c r="E55" s="3"/>
      <c r="G55" s="2"/>
      <c r="H55" s="2"/>
    </row>
    <row r="56" spans="1:8" s="4" customFormat="1" ht="90" customHeight="1" x14ac:dyDescent="0.25">
      <c r="A56" s="2"/>
      <c r="B56" s="2"/>
      <c r="C56" s="5"/>
      <c r="D56" s="3"/>
      <c r="E56" s="3"/>
      <c r="G56" s="2"/>
      <c r="H56" s="2"/>
    </row>
    <row r="57" spans="1:8" s="4" customFormat="1" ht="90" customHeight="1" x14ac:dyDescent="0.25">
      <c r="A57" s="2"/>
      <c r="B57" s="2"/>
      <c r="C57" s="5"/>
      <c r="D57" s="3"/>
      <c r="E57" s="3"/>
      <c r="G57" s="2"/>
      <c r="H57" s="2"/>
    </row>
    <row r="58" spans="1:8" s="4" customFormat="1" ht="90" customHeight="1" x14ac:dyDescent="0.25">
      <c r="A58" s="2"/>
      <c r="B58" s="2"/>
      <c r="C58" s="5"/>
      <c r="D58" s="3"/>
      <c r="E58" s="3"/>
      <c r="G58" s="2"/>
      <c r="H58" s="2"/>
    </row>
    <row r="59" spans="1:8" s="4" customFormat="1" ht="90" customHeight="1" x14ac:dyDescent="0.25">
      <c r="A59" s="2"/>
      <c r="B59" s="2"/>
      <c r="C59" s="5"/>
      <c r="D59" s="3"/>
      <c r="E59" s="3"/>
      <c r="G59" s="2"/>
      <c r="H59" s="2"/>
    </row>
    <row r="60" spans="1:8" s="4" customFormat="1" ht="90" customHeight="1" x14ac:dyDescent="0.25">
      <c r="A60" s="2"/>
      <c r="B60" s="2"/>
      <c r="C60" s="5"/>
      <c r="D60" s="3"/>
      <c r="E60" s="3"/>
      <c r="G60" s="2"/>
      <c r="H60" s="2"/>
    </row>
    <row r="61" spans="1:8" s="4" customFormat="1" ht="90" customHeight="1" x14ac:dyDescent="0.25">
      <c r="A61" s="2"/>
      <c r="B61" s="2"/>
      <c r="C61" s="5"/>
      <c r="D61" s="3"/>
      <c r="E61" s="3"/>
      <c r="G61" s="2"/>
      <c r="H61" s="2"/>
    </row>
    <row r="62" spans="1:8" s="4" customFormat="1" ht="90" customHeight="1" x14ac:dyDescent="0.25">
      <c r="A62" s="2"/>
      <c r="B62" s="2"/>
      <c r="C62" s="5"/>
      <c r="D62" s="3"/>
      <c r="E62" s="3"/>
      <c r="G62" s="2"/>
      <c r="H62" s="2"/>
    </row>
    <row r="63" spans="1:8" s="4" customFormat="1" ht="90" customHeight="1" x14ac:dyDescent="0.25">
      <c r="A63" s="2"/>
      <c r="B63" s="2"/>
      <c r="C63" s="5"/>
      <c r="D63" s="3"/>
      <c r="E63" s="3"/>
      <c r="G63" s="2"/>
      <c r="H63" s="2"/>
    </row>
    <row r="64" spans="1:8" s="4" customFormat="1" ht="90" customHeight="1" x14ac:dyDescent="0.25">
      <c r="A64" s="2"/>
      <c r="B64" s="2"/>
      <c r="C64" s="5"/>
      <c r="D64" s="3"/>
      <c r="E64" s="3"/>
      <c r="G64" s="2"/>
      <c r="H64" s="2"/>
    </row>
    <row r="65" spans="1:8" s="4" customFormat="1" ht="90" customHeight="1" x14ac:dyDescent="0.25">
      <c r="A65" s="2"/>
      <c r="B65" s="2"/>
      <c r="C65" s="5"/>
      <c r="D65" s="3"/>
      <c r="E65" s="3"/>
      <c r="G65" s="2"/>
      <c r="H65" s="2"/>
    </row>
    <row r="66" spans="1:8" s="4" customFormat="1" ht="90" customHeight="1" x14ac:dyDescent="0.25">
      <c r="A66" s="2"/>
      <c r="B66" s="2"/>
      <c r="C66" s="5"/>
      <c r="D66" s="3"/>
      <c r="E66" s="3"/>
      <c r="G66" s="2"/>
      <c r="H66" s="2"/>
    </row>
    <row r="67" spans="1:8" s="4" customFormat="1" ht="90" customHeight="1" x14ac:dyDescent="0.25">
      <c r="A67" s="2"/>
      <c r="B67" s="2"/>
      <c r="C67" s="5"/>
      <c r="D67" s="3"/>
      <c r="E67" s="3"/>
      <c r="G67" s="2"/>
      <c r="H67" s="2"/>
    </row>
    <row r="68" spans="1:8" s="4" customFormat="1" ht="90" customHeight="1" x14ac:dyDescent="0.25">
      <c r="A68" s="2"/>
      <c r="B68" s="2"/>
      <c r="C68" s="5"/>
      <c r="D68" s="3"/>
      <c r="E68" s="3"/>
      <c r="G68" s="2"/>
      <c r="H68" s="2"/>
    </row>
    <row r="69" spans="1:8" s="4" customFormat="1" ht="90" customHeight="1" x14ac:dyDescent="0.25">
      <c r="A69" s="2"/>
      <c r="B69" s="2"/>
      <c r="C69" s="5"/>
      <c r="D69" s="3"/>
      <c r="E69" s="3"/>
      <c r="G69" s="2"/>
      <c r="H69" s="2"/>
    </row>
    <row r="70" spans="1:8" s="4" customFormat="1" ht="90" customHeight="1" x14ac:dyDescent="0.25">
      <c r="A70" s="2"/>
      <c r="B70" s="2"/>
      <c r="C70" s="5"/>
      <c r="D70" s="3"/>
      <c r="E70" s="3"/>
      <c r="G70" s="2"/>
      <c r="H70" s="2"/>
    </row>
    <row r="71" spans="1:8" s="4" customFormat="1" ht="90" customHeight="1" x14ac:dyDescent="0.25">
      <c r="A71" s="2"/>
      <c r="B71" s="2"/>
      <c r="C71" s="5"/>
      <c r="D71" s="3"/>
      <c r="E71" s="3"/>
      <c r="G71" s="2"/>
      <c r="H71" s="2"/>
    </row>
    <row r="72" spans="1:8" s="4" customFormat="1" ht="90" customHeight="1" x14ac:dyDescent="0.25">
      <c r="A72" s="2"/>
      <c r="B72" s="2"/>
      <c r="C72" s="5"/>
      <c r="D72" s="3"/>
      <c r="E72" s="3"/>
      <c r="G72" s="2"/>
      <c r="H72" s="2"/>
    </row>
    <row r="73" spans="1:8" s="4" customFormat="1" ht="90" customHeight="1" x14ac:dyDescent="0.25">
      <c r="A73" s="2"/>
      <c r="B73" s="2"/>
      <c r="C73" s="5"/>
      <c r="D73" s="3"/>
      <c r="E73" s="3"/>
      <c r="G73" s="2"/>
      <c r="H73" s="2"/>
    </row>
    <row r="74" spans="1:8" s="4" customFormat="1" ht="90" customHeight="1" x14ac:dyDescent="0.25">
      <c r="A74" s="2"/>
      <c r="B74" s="2"/>
      <c r="C74" s="5"/>
      <c r="D74" s="3"/>
      <c r="E74" s="3"/>
      <c r="G74" s="2"/>
      <c r="H74" s="2"/>
    </row>
    <row r="75" spans="1:8" s="4" customFormat="1" ht="90" customHeight="1" x14ac:dyDescent="0.25">
      <c r="A75" s="2"/>
      <c r="B75" s="2"/>
      <c r="C75" s="5"/>
      <c r="D75" s="3"/>
      <c r="E75" s="3"/>
      <c r="G75" s="2"/>
      <c r="H75" s="2"/>
    </row>
    <row r="76" spans="1:8" s="4" customFormat="1" ht="90" customHeight="1" x14ac:dyDescent="0.25">
      <c r="A76" s="2"/>
      <c r="B76" s="2"/>
      <c r="C76" s="5"/>
      <c r="D76" s="3"/>
      <c r="E76" s="3"/>
      <c r="G76" s="2"/>
      <c r="H76" s="2"/>
    </row>
    <row r="77" spans="1:8" s="4" customFormat="1" ht="90" customHeight="1" x14ac:dyDescent="0.25">
      <c r="A77" s="2"/>
      <c r="B77" s="2"/>
      <c r="C77" s="5"/>
      <c r="D77" s="3"/>
      <c r="E77" s="3"/>
      <c r="G77" s="2"/>
      <c r="H77" s="2"/>
    </row>
    <row r="78" spans="1:8" s="4" customFormat="1" ht="90" customHeight="1" x14ac:dyDescent="0.25">
      <c r="A78" s="2"/>
      <c r="B78" s="2"/>
      <c r="C78" s="5"/>
      <c r="D78" s="3"/>
      <c r="E78" s="3"/>
      <c r="G78" s="2"/>
      <c r="H78" s="2"/>
    </row>
    <row r="79" spans="1:8" s="4" customFormat="1" ht="90" customHeight="1" x14ac:dyDescent="0.25">
      <c r="A79" s="2"/>
      <c r="B79" s="2"/>
      <c r="C79" s="5"/>
      <c r="D79" s="3"/>
      <c r="E79" s="3"/>
      <c r="G79" s="2"/>
      <c r="H79" s="2"/>
    </row>
  </sheetData>
  <mergeCells count="22">
    <mergeCell ref="A23:C23"/>
    <mergeCell ref="D23:E23"/>
    <mergeCell ref="A24:C24"/>
    <mergeCell ref="D24:E24"/>
    <mergeCell ref="F2:F3"/>
    <mergeCell ref="B4:F4"/>
    <mergeCell ref="B10:F10"/>
    <mergeCell ref="B16:F16"/>
    <mergeCell ref="A22:C22"/>
    <mergeCell ref="A2:A3"/>
    <mergeCell ref="B2:B3"/>
    <mergeCell ref="C2:C3"/>
    <mergeCell ref="D2:E2"/>
    <mergeCell ref="D22:E22"/>
    <mergeCell ref="A27:C27"/>
    <mergeCell ref="A28:C28"/>
    <mergeCell ref="D27:E27"/>
    <mergeCell ref="D28:E28"/>
    <mergeCell ref="A25:C25"/>
    <mergeCell ref="D25:E25"/>
    <mergeCell ref="A26:C26"/>
    <mergeCell ref="D26:E26"/>
  </mergeCells>
  <phoneticPr fontId="5" type="noConversion"/>
  <printOptions horizontalCentered="1"/>
  <pageMargins left="0.17" right="0.17" top="0.1" bottom="0" header="0.11" footer="0"/>
  <pageSetup paperSize="9" scale="6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9589-E448-4A61-9E08-5F7E0C271C36}">
  <sheetPr>
    <pageSetUpPr fitToPage="1"/>
  </sheetPr>
  <dimension ref="A2:I71"/>
  <sheetViews>
    <sheetView tabSelected="1" zoomScale="70" zoomScaleNormal="70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D5" sqref="D5"/>
    </sheetView>
  </sheetViews>
  <sheetFormatPr defaultColWidth="8.85546875" defaultRowHeight="90" customHeight="1" x14ac:dyDescent="0.25"/>
  <cols>
    <col min="1" max="1" width="21.85546875" style="2" customWidth="1"/>
    <col min="2" max="2" width="40.5703125" style="2" customWidth="1"/>
    <col min="3" max="3" width="9.42578125" style="5" bestFit="1" customWidth="1"/>
    <col min="4" max="5" width="18.7109375" style="6" customWidth="1"/>
    <col min="6" max="6" width="55.42578125" style="4" customWidth="1"/>
    <col min="7" max="9" width="57.85546875" style="2" customWidth="1"/>
    <col min="10" max="16384" width="8.85546875" style="2"/>
  </cols>
  <sheetData>
    <row r="2" spans="1:7" s="7" customFormat="1" ht="42" customHeight="1" x14ac:dyDescent="0.25">
      <c r="A2" s="47" t="s">
        <v>0</v>
      </c>
      <c r="B2" s="47" t="s">
        <v>6</v>
      </c>
      <c r="C2" s="47" t="s">
        <v>1</v>
      </c>
      <c r="D2" s="40" t="s">
        <v>56</v>
      </c>
      <c r="E2" s="61"/>
      <c r="F2" s="48" t="s">
        <v>4</v>
      </c>
    </row>
    <row r="3" spans="1:7" s="1" customFormat="1" ht="24" customHeight="1" x14ac:dyDescent="0.25">
      <c r="A3" s="47"/>
      <c r="B3" s="47"/>
      <c r="C3" s="47"/>
      <c r="D3" s="9" t="s">
        <v>2</v>
      </c>
      <c r="E3" s="8" t="s">
        <v>3</v>
      </c>
      <c r="F3" s="49"/>
    </row>
    <row r="4" spans="1:7" s="5" customFormat="1" ht="15.75" x14ac:dyDescent="0.25">
      <c r="A4" s="17" t="s">
        <v>36</v>
      </c>
      <c r="B4" s="14" t="s">
        <v>37</v>
      </c>
      <c r="C4" s="14"/>
      <c r="D4" s="14"/>
      <c r="E4" s="14"/>
      <c r="F4" s="14"/>
    </row>
    <row r="5" spans="1:7" s="5" customFormat="1" ht="47.25" x14ac:dyDescent="0.25">
      <c r="A5" s="19">
        <v>1</v>
      </c>
      <c r="B5" s="20" t="s">
        <v>38</v>
      </c>
      <c r="C5" s="19">
        <f>188-27</f>
        <v>161</v>
      </c>
      <c r="D5" s="21"/>
      <c r="E5" s="8">
        <f>D5*C5</f>
        <v>0</v>
      </c>
      <c r="F5" s="22"/>
    </row>
    <row r="6" spans="1:7" s="5" customFormat="1" ht="31.5" x14ac:dyDescent="0.25">
      <c r="A6" s="19">
        <v>2</v>
      </c>
      <c r="B6" s="20" t="s">
        <v>39</v>
      </c>
      <c r="C6" s="19">
        <f t="shared" ref="C6:C9" si="0">188-27</f>
        <v>161</v>
      </c>
      <c r="D6" s="21"/>
      <c r="E6" s="8">
        <f t="shared" ref="E6:E9" si="1">D6*C6</f>
        <v>0</v>
      </c>
      <c r="F6" s="22"/>
    </row>
    <row r="7" spans="1:7" s="5" customFormat="1" ht="47.25" x14ac:dyDescent="0.25">
      <c r="A7" s="19">
        <v>3</v>
      </c>
      <c r="B7" s="20" t="s">
        <v>40</v>
      </c>
      <c r="C7" s="19">
        <f t="shared" si="0"/>
        <v>161</v>
      </c>
      <c r="D7" s="21"/>
      <c r="E7" s="8">
        <f t="shared" si="1"/>
        <v>0</v>
      </c>
      <c r="F7" s="22"/>
    </row>
    <row r="8" spans="1:7" s="5" customFormat="1" ht="31.5" x14ac:dyDescent="0.25">
      <c r="A8" s="19">
        <v>4</v>
      </c>
      <c r="B8" s="20" t="s">
        <v>33</v>
      </c>
      <c r="C8" s="19">
        <f t="shared" si="0"/>
        <v>161</v>
      </c>
      <c r="D8" s="21"/>
      <c r="E8" s="8">
        <f t="shared" si="1"/>
        <v>0</v>
      </c>
      <c r="F8" s="22"/>
    </row>
    <row r="9" spans="1:7" s="5" customFormat="1" ht="31.5" x14ac:dyDescent="0.25">
      <c r="A9" s="19">
        <v>5</v>
      </c>
      <c r="B9" s="20" t="s">
        <v>35</v>
      </c>
      <c r="C9" s="19">
        <f t="shared" si="0"/>
        <v>161</v>
      </c>
      <c r="D9" s="21"/>
      <c r="E9" s="8">
        <f t="shared" si="1"/>
        <v>0</v>
      </c>
      <c r="F9" s="22"/>
    </row>
    <row r="10" spans="1:7" s="5" customFormat="1" ht="15.75" x14ac:dyDescent="0.25">
      <c r="A10" s="17" t="s">
        <v>45</v>
      </c>
      <c r="B10" s="14" t="s">
        <v>46</v>
      </c>
      <c r="C10" s="14"/>
      <c r="D10" s="14"/>
      <c r="E10" s="14"/>
      <c r="F10" s="14"/>
    </row>
    <row r="11" spans="1:7" s="5" customFormat="1" ht="31.5" x14ac:dyDescent="0.25">
      <c r="A11" s="19">
        <v>1</v>
      </c>
      <c r="B11" s="20" t="s">
        <v>47</v>
      </c>
      <c r="C11" s="19">
        <v>22</v>
      </c>
      <c r="D11" s="21"/>
      <c r="E11" s="8">
        <f>D11*C11</f>
        <v>0</v>
      </c>
      <c r="F11" s="22"/>
    </row>
    <row r="12" spans="1:7" s="5" customFormat="1" ht="31.5" x14ac:dyDescent="0.25">
      <c r="A12" s="19">
        <v>2</v>
      </c>
      <c r="B12" s="20" t="s">
        <v>48</v>
      </c>
      <c r="C12" s="19">
        <v>22</v>
      </c>
      <c r="D12" s="21"/>
      <c r="E12" s="8">
        <f>D12*C12</f>
        <v>0</v>
      </c>
      <c r="F12" s="22"/>
    </row>
    <row r="13" spans="1:7" s="5" customFormat="1" ht="31.5" x14ac:dyDescent="0.25">
      <c r="A13" s="19">
        <v>3</v>
      </c>
      <c r="B13" s="20" t="s">
        <v>49</v>
      </c>
      <c r="C13" s="19">
        <v>22</v>
      </c>
      <c r="D13" s="21"/>
      <c r="E13" s="8">
        <f t="shared" ref="E13" si="2">D13*C13</f>
        <v>0</v>
      </c>
      <c r="F13" s="22"/>
    </row>
    <row r="14" spans="1:7" s="7" customFormat="1" ht="40.15" customHeight="1" x14ac:dyDescent="0.25">
      <c r="A14" s="42" t="s">
        <v>50</v>
      </c>
      <c r="B14" s="43"/>
      <c r="C14" s="44"/>
      <c r="D14" s="62">
        <f>SUM(E5+E6+E7+E8+E9+E11+E13)</f>
        <v>0</v>
      </c>
      <c r="E14" s="63"/>
      <c r="F14" s="10"/>
      <c r="G14" s="15"/>
    </row>
    <row r="15" spans="1:7" s="7" customFormat="1" ht="15.75" x14ac:dyDescent="0.25">
      <c r="A15" s="50" t="s">
        <v>51</v>
      </c>
      <c r="B15" s="51"/>
      <c r="C15" s="52"/>
      <c r="D15" s="56">
        <f>D14*0.1</f>
        <v>0</v>
      </c>
      <c r="E15" s="57"/>
      <c r="F15" s="10"/>
    </row>
    <row r="16" spans="1:7" s="7" customFormat="1" ht="40.15" customHeight="1" x14ac:dyDescent="0.25">
      <c r="A16" s="50" t="s">
        <v>52</v>
      </c>
      <c r="B16" s="51"/>
      <c r="C16" s="52"/>
      <c r="D16" s="56">
        <f>SUM(D14:E15)</f>
        <v>0</v>
      </c>
      <c r="E16" s="57"/>
      <c r="F16" s="10"/>
    </row>
    <row r="17" spans="1:9" s="7" customFormat="1" ht="75.75" customHeight="1" x14ac:dyDescent="0.25">
      <c r="A17" s="50" t="s">
        <v>9</v>
      </c>
      <c r="B17" s="51"/>
      <c r="C17" s="51"/>
      <c r="D17" s="52"/>
      <c r="E17" s="37"/>
      <c r="F17" s="39"/>
      <c r="G17" s="10"/>
      <c r="I17" s="15"/>
    </row>
    <row r="18" spans="1:9" s="7" customFormat="1" ht="33" customHeight="1" x14ac:dyDescent="0.25">
      <c r="A18" s="50" t="s">
        <v>10</v>
      </c>
      <c r="B18" s="51"/>
      <c r="C18" s="51"/>
      <c r="D18" s="52"/>
      <c r="E18" s="35"/>
      <c r="F18" s="36"/>
      <c r="G18" s="10"/>
    </row>
    <row r="19" spans="1:9" s="7" customFormat="1" ht="32.450000000000003" customHeight="1" x14ac:dyDescent="0.25">
      <c r="A19" s="50" t="s">
        <v>11</v>
      </c>
      <c r="B19" s="51"/>
      <c r="C19" s="51"/>
      <c r="D19" s="52"/>
      <c r="E19" s="35"/>
      <c r="F19" s="36"/>
      <c r="G19" s="10"/>
      <c r="I19" s="15"/>
    </row>
    <row r="20" spans="1:9" ht="21.75" customHeight="1" x14ac:dyDescent="0.25">
      <c r="A20" s="42" t="s">
        <v>5</v>
      </c>
      <c r="B20" s="43"/>
      <c r="C20" s="43"/>
      <c r="D20" s="44"/>
      <c r="E20" s="45"/>
      <c r="F20" s="45"/>
      <c r="G20" s="46"/>
    </row>
    <row r="21" spans="1:9" s="4" customFormat="1" ht="90" customHeight="1" x14ac:dyDescent="0.25">
      <c r="C21" s="5"/>
      <c r="D21" s="3"/>
      <c r="E21" s="3"/>
      <c r="G21" s="2"/>
      <c r="H21" s="2"/>
      <c r="I21" s="2"/>
    </row>
    <row r="22" spans="1:9" s="4" customFormat="1" ht="90" customHeight="1" x14ac:dyDescent="0.25">
      <c r="C22" s="5"/>
      <c r="D22" s="3"/>
      <c r="E22" s="3"/>
      <c r="G22" s="2"/>
      <c r="H22" s="2"/>
      <c r="I22" s="2"/>
    </row>
    <row r="23" spans="1:9" s="4" customFormat="1" ht="90" customHeight="1" x14ac:dyDescent="0.25">
      <c r="C23" s="5"/>
      <c r="D23" s="3"/>
      <c r="E23" s="3"/>
      <c r="G23" s="2"/>
      <c r="H23" s="2"/>
      <c r="I23" s="2"/>
    </row>
    <row r="24" spans="1:9" s="4" customFormat="1" ht="90" customHeight="1" x14ac:dyDescent="0.25">
      <c r="C24" s="5"/>
      <c r="D24" s="3"/>
      <c r="E24" s="3"/>
      <c r="G24" s="2"/>
      <c r="H24" s="2"/>
      <c r="I24" s="2"/>
    </row>
    <row r="25" spans="1:9" s="4" customFormat="1" ht="90" customHeight="1" x14ac:dyDescent="0.25">
      <c r="A25" s="2"/>
      <c r="B25" s="2"/>
      <c r="C25" s="5"/>
      <c r="D25" s="3"/>
      <c r="E25" s="3"/>
      <c r="G25" s="2"/>
      <c r="H25" s="2"/>
      <c r="I25" s="2"/>
    </row>
    <row r="26" spans="1:9" s="4" customFormat="1" ht="90" customHeight="1" x14ac:dyDescent="0.25">
      <c r="A26" s="2"/>
      <c r="B26" s="2"/>
      <c r="C26" s="5"/>
      <c r="D26" s="3"/>
      <c r="E26" s="3"/>
      <c r="G26" s="2"/>
      <c r="H26" s="2"/>
      <c r="I26" s="2"/>
    </row>
    <row r="27" spans="1:9" s="4" customFormat="1" ht="90" customHeight="1" x14ac:dyDescent="0.25">
      <c r="B27" s="2"/>
      <c r="C27" s="5"/>
      <c r="D27" s="3"/>
      <c r="E27" s="3"/>
      <c r="G27" s="2"/>
      <c r="H27" s="2"/>
      <c r="I27" s="2"/>
    </row>
    <row r="28" spans="1:9" s="4" customFormat="1" ht="90" customHeight="1" x14ac:dyDescent="0.25">
      <c r="B28" s="2"/>
      <c r="C28" s="5"/>
      <c r="D28" s="3"/>
      <c r="E28" s="3"/>
      <c r="G28" s="2"/>
      <c r="H28" s="2"/>
      <c r="I28" s="2"/>
    </row>
    <row r="29" spans="1:9" s="4" customFormat="1" ht="90" customHeight="1" x14ac:dyDescent="0.25">
      <c r="B29" s="2"/>
      <c r="C29" s="5"/>
      <c r="D29" s="3"/>
      <c r="E29" s="3"/>
      <c r="G29" s="2"/>
      <c r="H29" s="2"/>
      <c r="I29" s="2"/>
    </row>
    <row r="30" spans="1:9" s="4" customFormat="1" ht="90" customHeight="1" x14ac:dyDescent="0.25">
      <c r="B30" s="2"/>
      <c r="C30" s="5"/>
      <c r="D30" s="3"/>
      <c r="E30" s="3"/>
      <c r="G30" s="2"/>
      <c r="H30" s="2"/>
      <c r="I30" s="2"/>
    </row>
    <row r="31" spans="1:9" s="4" customFormat="1" ht="90" customHeight="1" x14ac:dyDescent="0.25">
      <c r="B31" s="2"/>
      <c r="C31" s="5"/>
      <c r="D31" s="3"/>
      <c r="E31" s="3"/>
      <c r="G31" s="2"/>
      <c r="H31" s="2"/>
      <c r="I31" s="2"/>
    </row>
    <row r="32" spans="1:9" s="4" customFormat="1" ht="90" customHeight="1" x14ac:dyDescent="0.25">
      <c r="B32" s="2"/>
      <c r="C32" s="5"/>
      <c r="D32" s="3"/>
      <c r="E32" s="3"/>
      <c r="G32" s="2"/>
      <c r="H32" s="2"/>
      <c r="I32" s="2"/>
    </row>
    <row r="33" spans="1:9" s="4" customFormat="1" ht="90" customHeight="1" x14ac:dyDescent="0.25">
      <c r="A33" s="2"/>
      <c r="B33" s="2"/>
      <c r="C33" s="5"/>
      <c r="D33" s="3"/>
      <c r="E33" s="3"/>
      <c r="G33" s="2"/>
      <c r="H33" s="2"/>
      <c r="I33" s="2"/>
    </row>
    <row r="34" spans="1:9" s="4" customFormat="1" ht="90" customHeight="1" x14ac:dyDescent="0.25">
      <c r="A34" s="2"/>
      <c r="B34" s="2"/>
      <c r="C34" s="5"/>
      <c r="D34" s="3"/>
      <c r="E34" s="3"/>
      <c r="G34" s="2"/>
      <c r="H34" s="2"/>
      <c r="I34" s="2"/>
    </row>
    <row r="35" spans="1:9" s="4" customFormat="1" ht="90" customHeight="1" x14ac:dyDescent="0.25">
      <c r="C35" s="5"/>
      <c r="D35" s="3"/>
      <c r="E35" s="3"/>
      <c r="G35" s="2"/>
      <c r="H35" s="2"/>
      <c r="I35" s="2"/>
    </row>
    <row r="36" spans="1:9" s="4" customFormat="1" ht="90" customHeight="1" x14ac:dyDescent="0.25">
      <c r="C36" s="5"/>
      <c r="D36" s="3"/>
      <c r="E36" s="3"/>
      <c r="G36" s="2"/>
      <c r="H36" s="2"/>
      <c r="I36" s="2"/>
    </row>
    <row r="37" spans="1:9" s="4" customFormat="1" ht="90" customHeight="1" x14ac:dyDescent="0.25">
      <c r="C37" s="5"/>
      <c r="D37" s="3"/>
      <c r="E37" s="3"/>
      <c r="G37" s="2"/>
      <c r="H37" s="2"/>
      <c r="I37" s="2"/>
    </row>
    <row r="38" spans="1:9" s="4" customFormat="1" ht="90" customHeight="1" x14ac:dyDescent="0.25">
      <c r="C38" s="5"/>
      <c r="D38" s="3"/>
      <c r="E38" s="3"/>
      <c r="G38" s="2"/>
      <c r="H38" s="2"/>
      <c r="I38" s="2"/>
    </row>
    <row r="39" spans="1:9" s="4" customFormat="1" ht="90" customHeight="1" x14ac:dyDescent="0.25">
      <c r="C39" s="5"/>
      <c r="D39" s="3"/>
      <c r="E39" s="3"/>
      <c r="G39" s="2"/>
      <c r="H39" s="2"/>
      <c r="I39" s="2"/>
    </row>
    <row r="40" spans="1:9" s="4" customFormat="1" ht="90" customHeight="1" x14ac:dyDescent="0.25">
      <c r="C40" s="5"/>
      <c r="D40" s="3"/>
      <c r="E40" s="3"/>
      <c r="G40" s="2"/>
      <c r="H40" s="2"/>
      <c r="I40" s="2"/>
    </row>
    <row r="41" spans="1:9" s="4" customFormat="1" ht="90" customHeight="1" x14ac:dyDescent="0.25">
      <c r="A41" s="2"/>
      <c r="B41" s="2"/>
      <c r="C41" s="5"/>
      <c r="D41" s="3"/>
      <c r="E41" s="3"/>
      <c r="G41" s="2"/>
      <c r="H41" s="2"/>
      <c r="I41" s="2"/>
    </row>
    <row r="42" spans="1:9" s="4" customFormat="1" ht="90" customHeight="1" x14ac:dyDescent="0.25">
      <c r="A42" s="2"/>
      <c r="B42" s="2"/>
      <c r="C42" s="5"/>
      <c r="D42" s="3"/>
      <c r="E42" s="3"/>
      <c r="G42" s="2"/>
      <c r="H42" s="2"/>
      <c r="I42" s="2"/>
    </row>
    <row r="43" spans="1:9" s="4" customFormat="1" ht="90" customHeight="1" x14ac:dyDescent="0.25">
      <c r="A43" s="2"/>
      <c r="B43" s="2"/>
      <c r="C43" s="5"/>
      <c r="D43" s="3"/>
      <c r="E43" s="3"/>
      <c r="G43" s="2"/>
      <c r="H43" s="2"/>
      <c r="I43" s="2"/>
    </row>
    <row r="44" spans="1:9" s="4" customFormat="1" ht="90" customHeight="1" x14ac:dyDescent="0.25">
      <c r="A44" s="2"/>
      <c r="B44" s="2"/>
      <c r="C44" s="5"/>
      <c r="D44" s="3"/>
      <c r="E44" s="3"/>
      <c r="G44" s="2"/>
      <c r="H44" s="2"/>
      <c r="I44" s="2"/>
    </row>
    <row r="45" spans="1:9" s="4" customFormat="1" ht="90" customHeight="1" x14ac:dyDescent="0.25">
      <c r="A45" s="2"/>
      <c r="B45" s="2"/>
      <c r="C45" s="5"/>
      <c r="D45" s="3"/>
      <c r="E45" s="3"/>
      <c r="G45" s="2"/>
      <c r="H45" s="2"/>
      <c r="I45" s="2"/>
    </row>
    <row r="46" spans="1:9" s="4" customFormat="1" ht="90" customHeight="1" x14ac:dyDescent="0.25">
      <c r="A46" s="2"/>
      <c r="B46" s="2"/>
      <c r="C46" s="5"/>
      <c r="D46" s="3"/>
      <c r="E46" s="3"/>
      <c r="G46" s="2"/>
      <c r="H46" s="2"/>
      <c r="I46" s="2"/>
    </row>
    <row r="47" spans="1:9" s="4" customFormat="1" ht="90" customHeight="1" x14ac:dyDescent="0.25">
      <c r="A47" s="2"/>
      <c r="B47" s="2"/>
      <c r="C47" s="5"/>
      <c r="D47" s="3"/>
      <c r="E47" s="3"/>
      <c r="G47" s="2"/>
      <c r="H47" s="2"/>
      <c r="I47" s="2"/>
    </row>
    <row r="48" spans="1:9" s="4" customFormat="1" ht="90" customHeight="1" x14ac:dyDescent="0.25">
      <c r="A48" s="2"/>
      <c r="B48" s="2"/>
      <c r="C48" s="5"/>
      <c r="D48" s="3"/>
      <c r="E48" s="3"/>
      <c r="G48" s="2"/>
      <c r="H48" s="2"/>
      <c r="I48" s="2"/>
    </row>
    <row r="49" spans="1:9" s="4" customFormat="1" ht="90" customHeight="1" x14ac:dyDescent="0.25">
      <c r="A49" s="2"/>
      <c r="B49" s="2"/>
      <c r="C49" s="5"/>
      <c r="D49" s="3"/>
      <c r="E49" s="3"/>
      <c r="G49" s="2"/>
      <c r="H49" s="2"/>
      <c r="I49" s="2"/>
    </row>
    <row r="50" spans="1:9" s="4" customFormat="1" ht="90" customHeight="1" x14ac:dyDescent="0.25">
      <c r="A50" s="2"/>
      <c r="B50" s="2"/>
      <c r="C50" s="5"/>
      <c r="D50" s="3"/>
      <c r="E50" s="3"/>
      <c r="G50" s="2"/>
      <c r="H50" s="2"/>
      <c r="I50" s="2"/>
    </row>
    <row r="51" spans="1:9" s="4" customFormat="1" ht="90" customHeight="1" x14ac:dyDescent="0.25">
      <c r="A51" s="2"/>
      <c r="B51" s="2"/>
      <c r="C51" s="5"/>
      <c r="D51" s="3"/>
      <c r="E51" s="3"/>
      <c r="G51" s="2"/>
      <c r="H51" s="2"/>
      <c r="I51" s="2"/>
    </row>
    <row r="52" spans="1:9" s="4" customFormat="1" ht="90" customHeight="1" x14ac:dyDescent="0.25">
      <c r="A52" s="2"/>
      <c r="B52" s="2"/>
      <c r="C52" s="5"/>
      <c r="D52" s="3"/>
      <c r="E52" s="3"/>
      <c r="G52" s="2"/>
      <c r="H52" s="2"/>
      <c r="I52" s="2"/>
    </row>
    <row r="53" spans="1:9" s="4" customFormat="1" ht="90" customHeight="1" x14ac:dyDescent="0.25">
      <c r="A53" s="2"/>
      <c r="B53" s="2"/>
      <c r="C53" s="5"/>
      <c r="D53" s="3"/>
      <c r="E53" s="3"/>
      <c r="G53" s="2"/>
      <c r="H53" s="2"/>
      <c r="I53" s="2"/>
    </row>
    <row r="54" spans="1:9" s="4" customFormat="1" ht="90" customHeight="1" x14ac:dyDescent="0.25">
      <c r="A54" s="2"/>
      <c r="B54" s="2"/>
      <c r="C54" s="5"/>
      <c r="D54" s="3"/>
      <c r="E54" s="3"/>
      <c r="G54" s="2"/>
      <c r="H54" s="2"/>
      <c r="I54" s="2"/>
    </row>
    <row r="55" spans="1:9" s="4" customFormat="1" ht="90" customHeight="1" x14ac:dyDescent="0.25">
      <c r="A55" s="2"/>
      <c r="B55" s="2"/>
      <c r="C55" s="5"/>
      <c r="D55" s="3"/>
      <c r="E55" s="3"/>
      <c r="G55" s="2"/>
      <c r="H55" s="2"/>
      <c r="I55" s="2"/>
    </row>
    <row r="56" spans="1:9" s="4" customFormat="1" ht="90" customHeight="1" x14ac:dyDescent="0.25">
      <c r="A56" s="2"/>
      <c r="B56" s="2"/>
      <c r="C56" s="5"/>
      <c r="D56" s="3"/>
      <c r="E56" s="3"/>
      <c r="G56" s="2"/>
      <c r="H56" s="2"/>
      <c r="I56" s="2"/>
    </row>
    <row r="57" spans="1:9" s="4" customFormat="1" ht="90" customHeight="1" x14ac:dyDescent="0.25">
      <c r="A57" s="2"/>
      <c r="B57" s="2"/>
      <c r="C57" s="5"/>
      <c r="D57" s="3"/>
      <c r="E57" s="3"/>
      <c r="G57" s="2"/>
      <c r="H57" s="2"/>
      <c r="I57" s="2"/>
    </row>
    <row r="58" spans="1:9" s="4" customFormat="1" ht="90" customHeight="1" x14ac:dyDescent="0.25">
      <c r="A58" s="2"/>
      <c r="B58" s="2"/>
      <c r="C58" s="5"/>
      <c r="D58" s="3"/>
      <c r="E58" s="3"/>
      <c r="G58" s="2"/>
      <c r="H58" s="2"/>
      <c r="I58" s="2"/>
    </row>
    <row r="59" spans="1:9" s="4" customFormat="1" ht="90" customHeight="1" x14ac:dyDescent="0.25">
      <c r="A59" s="2"/>
      <c r="B59" s="2"/>
      <c r="C59" s="5"/>
      <c r="D59" s="3"/>
      <c r="E59" s="3"/>
      <c r="G59" s="2"/>
      <c r="H59" s="2"/>
      <c r="I59" s="2"/>
    </row>
    <row r="60" spans="1:9" s="4" customFormat="1" ht="90" customHeight="1" x14ac:dyDescent="0.25">
      <c r="A60" s="2"/>
      <c r="B60" s="2"/>
      <c r="C60" s="5"/>
      <c r="D60" s="3"/>
      <c r="E60" s="3"/>
      <c r="G60" s="2"/>
      <c r="H60" s="2"/>
      <c r="I60" s="2"/>
    </row>
    <row r="61" spans="1:9" s="4" customFormat="1" ht="90" customHeight="1" x14ac:dyDescent="0.25">
      <c r="A61" s="2"/>
      <c r="B61" s="2"/>
      <c r="C61" s="5"/>
      <c r="D61" s="3"/>
      <c r="E61" s="3"/>
      <c r="G61" s="2"/>
      <c r="H61" s="2"/>
      <c r="I61" s="2"/>
    </row>
    <row r="62" spans="1:9" s="4" customFormat="1" ht="90" customHeight="1" x14ac:dyDescent="0.25">
      <c r="A62" s="2"/>
      <c r="B62" s="2"/>
      <c r="C62" s="5"/>
      <c r="D62" s="3"/>
      <c r="E62" s="3"/>
      <c r="G62" s="2"/>
      <c r="H62" s="2"/>
      <c r="I62" s="2"/>
    </row>
    <row r="63" spans="1:9" s="4" customFormat="1" ht="90" customHeight="1" x14ac:dyDescent="0.25">
      <c r="A63" s="2"/>
      <c r="B63" s="2"/>
      <c r="C63" s="5"/>
      <c r="D63" s="3"/>
      <c r="E63" s="3"/>
      <c r="G63" s="2"/>
      <c r="H63" s="2"/>
      <c r="I63" s="2"/>
    </row>
    <row r="64" spans="1:9" s="4" customFormat="1" ht="90" customHeight="1" x14ac:dyDescent="0.25">
      <c r="A64" s="2"/>
      <c r="B64" s="2"/>
      <c r="C64" s="5"/>
      <c r="D64" s="3"/>
      <c r="E64" s="3"/>
      <c r="G64" s="2"/>
      <c r="H64" s="2"/>
      <c r="I64" s="2"/>
    </row>
    <row r="65" spans="1:9" s="4" customFormat="1" ht="90" customHeight="1" x14ac:dyDescent="0.25">
      <c r="A65" s="2"/>
      <c r="B65" s="2"/>
      <c r="C65" s="5"/>
      <c r="D65" s="3"/>
      <c r="E65" s="3"/>
      <c r="G65" s="2"/>
      <c r="H65" s="2"/>
      <c r="I65" s="2"/>
    </row>
    <row r="66" spans="1:9" s="4" customFormat="1" ht="90" customHeight="1" x14ac:dyDescent="0.25">
      <c r="A66" s="2"/>
      <c r="B66" s="2"/>
      <c r="C66" s="5"/>
      <c r="D66" s="3"/>
      <c r="E66" s="3"/>
      <c r="G66" s="2"/>
      <c r="H66" s="2"/>
      <c r="I66" s="2"/>
    </row>
    <row r="67" spans="1:9" s="4" customFormat="1" ht="90" customHeight="1" x14ac:dyDescent="0.25">
      <c r="A67" s="2"/>
      <c r="B67" s="2"/>
      <c r="C67" s="5"/>
      <c r="D67" s="3"/>
      <c r="E67" s="3"/>
      <c r="G67" s="2"/>
      <c r="H67" s="2"/>
      <c r="I67" s="2"/>
    </row>
    <row r="68" spans="1:9" s="4" customFormat="1" ht="90" customHeight="1" x14ac:dyDescent="0.25">
      <c r="A68" s="2"/>
      <c r="B68" s="2"/>
      <c r="C68" s="5"/>
      <c r="D68" s="3"/>
      <c r="E68" s="3"/>
      <c r="G68" s="2"/>
      <c r="H68" s="2"/>
      <c r="I68" s="2"/>
    </row>
    <row r="69" spans="1:9" s="4" customFormat="1" ht="90" customHeight="1" x14ac:dyDescent="0.25">
      <c r="A69" s="2"/>
      <c r="B69" s="2"/>
      <c r="C69" s="5"/>
      <c r="D69" s="3"/>
      <c r="E69" s="3"/>
      <c r="G69" s="2"/>
      <c r="H69" s="2"/>
      <c r="I69" s="2"/>
    </row>
    <row r="70" spans="1:9" s="4" customFormat="1" ht="90" customHeight="1" x14ac:dyDescent="0.25">
      <c r="A70" s="2"/>
      <c r="B70" s="2"/>
      <c r="C70" s="5"/>
      <c r="D70" s="3"/>
      <c r="E70" s="3"/>
      <c r="G70" s="2"/>
      <c r="H70" s="2"/>
      <c r="I70" s="2"/>
    </row>
    <row r="71" spans="1:9" s="4" customFormat="1" ht="90" customHeight="1" x14ac:dyDescent="0.25">
      <c r="A71" s="2"/>
      <c r="B71" s="2"/>
      <c r="C71" s="5"/>
      <c r="D71" s="3"/>
      <c r="E71" s="3"/>
      <c r="G71" s="2"/>
      <c r="H71" s="2"/>
      <c r="I71" s="2"/>
    </row>
  </sheetData>
  <mergeCells count="16">
    <mergeCell ref="A18:D18"/>
    <mergeCell ref="A19:D19"/>
    <mergeCell ref="A20:D20"/>
    <mergeCell ref="E20:G20"/>
    <mergeCell ref="A15:C15"/>
    <mergeCell ref="D15:E15"/>
    <mergeCell ref="A16:C16"/>
    <mergeCell ref="D16:E16"/>
    <mergeCell ref="A17:D17"/>
    <mergeCell ref="F2:F3"/>
    <mergeCell ref="A14:C14"/>
    <mergeCell ref="D14:E14"/>
    <mergeCell ref="A2:A3"/>
    <mergeCell ref="B2:B3"/>
    <mergeCell ref="C2:C3"/>
    <mergeCell ref="D2:E2"/>
  </mergeCells>
  <printOptions horizontalCentered="1"/>
  <pageMargins left="0.17" right="0.17" top="0.1" bottom="0" header="0.11" footer="0"/>
  <pageSetup scale="5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Thi công lắp đặt</vt:lpstr>
      <vt:lpstr>GD 1</vt:lpstr>
      <vt:lpstr>GD 2</vt:lpstr>
      <vt:lpstr>'Thi công lắp đặt'!Print_Area</vt:lpstr>
      <vt:lpstr>'GD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NGUYENTHUY Trang</dc:creator>
  <cp:lastModifiedBy>Bùi Khánh Sơn (EWH-KS-CV)</cp:lastModifiedBy>
  <cp:lastPrinted>2025-07-31T08:55:39Z</cp:lastPrinted>
  <dcterms:created xsi:type="dcterms:W3CDTF">2023-07-31T16:14:28Z</dcterms:created>
  <dcterms:modified xsi:type="dcterms:W3CDTF">2025-09-09T08:36:33Z</dcterms:modified>
</cp:coreProperties>
</file>