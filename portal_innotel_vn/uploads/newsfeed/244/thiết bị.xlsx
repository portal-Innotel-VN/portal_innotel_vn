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nghg0\Downloads\"/>
    </mc:Choice>
  </mc:AlternateContent>
  <xr:revisionPtr revIDLastSave="0" documentId="8_{3676F242-9E43-4ABF-9DE1-73B8C14E76F9}" xr6:coauthVersionLast="47" xr6:coauthVersionMax="47" xr10:uidLastSave="{00000000-0000-0000-0000-000000000000}"/>
  <bookViews>
    <workbookView xWindow="-120" yWindow="-120" windowWidth="20730" windowHeight="11760" xr2:uid="{8EDF4D18-CC6A-409F-AA56-FF2C06DB5EC7}"/>
  </bookViews>
  <sheets>
    <sheet name="Trang_tính1" sheetId="1" r:id="rId1"/>
  </sheets>
  <externalReferences>
    <externalReference r:id="rId2"/>
  </externalReferenc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2" i="1" l="1"/>
  <c r="F11" i="1"/>
  <c r="F9" i="1"/>
  <c r="F8" i="1"/>
  <c r="F7" i="1"/>
  <c r="F6" i="1"/>
</calcChain>
</file>

<file path=xl/sharedStrings.xml><?xml version="1.0" encoding="utf-8"?>
<sst xmlns="http://schemas.openxmlformats.org/spreadsheetml/2006/main" count="42" uniqueCount="32">
  <si>
    <t>A</t>
  </si>
  <si>
    <t>HỆ THỐNG MẠNG LAN</t>
  </si>
  <si>
    <t>I</t>
  </si>
  <si>
    <t>THÀNH PHẦN THIẾT BỊ TRUNG TÂM</t>
  </si>
  <si>
    <t>Thiết bị Firewall</t>
  </si>
  <si>
    <t>- Hình thức: Tiêu chuẩn bắt Rack
- Giao diện công kết nối: 24x1GbE, 4x10G SFP+, 2 USB 3.0, 1 Console, 1 Mgmt. port
- Thông lượng Firewall: 5.5 Gbps
- Thông lượng Threat Protection: 3.5 Gbps
- Thông lượng IPS: 3.8 Gbps
- Số session đồng thời: 2,000,000
- Số session mới trên giây: 22,000
- Hỗ trợ các tính năng cơ bản: NAT, Routing, VLAN, Load Balancing, DHCP Server.
- Hỗ trợ các tính năng về firewall: Capture Advanced Threat Protection, Gateway Anti-Virus, Anti-Spyware, Intrusion Prevention, Application Firewall Service, Content Filtering Services, Comprehensive Anti-Spam
- Hỗ trợ phương án dự phòng theo hình thức Active-Passsive
- Gói bảo hành, hỗ trợ kỹ thuật 24x7 trong 1 năm</t>
  </si>
  <si>
    <t>Taiwan</t>
  </si>
  <si>
    <t>Chiếc</t>
  </si>
  <si>
    <t>Thiết bị Switch Core</t>
  </si>
  <si>
    <t>- Hình thức: Tiêu chuẩn Rackmount
- Giao diện cổng kết nối: 16×1/10GbE SFP ports, 8×25 GbE SFP28 stacking/uplink-ports
- Switching capacity: 720Gbps
- Forwarding capacity: 533Mpps
- MAC addresses: 32.000
- Hỗ trợ giao thức xếp chồng Stack đáp ứng băng thông kết nối và đảm bảo tính sẵn sàng cao cho hệ thống.
- Hỗ trợ các tính năng cơ bản: IEEE 802.1Q VLAN, Link aggregation protocol, Spanning tree protocol, DHCP Snooping, ARP, IGMP snooping.
- Hỗ trợ tính năng Layer3: Static routes, RIP, OSPF, VRRP, VRF, GRE, PIM, PBR
- Giao diện quản lý: Hỗ trợ giao diện quản trị qua CLI (Telnet/SSH), Web
- Phụ kiện đi kèm: cáp nguồn, cáp Stack</t>
  </si>
  <si>
    <t>Máy chủ cài đặt ứng dụng mạng LAN</t>
  </si>
  <si>
    <t>- Bộ vi xử lý: 1 x CPU 12Core
- Ram: 32GB
- Ổ cứng
+ 2 x 480GB SSD SATA RAID 1
+ 2 x 2.4TB SAS SATA RAID 1
- Dual, Hot-plug, PSU (1+1), 800W
- Hỗ trợ Raid 0,1,5, 10</t>
  </si>
  <si>
    <t>Malaysia</t>
  </si>
  <si>
    <t>Phần mềm Window server (DHCP/DNS Server)</t>
  </si>
  <si>
    <t xml:space="preserve">Windows Server 2025 Standard - 16 Core License Pack +  5 User CAL	</t>
  </si>
  <si>
    <t>US</t>
  </si>
  <si>
    <t>Lic</t>
  </si>
  <si>
    <t>Phần mềm giám sát</t>
  </si>
  <si>
    <t>- Thu thập và lưu trữ tập trung log từ các nguồn đa dạng (server, thiết bị mạng, ứng dụng). 
- Giám sát trạng thái hoạt động và hiệu suất của thiết bị, máy chủ thông qua SNMP, ICMP. 
- Quản lý, phân tích sự kiện và luồng dữ liệu (flow), hỗ trợ phát hiện sớm sự cố. 
-  Cung cấp Dashboard trực quan thời gian thực, kèm cảnh báo tự động qua (email, Zalo, WhatsApp,...) khi có sự kiện bất thường. 
- Hỗ trợ xây dựng các kịch bản tự động giúp xử lý nhanh, hiệu quả các sự cố và tương tác tự động với các hệ thống bên ngoài (gửi lệnh cấu hình, khắc phục lỗi tự động). 
- Báo cáo thống kê, phân tích xu hướng và lưu trữ dữ liệu dài hạn để phục vụ điều tra, audit, tuân thủ bảo mật.</t>
  </si>
  <si>
    <t>Việt Nam</t>
  </si>
  <si>
    <t>Gói</t>
  </si>
  <si>
    <t>Màn hình giám sát 55inch</t>
  </si>
  <si>
    <t>- Kích thước: 55 inch
- Độ phân dải: 4K
- Hỗ trợ cổng kết nối: HDMI, USB</t>
  </si>
  <si>
    <t>Bộ máy tính giám sát</t>
  </si>
  <si>
    <t>- CPU: Core I5
- RAM: 16GB
- Ổ cứng: 512GB
- GPU: GTX 1060 6GB
- NIC: Ethernet 1Gbps
- Bao gồm bàn phím, chuột, OS Window 11, Màn hình 21.5" Led, Full HD</t>
  </si>
  <si>
    <t>China</t>
  </si>
  <si>
    <t>II</t>
  </si>
  <si>
    <t>THIẾT BỊ NHÁNH</t>
  </si>
  <si>
    <t>Switch Access 24port</t>
  </si>
  <si>
    <t>- Cổng giao tiếp kết nối: 24 x 100M/1000M BASE-T ports, 4 x 1GE/10GE SFP+ ports
- Switching capacity: 128 Gbps
- Forwarding capacity: 96 Mpps
- MAC addresses: 16.000
- Jumbo frame: 9216 Bytes
- Hỗ trợ các tính năng cơ bản: IEEE 802.1Q VLAN, Link aggregation protocol, Spanning tree protocol, DHCP Snooping, ARP, IGMP
- Hỗ trợ tính năng Layer3: RIP, OSPF
- Giao diện quản lý: CLI, Web management, Cloud and app management, telnet</t>
  </si>
  <si>
    <t>Switch Access 48port</t>
  </si>
  <si>
    <t>- Cổng giao tiếp kết nối: 48 x 100M/1000M BASE-T ports, 4 x 1GE/10GE SFP+ ports
- Switching capacity: 176 Gbps
- Forwarding capacity: 132 Mpps
- MAC addresses: 16.000
- Jumbo frame: 9216 Bytes
- Hỗ trợ các tính năng cơ bản: IEEE 802.1Q VLAN, Link aggregation protocol, Spanning tree protocol, DHCP Snooping, ARP, IGMP
- Hỗ trợ tính năng Layer3: RIP, OSPF
- Giao diện quản lý: CLI, Web management, Cloud and app management, telnet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</si>
</sst>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charset val="163"/>
      <scheme val="minor"/>
    </font>
    <font>
      <b/>
      <sz val="12"/>
      <name val="Times New Roman"/>
      <family val="1"/>
    </font>
    <font>
      <sz val="12"/>
      <name val="Times New Roman"/>
      <family val="1"/>
    </font>
    <font>
      <sz val="10"/>
      <name val="Arial"/>
      <family val="2"/>
    </font>
    <font>
      <sz val="10"/>
      <color rgb="FF000000"/>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3" fillId="0" borderId="0"/>
    <xf numFmtId="0" fontId="3" fillId="0" borderId="0"/>
    <xf numFmtId="0" fontId="4" fillId="0" borderId="0"/>
  </cellStyleXfs>
  <cellXfs count="26">
    <xf numFmtId="0" fontId="0" fillId="0" borderId="0" xfId="0"/>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vertical="center" wrapText="1"/>
    </xf>
    <xf numFmtId="0" fontId="2" fillId="0" borderId="1" xfId="0" applyFont="1" applyBorder="1" applyAlignment="1">
      <alignment wrapText="1"/>
    </xf>
    <xf numFmtId="0" fontId="2" fillId="0" borderId="0" xfId="0" applyFont="1" applyAlignment="1">
      <alignment wrapText="1"/>
    </xf>
    <xf numFmtId="0" fontId="1" fillId="0" borderId="1" xfId="0" applyFont="1" applyBorder="1" applyAlignment="1">
      <alignment vertical="center" wrapText="1"/>
    </xf>
    <xf numFmtId="0" fontId="2" fillId="0" borderId="1" xfId="0" quotePrefix="1" applyFont="1" applyBorder="1" applyAlignment="1">
      <alignment horizontal="center" vertical="center" wrapText="1"/>
    </xf>
    <xf numFmtId="0" fontId="2" fillId="0" borderId="1" xfId="1" applyFont="1" applyBorder="1" applyAlignment="1">
      <alignment horizontal="left" vertical="center" wrapText="1"/>
    </xf>
    <xf numFmtId="0" fontId="2" fillId="0" borderId="1" xfId="1" quotePrefix="1" applyFont="1" applyBorder="1" applyAlignment="1">
      <alignment horizontal="left" vertical="center" wrapText="1"/>
    </xf>
    <xf numFmtId="0" fontId="2" fillId="0" borderId="1" xfId="2" quotePrefix="1" applyFont="1" applyBorder="1" applyAlignment="1">
      <alignment horizontal="center" vertical="center" wrapText="1"/>
    </xf>
    <xf numFmtId="1" fontId="2" fillId="0" borderId="1" xfId="0" applyNumberFormat="1" applyFont="1" applyBorder="1" applyAlignment="1">
      <alignment horizontal="center" vertical="center" wrapText="1"/>
    </xf>
    <xf numFmtId="0" fontId="2" fillId="0" borderId="1" xfId="0" quotePrefix="1" applyFont="1" applyBorder="1" applyAlignment="1">
      <alignment horizontal="center" vertical="center"/>
    </xf>
    <xf numFmtId="0" fontId="2" fillId="0" borderId="1" xfId="1" applyFont="1" applyBorder="1" applyAlignment="1">
      <alignment horizontal="left" vertical="center"/>
    </xf>
    <xf numFmtId="0" fontId="2" fillId="0" borderId="1" xfId="2" quotePrefix="1" applyFont="1" applyBorder="1" applyAlignment="1">
      <alignment horizontal="center" vertical="center"/>
    </xf>
    <xf numFmtId="1" fontId="2" fillId="0" borderId="1" xfId="0" applyNumberFormat="1" applyFont="1" applyBorder="1" applyAlignment="1">
      <alignment horizontal="center" vertical="center"/>
    </xf>
    <xf numFmtId="0" fontId="2" fillId="0" borderId="1" xfId="0" applyFont="1" applyBorder="1"/>
    <xf numFmtId="0" fontId="2" fillId="0" borderId="0" xfId="0" applyFont="1"/>
    <xf numFmtId="0" fontId="2" fillId="0" borderId="1" xfId="3" quotePrefix="1" applyFont="1" applyBorder="1" applyAlignment="1">
      <alignment vertical="center" wrapText="1"/>
    </xf>
    <xf numFmtId="0" fontId="2" fillId="0" borderId="1" xfId="1"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quotePrefix="1" applyFont="1"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1" fillId="0" borderId="1" xfId="0" applyFont="1" applyBorder="1" applyAlignment="1">
      <alignment vertical="center"/>
    </xf>
    <xf numFmtId="0" fontId="2" fillId="0" borderId="1" xfId="2" quotePrefix="1" applyFont="1" applyBorder="1" applyAlignment="1">
      <alignment horizontal="left" vertical="center" wrapText="1"/>
    </xf>
  </cellXfs>
  <cellStyles count="4">
    <cellStyle name="Bình thường" xfId="0" builtinId="0"/>
    <cellStyle name="Normal 10 19" xfId="1" xr:uid="{D1D2064B-B049-4187-BE09-C8FEE8B5E6C6}"/>
    <cellStyle name="Normal 2" xfId="3" xr:uid="{01720C8F-BCF2-461D-A70C-7E349706B777}"/>
    <cellStyle name="標準_Aspila Price List" xfId="2" xr:uid="{931E63F1-EA80-4FAB-9FE9-94477C046B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TrungPT\Du%20an\BV%20Th&#7853;n%20CS2\Bao%20gi&#225;\Tong%20hop\16052025_BVT2_Du%20toan%20v2.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ện trạng kiến trúc"/>
      <sheetName val="TT54-TC Hạ tầng"/>
      <sheetName val="TT54-TC Bảo mật &amp; ATTT"/>
      <sheetName val="Hạng mục thiết kế"/>
      <sheetName val="Tong hop (2)"/>
      <sheetName val="Tong hop"/>
      <sheetName val="Bao gia"/>
      <sheetName val="BOM CNTT"/>
      <sheetName val="BOM CNTT (cu)"/>
      <sheetName val="BOM nhân công"/>
      <sheetName val="Danh muc BMA"/>
      <sheetName val=" BMS (DT)"/>
      <sheetName val="BMS(NET)"/>
      <sheetName val="BGYTA"/>
      <sheetName val="VCM-TB"/>
      <sheetName val="VCM-NC"/>
      <sheetName val="BG 1"/>
      <sheetName val="BG 2"/>
      <sheetName val="BG 3"/>
      <sheetName val="Xếp hàng tự động"/>
      <sheetName val="Sheet1"/>
      <sheetName val="HT Kiosk chỉ đườ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9">
          <cell r="E9">
            <v>1</v>
          </cell>
        </row>
        <row r="11">
          <cell r="E11">
            <v>8</v>
          </cell>
        </row>
        <row r="12">
          <cell r="E12">
            <v>5</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B2178-A420-41C7-AC46-A4C11CB68C3F}">
  <dimension ref="A1:G12"/>
  <sheetViews>
    <sheetView tabSelected="1" workbookViewId="0">
      <selection activeCell="C3" sqref="C3"/>
    </sheetView>
  </sheetViews>
  <sheetFormatPr defaultRowHeight="14.25" outlineLevelRow="1" x14ac:dyDescent="0.2"/>
  <cols>
    <col min="2" max="2" width="40.375" customWidth="1"/>
    <col min="3" max="3" width="37.875" customWidth="1"/>
    <col min="5" max="5" width="20.75" customWidth="1"/>
  </cols>
  <sheetData>
    <row r="1" spans="1:7" s="6" customFormat="1" ht="63" x14ac:dyDescent="0.25">
      <c r="A1" s="2" t="s">
        <v>0</v>
      </c>
      <c r="B1" s="3" t="s">
        <v>1</v>
      </c>
      <c r="C1" s="4"/>
      <c r="D1" s="2"/>
      <c r="E1" s="2"/>
      <c r="F1" s="2"/>
      <c r="G1" s="5"/>
    </row>
    <row r="2" spans="1:7" s="6" customFormat="1" ht="94.5" outlineLevel="1" x14ac:dyDescent="0.25">
      <c r="A2" s="1" t="s">
        <v>2</v>
      </c>
      <c r="B2" s="7" t="s">
        <v>3</v>
      </c>
      <c r="C2" s="7"/>
      <c r="D2" s="1"/>
      <c r="E2" s="1"/>
      <c r="F2" s="1"/>
      <c r="G2" s="5"/>
    </row>
    <row r="3" spans="1:7" s="6" customFormat="1" ht="409.5" outlineLevel="1" x14ac:dyDescent="0.25">
      <c r="A3" s="8">
        <v>1</v>
      </c>
      <c r="B3" s="9" t="s">
        <v>4</v>
      </c>
      <c r="C3" s="10" t="s">
        <v>5</v>
      </c>
      <c r="D3" s="11" t="s">
        <v>6</v>
      </c>
      <c r="E3" s="11" t="s">
        <v>7</v>
      </c>
      <c r="F3" s="12">
        <v>2</v>
      </c>
      <c r="G3" s="5"/>
    </row>
    <row r="4" spans="1:7" s="18" customFormat="1" ht="409.5" outlineLevel="1" x14ac:dyDescent="0.25">
      <c r="A4" s="13">
        <v>2</v>
      </c>
      <c r="B4" s="14" t="s">
        <v>8</v>
      </c>
      <c r="C4" s="10" t="s">
        <v>9</v>
      </c>
      <c r="D4" s="11" t="s">
        <v>6</v>
      </c>
      <c r="E4" s="15" t="s">
        <v>7</v>
      </c>
      <c r="F4" s="16">
        <v>2</v>
      </c>
      <c r="G4" s="17"/>
    </row>
    <row r="5" spans="1:7" s="6" customFormat="1" ht="393.75" outlineLevel="1" x14ac:dyDescent="0.25">
      <c r="A5" s="8">
        <v>3</v>
      </c>
      <c r="B5" s="9" t="s">
        <v>10</v>
      </c>
      <c r="C5" s="19" t="s">
        <v>11</v>
      </c>
      <c r="D5" s="11" t="s">
        <v>12</v>
      </c>
      <c r="E5" s="11" t="s">
        <v>7</v>
      </c>
      <c r="F5" s="12">
        <v>2</v>
      </c>
      <c r="G5" s="5"/>
    </row>
    <row r="6" spans="1:7" s="6" customFormat="1" ht="141.75" outlineLevel="1" x14ac:dyDescent="0.25">
      <c r="A6" s="8">
        <v>4</v>
      </c>
      <c r="B6" s="9" t="s">
        <v>13</v>
      </c>
      <c r="C6" s="9" t="s">
        <v>14</v>
      </c>
      <c r="D6" s="20" t="s">
        <v>15</v>
      </c>
      <c r="E6" s="11" t="s">
        <v>16</v>
      </c>
      <c r="F6" s="12" t="e">
        <f>'[1]Danh muc BMA'!E5</f>
        <v>#REF!</v>
      </c>
      <c r="G6" s="5"/>
    </row>
    <row r="7" spans="1:7" s="6" customFormat="1" ht="409.5" outlineLevel="1" x14ac:dyDescent="0.25">
      <c r="A7" s="21">
        <v>5</v>
      </c>
      <c r="B7" s="9" t="s">
        <v>17</v>
      </c>
      <c r="C7" s="22" t="s">
        <v>18</v>
      </c>
      <c r="D7" s="11" t="s">
        <v>19</v>
      </c>
      <c r="E7" s="11" t="s">
        <v>20</v>
      </c>
      <c r="F7" s="12" t="e">
        <f>'[1]Danh muc BMA'!E6</f>
        <v>#REF!</v>
      </c>
      <c r="G7" s="5"/>
    </row>
    <row r="8" spans="1:7" s="6" customFormat="1" ht="173.25" outlineLevel="1" x14ac:dyDescent="0.25">
      <c r="A8" s="8">
        <v>6</v>
      </c>
      <c r="B8" s="9" t="s">
        <v>21</v>
      </c>
      <c r="C8" s="22" t="s">
        <v>22</v>
      </c>
      <c r="D8" s="11" t="s">
        <v>19</v>
      </c>
      <c r="E8" s="23" t="s">
        <v>7</v>
      </c>
      <c r="F8" s="12" t="e">
        <f>'[1]Danh muc BMA'!E7</f>
        <v>#REF!</v>
      </c>
      <c r="G8" s="5"/>
    </row>
    <row r="9" spans="1:7" s="6" customFormat="1" ht="346.5" outlineLevel="1" x14ac:dyDescent="0.25">
      <c r="A9" s="8">
        <v>7</v>
      </c>
      <c r="B9" s="9" t="s">
        <v>23</v>
      </c>
      <c r="C9" s="22" t="s">
        <v>24</v>
      </c>
      <c r="D9" s="11" t="s">
        <v>25</v>
      </c>
      <c r="E9" s="23" t="s">
        <v>7</v>
      </c>
      <c r="F9" s="12" t="e">
        <f>'[1]Danh muc BMA'!E8</f>
        <v>#REF!</v>
      </c>
      <c r="G9" s="5"/>
    </row>
    <row r="10" spans="1:7" s="6" customFormat="1" ht="15.75" outlineLevel="1" x14ac:dyDescent="0.25">
      <c r="A10" s="1" t="s">
        <v>26</v>
      </c>
      <c r="B10" s="24" t="s">
        <v>27</v>
      </c>
      <c r="C10" s="7"/>
      <c r="D10" s="1"/>
      <c r="E10" s="1"/>
      <c r="F10" s="1"/>
      <c r="G10" s="5"/>
    </row>
    <row r="11" spans="1:7" s="6" customFormat="1" ht="409.5" outlineLevel="1" x14ac:dyDescent="0.25">
      <c r="A11" s="8">
        <v>1</v>
      </c>
      <c r="B11" s="9" t="s">
        <v>28</v>
      </c>
      <c r="C11" s="25" t="s">
        <v>29</v>
      </c>
      <c r="D11" s="11" t="s">
        <v>25</v>
      </c>
      <c r="E11" s="23" t="s">
        <v>7</v>
      </c>
      <c r="F11" s="12">
        <f>'[1]Danh muc BMA'!E11</f>
        <v>8</v>
      </c>
      <c r="G11" s="5"/>
    </row>
    <row r="12" spans="1:7" s="6" customFormat="1" ht="409.5" outlineLevel="1" x14ac:dyDescent="0.25">
      <c r="A12" s="8">
        <v>2</v>
      </c>
      <c r="B12" s="9" t="s">
        <v>30</v>
      </c>
      <c r="C12" s="25" t="s">
        <v>31</v>
      </c>
      <c r="D12" s="11" t="s">
        <v>25</v>
      </c>
      <c r="E12" s="23" t="s">
        <v>7</v>
      </c>
      <c r="F12" s="12">
        <f>'[1]Danh muc BMA'!E12</f>
        <v>5</v>
      </c>
      <c r="G12"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Manh Hung</dc:creator>
  <cp:lastModifiedBy>Manh Hung</cp:lastModifiedBy>
  <dcterms:created xsi:type="dcterms:W3CDTF">2025-06-11T07:28:34Z</dcterms:created>
  <dcterms:modified xsi:type="dcterms:W3CDTF">2025-06-11T07:38:09Z</dcterms:modified>
</cp:coreProperties>
</file>